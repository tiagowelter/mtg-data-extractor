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vulsas" sheetId="1" r:id="rId5"/>
    <sheet state="visible" name="Página5" sheetId="2" r:id="rId6"/>
    <sheet state="visible" name="BulkShopee" sheetId="3" r:id="rId7"/>
    <sheet state="visible" name="CMDAssemble" sheetId="4" r:id="rId8"/>
    <sheet state="visible" name="CMDMagda" sheetId="5" r:id="rId9"/>
  </sheets>
  <definedNames>
    <definedName hidden="1" localSheetId="0" name="_xlnm._FilterDatabase">Avulsas!$A$1:$Y$5026</definedName>
  </definedNames>
  <calcPr/>
</workbook>
</file>

<file path=xl/sharedStrings.xml><?xml version="1.0" encoding="utf-8"?>
<sst xmlns="http://schemas.openxmlformats.org/spreadsheetml/2006/main" count="43078" uniqueCount="11216">
  <si>
    <t>Nome</t>
  </si>
  <si>
    <t>Tipo</t>
  </si>
  <si>
    <t>Raridade</t>
  </si>
  <si>
    <t>Descrição magia</t>
  </si>
  <si>
    <t>Custo mana</t>
  </si>
  <si>
    <t>Cor(cores</t>
  </si>
  <si>
    <t>Preço minimo</t>
  </si>
  <si>
    <t>Coleção</t>
  </si>
  <si>
    <t>É foil?</t>
  </si>
  <si>
    <t>Ano</t>
  </si>
  <si>
    <t>Poder</t>
  </si>
  <si>
    <t>Qtd</t>
  </si>
  <si>
    <t>Total</t>
  </si>
  <si>
    <t>A Canção do Banho / Bath Song</t>
  </si>
  <si>
    <t>Encantamento — Saga</t>
  </si>
  <si>
    <t>Incomum</t>
  </si>
  <si>
    <t>(Conforme esta Saga entra e após sua etapa de compra, adicione um marcador de conhecimento. Sacrifique-a após III.) I, II: Compre dois cards e depois descarte um card. III: Embaralhe qualquer número de cards alvo de seu cemitério em seu grimório. Adicione {U}{U}.</t>
  </si>
  <si>
    <t>3{U}</t>
  </si>
  <si>
    <t>Azul</t>
  </si>
  <si>
    <t>The Lord of the Rings: Tales of Middle-earth (LTR)</t>
  </si>
  <si>
    <t>Não</t>
  </si>
  <si>
    <t>A.I.M. Bot</t>
  </si>
  <si>
    <t>Artifact Creature — Robot Villain</t>
  </si>
  <si>
    <t>Common / Comum</t>
  </si>
  <si>
    <t>Flying (This creature can't be blocked except by creatures with flying or reach.)</t>
  </si>
  <si>
    <t>{2}{U}</t>
  </si>
  <si>
    <t>Marvel Super Heroes Commander (MSC)</t>
  </si>
  <si>
    <t>A.I.M. Scientists</t>
  </si>
  <si>
    <t>Creature — Human Scientist Villain</t>
  </si>
  <si>
    <t>When this creature enters, it connives. (Draw a card, then discard a card. If you discarded a nonland card, put a +1/+1 counter on this creature.) Basic landcycling {2} ({2}, Discard this card: Search your library for a basic land card, reveal it, put it into your hand, then shuffle.)</t>
  </si>
  <si>
    <t>{3}{U}</t>
  </si>
  <si>
    <t>Marvel Super Heroes (MSH)</t>
  </si>
  <si>
    <t>A.I.M. Synthoids / Sintóides da I.E.A.</t>
  </si>
  <si>
    <t>Criatura Artefato — Robô Vilão</t>
  </si>
  <si>
    <t>Comum</t>
  </si>
  <si>
    <t>Quando esta criatura entrar, vigie 2. (Olhe os dois cards do topo de seu grimório, depois coloque qualquer número deles em seu cemitério e o restante no topo de seu grimório em qualquer ordem.)</t>
  </si>
  <si>
    <t>{2}</t>
  </si>
  <si>
    <t>Incolor</t>
  </si>
  <si>
    <t>Marvel</t>
  </si>
  <si>
    <t>Aang, at the Crossroads // Aang, Destined Savior</t>
  </si>
  <si>
    <t>Legendary Creature — Human Avatar Ally // Legendary Creature — Avatar Ally</t>
  </si>
  <si>
    <t>Rare / Rara</t>
  </si>
  <si>
    <t>Aang, at the Crossroads: Flying When Aang enters, look at the top five cards of your library. You may put a creature card with mana value 4 or less from among them onto the battlefield. Put the rest on the bottom of your library in a random order. When another creature you control leaves the battlefield, transform Aang at the beginning of the next upkeep. // Aang, Destined Savior: Flying Land creatures you control have vigilance. At the beginning of combat on your turn, earthbend 2. (Target land you control becomes a 0/0 creature with haste that's still a land. Put two +1/+1 counters on it. When it dies or is exiled, return it to the battlefield tapped.)</t>
  </si>
  <si>
    <t>{2}{G}{W}{U}</t>
  </si>
  <si>
    <t>Verde, Azul, Branco</t>
  </si>
  <si>
    <t>Avatar: The Last Airbender (TLA)</t>
  </si>
  <si>
    <t>Aang, the Last Airbender</t>
  </si>
  <si>
    <t>Legendary Creature — Human Avatar Ally</t>
  </si>
  <si>
    <t>Uncommon / Incomum</t>
  </si>
  <si>
    <t>Flying When Aang enters, airbend up to one other target nonland permanent. (Exile it. While it's exiled, its owner may cast it for {2} rather than its mana cost.) Whenever you cast a Lesson spell, Aang gains lifelink until end of turn.</t>
  </si>
  <si>
    <t>{3}{W}</t>
  </si>
  <si>
    <t>Branco</t>
  </si>
  <si>
    <t>Aang's Journey</t>
  </si>
  <si>
    <t>Sorcery — Lesson</t>
  </si>
  <si>
    <t>Kicker {2} (You may pay an additional {2} as you cast this spell.) Search your library for a basic land card. If this spell was kicked, instead search your library for a basic land card and a Shrine card. Reveal those cards, put them into your hand, then shuffle. You gain 2 life.</t>
  </si>
  <si>
    <t>Sim</t>
  </si>
  <si>
    <t>Abandon Attachments</t>
  </si>
  <si>
    <t>Instant — Lesson</t>
  </si>
  <si>
    <t>You may discard a card. If you do, draw two cards.</t>
  </si>
  <si>
    <t>{1}{U/R}</t>
  </si>
  <si>
    <t>Vermelho, Azul</t>
  </si>
  <si>
    <t>Abandon Reason / Abandonar a Razão</t>
  </si>
  <si>
    <t>Instant / Mágica Instantânea</t>
  </si>
  <si>
    <t>Up to two target creatures each get +1/+0 and gain first strike until end of turn. (They deal combat damage before creatures without first strike.) Madness {1}{R} (If you discard this card, discard it into exile. When you do, cast it for its madness cost or put it into your graveyard.) / Até duas criaturas alvo recebem +1/+0 cada uma e ganham iniciativa até o final do turno. Loucura {1}{R} (Se você descartar este card, descarte-o para o exílio. Quando fizer isso, conjure-o por seu custo de loucura ou coloque-o em seu cemitério.)</t>
  </si>
  <si>
    <t>{2}{R}</t>
  </si>
  <si>
    <t>Vermelho</t>
  </si>
  <si>
    <t>Eldritch Moon (EMN)</t>
  </si>
  <si>
    <t>Abandoned Air Temple</t>
  </si>
  <si>
    <t>Land</t>
  </si>
  <si>
    <t>This land enters tapped unless you control a basic land. {T}: Add {W}. {3}{W}, {T}: Put a +1/+1 counter on each creature you control.</t>
  </si>
  <si>
    <t>Abbey Gargoyles</t>
  </si>
  <si>
    <t>Criatura — Gárgulas / Summon Gargoyles</t>
  </si>
  <si>
    <t>Incomum / Uncommon</t>
  </si>
  <si>
    <t>Flying, protection from red</t>
  </si>
  <si>
    <t>{2}{W}{W}{W}</t>
  </si>
  <si>
    <t>Homelands (HML)</t>
  </si>
  <si>
    <t>Abbey Matron / Matrona da Abadia</t>
  </si>
  <si>
    <t>Creature — Cleric / Criatura — Clérigo</t>
  </si>
  <si>
    <t>{W}, {T}: +0/+3 until end of turn. / {W}, {T}: +0/+3 até o final do turno.</t>
  </si>
  <si>
    <t>{2}{W}</t>
  </si>
  <si>
    <t>Creature — Human Cleric</t>
  </si>
  <si>
    <t>{W}, {T}: This creature gets +0/+3 until end of turn.</t>
  </si>
  <si>
    <t>Aberração Consumidora / Consuming Aberration</t>
  </si>
  <si>
    <t>Criatura — Horror / Creature — Horror</t>
  </si>
  <si>
    <t>Rara / Rare</t>
  </si>
  <si>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</si>
  <si>
    <t>{3}{U}{B}</t>
  </si>
  <si>
    <t>Azul e Preto</t>
  </si>
  <si>
    <t>Gatecrash (GTC)</t>
  </si>
  <si>
    <t>*/*</t>
  </si>
  <si>
    <t>Aberrant Researcher / Pesquisador Aberrante</t>
  </si>
  <si>
    <t>Creature — Human Insect / Criatura — Humano Inseto</t>
  </si>
  <si>
    <t>Flying At the beginning of your upkeep, mill a card. If an instant or sorcery card was milled this way, transform this creature. (To mill a card, put the top card of your library into your graveyard.) / Voar No início de sua manutenção, coloque o card do topo de seu grimório em seu cemitério. Se for um card de mágica instantânea ou feitiço, transforme Pesquisador Aberrante.</t>
  </si>
  <si>
    <t>Shadows over Innistrad (SOI)</t>
  </si>
  <si>
    <t>Abigale, Poet Laureate // Heroic Stanza</t>
  </si>
  <si>
    <t>Legendary Creature — Bird Bard // Sorcery</t>
  </si>
  <si>
    <t>Abigale, Poet Laureate: Flying Whenever you cast a creature spell, Abigale becomes prepared. (While it's prepared, you may cast a copy of its spell. Doing so unprepares it.) // Heroic Stanza: Put a +1/+1 counter on target creature.</t>
  </si>
  <si>
    <t>{1}{W}{B} // {1}{W/B}</t>
  </si>
  <si>
    <t>Preto, Branco</t>
  </si>
  <si>
    <t>Secrets of Strixhaven (SOS)</t>
  </si>
  <si>
    <t>Abnormal Endurance / Resistência Anormal</t>
  </si>
  <si>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</si>
  <si>
    <t>{1}{B}</t>
  </si>
  <si>
    <t>Preto</t>
  </si>
  <si>
    <t>Core Set 2019 (M19)</t>
  </si>
  <si>
    <t>Abomination / Abominação</t>
  </si>
  <si>
    <t>Creature — Horror</t>
  </si>
  <si>
    <t>Whenever this creature blocks or becomes blocked by a green or white creature, destroy that creature at end of combat.</t>
  </si>
  <si>
    <t>{3}{B}{B}</t>
  </si>
  <si>
    <t>Quarta Edição</t>
  </si>
  <si>
    <t>Abrade / Abrasão</t>
  </si>
  <si>
    <t>Choose one — • Abrade deals 3 damage to target creature. • Destroy target artifact. / Escolha um — • Abrasão causa 3 pontos de dano à criatura alvo. • Destrua o artefato alvo.</t>
  </si>
  <si>
    <t>{1}{R}</t>
  </si>
  <si>
    <t>Foundations (FDN)</t>
  </si>
  <si>
    <t>Innistrad: Crimson Vow (VOW)</t>
  </si>
  <si>
    <t>Abutres Osai / Osai Vultures</t>
  </si>
  <si>
    <t>Invocação de Abutres / Summon Vultures</t>
  </si>
  <si>
    <t>Voador. Coloque um marcador de carniça sobre os Abutres no fim de cada turno no qual uma criatura saiu de jogo e foi para o cemitério. {0}: Remova dois marcadores de carniça para que os Abutres ganhem +1/+1 até o final do turno.</t>
  </si>
  <si>
    <t>{1}{W}</t>
  </si>
  <si>
    <t>Fourth Edition</t>
  </si>
  <si>
    <t>Fourth Edition (BB)</t>
  </si>
  <si>
    <t>Abyssal Specter / Espectro Abissal</t>
  </si>
  <si>
    <t>Creature — Specter / Criatura — Espectro</t>
  </si>
  <si>
    <t>Flying Whenever this creature deals damage to a player, that player discards a card. / Voar (Esta criatura só pode ser bloqueada por criaturas com a habilidade de voar.) Toda vez que Espectro Abissal causar dano a algum jogador, aquele jogador descarta um card de sua própria mão.</t>
  </si>
  <si>
    <t>{2}{B}{B}</t>
  </si>
  <si>
    <t>Era Glacial</t>
  </si>
  <si>
    <t>Abzan Battle Priest / Sacerdote de Batalha Abzan</t>
  </si>
  <si>
    <t>Creature — Human Cleric / Criatura — Humano Clérigo</t>
  </si>
  <si>
    <t>Outlast {W} ({W}, {T}: Put a +1/+1 counter on this creature. Outlast only as a sorcery.) Each creature you control with a +1/+1 counter on it has lifelink. / Sobreviver {W} ({W}, {T}: Coloque um marcador +1/+1 nesta criatura. Use sobreviver somente como um feitiço.) Cada criatura que você controla com um marcador +1/+1 tem vínculo com a vida.</t>
  </si>
  <si>
    <t>Khans of Tarkir (KTK)</t>
  </si>
  <si>
    <t>Abzan Falconer / Falcoeiro Abzan</t>
  </si>
  <si>
    <t>Creature — Human Soldier / Criatura — Humano Soldado</t>
  </si>
  <si>
    <t>Outlast {W} ({W}, {T}: Put a +1/+1 counter on this creature. Outlast only as a sorcery.) Each creature you control with a +1/+1 counter on it has flying. / Sobreviver {W} ({W}, {T}: Coloque um marcador +1/+1 nesta criatura. Use sobreviver somente como um feitiço.) Cada criatura que você controla com um marcador +1/+1 tem voar.</t>
  </si>
  <si>
    <t>Academy Wall / Muralha da Academia</t>
  </si>
  <si>
    <t>Creature — Wall / Criatura — Barreira</t>
  </si>
  <si>
    <t>Defender Whenever you cast an instant or sorcery spell, you may draw a card. If you do, discard a card. This ability triggers only once each turn. / Defensor Toda vez que você conjura uma mágica instantânea ou um feitiço, você pode comprar um card. Se fizer isso, descarte um card. Esta habilidade é desencadeada apenas uma vez a cada turno.</t>
  </si>
  <si>
    <t>Dominaria United (DMU)</t>
  </si>
  <si>
    <t>0/5</t>
  </si>
  <si>
    <t>Acclaimed Contender / Competidora Aclamada</t>
  </si>
  <si>
    <t>Creature — Human Knight / Criatura — Humano Cavaleiro</t>
  </si>
  <si>
    <t>When this creature enters, if you control another Knight, look at the top five cards of your library. You may reveal a Knight, Aura, Equipment, or legendary artifact card from among them and put it into your hand. Put the rest on the bottom of your library in a random order. / Quando Competidora Aclamada entrar no campo de batalha, se você controlar outro Cavaleiro, olhe os cinco cards do topo de seu grimório. Você pode revelar um card de Cavaleiro, Aura, Equipamento ou artefato lendário dentre eles e colocá-lo em sua mão. Coloque o restante no fundo de seu grimório em ordem aleatória.</t>
  </si>
  <si>
    <t>Throne of Eldraine (ELD)</t>
  </si>
  <si>
    <t>Accorder's Shield / Escudo dos Concordantes</t>
  </si>
  <si>
    <t>Artifact — Equipment / Artefato — Equipamento</t>
  </si>
  <si>
    <t>Equipped creature gets +0/+3 and has vigilance. (Attacking doesn't cause it to tap.) Equip {3} ({3}: Attach to target creature you control. Equip only as a sorcery.) / A criatura equipada recebe +0/+3 e tem vigilância. (Esta criatura não é virada para atacar.)Equipar {3} ({3}: Anexe à criatura alvo que você controla. Equipe somente quando puder conjurar um feitiço.)</t>
  </si>
  <si>
    <t>{0}</t>
  </si>
  <si>
    <t>Scars of Mirrodin (SOM)</t>
  </si>
  <si>
    <t>Accumulate Wisdom</t>
  </si>
  <si>
    <t>Look at the top three cards of your library. Put one of those cards into your hand and the rest on the bottom of your library in any order. Put each of those cards into your hand instead if there are three or more Lesson cards in your graveyard.</t>
  </si>
  <si>
    <t>{1}{U}</t>
  </si>
  <si>
    <t>Accursed Spirit / Espírito Amaldiçoado</t>
  </si>
  <si>
    <t>Creature — Spirit / Criatura — Espírito</t>
  </si>
  <si>
    <t>Intimidate (This creature can't be blocked except by artifact creatures and/or creatures that share a color with it.) / Intimidar (Esta criatura só pode ser bloqueada por criaturas artefato e/ou criaturas que compartilhem uma cor com ela.)</t>
  </si>
  <si>
    <t>{3}{B}</t>
  </si>
  <si>
    <t>Magic 2014 (M14)</t>
  </si>
  <si>
    <t>Acid Web Spider / Aranha da Teia Ácida</t>
  </si>
  <si>
    <t>Creature — Spider / Criatura — Aranha</t>
  </si>
  <si>
    <t>Reach When this creature enters, you may destroy target Equipment. / Alcance Quando Aranha da Teia Ácida entra no campo de batalha, você pode destruir o Equipamento alvo.</t>
  </si>
  <si>
    <t>{3}{G}{G}</t>
  </si>
  <si>
    <t>Verde</t>
  </si>
  <si>
    <t>Acidic Slime / Limo Ácido</t>
  </si>
  <si>
    <t>Creature — Ooze / Criatura — Lodo</t>
  </si>
  <si>
    <t>Deathtouch (Any amount of damage this deals to a creature is enough to destroy it.) When this creature enters, destroy target artifact, enchantment, or land. / Toque mortífero (Qualquer quantidade de dano que esta criatura cause a uma criatura é suficiente para destruí-la.) Quando Limo Ácido entrar no campo de batalha, destrua o artefato, encantamento ou terreno alvo.</t>
  </si>
  <si>
    <t>Commander Masters (CMM)</t>
  </si>
  <si>
    <t>Açoite do Balrog / Lash of the Balrog</t>
  </si>
  <si>
    <t>Feitiço</t>
  </si>
  <si>
    <t>Como custo adicional para conjurar esta mágica, sacrifique uma criatura ou pague {4}. Destrua a criatura alvo.</t>
  </si>
  <si>
    <t>{B}</t>
  </si>
  <si>
    <t>Acordar para a Vida / Thought Monitor</t>
  </si>
  <si>
    <t>Feitiço / Sorcery</t>
  </si>
  <si>
    <t>O artefato alvo não de criatura que você controla se torna uma criatura artefato 0/0. Coloque quatro marcadores +1/+1 em cada artefato que se torna uma criatura dessa forma. Sobrecarga {4}{U}{U} (Você pode conjurar esta mágica pagando seu custo de sobrecarga. Se fizer isso, altere seu texto substituindo todas as ocorrências de “o artefato alvo” por “cada artefato”.) / Target noncreature artifact you control becomes a 0/0 artifact creature. Put four +1/+1 counters on each artifact that becomes a creature this way. Overload {4}{U}{U} (You may cast this spell for its overload cost. If you do, change its text by replacing all instances of "target artifact" with "each artifact".)</t>
  </si>
  <si>
    <t>Modern Horizons 2 (MH2)</t>
  </si>
  <si>
    <t>Pasta</t>
  </si>
  <si>
    <t>Acrobatic Leap / Salto Acrobático</t>
  </si>
  <si>
    <t>Target creature gets +1/+3 and gains flying until end of turn. Untap it. / A criatura alvo recebe +1/+3 e ganha voar até o final do turno. Desvire-a.</t>
  </si>
  <si>
    <t>{W}</t>
  </si>
  <si>
    <t>Avatar: The Last Airbender Eternal (TLE)</t>
  </si>
  <si>
    <t>Act of Treason / Ato de Traição</t>
  </si>
  <si>
    <t>Ganhe o controle da criatura alvo até o final do turno. Desvire aquela criatura. Ela ganha ímpeto até o final do turno.</t>
  </si>
  <si>
    <t>2R</t>
  </si>
  <si>
    <t>Duel Decks: Speed vs. Cunning</t>
  </si>
  <si>
    <t>Lealdade em Ravnica</t>
  </si>
  <si>
    <t>Sorcery / Feitiço</t>
  </si>
  <si>
    <t>Gain control of target creature until end of turn. Untap that creature. It gains haste until end of turn. (It can attack and {T} this turn.) / Ganhe o controle da criatura alvo até o final do turno. Desvire aquela criatura. Ela ganha ímpeto até o final do turno. (Ela pode atacar e {T} neste turno.)</t>
  </si>
  <si>
    <t>Magic Origins (ORI)</t>
  </si>
  <si>
    <t>Ravnica Allegiance (RNA)</t>
  </si>
  <si>
    <t>Act on Impulse / Agir por Impulso</t>
  </si>
  <si>
    <t>Exile the top three cards of your library. Until end of turn, you may play those cards. (If you cast a spell this way, you still pay its costs. You can play a land this way only if you have an available land play remaining.) / Exile os três cards do topo de seu grimório. Até o final do turno, você pode jogar os cards exilados desta maneira. (Se você conjura uma mágica desta maneira, ainda paga seus custos. Você só pode jogar um terreno desta forma se ainda puder jogar um terreno.)</t>
  </si>
  <si>
    <t>Magic 2015 (M15)</t>
  </si>
  <si>
    <t>Action News Crew</t>
  </si>
  <si>
    <t>Creature — Human Citizen</t>
  </si>
  <si>
    <t>Vigilance Channel — {6}, Discard this card: Put a +1/+1 counter on each creature you control. Draw a card.</t>
  </si>
  <si>
    <t>Teenage Mutant Ninja Turtles (TMT)</t>
  </si>
  <si>
    <t>Active Volcano</t>
  </si>
  <si>
    <t>Instant</t>
  </si>
  <si>
    <t>Choose one — • Destroy target blue permanent. • Return target Island to its owner's hand.</t>
  </si>
  <si>
    <t>{R}</t>
  </si>
  <si>
    <t>Chronicles</t>
  </si>
  <si>
    <t>Adamant Will / Vontade Adamantina</t>
  </si>
  <si>
    <t>Target creature gets +2/+2 and gains indestructible until end of turn. (Damage and effects that say "destroy" don't destroy it.) / A criatura alvo recebe +2/+2 e ganha indestrutível até o final do turno. (Dano e efeitos que dizem "destrua" não a destroem.)</t>
  </si>
  <si>
    <t>Dominaria (DOM)</t>
  </si>
  <si>
    <t>Additive Evolution / Evolução Aditiva</t>
  </si>
  <si>
    <t>Enchantment / Encantamento</t>
  </si>
  <si>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</si>
  <si>
    <t>Shadows of Sothia (SOS)</t>
  </si>
  <si>
    <t>Adelbert Steiner / Adelbert Steiner</t>
  </si>
  <si>
    <t>Criatura Lendária — Humano Cavaleiro</t>
  </si>
  <si>
    <t>Vínculo com a vida. Adelbert Steiner recebe +1/+1 para cada Equipamento que você controla.</t>
  </si>
  <si>
    <t>1{W}</t>
  </si>
  <si>
    <t>Final Fantasy</t>
  </si>
  <si>
    <t>Adesão de Vraska / Vraska Joins Up</t>
  </si>
  <si>
    <t>Encantamento Lendário</t>
  </si>
  <si>
    <t>Rara</t>
  </si>
  <si>
    <t>Quando Adesão de Vraska entrar no campo de batalha, coloque um marcador de toque mortífero em cada criatura que você controla. Toda vez que uma criatura lendária que você controla causar dano de combate a um jogador, compre um card.</t>
  </si>
  <si>
    <t>{B}{G}</t>
  </si>
  <si>
    <t>Preto, Verde</t>
  </si>
  <si>
    <t>Outlaws of Thunder Junction (OTJ)</t>
  </si>
  <si>
    <t>Advanced Stitchwing / Asa Suturada Avançado</t>
  </si>
  <si>
    <t>Creature — Zombie Horror / Criatura — Zumbi Horror</t>
  </si>
  <si>
    <t>Flying {2}{U}, Discard two cards: Return this card from your graveyard to the battlefield tapped. / Voar {2}{U}, Descarte dois cards: Devolva Asa Suturada Avançado de seu cemitério para o campo de batalha virado.</t>
  </si>
  <si>
    <t>{3}{U}{U}</t>
  </si>
  <si>
    <t>Adventure Awaits / Aventura à Espera</t>
  </si>
  <si>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</si>
  <si>
    <t>{1}{G}</t>
  </si>
  <si>
    <t>Zendikar Rising (ZNR)</t>
  </si>
  <si>
    <t>Adventurer's Airship / Navio Voador do Aventureiro</t>
  </si>
  <si>
    <t>Artefato — Veículo</t>
  </si>
  <si>
    <t>Voar. Sempre que este Veículo atacar, compre um card e depois descarte um card. Tripular 2 (Vire qualquer número de criaturas que você controla com poder total igual ou superior a 2: Este Veículo se torna uma criatura artefato até o final do turno.)</t>
  </si>
  <si>
    <t>Adventurer's Inn / Estalagem do Aventureiro</t>
  </si>
  <si>
    <t>Terreno — Vila</t>
  </si>
  <si>
    <t>Quando este terreno entrar, você ganha 2 de vida. {T}: Adicione {C}.</t>
  </si>
  <si>
    <t>Não encontrado</t>
  </si>
  <si>
    <t>Adventurous Eater / Devorador Aventureiro</t>
  </si>
  <si>
    <t>Creature — Human Warlock / Criatura — Humano Bruxo</t>
  </si>
  <si>
    <t>This creature enters prepared. (While it's prepared, you may cast a copy of its spell. Doing so unprepares it.) / Esta criatura entra preparada. (Enquanto ela estiver preparada, você pode conjurar uma cópia de sua mágica. Fazer isso a despara.)</t>
  </si>
  <si>
    <t>{2}{B}</t>
  </si>
  <si>
    <t>Adventurous Impulse / Impulso Aventureiro</t>
  </si>
  <si>
    <t>Look at the top three cards of your library. You may reveal a creature or land card from among them and put it into your hand. Put the rest on the bottom of your library in any order. / Olhe os três cards do topo de seu grimório. Você pode revelar um card de criatura ou terreno dentre eles e colocá-lo em sua mão. Coloque o restante no fundo de seu grimório em qualquer ordem.</t>
  </si>
  <si>
    <t>{G}</t>
  </si>
  <si>
    <t>Foundations Jumpstart (J25)</t>
  </si>
  <si>
    <t>Aegis of the Meek</t>
  </si>
  <si>
    <t>Artefato / Artifact</t>
  </si>
  <si>
    <t>{1}, {T}: Target 1/1 creature gets +1/+2 until end of turn.</t>
  </si>
  <si>
    <t>{3}</t>
  </si>
  <si>
    <t>Incolor / Colorless</t>
  </si>
  <si>
    <t>Ice Age (ICE)</t>
  </si>
  <si>
    <t>Aegis Turtle / Tartaruga da Égide</t>
  </si>
  <si>
    <t>Creature — Turtle / Criatura — Tartaruga</t>
  </si>
  <si>
    <t>{U}</t>
  </si>
  <si>
    <t>Aeolipile</t>
  </si>
  <si>
    <t>Artifact</t>
  </si>
  <si>
    <t>{1}, {T}, Sacrifice this artifact: It deals 2 damage to any target.</t>
  </si>
  <si>
    <t>Fallen Empires (FEM)</t>
  </si>
  <si>
    <t>Aerial Doombot</t>
  </si>
  <si>
    <t>Flying Power-up — {5}{U}: Put three +1/+1 counters on this creature. (Activate each power-up ability only once. Reduce the cost by its mana cost if it entered this turn.)</t>
  </si>
  <si>
    <t>Aerial Doombot / Doombot Aéreo</t>
  </si>
  <si>
    <t>Voar. Fortalecer — {5}{U}: Coloque três marcadores +1/+1 nesta criatura. (Ative cada habilidade de fortalecer apenas uma vez. Reduza o custo em seu custo de mana se ela entrou neste turno.)</t>
  </si>
  <si>
    <t>Aerial Engineer / Engenheira Aérea</t>
  </si>
  <si>
    <t>Creature — Human Artificer / Criatura — Humano Artesão</t>
  </si>
  <si>
    <t>As long as you control an artifact, this creature gets +2/+0 and has flying. / Enquanto você controlar um artefato, Engenheira Aérea receberá +2/+0 e terá voar.</t>
  </si>
  <si>
    <t>{2}{W}{U}</t>
  </si>
  <si>
    <t>Azul, Branco</t>
  </si>
  <si>
    <t>Aerial Guide / Guia Aéreo</t>
  </si>
  <si>
    <t>Creature — Drake / Criatura — Dragonete</t>
  </si>
  <si>
    <t>Flying Whenever this creature attacks, another target attacking creature gains flying until end of turn. / Voar Toda vez que Guia Aéreo ataca, outra criatura atacante alvo ganha voar até o final do turno.</t>
  </si>
  <si>
    <t>Hour of Devastation (HOU)</t>
  </si>
  <si>
    <t>Aerial Maneuver / Manobra Aérea</t>
  </si>
  <si>
    <t>Target creature gets +1/+1 and gains flying and first strike until end of turn. / A criatura alvo recebe +1/+1 e ganha voar e iniciativa até o final do turno.</t>
  </si>
  <si>
    <t>Aerial Predation / Predação Aérea</t>
  </si>
  <si>
    <t>Destroy target creature with flying. You gain 2 life. / Destrua a criatura alvo com voar. Você ganha 2 pontos de vida.</t>
  </si>
  <si>
    <t>{2}{G}</t>
  </si>
  <si>
    <t>Return to Ravnica (RTR)</t>
  </si>
  <si>
    <t>Aerial Volley / Salva Aérea</t>
  </si>
  <si>
    <t>Aerial Volley deals 3 damage divided as you choose among one, two, or three target creatures with flying. / Salva Aérea causa 3 pontos de dano distribuídos à sua escolha entre uma, duas ou três criaturas alvo com voar.</t>
  </si>
  <si>
    <t>Aerie Worshippers / Adoradoras do Ninho</t>
  </si>
  <si>
    <t>Inspired — Whenever this creature becomes untapped, you may pay {2}{U}. If you do, create a 2/2 blue Bird enchantment creature token with flying. / Inspirado — Toda vez que Adoradoras do Ninho se torna desvirada, você pode pagar {2}{U}. Se fizer isso, coloque no campo de batalha uma ficha de criatura encantamento azul 2/2 do tipo Ave com voar.</t>
  </si>
  <si>
    <t>Born of the Gods (BNG)</t>
  </si>
  <si>
    <t>Aerith Rescue Mission / Missão de Resgate de Aerith</t>
  </si>
  <si>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</si>
  <si>
    <t>3{W}</t>
  </si>
  <si>
    <t>Aeromunculus / Aeromúnculo</t>
  </si>
  <si>
    <t>Creature — Homunculus Mutant / Criatura — Homúnculo Mutante</t>
  </si>
  <si>
    <t>Flying {2}{G}{U}: Adapt 1. (If this creature has no +1/+1 counters on it, put a +1/+1 counter on it.) / Voar {2}{G}: Adaptar 1. (Se esta criatura não tiver marcadores +1/+1, coloque um marcador +1/+1 nela.)</t>
  </si>
  <si>
    <t>{1}{G}{U}</t>
  </si>
  <si>
    <t>Verde, Azul</t>
  </si>
  <si>
    <t>Aesthir Glider</t>
  </si>
  <si>
    <t>Criatura Artefato / Artifact Creature</t>
  </si>
  <si>
    <t>Comum / Common</t>
  </si>
  <si>
    <t>Flying. Cannot be assigned to block.</t>
  </si>
  <si>
    <t>Alliances (ALL)</t>
  </si>
  <si>
    <t>Aether Adept / Adepto do Éter</t>
  </si>
  <si>
    <t>Creature — Human Wizard / Criatura — Humano Mago</t>
  </si>
  <si>
    <t>When this creature enters, return target creature to its owner's hand. / Quando Adepto do Éter entrar no campo de batalha, devolva a criatura alvo para a mão de seu dono.</t>
  </si>
  <si>
    <t>{1}{U}{U}</t>
  </si>
  <si>
    <t>Magic 2011 (M11)</t>
  </si>
  <si>
    <t>Aether Herder / Pastor do Éter</t>
  </si>
  <si>
    <t>Creature — Elf Artificer Druid / Criatura — Elfo Artesão Druida</t>
  </si>
  <si>
    <t>When this creature enters, you get {E}{E} (two energy counters). Whenever this creature attacks, you may pay {E}{E}. If you do, create a 1/1 colorless Servo artifact creature token. / Quando Pastor do Éter entra no campo de batalha, você recebe {E}{E} (dois marcadores de energia). Toda vez que Pastor do Éter ataca, você pode pagar {E}{E}. Se fizer isso, crie uma ficha de criatura artefato incolor 1/1 do tipo Servus.</t>
  </si>
  <si>
    <t>{3}{G}</t>
  </si>
  <si>
    <t>Aether Revolt (AER)</t>
  </si>
  <si>
    <t>Æther Spellbomb / Bomba de Éter</t>
  </si>
  <si>
    <t>Artefato</t>
  </si>
  <si>
    <t>{U}, Sacrifique Æther Spellbomb: Devolva a criatura alvo para a mão de seu dono. {1}, Sacrifique Æther Spellbomb: Compre um card.</t>
  </si>
  <si>
    <t>{1}</t>
  </si>
  <si>
    <t>Magic: The Gathering—Commander (CMD)</t>
  </si>
  <si>
    <t>Mirrodin (MRD)</t>
  </si>
  <si>
    <t>Aether Spellbomb / Magibomba de Éter</t>
  </si>
  <si>
    <t>Artifact / Artefato</t>
  </si>
  <si>
    <t>{U}, Sacrifice this artifact: Return target creature to its owner's hand. {1}, Sacrifice this artifact: Draw a card. / {U}, Sacrifique Magibomba de Éter: Devolve a criatura alvo para a mão de seu dono. {1}, Sacrifique Magibomba de Éter: Compre um card.</t>
  </si>
  <si>
    <t>Modern Masters (MMA)</t>
  </si>
  <si>
    <t>Aether Swooper / Planadora Etérea</t>
  </si>
  <si>
    <t>Creature — Vedalken Artificer / Criatura — Vedalkeano Artesão</t>
  </si>
  <si>
    <t>Flying When this creature enters, you get {E}{E} (two energy counters). Whenever this creature attacks, you may pay {E}{E}. If you do, create a 1/1 colorless Servo artifact creature token. / Voar Quando Planadora Etérea entra no campo de batalha, você recebe {E}{E} (dois marcadores de energia). Toda vez que Planadora Etérea ataca, você pode pagar {E}{E}. Se fizer isso, crie uma ficha de criatura artefato incolor 1/1 do tipo Servus.</t>
  </si>
  <si>
    <t>Aether Theorist / Teórico do Éter</t>
  </si>
  <si>
    <t>Creature — Vedalken Rogue / Criatura — Vedalkeano Ladino</t>
  </si>
  <si>
    <t>When this creature enters, you get {E}{E}{E} (three energy counters). {T}, Pay {E}: Scry 1. (Look at the top card of your library. You may put that card on the bottom.) / Quando Teórico do Éter entra no campo de batalha, você recebe {E}{E}{E} (três marcadores de energia). {T}, Pague {E}: Use vidência 1. (Olhe o card do topo de seu grimório. Você pode colocar aquele card no fundo de seu grimório.)</t>
  </si>
  <si>
    <t>Kaladesh (KLD)</t>
  </si>
  <si>
    <t>Aether Tradewinds / Ventos Alísios de Éter</t>
  </si>
  <si>
    <t>Return target permanent you control and target permanent you don't control to their owners' hands. / Devolva a permanente alvo que você controla e a permanente alvo que você não controla para as mãos de seus donos.</t>
  </si>
  <si>
    <t>Aetherize / Eterificar</t>
  </si>
  <si>
    <t>Return all attacking creatures to their owner's hand. / Devolva todas as criaturas atacantes para as mãos de seus donos.</t>
  </si>
  <si>
    <t>Aetherjacket</t>
  </si>
  <si>
    <t>Artifact Creature — Thopter</t>
  </si>
  <si>
    <t>Flying, vigilance {2}, {T}, Sacrifice this creature: Destroy another target artifact. Activate only as a sorcery.</t>
  </si>
  <si>
    <t>Aetherdrift (DFT)</t>
  </si>
  <si>
    <t>Aethersnipe / Eteroquimera</t>
  </si>
  <si>
    <t>Creature — Elemental / Criatura — Elemental</t>
  </si>
  <si>
    <t>When this creature enters, return target nonland permanent to its owner's hand. Evoke {1}{U}{U} (You may cast this spell for its evoke cost. If you do, it's sacrificed when it enters.) / Quando Eteroquimera entrar em jogo, devolva a permanente alvo que não seja um terreno para a mão de seu dono. Evocar {1}{U}{U} (Você pode jogar esta mágica pagando seu custo de evocar. Se fizer isso, ela será sacrificada quando entrar em jogo.)</t>
  </si>
  <si>
    <t>{5}{U}</t>
  </si>
  <si>
    <t>Commander 2011 (CMD)</t>
  </si>
  <si>
    <t>Aetherstream Leopard / Leopardo-das-correntes-de-éter</t>
  </si>
  <si>
    <t>Creature — Cat / Criatura — Felino</t>
  </si>
  <si>
    <t>Trample When this creature enters, you get {E} (an energy counter). Whenever this creature attacks, you may pay {E}. If you do, it gets +2/+0 until end of turn. / Atropelar Quando Leopardo-das-correntes-de-éter entra no campo de batalha, você recebe {E} (um marcador de energia). Toda vez que Leopardo-das-correntes-de-éter ataca, você pode pagar {E}. Se fizer isso, ele receberá +2/+0 até o final do turno.</t>
  </si>
  <si>
    <t>Affa Protector / Protetor de Affa</t>
  </si>
  <si>
    <t>Creature — Human Soldier Ally / Criatura — Humano Soldado Aliado</t>
  </si>
  <si>
    <t>Vigilance / Vigilância</t>
  </si>
  <si>
    <t>Oath of the Gatewatch (OGW)</t>
  </si>
  <si>
    <t>Agadeem Occultist / Ocultista de Agadeem</t>
  </si>
  <si>
    <t>Creature — Human Shaman Ally / Criatura — Humano Xamã Aliado</t>
  </si>
  <si>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</si>
  <si>
    <t>Worldwake (WWK)</t>
  </si>
  <si>
    <t>0/2</t>
  </si>
  <si>
    <t>Agency Outfitter / Fornecedor da Agência</t>
  </si>
  <si>
    <t>Creature — Sphinx Detective / Criatura — Esfinge Detetive</t>
  </si>
  <si>
    <t>Flying When this creature enters, you may search your graveyard, hand and/or library for a card named Magnifying Glass and/or a card named Thinking Cap and put them onto the battlefield. If you search your library this way, shuffle. / Voar Quando Fornecedor da Agência entra no campo de batalha, você pode procurar em seu cemitério, mão e/ou grimório um card com o nome Lente de Aumento e/ou um card com o nome Chapéu de Pensar e colocá-los no campo de batalha. Se você procurar em seu grimório dessa forma, embaralhe.</t>
  </si>
  <si>
    <t>{4}{U}{U}</t>
  </si>
  <si>
    <t>Murders at Karlov Manor (MKM)</t>
  </si>
  <si>
    <t>Agent Bishop, Man in Black</t>
  </si>
  <si>
    <t>Legendary Creature — Human Soldier</t>
  </si>
  <si>
    <t>At the beginning of combat on your turn, put a +1/+1 counter on each of up to two target creatures.</t>
  </si>
  <si>
    <t>Agent of Atlas</t>
  </si>
  <si>
    <t>Creature — Human Spy Hero</t>
  </si>
  <si>
    <t>Prowess (Whenever you cast a noncreature spell, this creature gets +1/+1 until end of turn.)</t>
  </si>
  <si>
    <t>Agent of Atlas / Agente da Atlas</t>
  </si>
  <si>
    <t>Criatura — Humano Espião Herói</t>
  </si>
  <si>
    <t>Destreza (Sempre que você conjurar um feitiço que não seja de criatura, esta criatura receberá +1/+1 até o final do turno.)</t>
  </si>
  <si>
    <t>Agent of Erebos / Agente de Érebo</t>
  </si>
  <si>
    <t>Enchantment Creature — Zombie / Criatura Encantamento — Zumbi</t>
  </si>
  <si>
    <t>Constellation — Whenever this creature or another enchantment you control enters, exile target player's graveyard. / Constelação — Toda vez que Agente de Érebo ou outro encantamento entrar no campo de batalha sob seu controle, exile todos os cards do cemitério do jogador alvo.</t>
  </si>
  <si>
    <t>Journey into Nyx (JOU)</t>
  </si>
  <si>
    <t>Agents of S.H.I.E.L.D.</t>
  </si>
  <si>
    <t>Whenever a creature you control attacks alone, that creature gets +1/+1 until end of turn.</t>
  </si>
  <si>
    <t>Agents of S.H.I.E.L.D. / Agentes da S.H.I.E.L.D.</t>
  </si>
  <si>
    <t>Sempre que uma criatura que você controla atacar sozinha, aquela criatura receberá +1/+1 até o final do turno.</t>
  </si>
  <si>
    <t>2{W}</t>
  </si>
  <si>
    <t>Aggression / Agressão</t>
  </si>
  <si>
    <t>Enchantment — Aura</t>
  </si>
  <si>
    <t>Enchant non-Wall creature Enchanted creature has first strike and trample. At the beginning of the end step of enchanted creature's controller, destroy that creature if it didn't attack this turn.</t>
  </si>
  <si>
    <t>Agility / Agilidade</t>
  </si>
  <si>
    <t>Enchant creature Enchanted creature gets +1/+1 and has flanking. (Whenever a creature without flanking blocks this creature, the blocking creature gets -1/-1 until end of turn.)</t>
  </si>
  <si>
    <t>Mirage (MIR)</t>
  </si>
  <si>
    <t>Agoraphobia / Agorafobia</t>
  </si>
  <si>
    <t>Enchantment — Aura / Encantamento — Aura</t>
  </si>
  <si>
    <t>Enchant creature Enchanted creature gets -5/-0. {2}{U}: Return this Aura to its owner's hand. / Encantar criaturaA criatura encantada recebe -5/-0.{2}{U}: Devolva Agorafobia para a mão de seu dono.</t>
  </si>
  <si>
    <t>Ahriman / Ahriman</t>
  </si>
  <si>
    <t>Criatura — Olho Horror</t>
  </si>
  <si>
    <t>Voar, toque mortífero. {3}, Sacrifique outra criatura ou artefato: Compre um card.</t>
  </si>
  <si>
    <t>2{B}</t>
  </si>
  <si>
    <t>Aim High / Mirar Alto</t>
  </si>
  <si>
    <t>Untap target creature. It gets +2/+2 and gains reach until end of turn. / Desvire a criatura alvo. Ela recebe +2/+2 e ganha alcance até o final do turno. (Ela pode bloquear criaturas com voar.)</t>
  </si>
  <si>
    <t>Innistrad Remastered (INR)</t>
  </si>
  <si>
    <t>Ainok Bond-Kin / Ainok Laço-de-honra</t>
  </si>
  <si>
    <t>Creature — Dog Soldier / Criatura — Sabujo Soldado</t>
  </si>
  <si>
    <t>Outlast {1}{W} ({1}{W}, {T}: Put a +1/+1 counter on this creature. Outlast only as a sorcery.) Each creature you control with a +1/+1 counter on it has first strike. / Sobreviver {1}{W} ({1}{W}, {T}: Coloque um marcador +1/+1 nesta criatura. Use sobreviver somente como um feitiço.) Cada criatura que você controla com um marcador +1/+1 tem iniciativa.</t>
  </si>
  <si>
    <t>Double Masters 2022 (2X2)</t>
  </si>
  <si>
    <t>Airbender's Reversal</t>
  </si>
  <si>
    <t>Choose one — • Destroy target attacking creature. • Airbend target creature you control. (Exile it. While it's exiled, its owner may cast it for {2} rather than its mana cost.)</t>
  </si>
  <si>
    <t>Airbending Lesson</t>
  </si>
  <si>
    <t>Airbend target nonland permanent. (Exile it. While it's exiled, its owner may cast it for {2} rather than its mana cost.) Draw a card.</t>
  </si>
  <si>
    <t>Airship Crash</t>
  </si>
  <si>
    <t>Destroy target artifact, enchantment, or creature with flying. Cycling 2 (2, Discard this card: Draw a card.)</t>
  </si>
  <si>
    <t>2G</t>
  </si>
  <si>
    <t>Final Fantasy (FFIX)</t>
  </si>
  <si>
    <t>Ajani Goldmane / Ajani Juba D'ouro</t>
  </si>
  <si>
    <t>Legendary Planeswalker — Ajani / Planeswalker — Ajani</t>
  </si>
  <si>
    <t>{2}{W}{W}</t>
  </si>
  <si>
    <t>Lorwyn (LRW)</t>
  </si>
  <si>
    <t>Ajani's Chosen / Escolhidos de Ajani</t>
  </si>
  <si>
    <t>Creature — Cat Soldier / Criatura — Felino Soldado</t>
  </si>
  <si>
    <t>Whenever an enchantment you control enters, create a 2/2 white Cat creature token. If that enchantment is an Aura, you may attach it to the token. / Toda vez que um encantamento entrar no campo de batalha sob o seu controle, coloque no campo de batalha uma ficha de criatura branca 2/2 do tipo Felino. Se aquele encantamento for uma Aura, você poderá anexá-la à ficha.</t>
  </si>
  <si>
    <t>Ajani's Last Stand / Resistência Final de Ajani</t>
  </si>
  <si>
    <t>Whenever a creature or planeswalker you control dies, you may sacrifice this enchantment. If you do, create a 4/4 white Avatar creature token with flying. When a spell or ability an opponent controls causes you to discard this card, if you control a Plains, create a 4/4 white Avatar creature token with flying. / Toda vez que uma criatura ou planeswalker que você controla morre, você pode sacrificar Resistência Final de Ajani. Se fizer isso, crie uma ficha de criatura branca 4/4 do tipo Avatar com voar. Quando uma mágica ou habilidade que um oponente controla fizer com que você descarte este card, se você controlar uma Planície, crie uma ficha de criatura branca 4/4 do tipo Avatar com voar.</t>
  </si>
  <si>
    <t>Ajani's Presence / Presença de Ajani</t>
  </si>
  <si>
    <t>Strive — This spell costs {2}{W} more to cast for each target beyond the first. Any number of target creatures each get +1/+1 and gain indestructible until end of turn. (Damage and effects that say "destroy" don't destroy them.) / Esforço — Presença de Ajani custa {2}{W} a mais para ser conjurado para cada alvo além do primeiro. Qualquer número de criaturas alvo recebe +1/+1 e ganha indestrutível até o final do turno. (Nem dano nem efeitos que dizem "destrua" podem destruí-las.)</t>
  </si>
  <si>
    <t>Ajani's Pridemate / Companheiro de Bando de Ajani</t>
  </si>
  <si>
    <t>Whenever you gain life, put a +1/+1 counter on this creature. / Toda vez que você ganha pontos de vida, você pode colocar um marcador +1/+1 em Companheiro de Bando de Ajani.</t>
  </si>
  <si>
    <t>War of the Spark (WAR)</t>
  </si>
  <si>
    <t>Ajani's Sunstriker / Golpeador Solar de Ajani</t>
  </si>
  <si>
    <t>Creature — Cat Cleric / Criatura — Felino Clérigo</t>
  </si>
  <si>
    <t>Lifelink (Damage dealt by this creature also causes you to gain that much life.) / Vínculo com a vida(O dano causado por esta criatura faz com que você ganhe uma quantidade equivalente de pontos de vida.)</t>
  </si>
  <si>
    <t>{W}{W}</t>
  </si>
  <si>
    <t>Conspiracy (CNS)</t>
  </si>
  <si>
    <t>Ajuda Improvável / Unlikely Aid</t>
  </si>
  <si>
    <t>Mágica Instantânea / Instant</t>
  </si>
  <si>
    <t>A criatura alvo recebe +2/+0 e ganha indestrutível até o final do turno. (O dano e os efeitos que dizem "destrua" não a destroem.) / Target creature gets +2/+0 and gains indestructible until end of turn. (Damage and effects that say "destroy" don't destroy it.)</t>
  </si>
  <si>
    <t>Akki Ember-Keeper / Akki Custódio das Brasas</t>
  </si>
  <si>
    <t>Enchantment Creature — Goblin Warrior / Criatura Encantamento — Goblin Guerreiro</t>
  </si>
  <si>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</si>
  <si>
    <t>Kamigawa: Neon Dynasty (NEO)</t>
  </si>
  <si>
    <t>Akoum Hellhound / Sabujo Infernal de Akoum</t>
  </si>
  <si>
    <t>Creature — Elemental Dog / Criatura — Elemental Cão</t>
  </si>
  <si>
    <t>Landfall — Whenever a land you control enters, this creature gets +2/+2 until end of turn. / Aterragem — Toda vez que um terreno entra no campo de batalha sob seu controle, Sabujo Infernal de Akoum recebe +2/+2 até o final do turno.</t>
  </si>
  <si>
    <t>0/1</t>
  </si>
  <si>
    <t>Akoum Refuge / Refúgio de Akoum</t>
  </si>
  <si>
    <t>Land / Terreno</t>
  </si>
  <si>
    <t>This land enters tapped. When this land enters, you gain 1 life. {T}: Add {B} or {R}. / Refúgio de Akoum entra no campo de batalha virado. Quando Refúgio de Akoum entra no campo de batalha, você ganha 1 ponto de vida. {T}: Adicione {B} ou {R} à sua reserva de mana.</t>
  </si>
  <si>
    <t>Preto, Vermelho</t>
  </si>
  <si>
    <t>Zendikar (ZEN)</t>
  </si>
  <si>
    <t>Akroan Crusader / Cruzado Acrosano</t>
  </si>
  <si>
    <t>Heroic — Whenever you cast a spell that targets this creature, create a 1/1 red Soldier creature token with haste. (It can attack and {T} as soon as it comes under your control.) / Heroico — Toda vez que você conjurar uma mágica cujo alvo seja Cruzado Acrosano, coloque no campo de batalha uma ficha de criatura vermelha 1/1 do tipo Soldado com ímpeto.</t>
  </si>
  <si>
    <t>Ultimate Masters (UMA)</t>
  </si>
  <si>
    <t>Akroan Jailer / Carcereiro Acrosano</t>
  </si>
  <si>
    <t>{2}{W}, {T}: Tap target creature. / {2}{W}, {T}: Vire a criatura alvo.</t>
  </si>
  <si>
    <t>Akroan Mastiff / Mastim Acrosano</t>
  </si>
  <si>
    <t>Creature — Dog / Criatura — Sabujo</t>
  </si>
  <si>
    <t>{W}, {T}: Tap target creature. / {W}, {T}: Vire a criatura alvo.</t>
  </si>
  <si>
    <t>Akroan Sergeant / Sargento Acrosano</t>
  </si>
  <si>
    <t>First strike (This creature deals combat damage before creatures without first strike.) Renown 1 (When this creature deals combat damage to a player, if it isn't renowned, put a +1/+1 counter on it and it becomes renowned.) / Iniciativa (Esta criatura causa dano de combate antes das criaturas sem iniciativa.)Renome 1 (Quando esta criatura causar dano de combate a um jogador, se ela não for renomada, coloque um marcador +1/+1 nela e ela se tornará renomada.)</t>
  </si>
  <si>
    <t>Akron Legionnaire</t>
  </si>
  <si>
    <t>Criatura — Legionário / Summon Legionnaire</t>
  </si>
  <si>
    <t>Except for Akron Legionnaires, non-artifact creatures you control cannot attack.</t>
  </si>
  <si>
    <t>{6}{W}{W}</t>
  </si>
  <si>
    <t>Al Bhed Salvagers / Recicladores Al Bhed</t>
  </si>
  <si>
    <t>Criatura — Humano Artífice Guerreiro</t>
  </si>
  <si>
    <t>Sempre que esta criatura ou outra criatura ou artefato que você controla morrer, o oponente alvo perde 1 de vida e você ganha 1 de vida.</t>
  </si>
  <si>
    <t>Alabaster Kirin / Kirin de Alabastro</t>
  </si>
  <si>
    <t>Creature — Kirin / Criatura — Kirin</t>
  </si>
  <si>
    <t>Flying, vigilance / Voar, vigilância</t>
  </si>
  <si>
    <t>Aladdin's Lamp</t>
  </si>
  <si>
    <t>Rare</t>
  </si>
  <si>
    <t>{X}, {T}: Instead of drawing a card from the top of your library, draw X cards but choose only one to put into your hand. Shuffle the leftover cards and put them at the bottom of your library. X cannot be 0.</t>
  </si>
  <si>
    <t>{10}</t>
  </si>
  <si>
    <t>Colorless</t>
  </si>
  <si>
    <t>Fourth Edition (4ED)</t>
  </si>
  <si>
    <t>Aladdin's Lamp / Låmpada de Aladin</t>
  </si>
  <si>
    <t>{X}, {T}: The next time you would draw a card this turn, instead look at the top X cards of your library, put all but one of them on the bottom of your library in a random order, then draw a card. X can't be 0.</t>
  </si>
  <si>
    <t>Aladdin's Ring / Anel de Aladim</t>
  </si>
  <si>
    <t>{8}, {T}: This artifact deals 4 damage to any target. / {8}, {T}: Anel de Aladim causa 4 pontos de dano à criatura ou ao jogador alvo.</t>
  </si>
  <si>
    <t>{8}</t>
  </si>
  <si>
    <t>Arabian Nights (ARN)</t>
  </si>
  <si>
    <t>Alchemist's Vial / Frasco do Alquimista</t>
  </si>
  <si>
    <t>When this artifact enters, draw a card. {1}, {T}, Sacrifice this artifact: Target creature can't attack or block this turn. / Quando Frasco do Alquimista entrar no campo de batalha, compre um card.{1}, {T}, Sacrifique Frasco do Alquimista: A criatura alvo não pode atacar nem bloquear neste turno.</t>
  </si>
  <si>
    <t>Ali Baba</t>
  </si>
  <si>
    <t>Creature — Human Rogue</t>
  </si>
  <si>
    <t>{R}: Tap target Wall.</t>
  </si>
  <si>
    <t>Aliban's Tower / Torre de Aliban</t>
  </si>
  <si>
    <t>Target blocking creature gets +3/+1 until end of turn.</t>
  </si>
  <si>
    <t>Alley Evasion / Evasão pelas Vielas</t>
  </si>
  <si>
    <t>Choose one — • Target creature you control gets +1/+2 until end of turn. • Return target creature you control to its owner's hand. / Escolha um — • A criatura alvo que você controla recebe +1/+2 até o final do turno. • Devolva a criatura alvo que você controla para a mão de seu dono.</t>
  </si>
  <si>
    <t>Allies at Last</t>
  </si>
  <si>
    <t>Affinity for Allies (This spell costs {1} less to cast for each Ally you control.) Up to two target creatures you control each deal damage equal to their power to target creature an opponent controls.</t>
  </si>
  <si>
    <t>Alluring Suitor / Pretendente Fascinante</t>
  </si>
  <si>
    <t>Creature — Vampire / Criatura — Vampiro</t>
  </si>
  <si>
    <t>When you attack with exactly two creatures, transform this creature. / Quando você atacar com exatamente duas criaturas, transforme Pretendente Fascinante.</t>
  </si>
  <si>
    <t>Almighty Brushwagg / Tojo Todo-poderoso</t>
  </si>
  <si>
    <t>Creature — Brushwagg / Criatura — Tojo</t>
  </si>
  <si>
    <t>Trample. {3}{G}: Almighty Brushwagg gets +3/+3 until end of turn. / Atropelar. {3}{G}: Tojo Todo-poderoso recebe +3/+3 até o final do turno.</t>
  </si>
  <si>
    <t>Ikoria: Lair of Behemoths (IKO)</t>
  </si>
  <si>
    <t>Aloe Alchemist / Alquimista da Babosa</t>
  </si>
  <si>
    <t>Creature — Plant Warlock / Criatura — Planta Bruxo</t>
  </si>
  <si>
    <t>Trample When this card becomes plotted, target creature gets +3/+2 and gains trample until end of turn. Plot {1}{G} (You may pay {1}{G} and exile this card from your hand. Cast it as a sorcery on a later turn without paying its mana cost. Plot only as a sorcery.) / Atropelar Quando Alquimista da Babosa se torna tramado, a criatura alvo recebe +3/+2 e ganha atropelar até o final do turno. Tramar {1}{G} (Você pode pagar {1}{G} e exilar este card de sua mão. Conjure-o como um feitiço num turno posterior sem pagar seu custo de mana. Trame somente como um feitiço.)</t>
  </si>
  <si>
    <t>Alojamento do Desertor</t>
  </si>
  <si>
    <t>Você pode escolher não desvirar Alojamento do Desertor durante sua etapa de desvirar. 6, {T}: Vire a criatura alvo. Ela não será desvirada durante a etapa de desvirar de seu controlador enquanto Alojamento do Desertor permanecer virado.</t>
  </si>
  <si>
    <t>Journey into Nyx</t>
  </si>
  <si>
    <t>Alpharael, Stonechosen</t>
  </si>
  <si>
    <t>Legendary Creature — Human Cleric</t>
  </si>
  <si>
    <t>Mythic</t>
  </si>
  <si>
    <t>Ward—Discard a card at random. Void — Whenever Alpharael attacks, if a nonland permanent left the battlefield this turn or a spell was warped this turn, defending player loses half their life, rounded up.</t>
  </si>
  <si>
    <t>EOE</t>
  </si>
  <si>
    <t>Altar's Reap / Colheita do Altar</t>
  </si>
  <si>
    <t>As an additional cost to cast this spell, sacrifice a creature. Draw two cards. / Como custo adicional para conjurar Colheita do Altar, sacrifique uma criatura.Compre dois cards.</t>
  </si>
  <si>
    <t>Innistrad (ISD)</t>
  </si>
  <si>
    <t>Ambition's Cost / Custo da Ambição</t>
  </si>
  <si>
    <t>You draw three cards and you lose 3 life. / Você compra três cards e perde 3 pontos de vida.</t>
  </si>
  <si>
    <t>Eighth Edition (8ED)</t>
  </si>
  <si>
    <t>Ambrosia Whiteheart / Ambrosia Coração-Branco</t>
  </si>
  <si>
    <t>Criatura Lendária — Ave</t>
  </si>
  <si>
    <t>Lampejo. Quando Ambrosia Coração-Branco entrar, você pode devolver outra permanente que você controla para a mão de seu dono. Aterragem — Sempre que um terreno que você controla entrar, Ambrosia Coração-Branco receberá +1/+0 até o final do turno.</t>
  </si>
  <si>
    <t>Ambuscade / Cilada</t>
  </si>
  <si>
    <t>Target creature you control gets +1/+0 until end of turn. It deals damage equal to its power to target creature an opponent controls. / A criatura alvo que você controla recebe +1/+0 até o final do turno. Ela causa uma quantidade de dano igual ao próprio poder à criatura alvo que um oponente controla.</t>
  </si>
  <si>
    <t>Ambush Party / Grupo de Emboscada</t>
  </si>
  <si>
    <t>First strike, haste</t>
  </si>
  <si>
    <t>{4}{R}</t>
  </si>
  <si>
    <t>Ambush Wolf</t>
  </si>
  <si>
    <t>Creature — Wolf</t>
  </si>
  <si>
    <t>Flash (You may cast this spell any time you could cast an instant.) When this creature enters, exile up to one target card from a graveyard.</t>
  </si>
  <si>
    <t>Amped Raptor / Raptor Amplificado</t>
  </si>
  <si>
    <t>Creature — Dinosaur / Criatura — Dinossauro</t>
  </si>
  <si>
    <t>First strike When this creature enters, you get {E}{E} (two energy counters). Then if you cast it from your hand, exile cards from the top of your library until you exile a nonland card. You may cast that card by paying an amount of {E} equal to its mana value rather than paying its mana cost. / Iniciativa Quando Raptor Amplificado entra no campo de batalha, você recebe {E}{E} (dois marcadores de energia). Em seguida, se você o tiver conjurado de sua mão, exile cards do topo de seu grimório até exilar um card não de terreno. Você pode conjurar aquele card pagando uma quantidade de {E} igual a seu valor de mana em vez de pagar seu custo de mana.</t>
  </si>
  <si>
    <t>Modern Horizons 3 (MH3)</t>
  </si>
  <si>
    <t>Amplifire / Amplifogo</t>
  </si>
  <si>
    <t>Criatura — Elemental</t>
  </si>
  <si>
    <t>Raro</t>
  </si>
  <si>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</si>
  <si>
    <t>2{R}{R}</t>
  </si>
  <si>
    <t>Ravnica Allegiance</t>
  </si>
  <si>
    <t>Ampryn Tactician / Estrategista Ampryn</t>
  </si>
  <si>
    <t>When this creature enters, creatures you control get +1/+1 until end of turn. / Quando Estrategista Ampryn entra no campo de batalha, as criaturas que você controla recebem +1/+1 até o final do turno.</t>
  </si>
  <si>
    <t>Bulk Shopee</t>
  </si>
  <si>
    <t>Amulet of Kroog / Amuleto de Kroog</t>
  </si>
  <si>
    <t>{2}, {T}: Prevent the next 1 damage that would be dealt to any target this turn.</t>
  </si>
  <si>
    <t>Common</t>
  </si>
  <si>
    <t>{2}, {T}: Prevent 1 damage to any creature or player.</t>
  </si>
  <si>
    <t>Weatherlight (WTH)</t>
  </si>
  <si>
    <t>Amuleto do Viajante / Traveler's Amulet</t>
  </si>
  <si>
    <t>{1}, sacrifique Amuleto do Viajante: Procure um card de terreno básico em seu grimório, revele-o, coloque-o em sua mão e, depois, embaralhe seu grimório.</t>
  </si>
  <si>
    <t>Theros Beyond Death (THB)</t>
  </si>
  <si>
    <t>Anaba Ancestor / Ancestral de Anaba</t>
  </si>
  <si>
    <t>Creature — Minotaur Spirit</t>
  </si>
  <si>
    <t>{T}: Another target Minotaur creature gets +1/+1 until end of turn.</t>
  </si>
  <si>
    <t>Anaba Bodyguard / Guarda-Costas de Anaba</t>
  </si>
  <si>
    <t>Creature — Minotaur / Criatura — Minotauro</t>
  </si>
  <si>
    <t>First strike (This creature deals combat damage before creatures without first strike.) / Iniciativa (Esta criatura causa dano de combate antes de criaturas sem a habilidade de iniciativa.)</t>
  </si>
  <si>
    <t>{3}{R}</t>
  </si>
  <si>
    <t>Anaba Shaman / Xamã de Anaba</t>
  </si>
  <si>
    <t>Creature — Minotaur Shaman / Criatura — Xamã Minotauro</t>
  </si>
  <si>
    <t>{R}, {T}: This creature deals 1 damage to any target. / {R}, {T}: Xamã de Anaba causa 1 ponto de dano à criatura ou ao jogador alvo.</t>
  </si>
  <si>
    <t>Ancestral Anger / Ira Ancestral</t>
  </si>
  <si>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</si>
  <si>
    <t>Ancestral Blade / Lâmina Ancestral</t>
  </si>
  <si>
    <t>When this Equipment enters, create a 1/1 white Soldier creature token, then attach this Equipment to it. Equipped creature gets +1/+1. Equip {1} ({1}: Attach to target creature you control. Equip only as a sorcery.) / Quando Lâmina Ancestral entrar no campo de batalha, crie uma ficha de criatura branca 1/1 do tipo Soldado e anexe Lâmina Ancestral a ela. A criatura equipada recebe +1/+1. Equipar {1} ({1}: Anexe este equipamento à criatura alvo que você controla. Equipe somente como um feitiço.)</t>
  </si>
  <si>
    <t>Core Set 2020 (M20)</t>
  </si>
  <si>
    <t>Ancestral Memories / Memórias Ancestrais</t>
  </si>
  <si>
    <t>Sorcery</t>
  </si>
  <si>
    <t>Look at the top seven cards of your library. Put two of them into your hand and the rest into your graveyard.</t>
  </si>
  <si>
    <t>{2}{U}{U}{U}</t>
  </si>
  <si>
    <t>Seventh Edition (7ED)</t>
  </si>
  <si>
    <t>Anchovy &amp; Banana Pizza</t>
  </si>
  <si>
    <t>Artifact — Food</t>
  </si>
  <si>
    <t>When this artifact enters, destroy target creature. {2}, {T}, Sacrifice this artifact: You gain 3 life.</t>
  </si>
  <si>
    <t>Ancient Animus / Animus Ancestral</t>
  </si>
  <si>
    <t>Put a +1/+1 counter on target creature you control if it's legendary. Then it fights target creature an opponent controls. (Each deals damage equal to its power to the other.) / Coloque um marcador +1/+1 na criatura alvo que você controla se ela for lendária. Em seguida, ela luta contra a criatura alvo que um oponente controla. (Cada uma causa à outra uma quantidade de dano igual ao próprio poder.)</t>
  </si>
  <si>
    <t>Commander Legends (CMR)</t>
  </si>
  <si>
    <t>Ancient Brontodon / Brontodonte Ancestral</t>
  </si>
  <si>
    <t>{6}{G}{G}</t>
  </si>
  <si>
    <t>Ixalan (XLN)</t>
  </si>
  <si>
    <t>Ancient Carp / Carpa Ancestral</t>
  </si>
  <si>
    <t>Creature — Fish / Criatura — Peixe</t>
  </si>
  <si>
    <t>{4}{U}</t>
  </si>
  <si>
    <t>Dragons of Tarkir (DTK)</t>
  </si>
  <si>
    <t>Ancient Crab / Caranguejo Ancião</t>
  </si>
  <si>
    <t>Creature — Crab / Criatura — Caranguejo</t>
  </si>
  <si>
    <t>Amonkhet (AKH)</t>
  </si>
  <si>
    <t>Ancient Grudge / Rancor Antigo</t>
  </si>
  <si>
    <t>Destroy target artifact. Flashback {G} (You may cast this card from your graveyard for its flashback cost. Then exile it.) / Destrua o artefato alvo. Recapitular {G} (Você pode conjurar este card de seu cemitério pagando seu custo de recapitular. Depois, exile-o.)</t>
  </si>
  <si>
    <t>Time Spiral Remastered (TSR)</t>
  </si>
  <si>
    <t>Angel of Deliverance / Anjo do Livramento</t>
  </si>
  <si>
    <t>Creature — Angel / Criatura — Anjo</t>
  </si>
  <si>
    <t>Flying Delirium — Whenever this creature deals damage, if there are four or more card types among cards in your graveyard, exile target creature an opponent controls. / Voar Delírio — Toda vez que Anjo do Livramento causar dano, se houver quatro ou mais tipos de card entre os cards de seu cemitério, exile a criatura alvo que um oponente controla.</t>
  </si>
  <si>
    <t>Angel of Mercy / Anjo da Misericórdia</t>
  </si>
  <si>
    <t>Creature — Angel</t>
  </si>
  <si>
    <t>Uncommon</t>
  </si>
  <si>
    <t>Flying. When Angel of Mercy comes into play, you gain 3 life.</t>
  </si>
  <si>
    <t>{4}{W}</t>
  </si>
  <si>
    <t>Invasion (INV)</t>
  </si>
  <si>
    <t>Angel of Mercy / Anjo de Misericórdia</t>
  </si>
  <si>
    <t>Flying When this creature enters, you gain 3 life. / Voar (Esta criatura só pode ser bloqueada por criaturas com a habilidade de voar.) Quando Anjo de Misericórdia entra em jogo, você ganha 3 pontos de vida.</t>
  </si>
  <si>
    <t>Iconic Masters (IMA)</t>
  </si>
  <si>
    <t>Angelic Cub</t>
  </si>
  <si>
    <t>Creature — Cat Angel</t>
  </si>
  <si>
    <t>Whenever this creature becomes the target of a spell or ability for the first time each turn, put a +1/+1 counter on it. As long as this creature has three or more +1/+1 counters on it, it has flying.</t>
  </si>
  <si>
    <t>Jumpstart 2022 (J22)</t>
  </si>
  <si>
    <t>Angelic Exaltation / Exaltação Angelical</t>
  </si>
  <si>
    <t>Whenever a creature you control attacks alone, it gets +X/+X until end of turn, where X is the number of creatures you control. / Toda vez que uma criatura que você controla ataca sozinha, ela recebe +X/+X até o final do turno, sendo X o número de criaturas que você controla.</t>
  </si>
  <si>
    <t>Angelic Favor / Favor Angelical</t>
  </si>
  <si>
    <t>If you control a plains, you may tap an untapped creature you control instead of paying Angelic Favor's mana cost. Play Angelic Favor only during combat. Put a 4/4 white Angel creature token with flying into play. Remove it from the game at end of turn.</t>
  </si>
  <si>
    <t>Prophecy (PCY)</t>
  </si>
  <si>
    <t>Angelic Protector / Protetor Angelical</t>
  </si>
  <si>
    <t>Flying Whenever this creature becomes the target of a spell or ability, this creature gets +0/+3 until end of turn.</t>
  </si>
  <si>
    <t>Angelic Purge / Purgação Angelical</t>
  </si>
  <si>
    <t>As an additional cost to cast this spell, sacrifice a permanent. Exile target artifact, creature, or enchantment. / Como custo adicional para conjurar Purgação Angelical, sacrifique uma permanente. Exile o artefato, criatura ou encantamento alvo.</t>
  </si>
  <si>
    <t>Angelic Renewal / Renovação Angelical</t>
  </si>
  <si>
    <t>Enchantment</t>
  </si>
  <si>
    <t>Whenever a creature is put into your graveyard from the battlefield, you may sacrifice this enchantment. If you do, return that card to the battlefield.</t>
  </si>
  <si>
    <t>Angelic Wall / Barreira Angelical</t>
  </si>
  <si>
    <t>Defender (This creature can't attack.) Flying / Defensor (Esta criatura não pode atacar.)Voar</t>
  </si>
  <si>
    <t>Avacyn Restored (AVR)</t>
  </si>
  <si>
    <t>0/4</t>
  </si>
  <si>
    <t>Angler Drake / Dragonete Pescador</t>
  </si>
  <si>
    <t>Flying When this creature enters, you may return target creature to its owner's hand. / Voar Quando Dragonete Pescador entra no campo de batalha, você pode devolver a criatura alvo para a mão de seu dono.</t>
  </si>
  <si>
    <t>Animal Magnetism / Magnetismo Animal</t>
  </si>
  <si>
    <t>Reveal the top five cards of your library. An opponent chooses a creature card from among them. Put that card onto the battlefield and the rest into your graveyard. / Revele os cinco cards do topo de seu grimório. Um oponente escolhe um card de criatura entre eles. Coloque aquele card em jogo em os outros em seu cemitério.</t>
  </si>
  <si>
    <t>{4}{G}</t>
  </si>
  <si>
    <t>Anões Guerreiros / Dwarven Warriors</t>
  </si>
  <si>
    <t>Invocar Anões / Summon Dwarves</t>
  </si>
  <si>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</si>
  <si>
    <t xml:space="preserve">Fourth Edition </t>
  </si>
  <si>
    <t>Revised Edition</t>
  </si>
  <si>
    <t>Anointed Deacon / Diácono Ungido</t>
  </si>
  <si>
    <t>Creature — Vampire Cleric / Criatura — Vampiro Clérigo</t>
  </si>
  <si>
    <t>At the beginning of combat on your turn, you may have target Vampire get +2/+0 until end of turn. / No início do combate no seu turno, você pode fazer com que o Vampiro alvo receba +2/+0 até o final do turno.</t>
  </si>
  <si>
    <t>{4}{B}</t>
  </si>
  <si>
    <t>Ant-Man, Scott Lang</t>
  </si>
  <si>
    <t>Legendary Creature — Human Hero</t>
  </si>
  <si>
    <t>{4}: Put a +1/+1 counter on Ant-Man.</t>
  </si>
  <si>
    <t>Ant-Man's Army / Exército do Homem-Formiga</t>
  </si>
  <si>
    <t>Criatura — Inseto</t>
  </si>
  <si>
    <t>Quando esta criatura entrar, crie uma ficha de Comida ou uma ficha de Tesouro. (Uma ficha de Comida é um artefato com "{2}, {T}, Sacrifique esta ficha: Você ganha 3 de vida." Uma ficha de Tesouro é um artefato com "{T}, Sacrifique esta ficha: Adicione um mana de qualquer cor.")</t>
  </si>
  <si>
    <t>2{G}</t>
  </si>
  <si>
    <t>Anticipate / Antecipar</t>
  </si>
  <si>
    <t>Look at the top three cards of your library. Put one of them into your hand and the rest on the bottom of your library in any order. / Olhe os três cards do topo de seu grimório. Coloque um deles na sua mão e os restantes no fundo do seu grimório em qualquer ordem.</t>
  </si>
  <si>
    <t>Battle for Zendikar (BFZ)</t>
  </si>
  <si>
    <t>Anvilwrought Raptor / Raptor Forjado na Bigorna</t>
  </si>
  <si>
    <t>Artifact Creature — Bird / Criatura Artefato — Ave</t>
  </si>
  <si>
    <t>Flying First strike (This creature deals combat damage before creatures without first strike.) / Voar, iniciativa</t>
  </si>
  <si>
    <t>{4}</t>
  </si>
  <si>
    <t>Theros (THS)</t>
  </si>
  <si>
    <t>Apex Hawks / Falcões do Ápice</t>
  </si>
  <si>
    <t>Creature — Bird / Criatura — Ave</t>
  </si>
  <si>
    <t>Multikicker {1}{W} (You may pay an additional {1}{W} any number of times as you cast this spell.) Flying This creature enters with a +1/+1 counter on it for each time it was kicked. / Multireforçar {1}{W} (Você pode pagar um custo adicional de {1}{W} quantas vezes quiser ao conjurar esta mágica.) Voar Falcões do Ápice entra no campo de batalha com um marcador +1/+1 para cada vez que tiver sido reforçado.</t>
  </si>
  <si>
    <t>Aphetto Dredging</t>
  </si>
  <si>
    <t>Return up to three target creature cards of the creature type of your choice from your graveyard to your hand.</t>
  </si>
  <si>
    <t>Onslaught (ONS)</t>
  </si>
  <si>
    <t>Apostle's Blessing / Bênção do Apóstolo</t>
  </si>
  <si>
    <t>({W/P} can be paid with either {W} or 2 life.) Target artifact or creature you control gains protection from artifacts or from the color of your choice until end of turn. / ({W/P} pode ser pago com {W} ou 2 pontos de vida.) O artefato ou a criatura alvo que você controla ganha proteção contra artefatos ou contra a cor de sua escolha até o final do turno.</t>
  </si>
  <si>
    <t>{1}{W/P}</t>
  </si>
  <si>
    <t>Modern Masters 2015 (MM2)</t>
  </si>
  <si>
    <t>Apothecary Geist / Geist Apotecário</t>
  </si>
  <si>
    <t>Flying When this creature enters, if you control another Spirit, you gain 3 life. / Voar Quando Geist Apotecário entra no campo de batalha, se você controlar outro Espírito, você ganha 3 pontos de vida.</t>
  </si>
  <si>
    <t>Appeal to Eirdu</t>
  </si>
  <si>
    <t>Convoke (Your creatures can help cast this spell. Each creature you tap while casting this spell pays for {1} or one mana of that creature's color.) One or two target creatures each get +2/+1 until end of turn.</t>
  </si>
  <si>
    <t>Lorwyn Eclipsed (ECL)</t>
  </si>
  <si>
    <t>Appendage Amalgam</t>
  </si>
  <si>
    <t>Enchantment Creature — Horror</t>
  </si>
  <si>
    <t>Flash Whenever this creature attacks, surveil 1. (Look at the top card of your library. You may put it into your graveyard.)</t>
  </si>
  <si>
    <t>Duskmourn: House of Horror (DSK)</t>
  </si>
  <si>
    <t>Appetite for the Unnatural / Apetite pelo Antinatural</t>
  </si>
  <si>
    <t>Destroy target artifact or enchantment. You gain 2 life. / Destrua o artefato ou encantamento alvo. Você ganha 2 pontos de vida.</t>
  </si>
  <si>
    <t>Applied Biomancy / Biomancia Aplicada</t>
  </si>
  <si>
    <t>Choose one or both — • Target creature gets +1/+1 until end of turn. • Return target creature to its owner's hand. / Escolha um ou ambos — • A criatura alvo recebe +1/+1 até o final do turno. • Devolva a criatura alvo para a mão de seu dono.</t>
  </si>
  <si>
    <t>{G}{U}</t>
  </si>
  <si>
    <t>Apprentice Sharpshooter / Atiradora de Elite Aprendiz</t>
  </si>
  <si>
    <t>Creature — Human Archer / Criatura — Humano Arqueiro</t>
  </si>
  <si>
    <t>Reach Training (Whenever this creature attacks with another creature with greater power, put a +1/+1 counter on this creature.) / Alcance Treinamento (Toda vez que esta criatura atacar com outra criatura de poder superior, coloque um marcador +1/+1 nesta criatura.)</t>
  </si>
  <si>
    <t>April O'Neil, Kunoichi Trainee</t>
  </si>
  <si>
    <t>Legendary Creature — Human Ninja</t>
  </si>
  <si>
    <t>When April O'Neil enters, scry 2. (Look at the top two cards of your library, then put any number of them on the bottom and the rest on top in any order.) April O'Neil can't be blocked by creatures with power 3 or greater.</t>
  </si>
  <si>
    <t>April, Reporter of the Weird</t>
  </si>
  <si>
    <t>Legendary Creature — Human Detective</t>
  </si>
  <si>
    <t>Whenever April deals combat damage to a player, draw that many cards, then discard a card.</t>
  </si>
  <si>
    <t>Aquamoeba / Aquameba</t>
  </si>
  <si>
    <t>Creature — Elemental Beast / Criatura — Elemental Besta</t>
  </si>
  <si>
    <t>Discard a card: Switch this creature's power and toughness until end of turn. / Descarte um card: Permute o poder e a resistência de Aquameba até o final do turno.</t>
  </si>
  <si>
    <t>Dominaria Remastered (DMR)</t>
  </si>
  <si>
    <t>Aquamorph Entity / Entidade Aquamorfa</t>
  </si>
  <si>
    <t>Criatura — Transmorfo</t>
  </si>
  <si>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</si>
  <si>
    <t>2UU</t>
  </si>
  <si>
    <t>Aqueous Form / Forma Aquosa</t>
  </si>
  <si>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</si>
  <si>
    <t>Aquitect's Defenses</t>
  </si>
  <si>
    <t>Flash. Enchant creature you control. When this Aura enters, enchanted creature gains hexproof until end of turn. (It can't be the target of spells or abilities your opponents control.) Enchanted creature gets +1/+2.</t>
  </si>
  <si>
    <t>Arashin Sunshield</t>
  </si>
  <si>
    <t>Creature — Human Warrior</t>
  </si>
  <si>
    <t>When this creature enters, exile up to two target cards from a single graveyard. {W}, {T}: Tap target creature.</t>
  </si>
  <si>
    <t>Tarkir: Dragonstorm (TDM)</t>
  </si>
  <si>
    <t>Arborback Stomper / Pisoteador Dorsoverde</t>
  </si>
  <si>
    <t>Creature — Beast / Criatura — Besta</t>
  </si>
  <si>
    <t>Trample. When Arborback Stomper enters the battlefield, you gain 5 life. / Atropelar. Quando Pisoteador Dorsoverde entra no campo de batalha, você ganha 5 pontos de vida.</t>
  </si>
  <si>
    <t>Arc Trail / Trilha de Arco</t>
  </si>
  <si>
    <t>Trilha de Arco causa 2 de dano à criatura ou ao jogador alvo e 1 de dano a outra criatura ou outro jogador alvo.</t>
  </si>
  <si>
    <t>1R</t>
  </si>
  <si>
    <t>Arcanis the Omnipotent / Arcanis, o Onipotente</t>
  </si>
  <si>
    <t>Criatura Lendária — Mago</t>
  </si>
  <si>
    <t>Mítica Rara</t>
  </si>
  <si>
    <t>{T}: Compre três cards. {2}{U}{U}: Devolva Arcanis, o Onipotente para a mão de seu dono.</t>
  </si>
  <si>
    <t>3UUU</t>
  </si>
  <si>
    <t>Arcanist's Owl / Coruja do Arcanista</t>
  </si>
  <si>
    <t>Flying When this creature enters, look at the top four cards of your library. You may reveal an artifact or enchantment card from among them and put it into your hand. Put the rest on the bottom of your library in a random order. / Voar Quando Coruja do Arcanista entrar no campo de batalha, olhe os quatro cards do topo de seu grimório. Você pode revelar um card de artefato ou encantamento dentre eles e colocá-lo em sua mão. Coloque o restante no fundo de seu grimório em ordem aleatória.</t>
  </si>
  <si>
    <t>{W/U}{W/U}{W/U}{W/U}</t>
  </si>
  <si>
    <t>Arcbound Javelineer / Zagaieiro Arconexo</t>
  </si>
  <si>
    <t>Artifact Creature — Soldier / Criatura Artefato — Soldado</t>
  </si>
  <si>
    <t>{T}, Remove X +1/+1 counters from this creature: It deals X damage to target attacking or blocking creature. Modular 1 (This creature enters with a +1/+1 counter on it. When it dies, you may put its +1/+1 counters on target artifact creature.) / {T}, remova X marcadores +1/+1 de Zagaieiro Arconexo: Ele causa X pontos de dano à criatura atacante ou bloqueadora alvo. Modular 1 (Esta criatura entra no campo de batalha com um marcador +1/+1. Quando ela morre, você pode colocar seus marcadores +1/+1 na criatura artefato alvo.)</t>
  </si>
  <si>
    <t>Arcbound Wanderer / Andarilho Arcbound</t>
  </si>
  <si>
    <t>Artifact Creature — Golem / Criatura Artefato — Golem</t>
  </si>
  <si>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</si>
  <si>
    <t>{6}</t>
  </si>
  <si>
    <t>0/0</t>
  </si>
  <si>
    <t>Archaeomancer / Arqueomante</t>
  </si>
  <si>
    <t>When this creature enters, return target instant or sorcery card from your graveyard to your hand. / Quando Arqueomante entrar no campo de batalha, devolva o card de mágica instantânea ou de feitiço alvo de seu cemitério para a sua mão.</t>
  </si>
  <si>
    <t>{2}{U}{U}</t>
  </si>
  <si>
    <t>Magic 2013 (M13)</t>
  </si>
  <si>
    <t>Archers of Qarsi / Arqueiros de Qarsi</t>
  </si>
  <si>
    <t>Creature — Snake Archer / Criatura — Naga Arqueiro</t>
  </si>
  <si>
    <t>Defender Reach (This creature can block creatures with flying.) / Defensor Alcance (Esta criatura pode bloquear criaturas com voar.)</t>
  </si>
  <si>
    <t>Fate Reforged (FRF)</t>
  </si>
  <si>
    <t>Archers' Parapet / Parapeito dos Arqueiros</t>
  </si>
  <si>
    <t>Defender {1}{B}, {T}: Each opponent loses 1 life. / Defensor {1}{B}, {T}: Cada oponente perde 1 ponto de vida.</t>
  </si>
  <si>
    <t>Archfiend of Depravity / Arquidemônio da Depravação</t>
  </si>
  <si>
    <t>Creature — Demon / Criatura — Demônio</t>
  </si>
  <si>
    <t>Flying At the beginning of each opponent's end step, that player chooses up to two creatures they control, then sacrifices the rest. / Voar No início da etapa final de cada oponente, aquele jogador escolhe até duas criaturas que ele controla e sacrifica o resto.</t>
  </si>
  <si>
    <t>Archfiend of Ifnir / Arquidemônio de Ifnir</t>
  </si>
  <si>
    <t>Flying Whenever you cycle or discard another card, put a -1/-1 counter on each creature your opponents control. Cycling {2} ({2}, Discard this card: Draw a card.) / Voar Toda vez que você reciclar ou descartar outro card, coloque um marcador -1/-1 em cada criatura que seus oponentes controlam. Reciclar {2} ({2}, Descarte este card: Compre um card.)</t>
  </si>
  <si>
    <t>Architects of Will / Arquitetos do Arbítrio</t>
  </si>
  <si>
    <t>Artifact Creature — Human Wizard / Criatura Artefato — Humano Mago</t>
  </si>
  <si>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</si>
  <si>
    <t>{2}{U}{B}</t>
  </si>
  <si>
    <t>Preto, Azul</t>
  </si>
  <si>
    <t>Alara Reborn (ARB)</t>
  </si>
  <si>
    <t>Archway Angel / Anjo do Arco</t>
  </si>
  <si>
    <t>Flying When this creature enters, you gain 2 life for each Gate you control. / Voar Quando Anjo do Arco entra no campo de batalha, você ganha 2 pontos de vida para cada Portão que você controla.</t>
  </si>
  <si>
    <t>{5}{W}</t>
  </si>
  <si>
    <t>Archweaver / Tecedeira de Arcos</t>
  </si>
  <si>
    <t>Reach, trample / Alcance, atropelar</t>
  </si>
  <si>
    <t>{5}{G}{G}</t>
  </si>
  <si>
    <t>Ardent Soldier / Soldado Ardente</t>
  </si>
  <si>
    <t>Creature — Soldier / Criatura — Soldado</t>
  </si>
  <si>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</si>
  <si>
    <t>Ardent Soldier / Soldado Fervoroso</t>
  </si>
  <si>
    <t>Creature — Human Soldier</t>
  </si>
  <si>
    <t>Kicker {2} (You may pay an additional {2} as you cast this spell.) Vigilance If this creature was kicked, it enters with a +1/+1 counter on it.</t>
  </si>
  <si>
    <t>Ardyn, the Usurper / Ardyn, o Usurpador</t>
  </si>
  <si>
    <t>Criatura Lendária — Ancião Humano Nobre</t>
  </si>
  <si>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</si>
  <si>
    <t>5{B}{B}{B}</t>
  </si>
  <si>
    <t>Área Fortificada / Fortified Area</t>
  </si>
  <si>
    <t>Encantamento / Enchantment</t>
  </si>
  <si>
    <t>Todas as barreiras que você controla ganham +1/+0 e a habilidade de formar bando. / All Walls you control get +1/+0 and gain banding.</t>
  </si>
  <si>
    <t>{1}{W}{W}</t>
  </si>
  <si>
    <t>Arena Trickster / Trapaceiro da Arena</t>
  </si>
  <si>
    <t>Creature — Human Shaman / Criatura — Humano Xamã</t>
  </si>
  <si>
    <t>Whenever you cast your first spell during each opponent's turn, put a +1/+1 counter on this creature. / Toda vez que você conjurar sua primeira mágica durante o turno de cada oponente, coloque um marcador +1/+1 em Trapaceiro da Arena.</t>
  </si>
  <si>
    <t>Arenson's Aura</t>
  </si>
  <si>
    <t>{W}: Sacrifice an enchantment to destroy target enchantment. {3}{U}{U}: Counter target enchantment.</t>
  </si>
  <si>
    <t>Aríete / Battering Ram</t>
  </si>
  <si>
    <t>Forma Bando quando ataca. No fim do combate, destrói qualquer barreira que esteja bloqueando um Aríete. / Bands with artifacts when attacking. At end of combat, destroy all Walls blocking Battering Ram.</t>
  </si>
  <si>
    <t>Armadura Divina / Divine Armor</t>
  </si>
  <si>
    <t>Encantar Criatura</t>
  </si>
  <si>
    <t>A criatura-alvo ganha +0/+2. {W}: A criatura-alvo encantada pela Armadura Divina ganha +0/+1 até o final do turno.</t>
  </si>
  <si>
    <t>Armageddon Clock</t>
  </si>
  <si>
    <t>During your upkeep, put one doom counter on Armageddon Clock. At the end of your upkeep, Armageddon Clock deals X damage to each player, where X is the number of doom counters on Armageddon Clock. During any upkeep, any player may pay {4} to remove a doom counter from Armageddon Clock.</t>
  </si>
  <si>
    <t>Armaggon, Future Shark</t>
  </si>
  <si>
    <t>Legendary Creature — Shark Horror Mutant</t>
  </si>
  <si>
    <t>Flash When Armaggon enters, destroy up to three target creatures.</t>
  </si>
  <si>
    <t>{6}{B}{B}</t>
  </si>
  <si>
    <t>Armament of Nyx / Armamento de Nyx</t>
  </si>
  <si>
    <t>Enchant creature Enchanted creature has double strike as long as it's an enchantment. Otherwise, prevent all damage that would be dealt by enchanted creature. (A creature with double strike deals both first-strike and regular combat damage.) / Encantar criatura A criatura encantada terá golpe duplo enquanto for um encantamento. Do contrário, previna todo o dano que seria causado pela criatura encantada. (Uma criatura com golpe duplo causa tanto o dano de iniciativa quanto o de combate normal.)</t>
  </si>
  <si>
    <t>Armasaur Guide</t>
  </si>
  <si>
    <t>Creature — Dinosaur</t>
  </si>
  <si>
    <t>Vigilance (Attacking doesn't cause this creature to tap.) Whenever you attack with three or more creatures, put a +1/+1 counter on target creature you control.</t>
  </si>
  <si>
    <t>Armor of Faith</t>
  </si>
  <si>
    <t>Encantar Criatura / Enchant Creature</t>
  </si>
  <si>
    <t>Target creature gets +1/+1. {W}: Creature Armor of Faith enchants gets +0/+1 until end of turn.</t>
  </si>
  <si>
    <t>Armorcraft Judge / Jurada de Armoraria</t>
  </si>
  <si>
    <t>Creature — Elf Artificer / Criatura — Elfo Artesão</t>
  </si>
  <si>
    <t>When this creature enters, draw a card for each creature you control with a +1/+1 counter on it. / Quando Jurada de Armoraria entrar no campo de batalha, compre um card para cada criatura que você controla com um marcador +1/+1.</t>
  </si>
  <si>
    <t>Armored Cancrix / Cancrix de Armadura</t>
  </si>
  <si>
    <t>Armored Kincaller / Invocador da Raça Blindado</t>
  </si>
  <si>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</si>
  <si>
    <t>The Lost Caverns of Ixalan (LCI)</t>
  </si>
  <si>
    <t>Armored Skaab / Skaab de Armadura</t>
  </si>
  <si>
    <t>Creature — Zombie Warrior / Criatura — Zumbi Guerreiro</t>
  </si>
  <si>
    <t>When this creature enters, mill four cards. / Quando Skaab de Armadura entrar no campo de batalha, coloque os quatro cards do topo de seu grimório em seu cemitério.</t>
  </si>
  <si>
    <t>Armory Guard / Guarda do Arsenal</t>
  </si>
  <si>
    <t>Creature — Giant Soldier / Criatura — Gigante Soldado</t>
  </si>
  <si>
    <t>This creature has vigilance as long as you control a Gate. / Guarda do Arsenal terá vigilância enquanto você controlar um terreno do tipo Portão.</t>
  </si>
  <si>
    <t>Arnyn, Deathbloom Botanist</t>
  </si>
  <si>
    <t>Legendary Creature — Vampire Druid</t>
  </si>
  <si>
    <t>Deathtouch. Whenever a creature you control with power or toughness 1 or less dies, target opponent loses 2 life and you gain 2 life.</t>
  </si>
  <si>
    <t>SOS</t>
  </si>
  <si>
    <t>Aron, Benalia's Ruin / Aron, Ruína de Benália</t>
  </si>
  <si>
    <t>Legendary Creature — Phyrexian Human / Criatura Lendária — Phyrexiano Humano</t>
  </si>
  <si>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</si>
  <si>
    <t>{W}{W}{B}</t>
  </si>
  <si>
    <t>Arrester's Zeal / Zelo do Encarcerador</t>
  </si>
  <si>
    <t>Target creature gets +2/+2 until end of turn. Addendum — If you cast this spell during your main phase, that creature gains flying until end of turn. / A criatura alvo recebe +2/+2 até o final do turno. Adendo — Se você conjurou esta mágica durante sua fase principal, aquela criatura ganhará voar até o final do turno.</t>
  </si>
  <si>
    <t>Ravnica Remastered (RVR)</t>
  </si>
  <si>
    <t>Arrow Volley Trap / Armadilha de Salva de Flechas</t>
  </si>
  <si>
    <t>Mágica Instantânea — Armadilha</t>
  </si>
  <si>
    <t>Se quatro ou mais criaturas estiverem atacando, você poderá pagar {1}{W} em vez de pagar o custo de mana de Armadilha de Salva de Flechas. Armadilha de Salva de Flechas causa 5 de dano divididos como você escolher entre qualquer número de criaturas atacantes alvo.</t>
  </si>
  <si>
    <t>3WW</t>
  </si>
  <si>
    <t>Artificer's Assistant / Assistente de Artesão</t>
  </si>
  <si>
    <t>Flying Whenever you cast a historic spell, scry 1. (Artifacts, legendaries, and Sagas are historic. To scry 1, look at the top card of your library, then you may put that card on the bottom.) / Voar Toda vez que você conjurar uma mágica histórica, use vidência 1. (Os artefatos, os cards lendários e as Sagas são cards históricos. Para usar vidência 1, olhe o card do topo de seu grimório. Depois, você pode colocar aquele card no fundo de seu grimório.)</t>
  </si>
  <si>
    <t>Artificer's Epiphany / Epifania do Artífice</t>
  </si>
  <si>
    <t>Draw two cards. If you control no artifacts, discard a card. / Compre dois cards. Se você não controlar nenhum artefato, descarte um card.</t>
  </si>
  <si>
    <t>Artimanhas de Saruman / Saruman's Trickery</t>
  </si>
  <si>
    <t>Mágica Instantânea</t>
  </si>
  <si>
    <t>Anule a mágica alvo. Arregimente Orcs 1. (Coloque um marcador +1/+1 em um Exército que você controla. Ele também é um Orc. Se você não controlar um Exército, crie antes uma ficha de criatura Orc Exército preta 0/0.)</t>
  </si>
  <si>
    <t>1{U}{U}</t>
  </si>
  <si>
    <t>Aryel, Knight of Windgrace / Aryel, Cavaleira de Windgrace</t>
  </si>
  <si>
    <t>Legendary Creature — Human Knight / Criatura Lendária — Humano Cavaleiro</t>
  </si>
  <si>
    <t>Vigilance {2}{W}, {T}: Create a 2/2 white Knight creature token with vigilance. {B}, {T}, Tap X untapped Knights you control: Destroy target creature with power X or less. / Vigilância {2}{W}, {T}: Crie uma ficha de criatura branca 2/2 do tipo Cavaleiro com vigilância. {B}, {T}, vire X Cavaleiros desvirados que você controla: Destrua a criatura alvo com poder igual ou inferior a X.</t>
  </si>
  <si>
    <t>{2}{W}{B}</t>
  </si>
  <si>
    <t>Ascendant Dustspeaker / Porta-poeira Ascendente</t>
  </si>
  <si>
    <t>Criatura — Orc Clérigo</t>
  </si>
  <si>
    <t>Voar. Quando esta criatura entrar, coloque um marcador +1/+1 em outra criatura alvo que você controla. No início do combate no seu turno, exile até um card alvo de um cemitério.</t>
  </si>
  <si>
    <t>4{W}</t>
  </si>
  <si>
    <t>Strixhaven: School of Mages (SOS)</t>
  </si>
  <si>
    <t>Ascendant Packleader / Líder de Alcateia em Ascensão</t>
  </si>
  <si>
    <t>Creature — Wolf / Criatura — Lobo</t>
  </si>
  <si>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</si>
  <si>
    <t>Ashe, Princess of Dalmasca / Ashe, Princesa de Dalmasca</t>
  </si>
  <si>
    <t>Criatura Lendária — Humano Rebelde Nobre</t>
  </si>
  <si>
    <t>Sempre que Ashe atacar, olhe os cinco cards do topo de seu grimório. Você pode revelar um card de artefato dentre eles e colocá-lo em sua mão. Coloque o restante no fundo de seu grimório em ordem aleatória.</t>
  </si>
  <si>
    <t>Ashen Ghoul / Carniçal Cinéreo</t>
  </si>
  <si>
    <t>Creature — Zombie</t>
  </si>
  <si>
    <t>Haste {B}: Return this card from your graveyard to the battlefield. Activate only during your upkeep and only if three or more creature cards are above this card.</t>
  </si>
  <si>
    <t>Ashnod's Battle Gear / Armadura de Ashnod</t>
  </si>
  <si>
    <t>You may choose not to untap this artifact during your untap step. {2}, {T}: Target creature you control gets +2/-2 for as long as this artifact remains tapped.</t>
  </si>
  <si>
    <t>Ashnod's Transmogrant / Transmogratificador de Ashnod</t>
  </si>
  <si>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</si>
  <si>
    <t>Chronicles (CHR)</t>
  </si>
  <si>
    <t>Ashroot Animist</t>
  </si>
  <si>
    <t>Creature — Lizard Druid</t>
  </si>
  <si>
    <t>Trample Whenever this creature attacks, another target creature you control gains trample and gets +X/+X until end of turn, where X is this creature's power.</t>
  </si>
  <si>
    <t>{2}{R}{G}</t>
  </si>
  <si>
    <t>Verde, Vermelho</t>
  </si>
  <si>
    <t>Aspect of Gorgon / Aspecto de Górgona</t>
  </si>
  <si>
    <t>Enchant creature Enchanted creature gets +1/+3 and has deathtouch. (Any amount of damage it deals to a creature is enough to destroy it.) / Encantar criatura A criatura encantada recebe +1/+3 e tem toque mortífero. (Qualquer quantidade de dano que aquela criatura cause a uma criatura é suficiente para destruí-la.)</t>
  </si>
  <si>
    <t>Aspect of Lamprey / Aspecto da Lampreia</t>
  </si>
  <si>
    <t>Enchant creature you control When this Aura enters, target opponent discards two cards. Enchanted creature has lifelink. / Encantar criatura que você controla Quando Aspecto da Lampreia entra no campo de batalha, o oponente alvo descarta dois cards. A criatura encantada tem vínculo com a vida.</t>
  </si>
  <si>
    <t>Aspect of Manticore / Aspecto da Mantícora</t>
  </si>
  <si>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</si>
  <si>
    <t>Aspiring Aeronaut / Aeronauta Aspirante</t>
  </si>
  <si>
    <t>Flying (This creature can't be blocked except by creatures with flying or reach.) When this creature enters, create a 1/1 colorless Thopter artifact creature token with flying. / Voar (Esta criatura só pode ser bloqueada por criaturas com voar ou alcance.)Quando Aeronauta Aspirante entrar no campo de batalha, coloque no campo de batalha uma ficha de criatura artefato incolor 1/1 do tipo Tóptero com voar.</t>
  </si>
  <si>
    <t>Assembly-Worker / Operário de Linha de Montagem</t>
  </si>
  <si>
    <t>Artifact Creature — Assembly-Worker / Criatura Artefato — Operário de Linha de Montagem</t>
  </si>
  <si>
    <t>{T}: Target Assembly-Worker creature gets +1/+1 until end of turn. / {T}: A criatura Operário de Linha de Montagem alvo recebe +1/+1 até o final do turno.</t>
  </si>
  <si>
    <t>Assert Perfection</t>
  </si>
  <si>
    <t>Target creature you control gets +1/+0 until end of turn. It deals damage equal to its power to up to one target creature an opponent controls.</t>
  </si>
  <si>
    <t>Assistente de Oficina / Workshop Assistant</t>
  </si>
  <si>
    <t>Artifact Creature — Construct / Criatura Artefato — Constructo</t>
  </si>
  <si>
    <t>When Workshop Assistant dies, return another target artifact card from your graveyard to your hand. / Quando Assistente de Oficina morrer, devolva outro card de artefato alvo de seu cemitério para sua mão.</t>
  </si>
  <si>
    <t>Astral Confrontation / Confronto Astral</t>
  </si>
  <si>
    <t>This spell costs {1} less to cast for each opponent you're attacking. Exile target creature. / Esta mágica custa {1} a menos para ser conjurada para cada oponente que você esteja atacando. Exile a criatura alvo.</t>
  </si>
  <si>
    <t>Commander Legends: Battle for Baldur's Gate (CLB)</t>
  </si>
  <si>
    <t>Astral Wingspan / Envergadura Astral</t>
  </si>
  <si>
    <t>Convoke (Your creatures can help cast this spell. Each creature you tap while casting this spell pays for {1} or one mana of that creature's color.) Enchant creature When this Aura enters, draw a card. Enchanted creature gets +2/+2 and has flying. / Convocar (Suas criaturas podem ajudar a conjurar esta mágica. Cada criatura que você vira ao conjurar esta mágica paga {1} ou um mana da cor daquela criatura.) Encantar criatura Quando Envergadura Astral entrar no campo de batalha, compre um card. A criatura encantada recebe +2/+2 e tem voar.</t>
  </si>
  <si>
    <t>March of the Machine (MOM)</t>
  </si>
  <si>
    <t>Astrologian's Planisphere / Planisfério do Astrólogo</t>
  </si>
  <si>
    <t>Artefato — Equipamento</t>
  </si>
  <si>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</si>
  <si>
    <t>1{U}</t>
  </si>
  <si>
    <t>Athreos, God of Passage / Athreos, Deus da Passagem</t>
  </si>
  <si>
    <t>Criatura Encantamento Lendária — Deus</t>
  </si>
  <si>
    <t>Mítica</t>
  </si>
  <si>
    <t>Indestrutível Enquanto sua devoção ao branco e ao preto for menor que sete, Athreos não será uma criatura. Toda vez que outra criatura que você controla morrer, devolva aquele card para sua mão, a menos que o oponente alvo pague 3 vidas.</t>
  </si>
  <si>
    <t>1WB</t>
  </si>
  <si>
    <t>Multicolorido</t>
  </si>
  <si>
    <t>Atlantean Cavalry</t>
  </si>
  <si>
    <t>Creature — Merfolk Soldier</t>
  </si>
  <si>
    <t>Vigilance Whenever you draw your second card each turn, put a +1/+1 counter on this creature.</t>
  </si>
  <si>
    <t>Atlantis Attacks / Ataque de Atlântida</t>
  </si>
  <si>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</si>
  <si>
    <t>5{U}{U}</t>
  </si>
  <si>
    <t>Atog / Atogue</t>
  </si>
  <si>
    <t>Creature — Atog / Criatura — Atogue</t>
  </si>
  <si>
    <t>Sacrifice an artifact: This creature gets +2/+2 until end of turn. / Sacrifique um artefato: Atogue recebe +2/+2 até o final do turno.</t>
  </si>
  <si>
    <t>Attune with Aether / Harmonizar-se com o Éter</t>
  </si>
  <si>
    <t>Search your library for a basic land card, reveal it, put it into your hand, then shuffle. You get {E}{E} (two energy counters). / Procure um card de terreno básico em seu grimório, revele-o, coloque-o em sua mão e, depois, embaralhe seu grimório. Você recebe {E}{E} (dois marcadores de energia).</t>
  </si>
  <si>
    <t>Atzocan Seer / Vidente de Atzocan</t>
  </si>
  <si>
    <t>Creature — Human Druid / Criatura — Humano Druida</t>
  </si>
  <si>
    <t>{T}: Add one mana of any color. Sacrifice this creature: Return target Dinosaur card from your graveyard to your hand. / {T}: Adicione um mana de qualquer cor à sua reserva de mana. Sacrifique Vidente de Atzocan: Devolva o card de Dinossauro alvo de seu cemitério para a sua mão.</t>
  </si>
  <si>
    <t>{1}{G}{W}</t>
  </si>
  <si>
    <t>Verde, Branco</t>
  </si>
  <si>
    <t>Rivals of Ixalan (RIX)</t>
  </si>
  <si>
    <t>Audacious Infiltrator / Infiltrador Audacioso</t>
  </si>
  <si>
    <t>Creature — Dwarf Rogue / Criatura — Anão Ladino</t>
  </si>
  <si>
    <t>This creature can't be blocked by artifact creatures. / Infiltrador Audacioso não pode ser bloqueado por criaturas artefato.</t>
  </si>
  <si>
    <t>Augury Raven / Corvo do Augúrio</t>
  </si>
  <si>
    <t>Flying Foretell {1}{U} (During your turn, you may pay {2} and exile this card from your hand face down. Cast it on a later turn for its foretell cost.) / Voar Profetizar {1}{U} (Durante o seu turno, você pode pagar {2} e exilar este card de sua mão voltado para baixo. Conjure-o em um turno posterior pagando seu custo de profetizar.)</t>
  </si>
  <si>
    <t>Kaldheim (KHM)</t>
  </si>
  <si>
    <t>Auntie's Sentence</t>
  </si>
  <si>
    <t>Choose one — Target opponent reveals their hand. You choose a nonland permanent card from it. That player discards that card. Target creature gets -2/-2 until end of turn.</t>
  </si>
  <si>
    <t>Auramancer / Auramante</t>
  </si>
  <si>
    <t>When this creature enters, you may return target enchantment card from your graveyard to your hand. / Quando Auramante entra no campo de batalha, você pode devolver o card de encantamento alvo de seu cemitério para sua mão.</t>
  </si>
  <si>
    <t>Auron's Inspiration / Inspiração de Auron</t>
  </si>
  <si>
    <t>As criaturas atacantes recebem +2/+0 até o final do turno. Recapitular {2}{W}{W} (Você pode conjurar este card de seu cemitério pagando seu custo de recapitular. Depois, exile-o.)</t>
  </si>
  <si>
    <t>Automontante / Self-Assembler</t>
  </si>
  <si>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</si>
  <si>
    <t>{5}</t>
  </si>
  <si>
    <t>Autorreplicante de Mishra / Mishra's Self-Replicator</t>
  </si>
  <si>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</si>
  <si>
    <t>Avacynian Priest / Sacerdote Avacyniano</t>
  </si>
  <si>
    <t>{1}, {T}: Tap target non-Human creature. / {1}, {T}: Vire a criatura alvo que não seja do tipo Humano.</t>
  </si>
  <si>
    <t>Avalanche</t>
  </si>
  <si>
    <t>Destroy X target snow lands.</t>
  </si>
  <si>
    <t>{X}{2}{R}{R}</t>
  </si>
  <si>
    <t>Avatar Enthusiasts</t>
  </si>
  <si>
    <t>Creature — Human Peasant Ally</t>
  </si>
  <si>
    <t>Whenever another Ally you control enters, put a +1/+1 counter on this creature.</t>
  </si>
  <si>
    <t>Avatar of Hope / Avatar da Esperança</t>
  </si>
  <si>
    <t>Creature — Avatar</t>
  </si>
  <si>
    <t>Flying. If you have 3 life or less, Avatar of Hope costs {6} less to play. Avatar of Hope may block any number of creatures.</t>
  </si>
  <si>
    <t>White</t>
  </si>
  <si>
    <t>Aven Battle Priest / Sacerdote de Batalha Aviano</t>
  </si>
  <si>
    <t>Creature — Bird Cleric / Criatura — Ave Clérigo</t>
  </si>
  <si>
    <t>Flying (This creature can't be blocked except by creatures with flying or reach.) When this creature enters, you gain 3 life. / Voar (Esta criatura só pode ser bloqueada por criaturas com voar ou alcance.)Quando Sacerdote de Batalha Aviano entra no campo de batalha, você ganha 3 pontos de vida.</t>
  </si>
  <si>
    <t>Aven Fisher / Pescador Aviano</t>
  </si>
  <si>
    <t>Creature — Bird Soldier / Criatura — Ave Soldado</t>
  </si>
  <si>
    <t>Flying (This creature can't be blocked except by creatures with flying or reach.) When this creature dies, you may draw a card. / Voar (Esta criatura só pode ser bloqueada por criaturas com a habilidade de voar ou alcance.) Quando Pescador Aviano é colocado num cemitério vindo de jogo, você pode comprar um card.</t>
  </si>
  <si>
    <t>Odyssey (ODY)</t>
  </si>
  <si>
    <t>Aven Fleetwing / Asa-veloz Aviano</t>
  </si>
  <si>
    <t>Flying Hexproof (This creature can't be the target of spells or abilities your opponents control.) / Voar Resistência à magia (Esta criatura alvo não pode ser alvo de mágicas nem de habilidades que seus oponentes controlam.)</t>
  </si>
  <si>
    <t>Magic 2012 (M12)</t>
  </si>
  <si>
    <t>Aven Initiate / Iniciado Aviano</t>
  </si>
  <si>
    <t>Creature — Bird Warrior / Criatura — Ave Guerreiro</t>
  </si>
  <si>
    <t>Flying Embalm {6}{U} ({6}{U}, Exile this card from your graveyard: Create a token that's a copy of it, except it's a white Zombie Bird Warrior with no mana cost. Embalm only as a sorcery.) / Voar Embalsamar {6}{U} ({6}{U}, Exile este card de seu cemitério: Crie uma ficha que seja uma cópia dele, com a exceção de ser um Zumbi Ave Guerreiro branco sem custo de mana. Embalsame somente como um feitiço.)</t>
  </si>
  <si>
    <t>Aven of Enduring Hope / Aviana da Esperança Duradoura</t>
  </si>
  <si>
    <t>Flying When this creature enters, you gain 3 life. / Voar Quando Aviana da Esperança Duradoura entra no campo de batalha, você ganha 3 pontos de vida.</t>
  </si>
  <si>
    <t>Aven Reedstalker / Espreitadora dos Juncos Aviana</t>
  </si>
  <si>
    <t>Flash Flying / Lampejo Voar</t>
  </si>
  <si>
    <t>Aven Tactician / Estrategista Aviano</t>
  </si>
  <si>
    <t>Flying When this creature enters, bolster 1. (Choose a creature with the least toughness among creatures you control and put a +1/+1 counter on it.) / Voar Quando Estrategista Aviano entrar no campo de batalha, revigore 1. (Escolha uma criatura com a menor resistência entre as que você controla e coloque um marcador +1/+1 nela.)</t>
  </si>
  <si>
    <t>Aven Windreader / Leitor dos Ventos Aviano</t>
  </si>
  <si>
    <t>Creature — Bird Soldier Wizard / Criatura — Mago Soldado Pássaro</t>
  </si>
  <si>
    <t>Flying (This creature can't be blocked except by creatures with flying or reach.) {1}{U}: Target player reveals the top card of their library. / Voar (Esta criatura só pode ser bloqueada por criaturas com a habilidade de voar.) {1}{U}: O jogador alvo revela o card do topo de seu próprio grimório.</t>
  </si>
  <si>
    <t>Avian Changeling / Morfolóide Áleo</t>
  </si>
  <si>
    <t>Creature — Shapeshifter / Criatura — Metamorfo</t>
  </si>
  <si>
    <t>Changeling (This card is every creature type.) Flying / Morfolóide (Este card é de todos os tipos de criatura sempre.) Voar</t>
  </si>
  <si>
    <t>Avid Reclaimer / Reivindicadora Ávida</t>
  </si>
  <si>
    <t>{T}: Add {G} or {U}. If you control a Nissa planeswalker, you gain 2 life. / {T}: Adicione {G} ou {U} à sua reserva de mana. Se você controla uma planeswalker Nissa, você ganha 2 pontos de vida.</t>
  </si>
  <si>
    <t>Awaken the Bear / Despertar o Urso</t>
  </si>
  <si>
    <t>Target creature gets +3/+3 and gains trample until end of turn. / A criatura alvo recebe +3/+3 e ganha atropelar até o final do turno.</t>
  </si>
  <si>
    <t>Awakened Amalgam / Despertadora das Forças Selvagens</t>
  </si>
  <si>
    <t>Creature — Merfolk Shaman / Criatura — Tritão Xamã</t>
  </si>
  <si>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</si>
  <si>
    <t>{2}{G}{G}</t>
  </si>
  <si>
    <t>Axebane Beast / Fera de Danação dos Machados</t>
  </si>
  <si>
    <t>Axebane Stag / Cervo de Danação dos Machados</t>
  </si>
  <si>
    <t>Creature — Elk / Criatura — Alce</t>
  </si>
  <si>
    <t>{6}{G}</t>
  </si>
  <si>
    <t>Axgard Cavalry / Cavalaria de Axgard</t>
  </si>
  <si>
    <t>Creature — Dwarf Berserker / Criatura — Anão Amoque</t>
  </si>
  <si>
    <t>{T}: Target creature gains haste until end of turn. (It can attack and {T} this turn.) / {T}: A criatura alvo ganha ímpeto até o final do turno.</t>
  </si>
  <si>
    <t>Ayesha Tanaka</t>
  </si>
  <si>
    <t>Summon Legend</t>
  </si>
  <si>
    <t>Banding. {T}: Counter target artifact effect requiring an activation cost, unless the artifact's controller pays {W}. Play this ability as an interrupt.</t>
  </si>
  <si>
    <t>{W}{W}{U}{U}</t>
  </si>
  <si>
    <t>Branco e Azul</t>
  </si>
  <si>
    <t>Aysen Bureaucrats / Burocratas de Aysen</t>
  </si>
  <si>
    <t>Creature — Human Advisor</t>
  </si>
  <si>
    <t>{T}: Tap target creature with power 2 or less.</t>
  </si>
  <si>
    <t>Aysen Crusader</t>
  </si>
  <si>
    <t>Criatura — Cruzado / Summon Crusader</t>
  </si>
  <si>
    <t>Aysen Crusader has power and toughness each equal to 2 plus the number of Heroes you control.</t>
  </si>
  <si>
    <t>2+*/2+*</t>
  </si>
  <si>
    <t>Azorius Arrester / Encarceradora Azorius</t>
  </si>
  <si>
    <t>When this creature enters, detain target creature an opponent controls. (Until your next turn, that creature can't attack or block and its activated abilities can't be activated.) / Quando Encarceradora Azorius entrar no campo de batalha, detenha a criatura alvo que um oponente controla. (Até o seu próximo turno, aquela criatura não pode atacar nem bloquear e as habilidades ativadas dela não podem ser ativadas.)</t>
  </si>
  <si>
    <t>Azorius Guildgate / Portão da Guilda Azorius</t>
  </si>
  <si>
    <t>Land — Gate / Terreno — Portão</t>
  </si>
  <si>
    <t>This land enters tapped. {T}: Add {W} or {U}. / Portão da Guilda Azorius entra no campo de batalha virado. {T}: Adicione {W} ou {U}.</t>
  </si>
  <si>
    <t>Azorius Justiciar / Justiciar Azorius</t>
  </si>
  <si>
    <t>When this creature enters, detain up to two target creatures your opponents control. (Until your next turn, those creatures can't attack or block and their activated abilities can't be activated.) / Quando Justiciar Azorius entrar no campo de batalha, detenha até duas criaturas alvo que seus oponentes controlem. (Até seu próximo turno, aquelas criaturas não podem atacar nem bloquear e as habilidades ativadas delas não podem ser ativadas.)</t>
  </si>
  <si>
    <t>Azorius Skyguard / Guardião Alado Azorius</t>
  </si>
  <si>
    <t>Flying, first strike Creatures your opponents control get -1/-0. / Voar, iniciativa As criaturas que seus oponentes controlam recebem -1/-0.</t>
  </si>
  <si>
    <t>{4}{W}{U}</t>
  </si>
  <si>
    <t>Azula Always Lies</t>
  </si>
  <si>
    <t>Choose one or both — • Target creature gets -1/-1 until end of turn. • Put a +1/+1 counter on target creature.</t>
  </si>
  <si>
    <t>Azula, Cunning Usurper</t>
  </si>
  <si>
    <t>Legendary Creature — Human Noble Rogue</t>
  </si>
  <si>
    <t>Firebending 2 (Whenever this creature attacks, add {R}{R}. This mana lasts until end of combat.) When Azula enters, target opponent exiles a nontoken creature they control, then they exile a nonland card from their graveyard. During your turn, you may cast cards exiled with Azula and you may cast them as though they had flash. Mana of any type can be spent to cast those spells.</t>
  </si>
  <si>
    <t>{2}{U}{B}{B}</t>
  </si>
  <si>
    <t>Azure Drake / Dragonete Lazur</t>
  </si>
  <si>
    <t>Flying / Voar</t>
  </si>
  <si>
    <t>Backup Agent / Agente de Reforço</t>
  </si>
  <si>
    <t>Creature — Human Citizen / Criatura — Humano Cidadão</t>
  </si>
  <si>
    <t>When this creature enters, put a +1/+1 counter on target creature. / Quando Agente de Reforço entrar no campo de batalha, coloque um marcador +1/+1 na criatura alvo.</t>
  </si>
  <si>
    <t>Streets of New Capenna (SNC)</t>
  </si>
  <si>
    <t>Badgermole</t>
  </si>
  <si>
    <t>Creature — Badger Mole</t>
  </si>
  <si>
    <t>When this creature enters, earthbend 2. (Target land you control becomes a 0/0 creature with haste that's still a land. Put two +1/+1 counters on it. When it dies or is exiled, return it to the battlefield tapped.) Creatures you control with +1/+1 counters on them have trample.</t>
  </si>
  <si>
    <t>Baird, Argivian Recruiter / Baird, Recrutador Argiviano</t>
  </si>
  <si>
    <t>Legendary Creature — Human Soldier / Criatura Lendária — Humano Soldado</t>
  </si>
  <si>
    <t>At the beginning of your end step, if you control a creature with power greater than its base power, create a 1/1 white Soldier creature token. / No início de sua etapa final, se você controlar uma criatura com poder maior que o próprio poder básico, crie uma ficha de criatura Soldado branca 1/1.</t>
  </si>
  <si>
    <t>{R}{W}</t>
  </si>
  <si>
    <t>Vermelho, Branco</t>
  </si>
  <si>
    <t>Baird, Steward of Argive / Baird, Guardião do Argivo</t>
  </si>
  <si>
    <t>Vigilance Creatures can't attack you or planeswalkers you control unless their controller pays {1} for each of those creatures. / Vigilância As criaturas não podem atacar você nem um planeswalker que você controla, a menos que seu controlador pague {1} para cada uma daquelas criaturas.</t>
  </si>
  <si>
    <t>Bake into a Pie / Enfornar na Torta</t>
  </si>
  <si>
    <t>Destroy target creature. Create a Food token. (It's an artifact with "{2}, {T}, Sacrifice this token: You gain 3 life.") / Destrua a criatura alvo. Crie uma ficha de Comida. (Ela é um artefato com "{2}, {T}, sacrifique este artefato: Você ganha 3 pontos de vida.")</t>
  </si>
  <si>
    <t>Bakersbane Duo</t>
  </si>
  <si>
    <t>Creature — Squirrel Raccoon</t>
  </si>
  <si>
    <t>When this creature enters, create a Food token. Whenever you expend 4, this creature gets +1/+1 until end of turn. (You expend 4 as you spend your fourth total mana to cast spells during a turn.)</t>
  </si>
  <si>
    <t>Bloomburrow (BLB)</t>
  </si>
  <si>
    <t>Balamb T-Rexaur / T-Rexaur de Balamb</t>
  </si>
  <si>
    <t>Criatura — Dinossauro</t>
  </si>
  <si>
    <t>Atropelar. Quando esta criatura entrar, você ganha 3 de vida. Reciclar Floresta {2} ({2}, Descarte este card: Procure em seu grimório por um card de Floresta, revele-o, coloque-o em sua mão e depois embaralhe.)</t>
  </si>
  <si>
    <t>4{G}{G}</t>
  </si>
  <si>
    <t>Balduvian Barbarians / Bárbaros Balduvianos</t>
  </si>
  <si>
    <t>Creature — Human Barbarian / Criatura — Bárbaro Humano</t>
  </si>
  <si>
    <t>{1}{R}{R}</t>
  </si>
  <si>
    <t>Balduvian Horde / Horda Balduviana</t>
  </si>
  <si>
    <t>Creature — Human Barbarian</t>
  </si>
  <si>
    <t>When this creature enters, sacrifice it unless you discard a card at random.</t>
  </si>
  <si>
    <t>{2}{R}{R}</t>
  </si>
  <si>
    <t>Baleful Eidolon / Eidolon Odioso</t>
  </si>
  <si>
    <t>Enchantment Creature — Spirit / Criatura Encantamento — Espírito</t>
  </si>
  <si>
    <t>Bestow {4}{B} (If you cast this card for its bestow cost, it's an Aura spell with enchant creature. It becomes a creature again if it's not attached.) Deathtouch (Any amount of damage this deals to a creature is enough to destroy it.) Enchanted creature gets +1/+1 and has deathtouch. / Agraciar {4}{B} (Se você conjurar este card pagando seu custo de agraciar, ele será uma mágica de Aura com encantar criatura. Ele se tornará novamente uma criatura se não estiver anexado a uma criatura.) Toque mortífero (Qualquer quantidade de dano que esta criatura cause a uma criatura é suficiente para destruí-la.) A criatura encantada recebe +1/+1 e tem toque mortífero.</t>
  </si>
  <si>
    <t>Balemurk Leech</t>
  </si>
  <si>
    <t>Creature — Leech</t>
  </si>
  <si>
    <t>Eerie — Whenever an enchantment you control enters and whenever you fully unlock a Room, each opponent loses 1 life.</t>
  </si>
  <si>
    <t>Ballista Charger / Balista de Ataque</t>
  </si>
  <si>
    <t>Artifact — Vehicle / Artefato — Veículo</t>
  </si>
  <si>
    <t>Whenever this Vehicle attacks, it deals 1 damage to any target. Crew 3 (Tap any number of creatures you control with total power 3 or more: This Vehicle becomes an artifact creature until end of turn.) / Toda vez que Balista de Ataque ataca, ela causa 1 ponto de dano à criatura ou ao jogador alvo. Tripular 3 (Vire qualquer número de criaturas que você controla com total de poder igual ou superior a 3: Este Veículo se torna uma criatura artefato até o final do turno.)</t>
  </si>
  <si>
    <t>Ballista Squad / Esquadrão de Balista</t>
  </si>
  <si>
    <t>Creature — Rebel / Criatura — Rebelde</t>
  </si>
  <si>
    <t>{X}{W}, {T}: Ballista Squad deals X damage to target attacking or blocking creature. / {X}{W}, {T}: Esquadrão de Balista causa X pontos de dano à criatura atacante ou bloqueadora alvo.</t>
  </si>
  <si>
    <t>Mercadian Masques (MMQ)</t>
  </si>
  <si>
    <t>Baloth Gorger / Devorador Baloth</t>
  </si>
  <si>
    <t>Kicker {4} (You may pay an additional {4} as you cast this spell.) If this creature was kicked, it enters with three +1/+1 counters on it. / Reforçar {4} (Você pode pagar um custo adicional de {4} ao conjurar esta mágica.) Se Devorador Baloth foi reforçado, ele entra no campo de batalha com três marcadores +1/+1.</t>
  </si>
  <si>
    <t>Bálsamo Restaurador / Healing Salve</t>
  </si>
  <si>
    <t>Dá 3 pontos de vida ao jogador-alvo ou evita até 3 pontos de dano em qualquer jogador ou criatura.</t>
  </si>
  <si>
    <t>Balthier and Fran / Balthier e Fran</t>
  </si>
  <si>
    <t>Criatura Lendária — Humano Coelho</t>
  </si>
  <si>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</si>
  <si>
    <t>1{V/R}</t>
  </si>
  <si>
    <t>Vermelho e verde</t>
  </si>
  <si>
    <t>Balustrade Spy / Espião de Balaustrada</t>
  </si>
  <si>
    <t>Creature — Vampire Rogue / Criatura — Vampiro Ladino</t>
  </si>
  <si>
    <t>Flying When this creature enters, target player reveals cards from the top of their library until they reveal a land card, then puts those cards into their graveyard. / VoarQuando Espião de Balaustrada entra no campo de batalha, o jogador alvo revela cards do topo do próprio grimório até revelar um card de terreno. Depois, ele coloca aqueles cards no próprio cemitério.</t>
  </si>
  <si>
    <t>Bane Alley Broker / Negociante do Beco da Ruína</t>
  </si>
  <si>
    <t>Creature — Human Rogue / Criatura — Humano Ladino</t>
  </si>
  <si>
    <t>{T}: Draw a card, then exile a card from your hand face down. You may look at cards exiled with this creature. {U}{B}, {T}: Return a card exiled with this creature to its owner's hand. / {T}: Compre um card e depois exile um card de sua mão com a face voltada para baixo.Você pode olhar os cards exilados com Negociante do Beco da Ruína.{U}{B}, {T}: Devolva um card exilado com Negociante do Beco da Ruína para a mão de seu dono.</t>
  </si>
  <si>
    <t>{1}{U}{B}</t>
  </si>
  <si>
    <t>0/3</t>
  </si>
  <si>
    <t>Banefire / Fogo do Flagelo</t>
  </si>
  <si>
    <t>Fogo do Flagelo causa X de dano à criatura ou ao jogador alvo. Se X for igual ou superior a 5, Fogo do Flagelo não pode ser anulado por mágicas ou habilidades e o dano não pode ser prevenido.</t>
  </si>
  <si>
    <t>XR</t>
  </si>
  <si>
    <t>Banishing Light / Luz Banidora</t>
  </si>
  <si>
    <t>When this enchantment enters, exile target nonland permanent an opponent controls until this enchantment leaves the battlefield. / Quando Luz Banidora entrar no campo de batalha, exile a permanente alvo que não seja terreno que um oponente controla até que Luz Banidora deixe o campo de batalha. (Aquela permanente retorna sob o controle de seu dono.)</t>
  </si>
  <si>
    <t>Encantamento</t>
  </si>
  <si>
    <t>Quando este encantamento entrar, exile a permanente não de terreno alvo que um oponente controla até que este encantamento deixe o campo de batalha.</t>
  </si>
  <si>
    <t>Edge of Eternity</t>
  </si>
  <si>
    <t>Bankrupt in Blood / Falir em Sangue</t>
  </si>
  <si>
    <t>As an additional cost to cast this spell, sacrifice two creatures. Draw three cards. / Como custo adicional para conjurar esta mágica, sacrifique duas criaturas. Compre três cards.</t>
  </si>
  <si>
    <t>Barbarian Guides / Guias Bárbaros</t>
  </si>
  <si>
    <t>{2}{R}, {T}: Choose a land type. Target creature you control gains snow landwalk of the chosen type until end of turn. Return that creature to its owner's hand at the beginning of the next end step. (It can't be blocked as long as defending player controls a snow land of that type.)</t>
  </si>
  <si>
    <t>Barbed Batterfist / Punho Batedor Farpado</t>
  </si>
  <si>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</si>
  <si>
    <t>Phyrexia: All Will Be One (ONE)</t>
  </si>
  <si>
    <t>Barbed Bloodletter</t>
  </si>
  <si>
    <t>Artifact — Equipment</t>
  </si>
  <si>
    <t>Flash. When this Equipment enters, attach it to target creature you control. That creature gains wither until end of turn. (It deals damage to creatures in the form of -1/-1 counters.) Equipped creature gets +1/+2. Equip {2}</t>
  </si>
  <si>
    <t>Barbed Sextant / Sextante Farpado</t>
  </si>
  <si>
    <t>{1}, {T}, Sacrifice this artifact: Add one mana of any color. Draw a card at the beginning of the next turn's upkeep.</t>
  </si>
  <si>
    <t>Barbed Sextant / Sextante farpado</t>
  </si>
  <si>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</si>
  <si>
    <t>Bard's Bow / Arco do Bardo</t>
  </si>
  <si>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</si>
  <si>
    <t>Bark of Doran</t>
  </si>
  <si>
    <t>Equipped creature gets +0/+1. As long as equipped creature's toughness is greater than its power, it assigns combat damage equal to its toughness rather than its power. Equip {1} ({1}: Attach to target creature you control. Equip only as a sorcery.)</t>
  </si>
  <si>
    <t>Baron Strucker, HYDRA Overlord</t>
  </si>
  <si>
    <t>Legendary Creature — Human Villain</t>
  </si>
  <si>
    <t>Villain spells you cast cost {1} less to cast. Whenever another Villain you control enters, you may have it connive. Do this only once each turn. (Draw a card, then discard a card. If you discarded a nonland card, put a +1/+1 counter on that creature.)</t>
  </si>
  <si>
    <t>Baron Strucker, HYDRA Overlord / Barão Strucker, Soberano da HIDRA</t>
  </si>
  <si>
    <t>Criatura Lendária — Humano Vilão</t>
  </si>
  <si>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</si>
  <si>
    <t>Baron, Airship Kingdom / Baron, Reino dos Navios Voladores</t>
  </si>
  <si>
    <t>Este terreno entra virado. {T}: Adicione {U} ou {R}.</t>
  </si>
  <si>
    <t>Barreira de Espadas / Wall of Swords</t>
  </si>
  <si>
    <t>Invocação de Barreira / Summon Wall</t>
  </si>
  <si>
    <t>Voador / Flying</t>
  </si>
  <si>
    <t>Barren Moor</t>
  </si>
  <si>
    <t>Terreno / Land</t>
  </si>
  <si>
    <t>Barren Moor comes into play tapped. {T}: Add {B} to your mana pool. Cycling {B} ({B}, Discard this card from your hand: Draw a card.)</t>
  </si>
  <si>
    <t>N/A</t>
  </si>
  <si>
    <t>Barret Wallace / Barret Wallace</t>
  </si>
  <si>
    <t>Criatura Lendária — Humano Rebelde</t>
  </si>
  <si>
    <t>Alcance. Sempre que Barret Wallace atacar, ele causa dano igual ao número de criaturas equipadas que você controla ao jogador defensor.</t>
  </si>
  <si>
    <t>3R</t>
  </si>
  <si>
    <t>Barrier of Bones / Muralha de Ossos</t>
  </si>
  <si>
    <t>Creature — Skeleton Wall / Criatura — Esqueleto Barreira</t>
  </si>
  <si>
    <t>Defender When this creature enters, surveil 1. (Look at the top card of your library. You may put that card into your graveyard.) / Defensor Quando Muralha de Ossos entrar no campo de batalha, use vigiar 1. (Olhe o card do topo de seu grimório. Você pode colocar aquele card em seu cemitério.)</t>
  </si>
  <si>
    <t>Guilds of Ravnica (GRN)</t>
  </si>
  <si>
    <t>Bartz and Boko / Bartz e Boko</t>
  </si>
  <si>
    <t>Criatura Lendária — Humano Ave</t>
  </si>
  <si>
    <t>Afinidade com Aves (Esta mágica custa {1} a menos para ser conjurada para cada Ave que você controla.) Quando Bartz e Boko entrar, cada outra Ave que você controla causa dano igual ao próprio poder à criatura alvo que um oponente controla.</t>
  </si>
  <si>
    <t>3{G}{G}</t>
  </si>
  <si>
    <t>Basal Thrull</t>
  </si>
  <si>
    <t>Creature — Thrull</t>
  </si>
  <si>
    <t>{T}, Sacrifice this creature: Add {B}{B}.</t>
  </si>
  <si>
    <t>{B}{B}</t>
  </si>
  <si>
    <t>Basilica Screecher / Sibilador da Basílica</t>
  </si>
  <si>
    <t>Creature — Bat / Criatura — Morcego</t>
  </si>
  <si>
    <t>Flying Extort (Whenever you cast a spell, you may pay {W/B}. If you do, each opponent loses 1 life and you gain that much life.) / VoarExtorquir (Toda vez que você conjurar uma mágica, poderá pagar {W/B}. Se fizer isso, cada oponente perderá 1 ponto de vida e você ganhará uma quantidade equivalente de pontos de vida.)</t>
  </si>
  <si>
    <t>Bassara Tower Archer / Arqueiro da Torre de Bassara</t>
  </si>
  <si>
    <t>Hexproof, reach / Resistência a magia, alcance</t>
  </si>
  <si>
    <t>{G}{G}</t>
  </si>
  <si>
    <t>Bastion Enforcer / Impositora do Bastião</t>
  </si>
  <si>
    <t>Creature — Dwarf Soldier / Criatura — Anão Soldado</t>
  </si>
  <si>
    <t>Bathe in Dragonfire / Imergir em Fogo Dragônico</t>
  </si>
  <si>
    <t>Bathe in Dragonfire deals 4 damage to target creature. / Imergir em Fogo Dragônico causa 4 pontos de dano à criatura alvo.</t>
  </si>
  <si>
    <t>Baton of Morale / Bastão de Moral</t>
  </si>
  <si>
    <t>{2}: Target creature gains banding until end of turn.</t>
  </si>
  <si>
    <t>Battering Ram / Aríete</t>
  </si>
  <si>
    <t>Artifact Creature</t>
  </si>
  <si>
    <t>Banding when attacking. At the end of combat, destroy all walls blocking Battering Ram.</t>
  </si>
  <si>
    <t>Battle at the Big Bridge // Fatal Push / Batalha na Grande Ponte // Empurrão Fatal</t>
  </si>
  <si>
    <t>Destrua a criatura alvo se ela tiver valor de mana igual ou inferior a 2. Revolta — Em vez disso, destrua aquela criatura se ela tiver valor de mana igual ou inferior a 4 se uma permanente que você controlava tiver deixado o campo de batalha neste turno.</t>
  </si>
  <si>
    <t>Battle Cry</t>
  </si>
  <si>
    <t>Untap all white creatures you control. Any creature that blocks this turn gets +0/+1 until end of turn.</t>
  </si>
  <si>
    <t>Battle Cry Goblin / Goblin do Grito de Guerra</t>
  </si>
  <si>
    <t>Creature — Goblin / Criatura — Goblin</t>
  </si>
  <si>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</si>
  <si>
    <t>Dungeons &amp; Dragons: Adventures in the Forgotten Realms (AFR)</t>
  </si>
  <si>
    <t>Battle Frenzy / Frenesi de Batalha</t>
  </si>
  <si>
    <t>Green creatures you control get +1/+1 until end of turn. Nongreen creatures you control get +1/+0 until end of turn.</t>
  </si>
  <si>
    <t>Battle Menu / Menu de Batalha</t>
  </si>
  <si>
    <t>Escolha um — • Attack — Crie uma ficha de criatura Cavaleiro branca 2/2. • Ability — A criatura alvo recebe +0/+4 até o final do turno. • Magic — Destrua a criatura alvo com poder igual ou superior a 4. • Item — Você ganha 4 de vida.</t>
  </si>
  <si>
    <t>Battle Plan / Plano de Batalha</t>
  </si>
  <si>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</si>
  <si>
    <t>Battle-Rage Blessing / Bênção da Fúria de Batalha</t>
  </si>
  <si>
    <t>Target creature gains deathtouch and indestructible until end of turn. (Damage and effects that say "destroy" don't destroy it.) / A criatura alvo ganha toque mortífero e indestrutível até o final do turno. (O dano e os efeitos que dizem "destrua" não a destroem.)</t>
  </si>
  <si>
    <t>Battlefield Promotion / Promoção em Campo</t>
  </si>
  <si>
    <t>Put a +1/+1 counter on target creature. That creature gains first strike until end of turn. You gain 2 life. (A creature with first strike deals combat damage before creatures without first strike.) / Coloque um marcador +1/+1 na criatura alvo. Aquela criatura ganha iniciativa até o final do turno. Você ganha 2 pontos de vida.</t>
  </si>
  <si>
    <t>Battlefield Thaumaturge / Taumaturgo da Batalha</t>
  </si>
  <si>
    <t>Criatura — Humano Mago</t>
  </si>
  <si>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</si>
  <si>
    <t>1U</t>
  </si>
  <si>
    <t>Battleground Geist / Geist do Campo de Batalha</t>
  </si>
  <si>
    <t>Flying Other Spirit creatures you control get +1/+0. / Voar As outras criaturas do tipo Espírito que você controla recebem +1/+0.</t>
  </si>
  <si>
    <t>Battlewise Hoplite / Hoplita Belisábio</t>
  </si>
  <si>
    <t>Heroic — Whenever you cast a spell that targets this creature, put a +1/+1 counter on this creature, then scry 1. (To scry 1, look at the top card of your library, then you may put that card on the bottom.) / Heroico — Toda vez que você conjurar uma mágica cujo alvo seja Hoplita Belisábio, coloque um marcador +1/+1 em Hoplita Belisábio. Depois, use vidência 1. (Para usar vidência 1, olhe o card do topo de seu grimório. Depois, você pode colocar aquele card no fundo de seu grimório.)</t>
  </si>
  <si>
    <t>{W}{U}</t>
  </si>
  <si>
    <t>Explorer Anthology 1 (EA1)</t>
  </si>
  <si>
    <t>Baxter Stockman</t>
  </si>
  <si>
    <t>Legendary Creature — Human Scientist</t>
  </si>
  <si>
    <t>When Baxter Stockman enters, create a 1/1 colorless Robot artifact creature token. At the beginning of combat on your turn, target artifact creature you control gets +3/+0 and gains first strike and vigilance until end of turn.</t>
  </si>
  <si>
    <t>{3}{U}{R}</t>
  </si>
  <si>
    <t>Beanstalk Giant / Gigante do Pé de Feijão</t>
  </si>
  <si>
    <t>Creature — Giant / Criatura — Gigante</t>
  </si>
  <si>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</si>
  <si>
    <t>Bear Trap</t>
  </si>
  <si>
    <t>Flash. {3}, {T}, Sacrifice Bear Trap: It deals 3 damage to target creature.</t>
  </si>
  <si>
    <t>Bearer of Glory</t>
  </si>
  <si>
    <t>During your turn, this creature has first strike. {4}{W}: Creatures you control get +1/+1 until end of turn.</t>
  </si>
  <si>
    <t>Bearer of Memory / Portadora da Memória</t>
  </si>
  <si>
    <t>Enchantment Creature — Human Monk / Criatura Encantamento — Humano Monge</t>
  </si>
  <si>
    <t>{5}{G}: Put a +1/+1 counter on target enchantment creature. It gains trample until end of turn. / {5}{G}: Coloque um marcador +1/+1 na criatura encantamento alvo. Ela ganha atropelar até o final do turno.</t>
  </si>
  <si>
    <t>Bearer of the Heavens / Sustentáculo do Firmamento</t>
  </si>
  <si>
    <t>Criatura — Gigante</t>
  </si>
  <si>
    <t>Quando Sustentáculo do Firmamento morrer, destrua todas as permanentes no início da próxima etapa final.</t>
  </si>
  <si>
    <t>7R</t>
  </si>
  <si>
    <t>Beast-Kin Ranger</t>
  </si>
  <si>
    <t>Creature — Elf Ranger</t>
  </si>
  <si>
    <t>Trample (This creature can deal excess combat damage to the player or planeswalker it's attacking.) Whenever another creature you control enters, this creature gets +1/+0 until end of turn.</t>
  </si>
  <si>
    <t>Beastie Beatdown</t>
  </si>
  <si>
    <t>Choose target creature you control and target creature an opponent controls. Delirium — If there are four or more card types among cards in your graveyard, put two +1/+1 counters on the creature you control. The creature you control deals damage equal to its power to the creature an opponent controls.</t>
  </si>
  <si>
    <t>{R}{G}</t>
  </si>
  <si>
    <t>Beastrider Vanguard</t>
  </si>
  <si>
    <t>Creature — Human Knight</t>
  </si>
  <si>
    <t>{4}{G}: Look at the top three cards of your library. You may reveal a permanent card from among them and put it into your hand. Put the rest on the bottom of your library in any order.</t>
  </si>
  <si>
    <t>Bebop &amp; Rocksteady</t>
  </si>
  <si>
    <t>Legendary Creature — Boar Rhino Mutant</t>
  </si>
  <si>
    <t>Whenever Bebop &amp; Rocksteady attack or block, sacrifice a permanent unless you discard a card.</t>
  </si>
  <si>
    <t>{1}{B/G}{B/G}</t>
  </si>
  <si>
    <t>Bebop, Warthog Warrior</t>
  </si>
  <si>
    <t>Legendary Creature — Boar Mutant Warrior</t>
  </si>
  <si>
    <t>Menace (This creature can't be blocked except by two or more creatures.) Rhinos you control have menace. Swampcycling {2} ({2}, Discard this card: Search your library for a Swamp card, reveal it, put it into your hand, then shuffle.)</t>
  </si>
  <si>
    <t>Beckon Apparition / Instigar Aparição</t>
  </si>
  <si>
    <t>Exile target card from a graveyard. Create a 1/1 white and black Spirit creature token with flying. / Exile o card alvo de um cemitério. Coloque no campo de batalha uma ficha de criatura branca e preta 1/1 do tipo Espírito com voar.</t>
  </si>
  <si>
    <t>{W/B}</t>
  </si>
  <si>
    <t>Bedevil / Atormentar</t>
  </si>
  <si>
    <t>Destrua o artefato, a criatura ou o planeswalker alvo.</t>
  </si>
  <si>
    <t>{B}{B}{R}</t>
  </si>
  <si>
    <t>Bedlam Reveler / Folião do Caos</t>
  </si>
  <si>
    <t>Creature — Devil Horror / Criatura — Diabo Horror</t>
  </si>
  <si>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</si>
  <si>
    <t>{6}{R}{R}</t>
  </si>
  <si>
    <t>Beetle-Headed Merchants</t>
  </si>
  <si>
    <t>Whenever this creature attacks, you may sacrifice another creature or artifact. If you do, draw a card and put a +1/+1 counter on this creature.</t>
  </si>
  <si>
    <t>Beetleback Chief / Chefe de Costas de Besouro</t>
  </si>
  <si>
    <t>Criatura — Goblino Guerreiro</t>
  </si>
  <si>
    <t>Quando Chefe de Costas de Besouro entra no campo de batalha, coloque duas fichas de criatura 1/1 vermelha do tipo Goblino no campo de batalha.</t>
  </si>
  <si>
    <t>2RR</t>
  </si>
  <si>
    <t>Befriending the Moths // Imperial Moth / Confraternizar com as Mariposas // Mariposa Imperial</t>
  </si>
  <si>
    <t>Enchantment — Saga // Enchantment Creature — Insect / Encantamento — Saga</t>
  </si>
  <si>
    <t>Befriending the Moths: (As this Saga enters and after your draw step, add a lore counter.) I, II — Target creature you control gets +1/+1 and gains flying until end of turn. III — Exile this Saga, then return it to the battlefield transformed under your control. // Imperial Moth: Flying / (Conforme esta Saga entra e após sua etapa de compra, adicione um marcador de conhecimento.) I, II — A criatura alvo que você controla recebe +1/+1 e ganha voar até o final do turno. III — Exile esta Saga, depois a devolva ao campo de batalha transformada sob seu controle.</t>
  </si>
  <si>
    <t>Belle of the Brawl / Bela da Briga</t>
  </si>
  <si>
    <t>Menace (This creature can't be blocked except by two or more creatures.) Whenever this creature attacks, other Knights you control get +1/+0 until end of turn. / Ameaçar (Esta criatura só pode ser bloqueada por duas ou mais criaturas.) Toda vez que Bela da Briga ataca, os outros Cavaleiros que você controla recebem +1/+0 até o final do turno.</t>
  </si>
  <si>
    <t>Belligerent of the Ball / Beligerante do Baile</t>
  </si>
  <si>
    <t>Creature — Ogre Warrior / Criatura — Ogro Guerreiro</t>
  </si>
  <si>
    <t>Celebration — At the beginning of combat on your turn, if two or more nonland permanents entered the battlefield under your control this turn, target creature you control gets +1/+0 and gains menace until end of turn. (It can't be blocked except by two or more creatures.) / Celebração — No início do combate no seu turno, se duas ou mais permanentes não de terreno tiverem entrado no campo de batalha sob seu controle neste turno, a criatura alvo que você controla recebe +1/+0 e ganha ameaçar até o final do turno. (Ela só pode ser bloqueada por duas ou mais criaturas.)</t>
  </si>
  <si>
    <t>Wilds of Eldraine (WOE)</t>
  </si>
  <si>
    <t>Bellowing Saddlebrute / Ginete Brutal Urrante</t>
  </si>
  <si>
    <t>Creature — Orc Warrior / Criatura — Orc Guerreiro</t>
  </si>
  <si>
    <t>Raid — When this creature enters, you lose 4 life unless you attacked this turn. / Raide — Quando Ginete Brutal Urrante entra no campo de batalha, você perde 4 pontos de vida, a menos que você tenha atacado com uma criatura neste turno.</t>
  </si>
  <si>
    <t>Bellows Lizard / Lagarto de Fole</t>
  </si>
  <si>
    <t>Creature — Lizard / Criatura — Lagarto</t>
  </si>
  <si>
    <t>{1}{R}: This creature gets +1/+0 until end of turn. / {1}{R}: Lagarto de Fole recebe +1/+0 até o final do turno.</t>
  </si>
  <si>
    <t>Beloved Princess / Princesa Adorada</t>
  </si>
  <si>
    <t>Creature — Human Noble / Criatura — Humano Nobre</t>
  </si>
  <si>
    <t>Lifelink This creature can't be blocked by creatures with power 3 or greater. / Vínculo com a vida Princesa Adorada não pode ser bloqueada por criaturas de poder igual ou superior a 3.</t>
  </si>
  <si>
    <t>Benalish Cavalry / Cavalaria de Benália</t>
  </si>
  <si>
    <t>Flanking (Whenever a creature without flanking blocks this creature, the blocking creature gets -1/-1 until end of turn.) / Flanquear (Toda vez que uma criatura sem flanquear bloquear esta criatura, a criatura bloqueadora receberá -1/-1 até o final do turno.)</t>
  </si>
  <si>
    <t>Benalish Faithbonder</t>
  </si>
  <si>
    <t>Vigilance Enlist (As this creature attacks, you may tap a nonattacking creature you control without summoning sickness. When you do, add its power to this creature's until end of turn.)</t>
  </si>
  <si>
    <t>Benalish Hero</t>
  </si>
  <si>
    <t>Summon Hero</t>
  </si>
  <si>
    <t>Bands</t>
  </si>
  <si>
    <t>Alpha</t>
  </si>
  <si>
    <t>Benalish Hero / Herói Benalish</t>
  </si>
  <si>
    <t>Summon Hero / Invocação (Herói)</t>
  </si>
  <si>
    <t>Banding / Agrupamento</t>
  </si>
  <si>
    <t>Benalish Lancer / Lanceiro Benalita</t>
  </si>
  <si>
    <t>Creature — Knight / Criatura — Cavaleiro</t>
  </si>
  <si>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</si>
  <si>
    <t>Benalish Marshal / Marechal de Benália</t>
  </si>
  <si>
    <t>Other creatures you control get +1/+1. / As outras criaturas que você controla recebem +1/+1.</t>
  </si>
  <si>
    <t>{W}{W}{W}</t>
  </si>
  <si>
    <t>Bender's Waterskin</t>
  </si>
  <si>
    <t>Untap this artifact during each other player's untap step. {T}: Add one mana of any color.</t>
  </si>
  <si>
    <t>Beneath the Sands / Sob as Areias</t>
  </si>
  <si>
    <t>Search your library for a basic land card, put it onto the battlefield tapped, then shuffle. Cycling {2} ({2}, Discard this card: Draw a card.) / Procure um card de terreno básico em seu grimório, coloque-o no campo de batalha virado e depois embaralhe seu grimório. Reciclar {2} ({2}, descarte este card: Compre um card.)</t>
  </si>
  <si>
    <t>Benefaction of Rhonas / Beneficência de Rhonas</t>
  </si>
  <si>
    <t>Reveal the top five cards of your library. You may put a creature card and/or an enchantment card from among them into your hand. Put the rest into your graveyard. / Revele os cinco cards do topo de seu grimório. Você pode colocar um card de criatura e/ou encantamento dentre eles em sua mão. Coloque o restante em seu cemitério.</t>
  </si>
  <si>
    <t>Benevolent Unicorn / Unicórnio Benevolente</t>
  </si>
  <si>
    <t>Creature — Unicorn</t>
  </si>
  <si>
    <t>If a spell would deal damage to a permanent or player, it deals that much damage minus 1 to that permanent or player instead.</t>
  </si>
  <si>
    <t>Benthic Djinn / Gênio Bêntico</t>
  </si>
  <si>
    <t>Creature — Djinn</t>
  </si>
  <si>
    <t>Islandwalk (This creature can't be blocked as long as defending player controls an Island.) At the beginning of your upkeep, you lose 2 life.</t>
  </si>
  <si>
    <t>Benthic Infiltrator / Infiltrador Bêntico</t>
  </si>
  <si>
    <t>Creature — Eldrazi Drone / Criatura — Eldrazi Zangão</t>
  </si>
  <si>
    <t>Devoid (This card has no color.) Ingest (Whenever this creature deals combat damage to a player, that player exiles the top card of their library.) This creature can't be blocked. / Desprovido (Este card não tem cor.)Ingerir (Toda vez que esta criatura causa dano de combate a um jogador, ele exila o card do topo do próprio grimório.)Infiltrador Bêntico não pode ser bloqueado.</t>
  </si>
  <si>
    <t>Bespoke Battlewagon / Vagão de Batalha Personalizado</t>
  </si>
  <si>
    <t>{T}: You get {E}{E} (two energy counters). {T}, Pay {E}{E}: Tap target creature. {T}, Pay {E}{E}{E}: Draw a card. Pay {E}{E}{E}{E}: This Vehicle becomes an artifact creature until end of turn. Crew 4 / {T}: Você recebe {E}{E} (dois marcadores de energia). {T}, pague {E}{E}: Vire a criatura alvo. {T}, pague {E}{E}{E}: Compre um card. Pague {E}{E}{E}{E}: Vagão de Batalha Personalizado torna-se uma criatura artefato até o final do turno. Tripular 4</t>
  </si>
  <si>
    <t>Bespoke Bō</t>
  </si>
  <si>
    <t>When this Equipment enters, return up to one other target nonland permanent to its owner's hand. Equipped creature gets +2/+1 and has vigilance. Equip {3} ({3}: Attach to target creature you control. Equip only as a sorcery.)</t>
  </si>
  <si>
    <t>Bestial Menace / Ameaça Bestial</t>
  </si>
  <si>
    <t>Create a 1/1 green Snake creature token, a 2/2 green Wolf creature token, and a 3/3 green Elephant creature token. / Crie uma ficha de criatura Cobra verde 1/1, uma ficha de criatura Lobo verde 2/2 e uma ficha de criatura Elefante verde 3/3.</t>
  </si>
  <si>
    <t>Betrayer's Bargain</t>
  </si>
  <si>
    <t>As an additional cost to cast this spell, sacrifice a creature or enchantment or pay {2}. Betrayer's Bargain deals 5 damage to target creature. If that creature would die this turn, exile it instead.</t>
  </si>
  <si>
    <t>Bewilder / Desnortear</t>
  </si>
  <si>
    <t>Target creature gets -3/-0 until end of turn. Draw a card. / A criatura alvo recebe -3/-0 até o final do turno. Compre um card.</t>
  </si>
  <si>
    <t>Time Spiral (TSP)</t>
  </si>
  <si>
    <t>Bilbo, Retired Burglar / Bilbo, Ladrão Aposentado</t>
  </si>
  <si>
    <t>Legendary Creature — Halfling Rogue / Criatura Lendária — Pequenino Ladino</t>
  </si>
  <si>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</si>
  <si>
    <t>{1}{U}{R}</t>
  </si>
  <si>
    <t>Azul e Vermelho</t>
  </si>
  <si>
    <t>Bill Samambaia, Vigarista de Bree / Bill Ferny, Bree Swindler</t>
  </si>
  <si>
    <t>Criatura Lendária — Humano Ladino</t>
  </si>
  <si>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</si>
  <si>
    <t>Bill the Pony / Bill, o Pônei</t>
  </si>
  <si>
    <t>Legendary Creature — Horse / Criatura Lendária — Cavalo</t>
  </si>
  <si>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</si>
  <si>
    <t>Bind the Monster / Aprisionar o Monstro</t>
  </si>
  <si>
    <t>Enchant creature When this Aura enters, tap enchanted creature. It deals damage to you equal to its power. Enchanted creature doesn't untap during its controller's untap step. / Encantar criatura Quando Aprisionar o Monstro entrar no campo de batalha, vire a criatura encantada. Ela causa dano igual ao seu poder a você. A criatura encantada não desvira durante a etapa de desvirar de seu controlador.</t>
  </si>
  <si>
    <t>Biomass Mutation / Mutação de Biomassa</t>
  </si>
  <si>
    <t>Creatures you control have base power and toughness X/X until end of turn. / As criaturas que você controla se tornam X/X até o final do turno.</t>
  </si>
  <si>
    <t>{X}{G/U}{G/U}</t>
  </si>
  <si>
    <t>Biosynthic Burst / Explosão Biossíntese</t>
  </si>
  <si>
    <t>Coloque um marcador +1/+1 na criatura alvo que você controla. Ela ganha alcance, atropelar e indestrutível até o final do turno. Desvire-a. (Dano e efeitos que dizem "destrua" não a destroem.)</t>
  </si>
  <si>
    <t>1{G}</t>
  </si>
  <si>
    <t>Biotech Specialist</t>
  </si>
  <si>
    <t>Creature — Insect Scientist</t>
  </si>
  <si>
    <t>When this creature enters, create a Lander token. (It's an artifact with "{2}, {T}, Sacrifice this token: Search your library for a basic land card, put it onto the battlefield tapped, then shuffle.") Whenever you sacrifice an artifact, this creature deals 2 damage to target opponent.</t>
  </si>
  <si>
    <t>Edge of Eternities (EOE)</t>
  </si>
  <si>
    <t>Biovisionary / Biovisionário</t>
  </si>
  <si>
    <t>At the beginning of the end step, if you control four or more creatures named Biovisionary, you win the game. / No início da etapa final, se você controlar quatro ou mais criaturas com o nome Biovisionário, você ganha o jogo.</t>
  </si>
  <si>
    <t>Bird Maiden / Donzela Alada</t>
  </si>
  <si>
    <t>Creature — Human Bird</t>
  </si>
  <si>
    <t>Flying</t>
  </si>
  <si>
    <t>Birthing Hulk / Brutamontes Procriador</t>
  </si>
  <si>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</si>
  <si>
    <t>Bite Down / Abocanhar</t>
  </si>
  <si>
    <t>Target creature you control deals damage equal to its power to target creature or planeswalker you don't control. / A criatura alvo que você controla causa dano igual ao seu poder à criatura ou ao planeswalker alvo que você não controla.</t>
  </si>
  <si>
    <t>Bitterblade Warrior / Guerreiro Laminamarga</t>
  </si>
  <si>
    <t>Creature — Jackal Warrior / Criatura — Chacal Guerreiro</t>
  </si>
  <si>
    <t>You may exert this creature as it attacks. When you do, it gets +1/+0 and gains deathtouch until end of turn. (An exerted creature won't untap during your next untap step.) / Você pode exaurir Guerreiro Laminamarga conforme ele ataca. Quando você faz isso, ele recebe +1/+0 e ganha toque mortífero até o final do turno. (Uma criatura exaurida não será desvirada durante sua próxima etapa de desvirar.)</t>
  </si>
  <si>
    <t>Bitterbow Sharpshooters / Atiradores do Arcoamargo</t>
  </si>
  <si>
    <t>Creature — Jackal Archer / Criatura — Chacal Arqueiro</t>
  </si>
  <si>
    <t>Vigilance, reach / Vigilância, alcance</t>
  </si>
  <si>
    <t>Black Mana Battery / Bateria de Mana Preta</t>
  </si>
  <si>
    <t>{2}, {T}: Put a charge counter on this artifact. {T}, Remove any number of charge counters from this artifact: Add {B}, then add an additional {B} for each charge counter removed this way.</t>
  </si>
  <si>
    <t>Black Ward / Defesa Preta</t>
  </si>
  <si>
    <t>Enchant creature Enchanted creature has protection from black. This effect doesn't remove this Aura.</t>
  </si>
  <si>
    <t>Blade Juggler / Malabarista de Lâminas</t>
  </si>
  <si>
    <t>Spectacle {2}{B} (You may cast this spell for its spectacle cost rather than its mana cost if an opponent lost life this turn.) When this creature enters, it deals 1 damage to you and you draw a card. / Espetáculo {2}{B} (Você pode conjurar esta mágica por seu custo de espetáculo, em vez de seu custo de mana, se um oponente perdeu pontos de vida neste turno.) Quando Malabarista de Lâminas entra no campo de batalha, ela causa 1 ponto de dano a você e você compra um card.</t>
  </si>
  <si>
    <t>Bladed Sentinel / Sentinela de Lâminas</t>
  </si>
  <si>
    <t>{W}: This creature gains vigilance until end of turn. / {W}: Sentinela de Lâminas ganha vigilância até o final do turno.</t>
  </si>
  <si>
    <t>Mirrodin Besieged (MBS)</t>
  </si>
  <si>
    <t>Bladehold War-Whip / Chicote de Guerra de Bladehold</t>
  </si>
  <si>
    <t>For Mirrodin! (When this Equipment enters, create a 2/2 red Rebel creature token, then attach this to it.) Equip abilities you activate of other Equipment cost {1} less to activate. Equipped creature has double strike. Equip {3}{R}{W} / Por Mirrodin (Quando este Equipamento entrar no campo de batalha, crie uma ficha de criatura Rebelde vermelha 2/2 e anexe-o a ela.) As habilidades equipar de outros Equipamentos ativadas por você custam {1} a menos para serem ativadas. A criatura equipada tem golpe duplo. Equipar {3}{R}{W}</t>
  </si>
  <si>
    <t>{1}{R}{W}</t>
  </si>
  <si>
    <t>Bladetusk Boar / Javali Presa de Navalha</t>
  </si>
  <si>
    <t>Creature — Boar / Criatura — Javali</t>
  </si>
  <si>
    <t>Blanchwood Prowler / Espreitador de Blanchwood</t>
  </si>
  <si>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</si>
  <si>
    <t>The Brothers' War (BRO)</t>
  </si>
  <si>
    <t>Blazing Bomb / Bomba Flamejante</t>
  </si>
  <si>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</si>
  <si>
    <t>R</t>
  </si>
  <si>
    <t>Blazing Crescendo / Crescendo Flamejante</t>
  </si>
  <si>
    <t>A criatura alvo recebe +3/+1 até o final do turno. Exile o card do topo de seu grimório. Até o final de seu próximo turno, você poderá jogar aquele card.</t>
  </si>
  <si>
    <t>1{R}</t>
  </si>
  <si>
    <t>Blazing Hellhound / Sabujo Infernal Flamejante</t>
  </si>
  <si>
    <t>Creature — Elemental Dog / Criatura — Elemental Sabujo</t>
  </si>
  <si>
    <t>{1}, Sacrifice another creature: This creature deals 1 damage to any target. / {1}, Sacrifique outra criatura: Sabujo Infernal Flamejante causa 1 ponto de dano à criatura ou ao jogador alvo.</t>
  </si>
  <si>
    <t>{2}{B}{R}</t>
  </si>
  <si>
    <t>Blazing Rootwalla / Rizowalla Inflamado</t>
  </si>
  <si>
    <t>{R}: This creature gets +2/+0 until end of turn. Activate only once each turn. Madness {0} (If you discard this card, discard it into exile. When you do, cast it for its madness cost or put it into your graveyard.) / {R}: Rizowalla Inflamado recebe +2/+0 até o final do turno. Ative somente uma vez a cada turno. Loucura {0}</t>
  </si>
  <si>
    <t>Blessed Wine / Vinho Abençoado</t>
  </si>
  <si>
    <t>You gain 1 life. Draw a card at the beginning of the next turn's upkeep.</t>
  </si>
  <si>
    <t>Blessing of Frost / Bênção da Geada</t>
  </si>
  <si>
    <t>Snow Sorcery / Feitiço da Neve</t>
  </si>
  <si>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</si>
  <si>
    <t>Blight-Breath Catoblepas / Catoblepas Hálito-de-praga</t>
  </si>
  <si>
    <t>When this creature enters, target creature an opponent controls gets -X/-X until end of turn, where X is your devotion to black. (Each {B} in the mana costs of permanents you control counts toward your devotion to black.) / Quando Catoblepas Hálito-de-praga entra no campo de batalha, a criatura alvo que um oponente controla recebe -X/-X até o final do turno, sendo X sua devoção ao preto. (Cada {B} nos custos de mana de permanentes que você controla conta para sua devoção ao preto.)</t>
  </si>
  <si>
    <t>{4}{B}{B}</t>
  </si>
  <si>
    <t>Blightcaster / Conjurador de Desgraça</t>
  </si>
  <si>
    <t>Whenever you cast an enchantment spell, you may have target creature get -2/-2 until end of turn. / Toda vez que você conjura uma mágica de encantamento, você pode fazer com que a criatura alvo receba -2/-2 até o final do turno.</t>
  </si>
  <si>
    <t>Blighted Agent / Agente Deteriorado</t>
  </si>
  <si>
    <t>Creature — Phyrexian Human Rogue / Criatura — Humano Ladino</t>
  </si>
  <si>
    <t>Infect (This creature deals damage to creatures in the form of -1/-1 counters and to players in the form of poison counters.) This creature can't be blocked. / Infectar (Esta criatura causa dano a criaturas na forma de marcadores -1/-1 e a jogadores na forma de marcadores de veneno.) Agente Deteriorado não pode ser bloqueado.</t>
  </si>
  <si>
    <t>New Phyrexia (NPH)</t>
  </si>
  <si>
    <t>Blighted Pretothorn</t>
  </si>
  <si>
    <t>Creature — Treefolk Warlock</t>
  </si>
  <si>
    <t>Whenever this creature enters or attacks, you may blight 2. If you do, you draw a card and lose 1 life. (To blight 2, put two -1/-1 counters on a creature you control.)</t>
  </si>
  <si>
    <t>Blind Fury / Fúria Cega</t>
  </si>
  <si>
    <t>All creatures lose trample until end of turn. If a creature would deal combat damage to a creature this turn, it deals double that damage to that creature instead.</t>
  </si>
  <si>
    <t>Blind Zealot / Zelote Cego</t>
  </si>
  <si>
    <t>Creature — Phyrexian Human Cleric / Criatura — Humano Clérigo</t>
  </si>
  <si>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</si>
  <si>
    <t>{1}{B}{B}</t>
  </si>
  <si>
    <t>Blindblast / Explosão Cegante</t>
  </si>
  <si>
    <t>Blindblast deals 1 damage to target creature. That creature can't block this turn. Draw a card. / Explosão Cegante causa 1 ponto de dano à criatura alvo. Aquela criatura não pode bloquear neste turno. Compre um card.</t>
  </si>
  <si>
    <t>Blinding Drone / Zangão Cegante</t>
  </si>
  <si>
    <t>Devoid (This card has no color.) {C}, {T}: Tap target creature. ({C} represents colorless mana.) / Desprovido (Este card não tem cor.) {C}, {T}: Vire a criatura alvo. ({C} representa mana incolor.)</t>
  </si>
  <si>
    <t>Blinding Flare / Clarão Cegante</t>
  </si>
  <si>
    <t>Esforço — Clarão Cegante custa R a mais para ser conjurado para cada alvo além do primeiro. Qualquer número de criaturas alvo não pode bloquear neste turno.</t>
  </si>
  <si>
    <t>Blinding Fog / Neblina Cegante</t>
  </si>
  <si>
    <t>Prevent all damage that would be dealt to creatures this turn. Creatures you control gain hexproof until end of turn. (They can't be the targets of spells or abilities your opponents control.) / Previna todo o dano que seria causado a criaturas neste turno. As criaturas que você controla ganham resistência a magia até o final do turno. (Elas não podem ser alvo de mágicas nem de habilidades controladas por seus oponentes.)</t>
  </si>
  <si>
    <t>Blinding Souleater / Devorador de Almas Cegante</t>
  </si>
  <si>
    <t>Artifact Creature — Cleric / Criatura Artefato — Clérigo</t>
  </si>
  <si>
    <t>{W/P}, {T}: Tap target creature. ({W/P} can be paid with either {W} or 2 life.) / {W/P}, {T}: Vire a criatura alvo. ({W/P} pode ser pago com {W} ou 2 pontos de vida.)</t>
  </si>
  <si>
    <t>Modern Masters 2015 Edition (MM2)</t>
  </si>
  <si>
    <t>Blink of an Eye / Piscar de Olhos</t>
  </si>
  <si>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</si>
  <si>
    <t>Blinking Spirit</t>
  </si>
  <si>
    <t>Criatura — Espírito / Summon Blinking Spirit</t>
  </si>
  <si>
    <t>{0}: Return Blinking Spirit to owner's hand.</t>
  </si>
  <si>
    <t>Blistercoil Weird / Bizarro da Helicosfera</t>
  </si>
  <si>
    <t>Creature — Weird / Criatura — Bizarro</t>
  </si>
  <si>
    <t>Whenever you cast an instant or sorcery spell, this creature gets +1/+1 until end of turn. Untap it. / Toda vez que você conjurar uma mágica instantânea ou feitiço, Bizarro da Helicosfera recebe +1/+1 até o final do turno. Desvire-o.</t>
  </si>
  <si>
    <t>{U/R}</t>
  </si>
  <si>
    <t>Blistering Dieflyn / Dieflyn Ardente</t>
  </si>
  <si>
    <t>Creature — Imp / Criatura — Diabrete</t>
  </si>
  <si>
    <t>Flying {B/R}: This creature gets +1/+0 until end of turn. / Voar {B/R}: Dieflyn Ardente recebe +1/+0 até o final do turno.</t>
  </si>
  <si>
    <t>Shadowmoor (SHM)</t>
  </si>
  <si>
    <t>Blisterspit Gremlin / Gremlin do Cuspe Corrosivo</t>
  </si>
  <si>
    <t>Creature — Gremlin / Criatura — Gremlin</t>
  </si>
  <si>
    <t>{1}, {T}: This creature deals 1 damage to each opponent. Whenever you cast a noncreature spell, untap this creature. / {1}, {T}: Gremlin do Cuspe Corrosivo causa 1 ponto de dano a cada oponente. Toda vez que você conjurar uma mágica que não seja de criatura, desvire Gremlin do Cuspe Corrosivo.</t>
  </si>
  <si>
    <t>Blitzball / Blitzball</t>
  </si>
  <si>
    <t>{T}: Adicione um mana de qualquer cor. GOLOOOOOOO! — {T}, Sacrifique este artefato: Compre dois cards. Ative somente se um oponente tiver sofrido dano de combate por uma criatura lendária neste turno.</t>
  </si>
  <si>
    <t>Blitzball Shot / Chute de Blitzball</t>
  </si>
  <si>
    <t>A criatura alvo recebe +3/+3 e ganha atropelar até o final do turno.</t>
  </si>
  <si>
    <t>Bloated Processor / Processador Inchado</t>
  </si>
  <si>
    <t>Creature — Phyrexian / Criatura — Phyrexiano</t>
  </si>
  <si>
    <t>Sacrifice another Phyrexian: Put a +1/+1 counter on this creature. When this creature dies, incubate X, where X is its power. (Create an Incubator token with X +1/+1 counters on it and "{2}: Transform this token." It transforms into a 0/0 Phyrexian artifact creature.) / Sacrifique outro Phyrexiano: Coloque um marcador +1/+1 em Processador Inchado. Quando Processador Inchado morrer, incube X, sendo X seu poder. (Crie uma ficha de Incubadora com X marcadores +1/+1 e "{2}: Transforme este artefato". Ele se transforma em uma criatura artefato Phyrexiano 0/0.)</t>
  </si>
  <si>
    <t>Blood Aspirant / Aspirante a Sanguinário</t>
  </si>
  <si>
    <t>Creature — Satyr Berserker / Criatura — Sátiro Amoque</t>
  </si>
  <si>
    <t>Whenever you sacrifice a permanent, put a +1/+1 counter on this creature. {1}{R}, {T}, Sacrifice a creature or enchantment: This creature deals 1 damage to target creature. That creature can't block this turn. / Toda vez que você sacrificar uma permanente, coloque um marcador +1/+1 em Aspirante a Sanguinário. {1}{R}, {T}, sacrifique uma criatura ou um encantamento: Aspirante a Sanguinário causa 1 ponto de dano à criatura alvo. Aquela criatura não pode bloquear neste turno.</t>
  </si>
  <si>
    <t>Blood Bairn / Criança Sanguinária</t>
  </si>
  <si>
    <t>Sacrifice another creature: This creature gets +2/+2 until end of turn. / Sacrifique outra criatura: Criança Sanguinária recebe +2/+2 até o final do turno.</t>
  </si>
  <si>
    <t>Blood Hustler / Vigarista do Sangue</t>
  </si>
  <si>
    <t>Whenever you commit a crime, put a +1/+1 counter on this creature. This ability triggers only once each turn. (Targeting opponents, anything they control, and/or cards in their graveyards is a crime.) {3}{B}: Target opponent loses 1 life and you gain 1 life. / Toda vez que você cometer um crime, coloque um marcador +1/+1 em Vigarista do Sangue. Esta habilidade é desencadeada apenas uma vez a cada turno. (Escolher como alvo oponentes, qualquer coisa que eles controlem e/ou cards no cemitério deles é um crime.) {3}{B}: O oponente alvo perde 1 ponto de vida e você ganha 1 ponto de vida.</t>
  </si>
  <si>
    <t>Blood Lust / Sede de Sangue</t>
  </si>
  <si>
    <t>If target creature has toughness 5 or greater, it gets +4/-4 until end of turn. Otherwise, it gets +4/-X until end of turn, where X is its toughness minus 1.</t>
  </si>
  <si>
    <t xml:space="preserve">Quarta Edição </t>
  </si>
  <si>
    <t>Quarta Edição (BB)</t>
  </si>
  <si>
    <t>Blood of the Martyr</t>
  </si>
  <si>
    <t>Until end of turn, you may redirect to yourself all damage dealt to any number of creatures. The source of the damage does not change.</t>
  </si>
  <si>
    <t>Blood Petal Celebrant / Celebradora das Pétalas de Sangue</t>
  </si>
  <si>
    <t>This creature has first strike as long as it's attacking. When this creature dies, create a Blood token. (It's an artifact with "{1}, {T}, Discard a card, Sacrifice this token: Draw a card.") / Celebradora das Pétalas de Sangue tem iniciativa enquanto estiver atacando. Quando Celebradora das Pétalas de Sangue morrer, crie uma ficha de Sangue. (Ela é um artefato com "{1}, {T}, descarte um card, sacrifique este artefato: Compre um card".)</t>
  </si>
  <si>
    <t>Blood Reckoning / Vingança Sangrenta</t>
  </si>
  <si>
    <t>Whenever a creature attacks you or a planeswalker you control, that creature's controller loses 1 life. / Toda vez que uma criatura atacar você ou um planeswalker que você controle, o controlador daquela criatura perde 1 ponto de vida.</t>
  </si>
  <si>
    <t>Blood Servitor / Serviçal de Sangue</t>
  </si>
  <si>
    <t>When this creature enters, create a Blood token. (It's an artifact with "{1}, {T}, Discard a card, Sacrifice this token: Draw a card.") / Quando Serviçal de Sangue entrar no campo de batalha, crie uma ficha de Sangue. (Ela é um artefato com "{1}, {T}, descarte um card, sacrifique este artefato: Compre um card".)</t>
  </si>
  <si>
    <t>Blood Sun / Sol Sangrento</t>
  </si>
  <si>
    <t>When this enchantment enters, draw a card. All lands lose all abilities except mana abilities. / Quando Sol Sangrento entrar no campo de batalha, compre um card. Todos os terrenos perdem todas as habilidades, exceto as habilidades de mana.</t>
  </si>
  <si>
    <t>Blood Tithe / Dízimo de Sangue</t>
  </si>
  <si>
    <t>Each opponent loses 3 life. You gain life equal to the life lost this way. / Cada oponente perde 3 pontos de vida. Você ganha uma quantidade de pontos de vida igual aos pontos de vida perdidos dessa maneira.</t>
  </si>
  <si>
    <t>Blood-Toll Harpy / Harpia do Pedágio de Sangue</t>
  </si>
  <si>
    <t>Creature — Harpy / Criatura — Harpia</t>
  </si>
  <si>
    <t>Flying When this creature enters, each player loses 1 life. / Voar Quando Harpia do Pedágio de Sangue entra no campo de batalha, cada jogador perde 1 ponto de vida.</t>
  </si>
  <si>
    <t>Bloodcrazed Hoplite / Hoplita Sanguinário</t>
  </si>
  <si>
    <t>Heroic — Whenever you cast a spell that targets this creature, put a +1/+1 counter on it. Whenever a +1/+1 counter is put on this creature, remove a +1/+1 counter from target creature an opponent controls. / Heroico — Toda vez que você conjurar uma mágica cujo alvo seja Hoplita Sanguinário, coloque um marcador +1/+1 nele. Toda vez que um marcador +1/+1 for colocado em Hoplita Sanguinário, remova um marcador +1/+1 de uma criatura alvo controlada por um oponente.</t>
  </si>
  <si>
    <t>Bloodfire Expert / Especialista Sangue-ígneo</t>
  </si>
  <si>
    <t>Creature — Efreet Monk / Criatura — Efrite Monge</t>
  </si>
  <si>
    <t>Prowess (Whenever you cast a noncreature spell, this creature gets +1/+1 until end of turn.) / Destreza (Toda vez que você conjura uma mágica que não seja de criatura, esta criatura recebe +1/+1 até o final do turno.)</t>
  </si>
  <si>
    <t>Bloodflow Connoisseur / Connoisseur do Fluxo Sanguíneo</t>
  </si>
  <si>
    <t>Sacrifice a creature: Put a +1/+1 counter on this creature. / Sacrifique uma criatura: Coloque um marcador +1/+1 sobre Connoisseur do Fluxo Sanguíneo.</t>
  </si>
  <si>
    <t>Bloodhunter Bat / Morcego Caçador de Sangue</t>
  </si>
  <si>
    <t>Flying When this creature enters, target player loses 2 life and you gain 2 life. / Voar Quando Morcego Caçador de Sangue entra no campo de batalha, o jogador alvo perde 2 pontos de vida e você ganha 2 pontos de vida.</t>
  </si>
  <si>
    <t>Bloodlord of Vaasgoth / Senhor Vampiro de Vaasgoth</t>
  </si>
  <si>
    <t>Creature — Vampire Warrior / Criatura — Vampiro Guerreiro</t>
  </si>
  <si>
    <t>Mythic Rare / Mítica Rara</t>
  </si>
  <si>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</si>
  <si>
    <t>Bloodmad Vampire / Vampira Sanguinsana</t>
  </si>
  <si>
    <t>Creature — Vampire Berserker / Criatura — Vampiro Amoque</t>
  </si>
  <si>
    <t>Whenever this creature deals combat damage to a player, put a +1/+1 counter on it. Madness {1}{R} (If you discard this card, discard it into exile. When you do, cast it for its madness cost or put it into your graveyard.) / Toda vez que Vampira Sanguinsana causar dano de combate a um jogador, coloque um marcador +1/+1 nela. Loucura {1}{R} (Se você descartar este card, descarte-o para o exílio. Quando fizer isso, conjure-o por seu custo de loucura ou coloque-o em seu cemitério.)</t>
  </si>
  <si>
    <t>Bloodsoaked Altar / Altar Ensanguentado</t>
  </si>
  <si>
    <t>{T}, Pay 2 life, Discard a card, Sacrifice a creature: Create a 5/5 black Demon creature token with flying. Activate only as a sorcery. / {T}, pague 2 pontos de vida, descarte um card, sacrifique uma criatura: Crie uma ficha de criatura preta 5/5 do tipo Demônio com voar. Ative esta habilidade somente nos momentos em que poderia conjurar um feitiço.</t>
  </si>
  <si>
    <t>Bloodthrone Vampire / Vampiro do Sangue Real</t>
  </si>
  <si>
    <t>Sacrifice a creature: This creature gets +2/+2 until end of turn. / Sacrifique uma criatura: Vampiro do Sangue Real recebe +2/+2 até o final do turno.</t>
  </si>
  <si>
    <t>Rise of the Eldrazi (ROE)</t>
  </si>
  <si>
    <t>Bloom Hulk / Druida do Pólen Brilhante</t>
  </si>
  <si>
    <t>Creature — Elf Druid / Criatura — Elfo Druida</t>
  </si>
  <si>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</si>
  <si>
    <t>Blossombind</t>
  </si>
  <si>
    <t>Enchant creature. When this Aura enters, tap enchanted creature. Enchanted creature can't become untapped and can't have counters put on it.</t>
  </si>
  <si>
    <t>Blue</t>
  </si>
  <si>
    <t>Blue Marvel, Adam Brashear</t>
  </si>
  <si>
    <t>Legendary Creature — Human Scientist Hero</t>
  </si>
  <si>
    <t>Flying (This creature can't be blocked except by creatures with flying or reach.) Ward {2} (Whenever this creature becomes the target of a spell or ability an opponent controls, counter it unless that player pays {2}.) Whenever you draw your second card each turn, put a +1/+1 counter on Blue Marvel.</t>
  </si>
  <si>
    <t>Blue Scarab</t>
  </si>
  <si>
    <t>Target creature gets +2/+2 as long as any opponent controls any blue cards. That creature cannot be blocked by blue creatures.</t>
  </si>
  <si>
    <t>Blue Ward / Defesa Azul</t>
  </si>
  <si>
    <t>Enchant creature Enchanted creature has protection from blue. This effect doesn't remove this Aura.</t>
  </si>
  <si>
    <t>Blur of Blades / Borrão de Lâminas</t>
  </si>
  <si>
    <t>Put a -1/-1 counter on target creature. Blur of Blades deals 2 damage to that creature's controller. / Coloque um marcador -1/-1 na criatura alvo. Borrão de Lâminas causa 2 pontos de dano ao controlador daquela criatura.</t>
  </si>
  <si>
    <t>Boar-q-pine</t>
  </si>
  <si>
    <t>Creature — Boar Porcupine</t>
  </si>
  <si>
    <t>Whenever you cast a noncreature spell, put a +1/+1 counter on this creature.</t>
  </si>
  <si>
    <t>Bog Imp / Diabrete do Pântano</t>
  </si>
  <si>
    <t>Flying (This creature can't be blocked except by creatures with flying or reach.) / Voar (Esta criatura só pode ser bloqueada por criaturas com a habilidade de voar.)</t>
  </si>
  <si>
    <t>Bog Rats / Ratos do Pântano</t>
  </si>
  <si>
    <t>Creature — Rat</t>
  </si>
  <si>
    <t>This creature can't be blocked by Walls.</t>
  </si>
  <si>
    <t>Bog Wraith / Aparição do Pântano</t>
  </si>
  <si>
    <t>Creature — Wraith / Criatura — Aparição</t>
  </si>
  <si>
    <t>Swampwalk (This creature can't be blocked as long as defending player controls a Swamp.) / Travessia de Pântano (Esta criatura não poderá ser bloqueada enquanto o jogador defensor controlar um Pântano.)</t>
  </si>
  <si>
    <t>Limited Edition Alpha (LEA)</t>
  </si>
  <si>
    <t>Bogbrew Witch / Bruxa da Poção Pantanosa</t>
  </si>
  <si>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</si>
  <si>
    <t>Boggart Brute / Papão Brutamontes</t>
  </si>
  <si>
    <t>Creature — Goblin Warrior / Criatura — Goblin Guerreiro</t>
  </si>
  <si>
    <t>Menace (This creature can't be blocked except by two or more creatures.) / Ameaçar (Esta criatura só pode ser bloqueada por duas ou mais criaturas.)</t>
  </si>
  <si>
    <t>Boggart Cursecrafter</t>
  </si>
  <si>
    <t>Creature — Goblin Warlock</t>
  </si>
  <si>
    <t>Deathtouch Whenever another Goblin you control dies, this creature deals 1 damage to each opponent.</t>
  </si>
  <si>
    <t>{B}{R}</t>
  </si>
  <si>
    <t>Boggart Loggers / Lenhadores Papões</t>
  </si>
  <si>
    <t>Creature — Goblin Rogue / Criatura — Goblin Ladino</t>
  </si>
  <si>
    <t>Forestwalk (This creature can't be blocked as long as defending player controls a Forest.) {2}{B}, Sacrifice this creature: Destroy target Treefolk or Forest. / Travessia de Floresta {2}{B}, Sacrifique Lenhadores Papões: Destrua o Ent ou a Floresta alvo.</t>
  </si>
  <si>
    <t>Boggart Prankster</t>
  </si>
  <si>
    <t>Creature — Goblin Warrior</t>
  </si>
  <si>
    <t>Whenever you attack, target attacking Goblin you control gets +1/+0 until end of turn.</t>
  </si>
  <si>
    <t>Bogslither's Embrace</t>
  </si>
  <si>
    <t>As an additional cost to cast this spell, blight 1 or pay {3}. (To blight 1, put a -1/-1 counter on a creature you control.) Exile target creature.</t>
  </si>
  <si>
    <t>Boilerbilges Ripper</t>
  </si>
  <si>
    <t>Creature — Human Assassin</t>
  </si>
  <si>
    <t>When this creature enters, you may sacrifice another creature or enchantment. When you do, this creature deals 2 damage to any target.</t>
  </si>
  <si>
    <t>Boiling Earth / Terra Fervente</t>
  </si>
  <si>
    <t>Boiling Earth deals 1 damage to each creature your opponents control. Awaken 4—{6}{R} (If you cast this spell for {6}{R}, also put four +1/+1 counters on target land you control and it becomes a 0/0 Elemental creature with haste. It's still a land.) / Terra Fervente causa 1 ponto de dano a cada criatura que seus oponentes controlam.Despertar 4 — {6}{R} (Se você conjurar esta mágica por {6}{R}, coloque também quatro marcadores +1/+1 no terreno alvo que você controla e ele se tornará uma criatura 0/0 do tipo Elemental com ímpeto. Ela ainda é um terreno.)</t>
  </si>
  <si>
    <t>Boiling Rock Prison</t>
  </si>
  <si>
    <t>This land enters tapped. {T}: Add {B} or {R}. {4}, {T}, Sacrifice this land: Draw a card.</t>
  </si>
  <si>
    <t>Bold Biochemist</t>
  </si>
  <si>
    <t>Creature — Human Scientist</t>
  </si>
  <si>
    <t>Power-up — {5}{U}: Put a +1/+1 counter on this creature and draw two cards. (Activate each power-up ability only once. Reduce the cost by its mana cost if it entered this turn.)</t>
  </si>
  <si>
    <t>Bombard / Bombardear</t>
  </si>
  <si>
    <t>Bombard causa 4 pontos de dano à criatura alvo.</t>
  </si>
  <si>
    <t>2{R}</t>
  </si>
  <si>
    <t xml:space="preserve">Rivais de Ixalan </t>
  </si>
  <si>
    <t>Bonded Construct / Constructo Vinculado</t>
  </si>
  <si>
    <t>This creature can't attack alone. / Constructo Vinculado não pode atacar sozinho.</t>
  </si>
  <si>
    <t>Bone Harvest / Colheita de Ossos</t>
  </si>
  <si>
    <t>Put any number of target creature cards from your graveyard on top of your library. Draw a card at the beginning of the next turn's upkeep.</t>
  </si>
  <si>
    <t>Bone Saw / Serra Óssea</t>
  </si>
  <si>
    <t>Equipped creature gets +1/+0. Equip {1}</t>
  </si>
  <si>
    <t>Bone Shaman / Xamã dos Ossos</t>
  </si>
  <si>
    <t>Creature — Giant Shaman</t>
  </si>
  <si>
    <t>{B}: Until end of turn, this creature gains "Creatures dealt damage by this creature this turn can't be regenerated this turn."</t>
  </si>
  <si>
    <t>Bone Splinters / Estacas Ósseas</t>
  </si>
  <si>
    <t>As an additional cost to cast this spell, sacrifice a creature. Destroy target creature. / Como custo adicional para conjurar esta mágica, sacrifique uma criatura. Destrua a criatura alvo.</t>
  </si>
  <si>
    <t>Bone Splinters / Estilhaços de Osso</t>
  </si>
  <si>
    <t>Como custo adicional para conjurar Estilhaços de Osso, sacrifique uma criatura. Destrua a criatura alvo.</t>
  </si>
  <si>
    <t>B</t>
  </si>
  <si>
    <t>Core Set 2020</t>
  </si>
  <si>
    <t>Bone to Ash / De Ossos a Cinzas</t>
  </si>
  <si>
    <t>Counter target creature spell. Draw a card. / Anule a mágica de criatura alvo.Compre um card.</t>
  </si>
  <si>
    <t>Dark Ascension (DKA)</t>
  </si>
  <si>
    <t>Boneclad Necromancer / Necromante da Veste Óssea</t>
  </si>
  <si>
    <t>When this creature enters, you may exile target creature card from a graveyard. If you do, create a 2/2 black Zombie creature token. / Quando Necromante da Veste Óssea entra no campo de batalha, você pode exilar o card de criatura alvo de um cemitério. Se fizer isso, crie uma ficha de criatura preta 2/2 do tipo Zumbi.</t>
  </si>
  <si>
    <t>Boneclub Berserker</t>
  </si>
  <si>
    <t>Creature — Goblin Berserker</t>
  </si>
  <si>
    <t>This creature gets +2/+0 for each other Goblin you control.</t>
  </si>
  <si>
    <t>Boneco de Justa / Jousting Dummy</t>
  </si>
  <si>
    <t>Criatura Artefato — Espantalho Cavaleiro</t>
  </si>
  <si>
    <t>{3}: Boneco de Justa recebe +1/+0 até o final do turno.</t>
  </si>
  <si>
    <t>Boomerang / Bumerangue</t>
  </si>
  <si>
    <t>Return target permanent to its owner's hand. / Devolve a permanente alvo para a mão de seu dono.</t>
  </si>
  <si>
    <t>{U}{U}</t>
  </si>
  <si>
    <t>Boon of Erebos / Bênção de Érebo</t>
  </si>
  <si>
    <t>Target creature gets +2/+0 until end of turn. Regenerate it. You lose 2 life. / A criatura alvo recebe +2/+0 até o final do turno. Regenere-a. Você perde 2 pontos de vida.</t>
  </si>
  <si>
    <t>Borderland Marauder / Saqueador da Fronteira</t>
  </si>
  <si>
    <t>Creature — Human Warrior / Criatura — Humano Guerreiro</t>
  </si>
  <si>
    <t>Whenever this creature attacks, it gets +2/+0 until end of turn. / Toda vez que Saqueador da Fronteira ataca, ele recebe +2/+0 até o final do turno.</t>
  </si>
  <si>
    <t>Borderland Ranger / Patrulheiro de Fronteira</t>
  </si>
  <si>
    <t>Creature — Human Scout Ranger / Criatura — Humano Batedor</t>
  </si>
  <si>
    <t>When this creature enters, you may search your library for a basic land card, reveal it, put it into your hand, then shuffle. / Quando Patrulheiro de Fronteira entra no campo de batalha, você pode procurar um card de terreno básico em seu grimório, revelá-lo e colocá-lo em sua mão. Se fizer isso, embaralhe seu grimório.</t>
  </si>
  <si>
    <t>Magic 2010 (M10)</t>
  </si>
  <si>
    <t>Boros Recruit / Recruta Boros</t>
  </si>
  <si>
    <t>Creature — Goblin Soldier / Criatura - Soldado Goblin</t>
  </si>
  <si>
    <t>({R/W} can be paid with either {R} or {W}.) First strike / ({R/W} pode ser pago com {R} ou {W}.) Iniciativa</t>
  </si>
  <si>
    <t>{R/W}</t>
  </si>
  <si>
    <t>Ravnica: City of Guilds (RAV)</t>
  </si>
  <si>
    <t>Borough Backup / Reforço do Bairro</t>
  </si>
  <si>
    <t>Crie duas fichas de criatura Herói brancas 3/2 com vigilância. Reciclar terreno básico {2} ({2}, Descarte este card: Procure em seu grimório por um card de terreno básico, revele-o, coloque-o em sua mão e depois embaralhe.)</t>
  </si>
  <si>
    <t>Bortuk Bonerattle / Bortuk Chocalho de Ossos</t>
  </si>
  <si>
    <t>Legendary Creature — Troll Shaman / Criatura Lendária — Trol Xamã</t>
  </si>
  <si>
    <t>Domain — When Bortuk Bonerattle enters, if you cast it, choose target creature card in your graveyard. Return that card to the battlefield if its mana value is less than or equal to the number of basic land types among lands you control. Otherwise, put it into your hand. / Dominar — Quando Bortuk Chocalho de Ossos entrar no campo de batalha, se você o tiver conjurado, escolha o card de criatura alvo em seu cemitério. Devolva aquele card ao campo de batalha se o valor de mana dele for igual ou inferior ao número de tipos de terreno básico entre os terrenos que você controla. Do contrário, coloque-o em sua mão.</t>
  </si>
  <si>
    <t>{4}{B}{G}</t>
  </si>
  <si>
    <t>Boseiju Reaches Skyward // Branch of Boseiju / Boseiju Alcança as Alturas // Galho de Boseiju</t>
  </si>
  <si>
    <t>Enchantment — Saga // Enchantment Creature — Plant / Encantamento — Saga</t>
  </si>
  <si>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</si>
  <si>
    <t>Bosh, Iron Golem / Bosh, Golem de Ferro</t>
  </si>
  <si>
    <t>Legendary Artifact Creature — Golem / Criatura Artefato Lendária — Golem</t>
  </si>
  <si>
    <t>Trample {3}{R}, Sacrifice an artifact: Bosh deals damage equal to the sacrificed artifact's mana value to any target. / Atropelar {3}{R}, sacrifique um artefato: Bosh, Golem de Ferro, causa a qualquer alvo dano igual ao valor de mana do artefato sacrificado.</t>
  </si>
  <si>
    <t>Commander Anthology Volume II (CM2)</t>
  </si>
  <si>
    <t>Bot Bashing Time</t>
  </si>
  <si>
    <t>Bot Bashing Time deals 6 damage to target creature. If that creature would die this turn, exile it instead.</t>
  </si>
  <si>
    <t>Bottle Gnomes / Gnomos de Garrafa</t>
  </si>
  <si>
    <t>Artifact Creature — Gnome / Criatura Artefato — Gnomo</t>
  </si>
  <si>
    <t>Sacrifice this creature: You gain 3 life. / Sacrifique Gnomos de Garrafa: Você ganha 3 pontos de vida.</t>
  </si>
  <si>
    <t>Duel Decks Anthology: Jace vs. Chandra (JVC)</t>
  </si>
  <si>
    <t>Bottomless Pool // Locker Room</t>
  </si>
  <si>
    <t>Enchantment — Room // Enchantment — Room</t>
  </si>
  <si>
    <t>Bottomless Pool: When you unlock this door, return up to one target creature to its owner's hand. (You may cast either half. That door unlocks on the battlefield. As a sorcery, you may pay the mana cost of a locked door to unlock it.) // Locker Room: Whenever one or more creatures you control deal combat damage to a player, draw a card. (You may cast either half. That door unlocks on the battlefield. As a sorcery, you may pay the mana cost of a locked door to unlock it.)</t>
  </si>
  <si>
    <t>{U} // {4}{U}</t>
  </si>
  <si>
    <t>Boulderfall / Queda-de-pedra</t>
  </si>
  <si>
    <t>Boulderfall deals 5 damage divided as you choose among any number of targets. / Queda-de-pedra causa 5 pontos de dano distribuídos à sua escolha entre qualquer número de criaturas e/ou jogadores alvo.</t>
  </si>
  <si>
    <t>Bound by Moonsilver / Preso com Prata Lunar</t>
  </si>
  <si>
    <t>Enchant creature Enchanted creature can't attack, block, or transform. Sacrifice another permanent: Attach this Aura to target creature. Activate only as a sorcery and only once each turn. / Encantar criatura A criatura encantada não pode atacar, bloquear nem se transformar. Sacrifique outra permanente: Anexe Preso com Prata Lunar à criatura alvo. Ative esta habilidade somente nos momentos em que poderia conjurar um feitiço e apenas uma vez a cada turno.</t>
  </si>
  <si>
    <t>Innistrad Remastered (INR) RF</t>
  </si>
  <si>
    <t>Bound in Silence / Prisioneiro do Silêncio</t>
  </si>
  <si>
    <t>Kindred Enchantment — Rebel Aura / Encantamento Tribal — Rebelde Aura</t>
  </si>
  <si>
    <t>Enchant creature Enchanted creature can't attack or block. / Encantar criatura A criatura encantada não pode atacar nem bloquear.</t>
  </si>
  <si>
    <t>Future Sight (FUT)</t>
  </si>
  <si>
    <t>Bounding Felidar / Felidar a Galope</t>
  </si>
  <si>
    <t>Creature — Cat Beast Mount / Criatura — Felino Besta Montaria</t>
  </si>
  <si>
    <t>Whenever this creature attacks while saddled, put a +1/+1 counter on each other creature you control. You gain 1 life for each of those creatures. Saddle 2 (Tap any number of other creatures you control with total power 2 or more: This Mount becomes saddled until end of turn. Saddle only as a sorcery.) / Toda vez que Felidar a Galope atacar selado, coloque um marcador +1/+1 em cada outra criatura que você controla. Você ganha 1 ponto de vida por cada uma daquelas criaturas. Selar 2 (Vire qualquer número de outras criaturas que você controla com total de poder igual ou superior a 2: Esta Montaria torna-se selada até o final do turno. Sele somente como um feitiço.)</t>
  </si>
  <si>
    <t>Bouteille de Salomon / Bottle of Solomon</t>
  </si>
  <si>
    <t>{1}: Sacrifique a Bouteille de Salomon e jogue à pile ou face. Se seu adversário ganhar, a Bouteille lhe causa 5 pontos de dano. Se, ao contrário, você ganhar, um Djinn voador 5/5 entra imediatamente em jogo sob seu controle. Use uma ficha para representá-lo. O Djinn é tratado exatamente como uma criatura artefato normal, exceto que, se ele sair de jogo, ele é removido da partida. / {1}, Sacrifice Bottle of Solomon: Flip a coin. If your opponent wins the flip, Bottle of Solomon deals 5 damage to you. If you win the flip, put a 5/5 flying Djinn artifact creature token onto the battlefield. If the Djinn would leave the battlefield, exile it instead of putting it into any other zone.</t>
  </si>
  <si>
    <t>Brago, King Eternal / Brago, Rei Eterno</t>
  </si>
  <si>
    <t>Legendary Creature — Spirit Noble / Criatura Lendária — Espírito Nobre</t>
  </si>
  <si>
    <t>Flying Whenever Brago deals combat damage to a player, exile any number of target nonland permanents you control, then return those cards to the battlefield under their owner's control. / Voar Toda vez que Brago, Rei Eterno, causar dano de combate a um jogador, exile qualquer número de permanentes alvo não de terreno que você controla e, em seguida, devolva aqueles cards ao campo de batalha sob o controle de seus donos.</t>
  </si>
  <si>
    <t>Eternal Masters (EMA)</t>
  </si>
  <si>
    <t>Brago's Representative</t>
  </si>
  <si>
    <t>While voting, you get an additional vote. (The votes can be for different choices or for the same choice.)</t>
  </si>
  <si>
    <t>Brain Maggot / Verme Cerebral</t>
  </si>
  <si>
    <t>Enchantment Creature — Insect / Criatura Encantamento — Inseto</t>
  </si>
  <si>
    <t>When this creature enters, target opponent reveals their hand and you choose a nonland card from it. Exile that card until this creature leaves the battlefield. / Quando Verme Cerebral entra no campo de batalha, o oponente alvo revela a própria mão e você escolhe um card dela que não seja um terreno. Exile aquele card até Verme Cerebral deixar o campo de batalha.</t>
  </si>
  <si>
    <t>Bramble Armor / Armadura de Espinheiro</t>
  </si>
  <si>
    <t>When this Equipment enters, attach it to target creature you control. Equipped creature gets +2/+1. Equip {4} ({4}: Attach to target creature you control. Equip only as a sorcery.) / Quando Armadura de Espinheiro entrar no campo de batalha, anexe-a à criatura alvo que você controla. A criatura equipada recebe +2/+1. Equipar {4} ({4}: Anexe este equipamento à criatura alvo que você controla. Equipe somente como um feitiço.)</t>
  </si>
  <si>
    <t>Brambleweft Behemoth / Behemoth Espinheiro</t>
  </si>
  <si>
    <t>Trample (This creature can deal excess combat damage to the player or planeswalker it's attacking.) / Atropelar (Esta criatura pode causar seu dano de combate excedente ao planeswalker ou jogador defensor ao atacar.)</t>
  </si>
  <si>
    <t>{4}{G}{G}</t>
  </si>
  <si>
    <t>Brand of Ill Omen / Estigma do Infortúnio</t>
  </si>
  <si>
    <t>Enchant creature Cumulative upkeep {R} (At the beginning of your upkeep, put an age counter on this permanent, then sacrifice it unless you pay its upkeep cost for each age counter on it.) Enchanted creature's controller can't cast creature spells.</t>
  </si>
  <si>
    <t>Brandywine Farmer / Fazendeira do Brandevin</t>
  </si>
  <si>
    <t>Creature — Halfling Peasant / Criatura — Pequenino Plebeu</t>
  </si>
  <si>
    <t>When this creature enters or leaves the battlefield, create a Food token. (It's an artifact with "{2}, {T}, Sacrifice this token: You gain 3 life.") / Quando Fazendeira do Brandevin entrar no campo de batalha ou o deixar, crie uma ficha de Comida. (Ela é um artefato com "{2}, {T}, sacrifique este artefato: Você ganha 3 pontos de vida".)</t>
  </si>
  <si>
    <t>Brass Man / Homem de Bronze</t>
  </si>
  <si>
    <t>Artifact Creature — Construct</t>
  </si>
  <si>
    <t>This creature doesn't untap during your untap step. At the beginning of your upkeep, you may pay {1}. If you do, untap this creature.</t>
  </si>
  <si>
    <t>Brassclaw Orcs / Orcs da Garra de Bronze</t>
  </si>
  <si>
    <t>Creature — Orc</t>
  </si>
  <si>
    <t>This creature can't block creatures with power 2 or greater.</t>
  </si>
  <si>
    <t>Brave Brawler</t>
  </si>
  <si>
    <t>Creature — Human Warrior Hero</t>
  </si>
  <si>
    <t>Lifelink Power-up — {4}{W}: Put two +1/+1 counters on this creature. (Activate each power-up ability only once. Reduce the cost by its mana cost if it entered this turn.)</t>
  </si>
  <si>
    <t>Brave the Sands / Resistir às Areias</t>
  </si>
  <si>
    <t>Creatures you control have vigilance. Each creature you control can block an additional creature each combat. / As criaturas que você controla têm vigilância. Cada criatura que você controla pode bloquear uma criatura adicional.</t>
  </si>
  <si>
    <t>Bravura de Pippin / Pippin's Bravery</t>
  </si>
  <si>
    <t>Você pode sacrificar uma Comida. Se fazer isso, a criatura alvo receberá +4/+4 até o final do turno. Caso contrário, aquela criatura recebe +2/+2 até o final do turno.</t>
  </si>
  <si>
    <t>Brawn, Amadeus Cho</t>
  </si>
  <si>
    <t>Legendary Creature — Gamma Scientist Hero</t>
  </si>
  <si>
    <t>When Brawn enters, draw a card. Power-up — {4}{G/U}: Put a +1/+1 counter on Brawn for each card in your hand. (Activate each power-up ability only once. Reduce the cost by his mana cost if he entered this turn.)</t>
  </si>
  <si>
    <t>{1}{G/U}</t>
  </si>
  <si>
    <t>Brazen Blademaster / Espadachim-mestre Brônzeo</t>
  </si>
  <si>
    <t>Creature — Orc Pirate / Criatura — Orc Pirata</t>
  </si>
  <si>
    <t>Whenever this creature attacks while you control two or more artifacts, it gets +2/+1 until end of turn. / Toda vez que Espadachim-mestre Brônzeo ataca enquanto você controla dois ou mais artefatos, ele recebe +2/+1 até o final do turno.</t>
  </si>
  <si>
    <t>Brazen Freebooter / Filibusteira Brônzea</t>
  </si>
  <si>
    <t>Creature — Human Pirate / Criatura — Humano Pirata</t>
  </si>
  <si>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</si>
  <si>
    <t>Brazen Scourge / Praga Insolente</t>
  </si>
  <si>
    <t>Haste (This creature can attack and {T} as soon as it comes under your control.) / Ímpeto</t>
  </si>
  <si>
    <t>Breaking // Entering // Quebrar // Entrar</t>
  </si>
  <si>
    <t>Feitiço // Feitiço</t>
  </si>
  <si>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</si>
  <si>
    <t>{U}{B} // 4{B}{R}</t>
  </si>
  <si>
    <t>Dragon's Maze</t>
  </si>
  <si>
    <t>Breathe Your Last / Respire pela Última Vez</t>
  </si>
  <si>
    <t>Destroy target creature or planeswalker. You gain 1 life for each of its colors. / Destrua a criatura ou o planeswalker alvo. Você ganha 1 ponto de vida por cada uma de suas cores.</t>
  </si>
  <si>
    <t>Breathstealer / Ladrão de Fôlego</t>
  </si>
  <si>
    <t>Creature — Nightstalker</t>
  </si>
  <si>
    <t>{B}: This creature gets +1/-1 until end of turn.</t>
  </si>
  <si>
    <t>Briarpack Alpha / Alfa da Alcateia dos Espinhos</t>
  </si>
  <si>
    <t>Flash. When Briarpack Alpha enters the battlefield, target creature gets +2/+2 until end of turn. / Lampejo. Quando Alfa da Alcateia dos Espinhos entra no campo de batalha, a criatura alvo recebe +2/+2 até o final do turno.</t>
  </si>
  <si>
    <t>Flash (You may cast this spell any time you could cast an instant.) When this creature enters, target creature gets +2/+2 until end of turn. / Lampejo (Você poderá conjurar esta mágica a qualquer momento em que puder conjurar uma mágica instantânea.)Quando Alfa da Alcateia dos Espinhos entra no campo de batalha, a criatura alvo recebe +2/+2 até o final do turno.</t>
  </si>
  <si>
    <t>Briber's Purse / Bolsa do Subornador</t>
  </si>
  <si>
    <t>This artifact enters with X gem counters on it. {1}, {T}, Remove a gem counter from this artifact: Target creature can't attack or block this turn. / Bolsa do Subornador entra no campo de batalha com X marcadores de gema. {1}, {T}, Remova um marcador de gema de Bolsa do Subornador: A criatura alvo não pode atacar nem bloquear neste turno.</t>
  </si>
  <si>
    <t>{X}</t>
  </si>
  <si>
    <t>Brightblade Stoat</t>
  </si>
  <si>
    <t>Creature — Weasel Soldier</t>
  </si>
  <si>
    <t>First strike, lifelink</t>
  </si>
  <si>
    <t>Brightfield Mustang</t>
  </si>
  <si>
    <t>Creature — Horse Mount</t>
  </si>
  <si>
    <t>Whenever this creature attacks while saddled, untap it and put a +1/+1 counter on it. Saddle 1 (Tap any number of other creatures you control with total power 1 or more: This Mount becomes saddled until end of turn. Saddle only as a sorcery.)</t>
  </si>
  <si>
    <t>Brigid's Command</t>
  </si>
  <si>
    <t>Kindred Sorcery — Kithkin</t>
  </si>
  <si>
    <t>Choose two — • Create a token that's a copy of target Kithkin you control. • Target player creates a 1/1 green and white Kithkin creature token. • Target creature you control gets +3/+3 until end of turn. • Target creature you control fights target creature an opponent controls.</t>
  </si>
  <si>
    <t>Brilliance Unleashed</t>
  </si>
  <si>
    <t>Choose one or both — • Brilliance Unleashed deals 5 damage to target creature. • Choose target artifact card in your graveyard. Return it to the battlefield if it's an artifact creature card. Otherwise, return it to the battlefield and it's a 3/3 Robot artifact creature with flying.</t>
  </si>
  <si>
    <t>{4}{U}{R}</t>
  </si>
  <si>
    <t>Brine Shaman / Xamã do Oceano</t>
  </si>
  <si>
    <t>Creature — Human Cleric Shaman</t>
  </si>
  <si>
    <t>{T}, Sacrifice a creature: Target creature gets +2/+2 until end of turn. {1}{U}{U}, Sacrifice a creature: Counter target creature spell.</t>
  </si>
  <si>
    <t>Brinelin, the Moon Kraken / Salmouríneo, o Kraken Lunar</t>
  </si>
  <si>
    <t>Legendary Creature — Kraken / Criatura Lendária — Kraken</t>
  </si>
  <si>
    <t>When Brinelin enters and whenever you cast a spell with mana value 6 or greater, you may return target nonland permanent to its owner's hand. Partner (You can have two commanders if both have partner.) / Quando Salmouríneo, o Kraken Lunar, entra no campo de batalha ou toda vez que você conjura uma mágica com custo de mana convertido igual ou superior a 6, você pode devolver a permanente alvo que não seja um terreno para a mão de seu dono. Parceiro (Você pode ter dois comandantes se ambos tiverem parceiro.)</t>
  </si>
  <si>
    <t>{6}{U}{U}</t>
  </si>
  <si>
    <t>Brink of Disaster / Beira do Desastre</t>
  </si>
  <si>
    <t>Enchant creature or land When enchanted permanent becomes tapped, destroy it. / Encantar criatura ou terreno Quando a permanente encantada for virada, destrua-a.</t>
  </si>
  <si>
    <t>Magic 2012</t>
  </si>
  <si>
    <t>Broken Concentration / Concentração Quebrada</t>
  </si>
  <si>
    <t>Counter target spell. Madness {3}{U} (If you discard this card, discard it into exile. When you do, cast it for its madness cost or put it into your graveyard.) / Anule a mágica alvo. Loucura {3}{U} (Se você descartar este card, descarte-o para o exílio. Quando fizer isso, conjure-o por seu custo de loucura ou coloque-o em seu cemitério.)</t>
  </si>
  <si>
    <t>Broken Visage / Imagem Estilhaçada</t>
  </si>
  <si>
    <t>Destroy target nonartifact attacking creature. It can't be regenerated. Create a black Spirit creature token. Its power is equal to that creature's power and its toughness is equal to that creature's toughness. Sacrifice the token at the beginning of the next end step.</t>
  </si>
  <si>
    <t>Broken Wings / Asas Quebradas</t>
  </si>
  <si>
    <t>Destroy target artifact, enchantment, or creature with flying. / Destrua o artefato, o encantamento ou a criatura com voar alvo.</t>
  </si>
  <si>
    <t>Bronze Tablet</t>
  </si>
  <si>
    <t>Remove this card from your deck before playing if you're not playing for ante. This artifact enters tapped. {4}, {T}: Exile this artifact and target nontoken permanent an opponent owns. That player may pay 10 life. If they do, put this card into its owner's graveyard. Otherwise, that player owns this card and you own the other exiled card.</t>
  </si>
  <si>
    <t>Antiquities (ATQ)</t>
  </si>
  <si>
    <t>Brood Monitor / Monitorador da Prole</t>
  </si>
  <si>
    <t>Devoid (This card has no color.) When this creature enters, create three 1/1 colorless Eldrazi Scion creature tokens. They have "Sacrifice this token: Add {C}." / Desprovido (Este card não tem cor.)Quando Monitorador da Prole entrar no campo de batalha, coloque no campo de batalha três fichas de criatura incolores 1/1 do tipo Rebento Eldrazi. Elas têm "Sacrifique esta criatura: Adicione {1} à sua reserva de mana."</t>
  </si>
  <si>
    <t>Broodguard Elite / Elite da Guarda da Ninhada</t>
  </si>
  <si>
    <t>Criatura — Inseto Cavaleiro</t>
  </si>
  <si>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</si>
  <si>
    <t>X{G}{G}</t>
  </si>
  <si>
    <t>Broodheart Engine</t>
  </si>
  <si>
    <t>At the beginning of your upkeep, surveil 1. {2}{B}{G}, {T}, Sacrifice this artifact: Return target creature or Vehicle card from your graveyard to the battlefield. Activate only as a sorcery.</t>
  </si>
  <si>
    <t>Broodrage Mycoid / Micoide da Prole Furiosa</t>
  </si>
  <si>
    <t>Creature — Fungus / Criatura — Fungo</t>
  </si>
  <si>
    <t>At the beginning of your end step, if you descended this turn, create a 1/1 black Fungus creature token with "This token can't block." (You descended if a permanent card was put into your graveyard from anywhere.) / No início de sua etapa final, se você tiver descido neste turno, crie uma ficha de criatura Fungo preta 1/1 com "Esta criatura não pode bloquear". (Você desceu se um card de permanente foi colocado em seu cemitério vindo de qualquer lugar.)</t>
  </si>
  <si>
    <t>Brothers of Fire / Irmãos do Fogo</t>
  </si>
  <si>
    <t>Creature — Human Shaman</t>
  </si>
  <si>
    <t>{1}{R}{R}: This creature deals 1 damage to any target and 1 damage to you.</t>
  </si>
  <si>
    <t>Brothers Yamazaki</t>
  </si>
  <si>
    <t>Legendary Creature — Human Samurai</t>
  </si>
  <si>
    <t>Bushido 1 (Whenever this creature blocks or becomes blocked, it gets +1/+1 until end of turn.) If there are exactly two permanents named Brothers Yamazaki on the battlefield, the "legend rule" doesn't apply to them. Each other creature named Brothers Yamazaki gets +2/+2 and has haste.</t>
  </si>
  <si>
    <t>Champions of Kamigawa (CHK)</t>
  </si>
  <si>
    <t>Virado para a direita</t>
  </si>
  <si>
    <t>Bubble Smuggler / Contrabandista Borbulhante</t>
  </si>
  <si>
    <t>Creature — Octopus Fish / Criatura — Polvo Peixe</t>
  </si>
  <si>
    <t>Disguise {5}{U} (You may cast this card face down for {3} as a 2/2 creature with ward {2}. Turn it face up any time for its disguise cost.) As this creature is turned face up, put four +1/+1 counters on it. / Disfarce {5}{U} (Você pode conjurar este card com a face para baixo por {3} como uma criatura 2/2 com salvaguarda {2}. Volte sua face para cima a qualquer momento pagando seu custo de disfarce.) Conforme Contrabandista Borbulhante for voltado para cima, coloque quatro marcadores +1/+1 nele.</t>
  </si>
  <si>
    <t>Builder's Bane / Maldição do Construtor</t>
  </si>
  <si>
    <t>Destroy X target artifacts. Builder's Bane deals damage to each player equal to the number of artifacts they controlled that were put into a graveyard this way.</t>
  </si>
  <si>
    <t>{X}{X}{R}</t>
  </si>
  <si>
    <t>Bulette / Bulete</t>
  </si>
  <si>
    <t>At the beginning of your end step, if a creature died this turn, put a +1/+1 counter on Bulette. / No início de sua etapa final, se uma criatura tiver morrido neste turno, coloque um marcador +1/+1 em Bulete.</t>
  </si>
  <si>
    <t>Adventures in the Forgotten Realms (AFR)</t>
  </si>
  <si>
    <t>Bullseye, Death Dealer / Mercenário, Negociante da Morte</t>
  </si>
  <si>
    <t>Criatura Lendária — Humano Assassino Vilão</t>
  </si>
  <si>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</si>
  <si>
    <t>2{B/R}</t>
  </si>
  <si>
    <t>Bumi Bash</t>
  </si>
  <si>
    <t>Choose one — • Bumi Bash deals damage equal to the number of lands you control to target creature. • Destroy target land creature or nonbasic land.</t>
  </si>
  <si>
    <t>Bumi, King of Three Trials</t>
  </si>
  <si>
    <t>Legendary Creature — Human Noble Ally</t>
  </si>
  <si>
    <t>When Bumi enters, choose up to X, where X is the number of Lesson cards in your graveyard — • Put three +1/+1 counters on Bumi. • Target player scries 3. • Earthbend 3. (Target land you control becomes a 0/0 creature with haste that's still a land. Put three +1/+1 counters on it. When it dies or is exiled, return it to the battlefield tapped.)</t>
  </si>
  <si>
    <t>{5}{G}</t>
  </si>
  <si>
    <t>Bump in the Night / Barulho na Noite</t>
  </si>
  <si>
    <t>Target opponent loses 3 life. Flashback {5}{R} (You may cast this card from your graveyard for its flashback cost. Then exile it.) / O oponente alvo perde 3 pontos de vida. Recapitular {5}{R} (Você pode conjurar este card de seu cemitério pagando seu custo de recapitular. Depois, exile-o.)</t>
  </si>
  <si>
    <t>Burn Bright / Ira Ardente</t>
  </si>
  <si>
    <t>Creatures you control get +2/+0 until end of turn. / As criaturas que você controla recebem +2/+0 até o final do turno.</t>
  </si>
  <si>
    <t>Burn the Accursed / Queimar os Amaldiçoados</t>
  </si>
  <si>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</si>
  <si>
    <t>Innistrad: Midnight Hunt (MID)</t>
  </si>
  <si>
    <t>Burning-Fist Minotaur / Minotauro do Punho Flamejante</t>
  </si>
  <si>
    <t>Creature — Minotaur Wizard / Criatura — Minotauro Mago</t>
  </si>
  <si>
    <t>First strike {1}{R}, Discard a card: This creature gets +2/+0 until end of turn. / Iniciativa {1}{R}, descarte um card: Minotauro do Punho Flamejante recebe +2/+0 até o final do turno.</t>
  </si>
  <si>
    <t>Burr Grafter / Enxerta-Buril</t>
  </si>
  <si>
    <t>Creature — Spirit / Criatura - Espírito</t>
  </si>
  <si>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</si>
  <si>
    <t>Burrog Banemaker / Criador de Maldições Burrog</t>
  </si>
  <si>
    <t>Creature — Frog Warlock / Criatura — Sapo Bruxo</t>
  </si>
  <si>
    <t>Deathtouch. {1}{B}: This creature gets +1/+1 until end of turn. / Toque mortífero. {1}{B}: Esta criatura recebe +1/+1 até o final do turno.</t>
  </si>
  <si>
    <t>Burrowing / Escavar</t>
  </si>
  <si>
    <t>Enchant creature Enchanted creature has mountainwalk. (It can't be blocked as long as defending player controls a Mountain.)</t>
  </si>
  <si>
    <t>Burst Lightning / Explodir em Raios</t>
  </si>
  <si>
    <t>Kicker {4} (You may pay an additional {4} as you cast this spell.) Burst Lightning deals 2 damage to any target. If this spell was kicked, it deals 4 damage instead. / Reforçar {4} (Você pode pagar um custo adicional de {4} ao conjurar esta mágica.) Explodir em Raios causa 2 pontos de dano à criatura ou ao jogador alvo. Se Explodir em Raios foi reforçado, em vez disso, ele causa 4 pontos de dano àquela criatura ou àquele jogador.</t>
  </si>
  <si>
    <t>Buzz Bots</t>
  </si>
  <si>
    <t>Artifact Creature — Robot Insect</t>
  </si>
  <si>
    <t>Flying, vigilance When this creature dies, draw a card.</t>
  </si>
  <si>
    <t>Buzzard-Wasp Colony</t>
  </si>
  <si>
    <t>Creature — Bird Insect</t>
  </si>
  <si>
    <t>Flying When this creature enters, you may sacrifice an artifact or creature. If you do, draw a card. Whenever another creature you control dies, if it had counters on it, put its counters on this creature.</t>
  </si>
  <si>
    <t>Caçador de Duas Cabeças / Two-Headed Hunter</t>
  </si>
  <si>
    <t>Criatura — Gigante / Creature — Giant</t>
  </si>
  <si>
    <t>Raiva em Dobro (Mágica Instantânea — Aventura): A criatura alvo ganha golpe duplo até o final do turno. (Depois, exile este card. Você pode conjurar a criatura posteriormente do exílio.) Ameaçar (Esta criatura só pode ser bloqueada por duas ou mais criaturas.) / Twice as Mad (Instant — Adventure): Target creature gains double strike until end of turn. (Then exile this card. You may cast the creature later from exile.) Menace (This creature can't be blocked except by two or more creatures.)</t>
  </si>
  <si>
    <t>{4}{R} // {1}{R}</t>
  </si>
  <si>
    <t>Cackling Counterpart / Dupla de Bufões</t>
  </si>
  <si>
    <t>Create a token that's a copy of target creature you control. Flashback {5}{U}{U} (You may cast this card from your graveyard for its flashback cost. Then exile it.) / Coloque uma ficha no campo de batalha que seja uma cópia da criatura alvo que você controla. Recapitular {5}{U}{U} (Você pode conjurar este card de seu cemitério pagando seu custo de recapitular. Depois, exile-o.)</t>
  </si>
  <si>
    <t>Cactuar / Cactuar</t>
  </si>
  <si>
    <t>Criatura — Planta</t>
  </si>
  <si>
    <t>Atropelar. No início de sua etapa final, se esta criatura não tiver entrado no campo de batalha neste turno, devolva-a para a mão de seu dono.</t>
  </si>
  <si>
    <t>Cactusfolk Sureshot / Tiro-certo Cactoide</t>
  </si>
  <si>
    <t>Creature — Plant Mercenary / Criatura — Planta Mercenário</t>
  </si>
  <si>
    <t>Reach Ward {2} (Whenever this creature becomes the target of a spell or ability an opponent controls, counter it unless that player pays {2}.) At the beginning of combat on your turn, other creatures you control with power 4 or greater gain trample and haste until end of turn. / Alcance Salvaguarda {2} (Toda vez que esta criatura se tornar alvo de uma mágica ou habilidade que um oponente controla, anule-a, a menos que aquele jogador pague {2}.) No início do combate no seu turno, as outras criaturas que você controla com poder igual ou superior a 4 ganham atropelar e ímpeto até o final do turno.</t>
  </si>
  <si>
    <t>Cadaver Imp / Diabrete dos Cadáveres</t>
  </si>
  <si>
    <t>Flying When this creature enters, you may return target creature card from your graveyard to your hand. / Voar Quando Diabrete dos Cadáveres entra no campo de batalha, você pode devolver o card de criatura alvo de seu cemitério para a sua mão.</t>
  </si>
  <si>
    <t>Cage of Hands / Jaula de Mãos</t>
  </si>
  <si>
    <t>Enchant creature Enchanted creature can't attack or block. {1}{W}: Return this Aura to its owner's hand. / Encantar criatura A criatura encantada não pode atacar nem bloquear. {1}{W}: Devolva Jaula de Mãos para a mão de seu dono.</t>
  </si>
  <si>
    <t>Calculated Dismissal / Dispensa Calculada</t>
  </si>
  <si>
    <t>Counter target spell unless its controller pays {3}. Spell mastery — If there are two or more instant and/or sorcery cards in your graveyard, scry 2. (To scry 2, look at the top two cards of your library, then put any number of them on the bottom and the rest on top in any order.) / Anule a mágica alvo, a menos que seu controlador pague {3}.Maestria em magia — Se houver dois ou mais cards de mágica instantânea ou feitiço no seu cemitério, use vidência 2. (Para usar vidência 2, olhe os dois cards do topo do seu grimório. Depois, coloque qualquer número deles no fundo do seu grimório e o restante no topo em qualquer ordem.)</t>
  </si>
  <si>
    <t>Call the Mountain Chocobo</t>
  </si>
  <si>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</si>
  <si>
    <t>Vermelha</t>
  </si>
  <si>
    <t>Final Fantasy (FFVII)</t>
  </si>
  <si>
    <t>Call to the Feast / Chamado ao Banquete</t>
  </si>
  <si>
    <t>Create three 1/1 white Vampire creature tokens with lifelink. / Crie três fichas de criatura branca 1/1 do tipo Vampiro com vínculo com a vida.</t>
  </si>
  <si>
    <t>Callous Inspector</t>
  </si>
  <si>
    <t>Menace (This creature can't be blocked except by two or more creatures.) When this creature dies, it deals 1 damage to you. Create a Clue token. (It's an artifact with "{2}, Sacrifice this token: Draw a card.")</t>
  </si>
  <si>
    <t>Camaraderie / Camaradagem</t>
  </si>
  <si>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</si>
  <si>
    <t>{4}{G}{W}</t>
  </si>
  <si>
    <t>Campfire / Fogueira</t>
  </si>
  <si>
    <t>{1}, {T}: You gain 2 life. {2}, {T}, Exile this artifact: Put all commanders you own from the command zone and from your graveyard into your hand. Then shuffle your graveyard into your library. / {1}, {T}: Você ganha 2 pontos de vida. {2}, {T}, exile Fogueira: Coloque em sua mão todos os comandantes que você possui na zona de comando e no seu cemitério. Depois embaralhe seu cemitério em seu grimório.</t>
  </si>
  <si>
    <t>Campus Guide / Guia do Campus</t>
  </si>
  <si>
    <t>When this creature enters, you may search your library for a basic land card, reveal it, then shuffle and put that card on top. / Quando esta criatura entra, você pode procurar em seu grimório um card de terreno básico, revelá-lo, então embaralhar e colocar aquele card no topo.</t>
  </si>
  <si>
    <t>Foundation (FDN)</t>
  </si>
  <si>
    <t>Cancel / Cancelar</t>
  </si>
  <si>
    <t>Counter target spell. / Anule a mágica alvo.</t>
  </si>
  <si>
    <t>Shards of Alara (ALA)</t>
  </si>
  <si>
    <t>Candlelight Vigil / Vigília à Luz de Velas</t>
  </si>
  <si>
    <t>Enchant creature Enchanted creature gets +3/+2 and has vigilance. / Encantar criatura A criatura encantada recebe +3/+2 e tem vigilância.</t>
  </si>
  <si>
    <t>Canyon Crab / Caranguejo do Cânion</t>
  </si>
  <si>
    <t>{1}{U}: This creature gets +2/-2 until end of turn. At the beginning of your end step, if you haven't cast a spell from your hand this turn, draw a card, then discard a card. / {1}{U}: Caranguejo do Cânion recebe +2/-2 até o final do turno. No início de sua etapa final, se você não tiver conjurado uma mágica de sua mão neste turno, compre um card e depois descarte um card.</t>
  </si>
  <si>
    <t>Canyon Crawler</t>
  </si>
  <si>
    <t>Creature — Spider Beast</t>
  </si>
  <si>
    <t>Deathtouch When this creature enters, create a Food token. (It's an artifact with "{2}, {T}, Sacrifice this token: You gain 3 life.") Swampcycling {2} ({2}, Discard this card: Search your library for a Swamp card, reveal it, put it into your hand, then shuffle.)</t>
  </si>
  <si>
    <t>Canyon Minotaur / Minotauro do Desfiladeiro</t>
  </si>
  <si>
    <t>Creature — Minotaur Warrior / Criatura — Minotauro Guerreiro</t>
  </si>
  <si>
    <t>Canyon Wildcat / Lince do Desfiladeiro</t>
  </si>
  <si>
    <t>Creature — Cat / Criatura — Gato</t>
  </si>
  <si>
    <t>Mountainwalk (This creature can't be blocked as long as defending player controls a Mountain.) / Travessia de Montanha (Esta criatura não pode ser bloqueada desde que o jogador defensor controle uma Montanha.)</t>
  </si>
  <si>
    <t>Capashen Unicorn / Unicórnio de Capashen</t>
  </si>
  <si>
    <t>Creature — Unicorn / Criatura — Unicórnio</t>
  </si>
  <si>
    <t>{1}{W}, {T}, Sacrifice Capashen Unicorn: Destroy target artifact or enchantment. / {1}{W}, {T}, Sacrifique Unicórnio de Capashen: Destrua o artefato ou encantamento alvo.</t>
  </si>
  <si>
    <t>Capitã de Umbar / Captain of Umbar</t>
  </si>
  <si>
    <t>Criatura — Humano Pirata</t>
  </si>
  <si>
    <t>{1}, {T}: Compre um card e depois descarte um card.</t>
  </si>
  <si>
    <t>2{U}</t>
  </si>
  <si>
    <t>Captain America, Steve Rogers</t>
  </si>
  <si>
    <t>Legendary Creature — Human Soldier Hero</t>
  </si>
  <si>
    <t>Lifelink (Damage dealt by this creature also causes you to gain that much life.) Whenever Captain America attacks, put a +1/+1 counter on another target creature you control. That creature gains indestructible until end of turn. (Damage and effects that say "destroy" don't destroy it.)</t>
  </si>
  <si>
    <t>{3}{W}{W}</t>
  </si>
  <si>
    <t>Captain Ripley Vance / Capitã Ripley Vance</t>
  </si>
  <si>
    <t>Legendary Creature — Human Pirate / Criatura Lendária — Humano Pirata</t>
  </si>
  <si>
    <t>Whenever you cast your third spell each turn, put a +1/+1 counter on Captain Ripley Vance, then it deals damage equal to its power to any target. / Toda vez que você conjurar sua terceira mágica a cada turno, coloque um marcador +1/+1 em Capitã Ripley Vance. Em seguida, ela causa dano igual ao próprio poder a qualquer alvo.</t>
  </si>
  <si>
    <t>Captain's Defense</t>
  </si>
  <si>
    <t>Target blocking creature gets +2/+2 until end of turn. Draw a card.</t>
  </si>
  <si>
    <t>Capture Sphere / Esfera de Captura</t>
  </si>
  <si>
    <t>Flash (You may cast this spell any time you could cast an instant.) Enchant creature When this Aura enters, tap enchanted creature. Enchanted creature doesn't untap during its controller's untap step. / Lampejo Encantar criatura Quando Esfera de Captura entrar no campo de batalha, vire a criatura encantada. A criatura encantada não é desvirada durante a etapa de desvirar de seu controlador.</t>
  </si>
  <si>
    <t>Careful Cultivation / Cultivo Cuidadoso</t>
  </si>
  <si>
    <t>Enchant artifact or creature As long as enchanted permanent is a creature, it gets +1/+3 and has reach and "{T}: Add {G}{G}." Channel — {1}{G}, Discard this card: Create a 1/1 green Human Monk creature token with "{T}: Add {G}." / Encantar artefato ou criatura Enquanto a permanente encantada for uma criatura, ela receberá +1/+3 e terá alcance e "{T}: Adicione {G}{G}". Canalizar — {1}{G}, descarte Cultivo Cuidadoso: Crie uma ficha de criatura Humano Monge verde 1/1 com "{T}: Adicione {G}".</t>
  </si>
  <si>
    <t>Carnage Gladiator / Gladiador Carniceiro</t>
  </si>
  <si>
    <t>Creature — Skeleton Warrior / Criatura — Esqueleto Guerreiro</t>
  </si>
  <si>
    <t>Whenever a creature blocks, that creature's controller loses 1 life. {1}{B}{R}: Regenerate this creature. / Toda vez que uma criatura bloqueia, o controlador daquela criatura perde 1 ponto de vida. {1}{B}{R}: Regenere Gladiador Carniceiro.</t>
  </si>
  <si>
    <t>Dragon's Maze (DGM)</t>
  </si>
  <si>
    <t>Carniçal Pardo / Grizzly Ghoul</t>
  </si>
  <si>
    <t>Criatura — Zumbi Urso</t>
  </si>
  <si>
    <t>Atropelar Carniçal Pardo entra no campo de batalha com um marcador +1/+1 para cada criatura que morreu neste turno.</t>
  </si>
  <si>
    <t>2{B}{G}</t>
  </si>
  <si>
    <t>Carnival // Carnage / Carnaval // Carnificina</t>
  </si>
  <si>
    <t>Instant // Sorcery / Mágica Instantânea</t>
  </si>
  <si>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</si>
  <si>
    <t>{B/R} // {2}{B}{R}</t>
  </si>
  <si>
    <t>Carrapicho, Estalajadeiro de Bree / Butterbur, Bree Innkeeper</t>
  </si>
  <si>
    <t>Criatura Lendária — Humano Plebeu</t>
  </si>
  <si>
    <t>No início de sua etapa final, se você não controlar uma Comida, crie uma ficha de Comida. (Ela é um artefato com "{2}, {T}, sacrifique este artefato: Você ganha 3 pontos de vida".)</t>
  </si>
  <si>
    <t>2{G}{W}</t>
  </si>
  <si>
    <t>Verde e Branco</t>
  </si>
  <si>
    <t>Carrion Ants / Formigas Carrieiras</t>
  </si>
  <si>
    <t>Creature — Insect</t>
  </si>
  <si>
    <t>{1}: This creature gets +1/+1 until end of turn.</t>
  </si>
  <si>
    <t>Carrion Beetles / Besouros Carrieiros</t>
  </si>
  <si>
    <t>{2}{B}, {T}: Exile up to three target cards from a single graveyard.</t>
  </si>
  <si>
    <t>Urza's Saga (USG)</t>
  </si>
  <si>
    <t>Carrion Crow / Corvo Carniceiro</t>
  </si>
  <si>
    <t>Creature — Zombie Bird / Criatura — Zumbi Ave</t>
  </si>
  <si>
    <t>Flying (This creature can't be blocked except by creatures with flying or reach.) This creature enters tapped. / Voar (Esta criatura só pode ser bloqueada por criaturas com voar ou alcance.) Corvo Carniceiro entra no campo de batalha virado.</t>
  </si>
  <si>
    <t>Carrion Grub / Larva Necrófaga</t>
  </si>
  <si>
    <t>Creature — Insect / Criatura — Inseto</t>
  </si>
  <si>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</si>
  <si>
    <t>Core Set 2021 (M21)</t>
  </si>
  <si>
    <t>Carrion Imp / Diabrete Carniceiro</t>
  </si>
  <si>
    <t>Flying When this creature enters, you may exile target creature card from a graveyard. If you do, you gain 2 life. / Voar Quando Diabrete Carniceiro entra no campo de batalha, você pode exilar o card de criatura alvo de um cemitério. Se fizer isso, você ganhará 2 pontos de vida.</t>
  </si>
  <si>
    <t>Carrion Screecher / Guinchador Carniceiro</t>
  </si>
  <si>
    <t>Carrot Cake / Bolo de Cenoura</t>
  </si>
  <si>
    <t>Artifact — Food / Artefato — Comida</t>
  </si>
  <si>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</si>
  <si>
    <t>Cartouche of Knowledge / Cártula do Conhecimento</t>
  </si>
  <si>
    <t>Enchantment — Aura Cartouche / Encantamento — Aura Cártula</t>
  </si>
  <si>
    <t>Enchant creature you control When this Aura enters, draw a card. Enchanted creature gets +1/+1 and has flying. / Encantar criatura que você controla Quando Cártula do Conhecimento entrar no campo de batalha, compre um card. A criatura encantada recebe +1/+1 e tem voar.</t>
  </si>
  <si>
    <t>Cartouche of Solidarity / Cártula da Solidariedade</t>
  </si>
  <si>
    <t>Enchant creature you control When this Aura enters, create a 1/1 white Warrior creature token with vigilance. Enchanted creature gets +1/+1 and has first strike. (It deals combat damage before creatures without first strike.) / Encantar criatura que você controla Quando Cártula da Solidariedade entrar no campo de batalha, crie uma ficha de criatura branca 1/1 do tipo Guerreiro com vigilância. A criatura encantada recebe +1/+1 e tem iniciativa.</t>
  </si>
  <si>
    <t>Cartouche of Strength / Cártula da Força</t>
  </si>
  <si>
    <t>Enchant creature you control When this Aura enters, you may have enchanted creature fight target creature an opponent controls. (Each deals damage equal to its power to the other.) Enchanted creature gets +1/+1 and has trample. / Encantar criatura que você controla Quando Cártula da Força entra no campo de batalha, você pode fazer com que a criatura encantada lute contra a criatura alvo que um oponente controla. (Cada uma causa à outra uma quantidade de dano igual ao seu poder.) A criatura encantada recebe +1/+1 e tem atropelar.</t>
  </si>
  <si>
    <t>Casca de Clone / Clone Shell</t>
  </si>
  <si>
    <t>Criatura Artefato — Metamorfo / Artifact Creature — Shapeshifter</t>
  </si>
  <si>
    <t>Estampar — Quando Casca de Clone entrar no campo de batalha, olhe os quatro primeiros cards do topo de seu grimório, exile um com a face voltada para baixo e coloque o restante no fundo de seu grimório em qualquer ordem. Quando Casca de Clone for colocado num cemitério vindo do campo de batalha, volte a face do card exilado para cima. Se for um card de criatura, coloque-o no campo de batalha sob o seu controle.</t>
  </si>
  <si>
    <t>Case File Auditor / Auditora de Arquivos de Caso</t>
  </si>
  <si>
    <t>Creature — Human Detective / Criatura — Humano Detetive</t>
  </si>
  <si>
    <t>When this creature enters and whenever you solve a Case, look at the top six cards of your library. You may reveal an enchantment card from among them and put it into your hand. Put the rest on the bottom of your library in a random order. You may spend mana as though it were mana of any color to cast Case spells. / Quando Auditora de Arquivos de Caso entrar no campo de batalha e toda vez que você solucionar um Caso, olhe os seis cards do topo de seu grimório. Você pode revelar um card de encantamento entre eles e colocá-lo em sua mão. Coloque o restante no fundo de seu grimório em ordem aleatória. Você pode gastar mana como se fosse de qualquer cor para conjurar mágicas de Caso.</t>
  </si>
  <si>
    <t>Case of the Gateway Express / Caso do Expresso do Portão</t>
  </si>
  <si>
    <t>Enchantment — Case / Encantamento — Caso</t>
  </si>
  <si>
    <t>When this Case enters, choose target creature you don't control. Each creature you control deals 1 damage to that creature. To solve — Three or more creatures attacked this turn. (If unsolved, solve at the beginning of your end step.) Solved — Creatures you control get +1/+0. / Quando este Caso entrar no campo de batalha, escolha a criatura alvo que você não controla. Cada criatura que você controla causa 1 ponto de dano àquela criatura. Para Solucionar — Três ou mais criaturas atacaram neste turno. (Se o Caso não tiver sido solucionado, solucione-o no início de sua etapa final.) Solucionado — As criaturas que você controla recebem +1/+0.</t>
  </si>
  <si>
    <t>Casey Jones, Jury-Rig Justiciar</t>
  </si>
  <si>
    <t>Legendary Creature — Human Berserker</t>
  </si>
  <si>
    <t>Haste When Casey Jones enters, look at the top four cards of your library. You may reveal an artifact card from among them and put it into your hand. Put the rest on the bottom of your library in a random order.</t>
  </si>
  <si>
    <t>Cast into Darkness / Lançar na Escuridão</t>
  </si>
  <si>
    <t>Enchant creature Enchanted creature gets -2/-0 and can't block. / Encantar criatura A criatura encantada recebe -2/-0 e não pode bloquear.</t>
  </si>
  <si>
    <t>Cast Out / Degredar</t>
  </si>
  <si>
    <t>Flash When this enchantment enters, exile target nonland permanent an opponent controls until this enchantment leaves the battlefield. Cycling {W} ({W}, Discard this card: Draw a card.) / Lampejo Quando Degredar entrar no campo de batalha, exile a permanente alvo que não seja terreno que um oponente controla até que Degredar deixe o campo de batalha. Reciclar {W} ({W}, Descarte este card: Compre um card.)</t>
  </si>
  <si>
    <t>Castelo / Castle</t>
  </si>
  <si>
    <t>As criaturas desviradas sob seu controle ganham +0/+2 quando não estiverem atacando.</t>
  </si>
  <si>
    <t>Castigate / Castigar</t>
  </si>
  <si>
    <t>Target opponent reveals their hand. You choose a nonland card from it and exile that card. / O oponente alvo revela sua própria mão. Escolha um card que não seja um terreno. Remova de jogo aquele card.</t>
  </si>
  <si>
    <t>{W}{B}</t>
  </si>
  <si>
    <t>Arena League 2006 (PAL06)</t>
  </si>
  <si>
    <t>Casting of Bones / Osteomancia</t>
  </si>
  <si>
    <t>Enchant creature When enchanted creature dies, draw three cards, then discard one of them.</t>
  </si>
  <si>
    <t>Castle / Castelo</t>
  </si>
  <si>
    <t>Untapped creatures you control get +0/+2.</t>
  </si>
  <si>
    <t>Castle Doom</t>
  </si>
  <si>
    <t>{T}: Add {C}. {T}: Add one mana of any color. Spend this mana only to cast an artifact spell. {3}, {T}, Sacrifice an artifact: Create a 3/3 colorless Robot Villain artifact creature token named Doombot. Activate only as a sorcery.</t>
  </si>
  <si>
    <t>Cat-Owl</t>
  </si>
  <si>
    <t>Creature — Cat Bird</t>
  </si>
  <si>
    <t>Flying Whenever this creature attacks, untap target artifact or creature.</t>
  </si>
  <si>
    <t>{3}{W/U}</t>
  </si>
  <si>
    <t>Catacomb Crocodile / Crocodilo da Catacumba</t>
  </si>
  <si>
    <t>Creature — Crocodile / Criatura — Crocodilo</t>
  </si>
  <si>
    <t>Catacomb Sifter / Vasculhador das Catacumbas</t>
  </si>
  <si>
    <t>Devoid (This card has no color.) When this creature enters, create a 1/1 colorless Eldrazi Scion creature token. It has "Sacrifice this token: Add {C}." Whenever another creature you control dies, scry 1. (Look at the top card of your library. You may put that card on the bottom.) / Desprovido (Este card não tem cor.)Quando Vasculhador das Catacumbas entrar no campo de batalha, coloque no campo de batalha uma ficha de criatura incolor 1/1 do tipo Rebento Eldrazi. Ela tem "Sacrifique esta criatura: Adicione {1} à sua reserva de mana.".Toda vez que outra criatura que você controla morrer, use vidência 1. (Olhe o card do topo de seu grimório. Você pode colocar aquele card no fundo de seu grimório.)</t>
  </si>
  <si>
    <t>{1}{B}{G}</t>
  </si>
  <si>
    <t>Catacomb Slug / Lesma de Catacumba</t>
  </si>
  <si>
    <t>Creature — Slug / Criatura — Lesma</t>
  </si>
  <si>
    <t>Catalog / Catalogar</t>
  </si>
  <si>
    <t>Draw two cards, then discard a card. / Compre dois cards e depois descarte um card.</t>
  </si>
  <si>
    <t>Cathartic Reunion / Reunião Catártica</t>
  </si>
  <si>
    <t>As an additional cost to cast this spell, discard two cards. Draw three cards. / Como custo adicional para conjurar esta mágica, descarte dois cards. Compre três cards.</t>
  </si>
  <si>
    <t>Caught in the Brights / Pego pelos Holofotes</t>
  </si>
  <si>
    <t>Enchant creature Enchanted creature can't attack or block. When a Vehicle you control attacks, exile enchanted creature. / Encantar criatura A criatura encantada não pode atacar nem bloquear. Quando um Veículo que você controla atacar, exile a criatura encantada.</t>
  </si>
  <si>
    <t>Caustic Caterpillar / Lagarta Cáustica</t>
  </si>
  <si>
    <t>{1}{G}, Sacrifice this creature: Destroy target artifact or enchantment. / {1}{G}, Sacrifique Lagarta Cáustica: Destrua o artefato ou encantamento alvo.</t>
  </si>
  <si>
    <t>Cautious Survivor</t>
  </si>
  <si>
    <t>Creature — Elf Survivor</t>
  </si>
  <si>
    <t>Survival — At the beginning of your second main phase, if this creature is tapped, you gain 2 life.</t>
  </si>
  <si>
    <t>Cavalcade of Calamity / Parada da Calamidade</t>
  </si>
  <si>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</si>
  <si>
    <t>Cavaleiros de Dol Amroth / Knights of Dol Amroth</t>
  </si>
  <si>
    <t>Criatura — Humano Cavaleiro</t>
  </si>
  <si>
    <t>Toda vez que você comprar seu segundo card a cada turno, coloque um marcador +1/+1 em Cavaleiros de Dol Amroth.</t>
  </si>
  <si>
    <t>Cavalry Drillmaster / Mestre de Exercícios da Cavalaria</t>
  </si>
  <si>
    <t>When this creature enters, target creature gets +2/+0 and gains first strike until end of turn. (It deals combat damage before creatures without first strike.) / Quando Mestre de Exercícios da Cavalaria entra no campo de batalha, a criatura alvo recebe +2/+0 e ganha iniciativa até o final do turno. (Ela causa dano de combate antes das criaturas sem iniciativa.)</t>
  </si>
  <si>
    <t>Cave People / Povo da Caverna</t>
  </si>
  <si>
    <t>Creature — Human</t>
  </si>
  <si>
    <t>Whenever this creature attacks, it gets +1/-2 until end of turn. {1}{R}{R}, {T}: Target creature gains mountainwalk until end of turn. (It can't be blocked as long as defending player controls a Mountain.)</t>
  </si>
  <si>
    <t>Cavern Lampad / Lâmpade da Caverna</t>
  </si>
  <si>
    <t>Enchantment Creature — Nymph / Criatura Encantamento — Ninfa</t>
  </si>
  <si>
    <t>Bestow {5}{B} (If you cast this card for its bestow cost, it's an Aura spell with enchant creature. It becomes a creature again if it's not attached.) Intimidate (This creature can't be blocked except by artifact creatures and/or creatures that share a color with it.) Enchanted creature gets +2/+2 and has intimidate. / Agraciar {5}{B} (Se você conjurar este card pagando seu custo de agraciar, ele será uma mágica de Aura com encantar criatura. Ele se tornará novamente uma criatura se não estiver anexado a uma criatura.) Intimidar A criatura encantada recebe +2/+2 e tem intimidar.</t>
  </si>
  <si>
    <t>Cease-Fire / Cessar-Fogo</t>
  </si>
  <si>
    <t>Target player can't cast creature spells this turn. Draw a card. / O jogador alvo não pode baixar mágicas de criatura neste turno. Compre um card.</t>
  </si>
  <si>
    <t>Celeborn, o Sábio / Celeborn the Wise</t>
  </si>
  <si>
    <t>Criatura Lendária — Elfo Nobre</t>
  </si>
  <si>
    <t>Toda vez que você atacar com um ou mais Elfos, use vidência 1. Toda vez que você usa vidência, Celeborn, o Sábio, recebe +1Normally I can help with things like this, but I don't seem to have access to that content. You can try again or ask me for something else.</t>
  </si>
  <si>
    <t>Celestial Flare / Clarão Celestial</t>
  </si>
  <si>
    <t>Target player sacrifices an attacking or blocking creature of their choice. / O jogador alvo sacrifica uma criatura atacante ou bloqueadora.</t>
  </si>
  <si>
    <t>Celestial Prism / Prisma Celestial</t>
  </si>
  <si>
    <t>{2}, {T}: Add one mana of any color.</t>
  </si>
  <si>
    <t>Cemetery Gate / Portão do Cemitério</t>
  </si>
  <si>
    <t>Creature — Wall</t>
  </si>
  <si>
    <t>Defender (This creature can't attack.) Protection from black</t>
  </si>
  <si>
    <t>Centaur</t>
  </si>
  <si>
    <t>Token</t>
  </si>
  <si>
    <t>-</t>
  </si>
  <si>
    <t>Centaur Battlemaster / Centauro Mestre da Espada</t>
  </si>
  <si>
    <t>Creature — Centaur Warrior / Criatura — Centauro Guerreiro</t>
  </si>
  <si>
    <t>Centaur Courser / Centaura-caçadora</t>
  </si>
  <si>
    <t>Centaur Courser / Centaura-Caçadora</t>
  </si>
  <si>
    <t>Centaur's Herald / Arauto do Centauro</t>
  </si>
  <si>
    <t>Creature — Elf Scout / Criatura — Elfo Batedor</t>
  </si>
  <si>
    <t>{2}{G}, Sacrifice this creature: Create a 3/3 green Centaur creature token. / {2}{G}, Sacrifique Arauto do Centauro: Coloque no campo de batalha uma ficha de criatura verde 3/3 do tipo Centauro.</t>
  </si>
  <si>
    <t>Cephalid Inkmage</t>
  </si>
  <si>
    <t>Creature — Octopus Wizard</t>
  </si>
  <si>
    <t>When this creature enters, surveil 3. (Look at the top three cards of your library, then put any number of them into your graveyard and the rest on top of your library in any order.) Threshold — This creature can't be blocked as long as there are seven or more cards in your graveyard.</t>
  </si>
  <si>
    <t>Cephalid Looter / Saqueador Cefálida</t>
  </si>
  <si>
    <t>Creature — Octopus Rogue / Criatura — Cefálida</t>
  </si>
  <si>
    <t>{T}: Target player draws a card, then discards a card. / {T}: O jogador alvo compra um card e então descarta um card de sua própria mão.</t>
  </si>
  <si>
    <t>Cephalid Scout</t>
  </si>
  <si>
    <t>Criatura — Cefalídeo Mago / Creature — Cephalid Wizard</t>
  </si>
  <si>
    <t>Flying. {2}{U}, Sacrifice a land: Draw a card.</t>
  </si>
  <si>
    <t>Cercados por Orcs / Surrounded by Orcs</t>
  </si>
  <si>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</si>
  <si>
    <t>Ceremonious Rejection / Rejeição Cerimoniosa</t>
  </si>
  <si>
    <t>Counter target colorless spell. / Anule a mágica incolor alvo.</t>
  </si>
  <si>
    <t>Cerulean Sphinx / Esfinge Celeste</t>
  </si>
  <si>
    <t>Creature — Sphinx / Criatura - Esfinge</t>
  </si>
  <si>
    <t>Flying {U}: This creature's owner shuffles it into their library. / Voar {U}: O dono de Esfinge Celeste a embaralha em seu grimório.</t>
  </si>
  <si>
    <t>Cesto Remendado / Patchwork Gnomes</t>
  </si>
  <si>
    <t>Artifact Creature — Scarecrow / Criatura Artefato — Espantalho</t>
  </si>
  <si>
    <t>{1}: Cesto Remendado torna-se de todas as cores até o final do turno. / {1}: Patchwork Gnomes becomes all colors until end of turn.</t>
  </si>
  <si>
    <t>Chain Devil / Diabo das Correntes</t>
  </si>
  <si>
    <t>Creature — Devil / Criatura — Diabo</t>
  </si>
  <si>
    <t>Animate Chains — When this creature enters, each player sacrifices a nontoken creature of their choice. / Animar correntes — Quando Diabo das Correntes entra no campo de batalha, cada jogador sacrifica uma criatura não ficha.</t>
  </si>
  <si>
    <t>Chain Lightning / Relâmpago em Cadeia</t>
  </si>
  <si>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</si>
  <si>
    <t>Jumpstart (JMP)</t>
  </si>
  <si>
    <t>Chained to the Rocks / Acorrentado às Rochas</t>
  </si>
  <si>
    <t>Enchant Mountain you control When this Aura enters, exile target creature an opponent controls until this Aura leaves the battlefield. (That creature returns under its owner's control.) / Encantar Montanha que você controla Quando Acorrentado às Rochas entrar no campo de batalha, exile a criatura alvo que um oponente controla até que Acorrentado às Rochas deixe o campo de batalha. (Aquela criatura retorna sob o controle de seu dono.)</t>
  </si>
  <si>
    <t>Champion of the Path</t>
  </si>
  <si>
    <t>Creature — Elemental Sorcerer</t>
  </si>
  <si>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</si>
  <si>
    <t>Champion of the Weird</t>
  </si>
  <si>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</si>
  <si>
    <t>Champions of the Shoal</t>
  </si>
  <si>
    <t>As an additional cost to cast this spell, behold a Merfolk and exile it. (Exile a Merfolk you control or a Merfolk card from your hand.) Whenever this creature enters or becomes tapped, tap up to one target creature and put a stun counter on it. When this creature leaves the battlefield, return the exiled card to its owner's hand.</t>
  </si>
  <si>
    <t>Chandler</t>
  </si>
  <si>
    <t>Legendary Creature — Human Rogue</t>
  </si>
  <si>
    <t>{R}{R}{R}, {T}: Destroy target artifact creature.</t>
  </si>
  <si>
    <t>Chandra's Fury / Fúria de Chandra</t>
  </si>
  <si>
    <t>Chandra's Fury deals 4 damage to target player or planeswalker and 1 damage to each creature that player or that planeswalker's controller controls. / Fúria de Chandra causa 4 pontos de dano ao jogador alvo e 1 ponto de dano a cada criatura que aquele jogador controla.</t>
  </si>
  <si>
    <t>Chandra's Incinerator / Incinerador de Chandra</t>
  </si>
  <si>
    <t>This spell costs {X} less to cast, where X is the total amount of noncombat damage dealt to your opponents this turn. Trample Whenever a source you control deals noncombat damage to an opponent, this creature deals that much damage to target creature or planeswalker that player controls. / Esta mágica custa {X} a menos para ser conjurada, sendo X a quantidade total de dano que não seja de combate causada a seus oponentes neste turno. Atropelar Toda vez que uma fonte que você controla causa dano que não seja de combate a um oponente, Incinerador de Chandra causa aquela quantidade de dano à criatura ou ao planeswalker alvo que aquele jogador controla.</t>
  </si>
  <si>
    <t>{5}{R}</t>
  </si>
  <si>
    <t>Chandra's Outrage / Ultraje de Chandra</t>
  </si>
  <si>
    <t>Chandra's Outrage deals 4 damage to target creature and 2 damage to that creature's controller. / Ultraje de Chandra causa 4 pontos de dano à criatura alvo e 2 pontos de dano ao controlador daquela criatura.</t>
  </si>
  <si>
    <t>Chandra's Pyrohelix / Piro-hélice de Chandra</t>
  </si>
  <si>
    <t>Chandra's Pyrohelix deals 2 damage divided as you choose among one or two targets. / Piro-hélice de Chandra causa 2 pontos de dano distribuídos a sua escolha entre uma ou duas criaturas e/ou jogadores alvo.</t>
  </si>
  <si>
    <t>Channel / Canal</t>
  </si>
  <si>
    <t>Mythic / Mítica</t>
  </si>
  <si>
    <t>Until end of turn, any time you could activate a mana ability, you may pay 1 life. If you do, add {C}. / Até o final do turno, a qualquer momento em que você poderia ativar uma habilidade de mana, você poderá pagar 1 ponto de vida. Se fizer isso, adicione {C}.</t>
  </si>
  <si>
    <t>From the Vault: Exiled (V09)</t>
  </si>
  <si>
    <t>Channel Harm / Canalizar Dano</t>
  </si>
  <si>
    <t>Prevent all damage that would be dealt to you and permanents you control this turn by sources you don't control. If damage is prevented this way, you may have Channel Harm deal that much damage to target creature. / Previna todo o dano que seria causado a você e às permanentes que você controla neste turno por fontes que você não controla. Se algum dano for prevenido desta forma, você poderá fazer com que Canalizar Dano cause uma quantidade equivalente de dano à criatura alvo.</t>
  </si>
  <si>
    <t>Chant of the Skifsang / Cântico dos Skifsang</t>
  </si>
  <si>
    <t>Enchant creature Enchanted creature gets -13/-0. / Encantar criatura A criatura encantada recebe -13/-0.</t>
  </si>
  <si>
    <t>Chaos Spewer</t>
  </si>
  <si>
    <t>When this creature enters, you may pay {2}. If you don't, blight 2. (To blight 2, put two -1/-1 counters on a creature you control.)</t>
  </si>
  <si>
    <t>{2}{B/R}</t>
  </si>
  <si>
    <t>Chapel Geist / Geist da Capela</t>
  </si>
  <si>
    <t>Chaplain's Blessing / Bênção da Capelã</t>
  </si>
  <si>
    <t>You gain 5 life. / Você ganha 5 pontos de vida.</t>
  </si>
  <si>
    <t>Charcoal Diamond / Diamante de Carvão</t>
  </si>
  <si>
    <t>This artifact enters tapped. {T}: Add {B}. / Diamante de Carvão entra no campo de batalha virado. {T}: Adicione {B}.</t>
  </si>
  <si>
    <t>Midnight Hunt Commander (MIC)</t>
  </si>
  <si>
    <t>Charge of the Forever-Beast / Carga da Fera Eterna</t>
  </si>
  <si>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</si>
  <si>
    <t>Charging Badger / Texugo Atacante</t>
  </si>
  <si>
    <t>Creature — Badger / Criatura — Texugo</t>
  </si>
  <si>
    <t>Trample / Atropelar</t>
  </si>
  <si>
    <t>Charging Griffin / Grifo Atacante</t>
  </si>
  <si>
    <t>Creature — Griffin / Criatura — Grifo</t>
  </si>
  <si>
    <t>Flying (This creature can't be blocked except by creatures with flying or reach.) Whenever this creature attacks, it gets +1/+1 until end of turn. / VoarToda vez que Grifo Atacante ataca, ele recebe +1/+1 até o final do turno.</t>
  </si>
  <si>
    <t>Charging Rhino / Rinoceronte Atacante</t>
  </si>
  <si>
    <t>Creature — Rhino / Criatura — Rinoceronte</t>
  </si>
  <si>
    <t>This creature can't be blocked by more than one creature. / Rinoceronte Atacante não pode ser bloqueado por mais do que uma criatura.</t>
  </si>
  <si>
    <t>Chariot of the Sun / Carruagem do Sol</t>
  </si>
  <si>
    <t>{2}, {T}: Until end of turn, target creature you control gains flying and has base toughness 1.</t>
  </si>
  <si>
    <t>Charmbreaker Devils / Demônios Quebradores de Encanto</t>
  </si>
  <si>
    <t>At the beginning of your upkeep, return an instant or sorcery card at random from your graveyard to your hand. Whenever you cast an instant or sorcery spell, this creature gets +4/+0 until end of turn. / No início de sua manutenção, devolva um card de mágica instantânea ou de feitiço aleatoriamente de seu cemitério para sua mão. Toda vez que você conjura uma mágica instantânea ou de feitiço, Demônios Quebradores de Encanto recebe +4/+0 até o final do turno.</t>
  </si>
  <si>
    <t>Charmed Stray / Vira-lata Encantado</t>
  </si>
  <si>
    <t>Lifelink When this creature enters, put a +1/+1 counter on each other creature you control named Charmed Stray. / Vínculo com a vida Quando Vira-lata Encantado entrar no campo de batalha, coloque um marcador +1/+1 em cada outra criatura que você controla com o nome Vira-lata Encantado.</t>
  </si>
  <si>
    <t>Chase Inspiration / Perseguir a Inspiração</t>
  </si>
  <si>
    <t>Instant / Instantânea</t>
  </si>
  <si>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</si>
  <si>
    <t>Chasm Drake / Dragonete do Precipício</t>
  </si>
  <si>
    <t>Flying Whenever this creature attacks, target creature you control gains flying until end of turn. / Voar Toda vez que Dragonete do Precipício ataca, a criatura alvo que você controla ganha voar até o final do turno.</t>
  </si>
  <si>
    <t>Chemister's Insight / Visão da Quimiomante</t>
  </si>
  <si>
    <t>Draw two cards. Jump-start (You may cast this card from your graveyard by discarding a card in addition to paying its other costs. Then exile this card.) / Compre dois cards. Recarregar (Você pode conjurar este card de seu cemitério descartando um card além de pagar seus outros custos. Depois, exile este card.)</t>
  </si>
  <si>
    <t>Chief of the Foundry / Chefe da Fundição</t>
  </si>
  <si>
    <t>Other artifact creatures you control get +1/+1. / As outras criaturas artefato que você controla recebem +1/+1.</t>
  </si>
  <si>
    <t>Chillbringer / Portador do Frio</t>
  </si>
  <si>
    <t>Flying When this creature enters, tap target creature an opponent controls. It doesn't untap during its controller's next untap step. / Voar Quando Portador do Frio entrar no campo de batalha, vire a criatura alvo que um oponente controla. Ela não desvira durante a próxima etapa de desvirar de seu controlador.</t>
  </si>
  <si>
    <t>Chilling Grasp / Garras Gélidas</t>
  </si>
  <si>
    <t>Tap up to two target creatures. Those creatures don't untap during their controller's next untap step. Madness {3}{U} (If you discard this card, discard it into exile. When you do, cast it for its madness cost or put it into your graveyard.) / Vire até duas criaturas alvo. Essas criaturas não são desviradas durante a próxima etapa de desvirar de seus controladores. Loucura {3}{U} (Se você descartar este card, descarte-o para o exílio. Quando fizer isso, conjure-o por seu custo de loucura ou coloque-o em seu cemitério.)</t>
  </si>
  <si>
    <t>Chilling Shade / Sombra Congelante</t>
  </si>
  <si>
    <t>Snow Creature — Shade / Criatura da Neve — Sombra</t>
  </si>
  <si>
    <t>Flying {S}: This creature gets +1/+1 until end of turn. ({S} can be paid with one mana from a snow source.) / Voar {S}: Sombra Congelante recebe +1/+1 até o final do turno. ({S} pode ser pago com um mana de uma permanente da neve.)</t>
  </si>
  <si>
    <t>Coldsnap (CSP)</t>
  </si>
  <si>
    <t>Chisei, Heart of Oceans / Chisei, Coração dos Oceanos</t>
  </si>
  <si>
    <t>Legendary Creature — Spirit / Criatura Lendária - Espírito</t>
  </si>
  <si>
    <t>Flying At the beginning of your upkeep, sacrifice Chisei unless you remove a counter from a permanent you control. / Voar No início de sua manutenção, sacrifique Chisei, Coração dos Oceanos a menos que você remova um marcador de uma permanente que você controla.</t>
  </si>
  <si>
    <t>Betrayers of Kamigawa (BOK)</t>
  </si>
  <si>
    <t>Chitinous Graspling</t>
  </si>
  <si>
    <t>Creature — Shapeshifter</t>
  </si>
  <si>
    <t>Changeling (This card is every creature type.) Reach.</t>
  </si>
  <si>
    <t>{3}{G/U}</t>
  </si>
  <si>
    <t>Green/Blue</t>
  </si>
  <si>
    <t>Changeling (This card is every creature type.) Reach</t>
  </si>
  <si>
    <t>Choco-Comet / Choco-Cometa</t>
  </si>
  <si>
    <t>Choco-Cometa causa X de dano a qualquer alvo. Crie uma ficha de criatura Ave verde 2/2 com "Sempre que um terreno que você controla entrar, esta ficha recebe +1/+0 até o final do turno."</t>
  </si>
  <si>
    <t>{X}{R}{R}</t>
  </si>
  <si>
    <t>Chocobo Kick / Coice de Chocobo</t>
  </si>
  <si>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</si>
  <si>
    <t>Chocobo Racetrack / Hipódromo de Chocobos</t>
  </si>
  <si>
    <t>Aterragem — Sempre que um terreno que você controla entrar, crie uma ficha de criatura Ave verde 2/2 com "Sempre que um terreno que você controla entrar, esta ficha receberá +1/+0 até o final do turno."</t>
  </si>
  <si>
    <t>Chomping Changeling</t>
  </si>
  <si>
    <t>Changeling (This card is every creature type.) When this creature enters, destroy up to one target artifact or enchantment.</t>
  </si>
  <si>
    <t>Chorale of the Void / Coral do Vazio</t>
  </si>
  <si>
    <t>Encantamento — Aura</t>
  </si>
  <si>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</si>
  <si>
    <t>3{B}</t>
  </si>
  <si>
    <t>Chorus of Might / Coro do Poder</t>
  </si>
  <si>
    <t>Until end of turn, target creature gets +1/+1 for each creature you control and gains trample. / Até o final do turno, a criatura alvo recebe +1/+1 para cada criatura que você controla e ganha atropelar.</t>
  </si>
  <si>
    <t>Chorus of Woe</t>
  </si>
  <si>
    <t>Creatures you control get +1/+0 until end of turn.</t>
  </si>
  <si>
    <t>Portal Second Age (P02)</t>
  </si>
  <si>
    <t>Chosen of Markov // Markov's Servant / Escolhida de Markov // Serva de Markov</t>
  </si>
  <si>
    <t>Creature — Human // Creature — Vampire / Criatura — Humano</t>
  </si>
  <si>
    <t>Chosen of Markov: {T}, Tap an untapped Vampire you control: Transform this creature. / {T}, Vire um Vampiro desvirado que você controla: Transforme Escolhida de Markov.</t>
  </si>
  <si>
    <t>Chromatic Armor / Armadura Cromática</t>
  </si>
  <si>
    <t>Enchant creature As this Aura enters, choose a color. This Aura enters with a sleight counter on it. Prevent all damage that would be dealt to enchanted creature by sources of the last chosen color. {X}: Put a sleight counter on this Aura and choose a color. X is the number of sleight counters on this Aura.</t>
  </si>
  <si>
    <t>{1}{W}{U}</t>
  </si>
  <si>
    <t>Chrome Companion</t>
  </si>
  <si>
    <t>Artifact Creature — Dog</t>
  </si>
  <si>
    <t>Whenever this creature becomes tapped, you gain 1 life. {2}, {T}: Put target card from a graveyard on the bottom of its owner's library.</t>
  </si>
  <si>
    <t>Edge of Eternity (EOE)</t>
  </si>
  <si>
    <t>Chronic Flooding / Alagamento Crônico</t>
  </si>
  <si>
    <t>Enchant land Whenever enchanted land becomes tapped, its controller mills three cards. / Encantar terreno Toda vez que o terreno encantado é virado, seu controlador coloca os três cards do topo do grimório dele no próprio cemitério.</t>
  </si>
  <si>
    <t>Chronicler of Heroes / Cronista de Heróis</t>
  </si>
  <si>
    <t>Creature — Centaur Wizard / Criatura — Centauro Mago</t>
  </si>
  <si>
    <t>When this creature enters, draw a card if you control a creature with a +1/+1 counter on it. / Quando Cronista de Heróis entrar no campo de batalha, compre um card se você controlar uma criatura com um marcador +1/+1.</t>
  </si>
  <si>
    <t>Chuva de Estrelas</t>
  </si>
  <si>
    <t>Chuva de Estrelas causa 3 pontos de dano à criatura alvo. Se aquela criatura for um encantamento, Chuva de Estrelas causará 3 pontos de dano ao controlador daquela criatura.</t>
  </si>
  <si>
    <t>4R</t>
  </si>
  <si>
    <t>Ciclope do Chicote-corrente / Chainwhip Cyclops</t>
  </si>
  <si>
    <t>Criatura — Ciclope Guerreiro / Creature — Cyclops Warrior</t>
  </si>
  <si>
    <t>{3}{R}: A criatura alvo não pode bloquear neste turno. / {3}{R}: Target creature can't block this turn.</t>
  </si>
  <si>
    <t>Ciclope Glutão</t>
  </si>
  <si>
    <t>Criatura — Ciclope</t>
  </si>
  <si>
    <t>5RR: Monstruosidade 3. (Se esta criatura não for monstruosa, coloque três marcadores +1/+1 nela e ela se tornará monstruosa.)</t>
  </si>
  <si>
    <t>5R</t>
  </si>
  <si>
    <t>Cinder Barrens / Desolação de Cinzas</t>
  </si>
  <si>
    <t>This land enters tapped. {T}: Add {B} or {R}. / Desolação de Cinzas entra no campo de batalha virada. {T}: Adicione {B} ou {R}.</t>
  </si>
  <si>
    <t>Cinder Cerberus / Cérbero Incendiário</t>
  </si>
  <si>
    <t>Criatura — Sabujo</t>
  </si>
  <si>
    <t>5RR: Monstruosidade 1. (Se esta criatura não for monstruosa, coloque um marcador +1/+1 nela e ela se tornará monstruosa.) Quando Cérbero Incendiário se torna monstruoso, ele causa 2 pontos de dano a cada oponente e a cada criatura controlada pelos seus oponentes.</t>
  </si>
  <si>
    <t>Cinder Marsh / Pântano de Cinzas</t>
  </si>
  <si>
    <t>{T}: Add one colorless mana to your mana pool. {T}: Add {B} or {R} to your mana pool. Cinder Marsh does not untap during your next untap phase.</t>
  </si>
  <si>
    <t>Tempest (TMP)</t>
  </si>
  <si>
    <t>Cinderheart Giant / Gigante do Coração Ardente</t>
  </si>
  <si>
    <t>Creature — Giant Berserker / Criatura — Gigante Amoque</t>
  </si>
  <si>
    <t>Trample When this creature dies, it deals 7 damage to a creature an opponent controls chosen at random. / Atropelar Quando Gigante do Coração Ardente morre, ele causa 7 pontos de dano a uma criatura que um oponente controla escolhida aleatoriamente.</t>
  </si>
  <si>
    <t>{5}{R}{R}</t>
  </si>
  <si>
    <t>Cinderslash Ravager / Devastador da Brasa Fendente</t>
  </si>
  <si>
    <t>Creature — Phyrexian Warrior / Criatura — Phyrexiano Guerreiro</t>
  </si>
  <si>
    <t>This spell costs {1} less to cast for each permanent you control with oil counters on it. Vigilance When this creature enters, it deals 1 damage to each creature your opponents control. / Esta mágica custa {1} a menos para ser conjurada para cada permanente que você controla com marcadores de óleo. Vigilância Quando Devastador da Brasa Fendente entra no campo de batalha, ele causa 1 ponto de dano a cada criatura que seus oponentes controlam.</t>
  </si>
  <si>
    <t>{4}{R}{G}</t>
  </si>
  <si>
    <t>Circle of Affliction / Círculo da Aflição</t>
  </si>
  <si>
    <t>As this enchantment enters, choose a color. Whenever a source of the chosen color deals damage to you, you may pay {1}. If you do, target player loses 1 life and you gain 1 life. / Conforme Círculo da Aflição entra em jogo, escolha uma cor. Toda vez que uma fonte da cor escolhida lhe causar dano, você poderá pagar {1}. Se fizer isso, o jogador alvo perderá 1 ponto de vida e você ganhará 1 ponto de vida.</t>
  </si>
  <si>
    <t>Planar Chaos (PLC)</t>
  </si>
  <si>
    <t>Circle of Power / Círculo de Poder</t>
  </si>
  <si>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</si>
  <si>
    <t>Circle of Protection: Artifacts</t>
  </si>
  <si>
    <t>{2}: Prevent all damage against you from one artifact source. If a source deals damage to you more than once in a turn, you may pay {2} each time to prevent the damage.</t>
  </si>
  <si>
    <t>Circle of Protection: Artifacts / Círculo de Proteção: Artefatos</t>
  </si>
  <si>
    <t>{2}: Prevent all damage that would be dealt to you by an artifact source of your choice.</t>
  </si>
  <si>
    <t>Circle of Protection: Blue / Círculo de Proteção: Azul</t>
  </si>
  <si>
    <t>{1}: The next time a blue source of your choice would deal damage to you this turn, prevent that damage. / {1}: Na próxima vez em que uma fonte azul a sua escolha lhe fosse causar dano neste turno, previna aquele dano.</t>
  </si>
  <si>
    <t>Circle of Protection: Green</t>
  </si>
  <si>
    <t>{1}: Prevent all damage against you from one green source. If a source deals damage to you more than once in a turn, you may pay {1} each time to prevent the damage.</t>
  </si>
  <si>
    <t>Circle of Protection: Green / Círculo de Proteção: Verde</t>
  </si>
  <si>
    <t>Fourth Edition (4ED) Reprint</t>
  </si>
  <si>
    <t>Circle of Protection: Preto / Círculo de Proteção: Preto</t>
  </si>
  <si>
    <t>{1}: Prevent all damage against you from one Preto source. If a source deals damage to you more than once in a turn, you may pay {1} each time to prevent the damage.</t>
  </si>
  <si>
    <t>Circle of Protection: Red / Círculo de Proteção: Vermelho</t>
  </si>
  <si>
    <t>{1}: Prevent all damage against you from one red source. If a source deals damage to you more than once in a turn, you may pay {1} each time to prevent the damage.</t>
  </si>
  <si>
    <t>Circle of Protection: White / Círculo de Proteção: Branco</t>
  </si>
  <si>
    <t>{1}: Prevent all damage that would be dealt to you by a source of your choice.</t>
  </si>
  <si>
    <t>{1}: The next time a white source of your choice would deal damage to you this turn, prevent that damage. / {1}: Na próxima vez em que uma fonte branca a sua escolha lhe fosse causar dano neste turno, previna aquele dano.</t>
  </si>
  <si>
    <t>Circolo di Protezione: Rosso / Circle of Protection: Red</t>
  </si>
  <si>
    <t>Incantesimo / Enchantment</t>
  </si>
  <si>
    <t>{1}: Previene tutto il danno inflitto da una magia rossa. Se una magia infligge più volte dei danni nello stesso turno, bisogna pagare un mana addizionale per ogni uso del Circolo di Protezione. / {1}: Prevent all damage dealt by a red spell. If a spell deals damage more than once in a turn, you must pay an additional mana for each use of the Circle of Protection.</t>
  </si>
  <si>
    <t>Círculo de Proteção: Azul / Circle of Protection: Blue</t>
  </si>
  <si>
    <t>{1}: Evita qualquer dano de uma única origem azul contra você. Se esta fonte lhe causar dano mais de uma vez num mesmo turno, você poderá pagar {1} em cada uma das vezes para evitar o dano. / {1}: Prevent all damage against you from one blue source. If a source deals damage to you more than once in a turn, you may pay {1} each time to prevent the damage.</t>
  </si>
  <si>
    <t>Círculo de Proteção: Branco / Circle of Protection: White</t>
  </si>
  <si>
    <t>{1}: Evita qualquer dano de uma única origem branca contra você. Se esta fonte lhe causar dano mais de uma vez num mesmo turno, você poderá pagar 1 em cada uma das vezes para evitar o dano.</t>
  </si>
  <si>
    <t>Círculo de Proteção: Preto / Circle of Protection: Black</t>
  </si>
  <si>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</si>
  <si>
    <t>Círculo de Proteção: Verde / Circle of Protection: Green</t>
  </si>
  <si>
    <t>{1}: Evita qualquer dano de uma única origem verde contra você. Se esta fonte lhe causar dano mais de uma vez num mesmo turno, você poderá pagar 1 em cada uma das vezes para evitar o dano.</t>
  </si>
  <si>
    <t>City Pigeon / Pombo da Cidade</t>
  </si>
  <si>
    <t>Criatura — Ave</t>
  </si>
  <si>
    <t>Voar. Quando esta criatura deixar o campo de batalha, crie uma ficha de Comida. (Ela é um artefato com "{2}, {T}, Sacrifique esta ficha: Você ganha 3 pontos de vida.")</t>
  </si>
  <si>
    <t>Marvel: Spider-Man (SPM)</t>
  </si>
  <si>
    <t>Civic Stalwart / Defensor Cívico</t>
  </si>
  <si>
    <t>Creature — Elephant Soldier / Criatura — Elefante Soldado</t>
  </si>
  <si>
    <t>When this creature enters, creatures you control get +1/+1 until end of turn. / Quando Defensor Cívico entra no campo de batalha, as criaturas que você controla recebem +1/+1 até o final do turno.</t>
  </si>
  <si>
    <t>Claim the Kingdom / Reivindicar o Reino</t>
  </si>
  <si>
    <t>Encantamento — Plano</t>
  </si>
  <si>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</si>
  <si>
    <t>Clamor Shaman / Xamã do Clamor</t>
  </si>
  <si>
    <t>Creature — Goblin Shaman / Criatura — Goblin Xamã</t>
  </si>
  <si>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</si>
  <si>
    <t>Clan Guildmage / Maga de Guilda do Clã</t>
  </si>
  <si>
    <t>{1}{R}, {T}: Target creature can't block this turn. {2}{G}, {T}: Target land you control becomes a 4/4 Elemental creature with haste until end of turn. It's still a land. / {1}{R}, {T}: A criatura alvo não pode bloquear neste turno. {2}{G}, {T}: O terreno alvo que você controla torna-se uma criatura 4/4 do tipo Elemental com ímpeto até o final do turno. Ela ainda é um terreno.</t>
  </si>
  <si>
    <t>Clash of the Eikons</t>
  </si>
  <si>
    <t>Choose one or more — • Target creature you control fights target creature an opponent controls. • Remove a lore counter from target Saga you control. (Removing lore counters doesn't cause chapter abilities to trigger.) • Put a lore counter on target Saga you control.</t>
  </si>
  <si>
    <t>G</t>
  </si>
  <si>
    <t>Final Fantasy (FFXVI)</t>
  </si>
  <si>
    <t>Clash of Titans / Batalha dos Titãs</t>
  </si>
  <si>
    <t>Target creature fights another target creature. (Each deals damage equal to its power to the other.) / A criatura alvo luta com outra criatura alvo. (Cada uma causa dano igual ao seu poder à outra.)</t>
  </si>
  <si>
    <t>{3}{R}{R}</t>
  </si>
  <si>
    <t>Clash of Wills / Confronto Volitivo</t>
  </si>
  <si>
    <t>Counter target spell unless its controller pays {X}. / Anule a mágica alvo, a menos que seu controlador pague {X}.</t>
  </si>
  <si>
    <t>{X}{U}</t>
  </si>
  <si>
    <t>Claustrophobia / Claustrofobia</t>
  </si>
  <si>
    <t>Enchant creature When this Aura enters, tap enchanted creature. Enchanted creature doesn't untap during its controller's untap step. / Encantar criatura Quando Claustrofobia entrar no campo de batalha, vire a criatura encantada. A criatura encantada não é desvirada durante a etapa de desvirar de seu controlador.</t>
  </si>
  <si>
    <t>Innistrad</t>
  </si>
  <si>
    <t>Clawing Torment / Tormento dos Arranhões</t>
  </si>
  <si>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</si>
  <si>
    <t>Clay Statue / Ídolo de Barro</t>
  </si>
  <si>
    <t>Artifact Creature — Golem</t>
  </si>
  <si>
    <t>{2}: Regenerate this creature.</t>
  </si>
  <si>
    <t>Clay-Fired Bricks / Tijolos Refratários</t>
  </si>
  <si>
    <t>When this artifact enters, search your library for a basic Plains card, reveal it, put it into your hand, then shuffle. You gain 2 life. Craft with artifact {5}{W}{W} ({5}{W}{W}, Exile this artifact, Exile another artifact you control or an artifact card from your graveyard: Return this card transformed under its owner's control. Craft only as a sorcery.) / Quando Tijolos Refratários entrar no campo de batalha, procure um card de Planície básica em seu grimório, revele-o, coloque-o em sua mão e depois embaralhe. Você ganha 2 pontos de vida. Construir com artefato {5}{W}{W} ({5}{W}{W}, exile este artefato, exile outro artefato que você controla ou um card de artefato de seu cemitério: Devolva este card ao campo de batalha transformado sob o controle de seu dono. Construa somente como um feitiço.)</t>
  </si>
  <si>
    <t>Cleansing Ray / Fúlmen Purificador</t>
  </si>
  <si>
    <t>Choose one — • Destroy target Vampire. • Destroy target enchantment. / Escolha um — • Destrua o Vampiro alvo. • Destrua o encantamento alvo.</t>
  </si>
  <si>
    <t>Clear the Mind / Limpar a Mente</t>
  </si>
  <si>
    <t>Target player shuffles their graveyard into their library. Draw a card. / O jogador alvo embaralha o próprio cemitério no próprio grimório. Compre um card.</t>
  </si>
  <si>
    <t>Cleric of the Forward Order / Clérigo da Ordem Avançada</t>
  </si>
  <si>
    <t>When this creature enters, you gain 2 life for each creature you control named Cleric of the Forward Order. / Quando Clérigo da Ordem Avançada entra no campo de batalha, você ganha 2 pontos de vida para cada criatura que você controla com o nome Clérigo da Ordem Avançada.</t>
  </si>
  <si>
    <t>Cliffside Lookout / Vigia da Beira do Penhasco</t>
  </si>
  <si>
    <t>Creature — Kor Scout Ally / Criatura — Kor Batedor Aliado</t>
  </si>
  <si>
    <t>{4}{W}: Creatures you control get +1/+1 until end of turn. / {4}{W}: As criaturas que você controla recebem +1/+1 até o final do turno.</t>
  </si>
  <si>
    <t>Clinging Mists / Brumas Pegajosas</t>
  </si>
  <si>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</si>
  <si>
    <t>Cloaked Siren / Sirena Camuflada</t>
  </si>
  <si>
    <t>Criatura — Sirena</t>
  </si>
  <si>
    <t>Lampejo (Você poderá conjurar esta mágica a qualquer momento em que puder conjurar uma mágica instantânea.) Voar</t>
  </si>
  <si>
    <t>3U</t>
  </si>
  <si>
    <t>Cloakwood Hermit / Eremita de Floresta do Manto</t>
  </si>
  <si>
    <t>Legendary Enchantment — Background / Encantamento Lendário — Antecedente</t>
  </si>
  <si>
    <t>Commander creatures you own have "At the beginning of your end step, if a creature card was put into your graveyard from anywhere this turn, create two tapped 1/1 green Squirrel creature tokens." / As criaturas comandantes que você possui têm "No início de sua etapa final, se um card de criatura tiver sido colocado em seu cemitério vindo de qualquer lugar neste turno, crie duas fichas de criatura Esquilo verde 1/1 viradas".</t>
  </si>
  <si>
    <t>Commander Legends: Battle for Baldur's Gate (CLB) FE</t>
  </si>
  <si>
    <t>Clockwork Beast / Besta Mecânica</t>
  </si>
  <si>
    <t>Artifact Creature — Beast</t>
  </si>
  <si>
    <t>This creature enters with seven +1/+0 counters on it. At end of combat, if this creature attacked or blocked this combat, remove a +1/+0 counter from it. {X}, {T}: Put up to X +1/+0 counters on this creature. This ability can't cause the total number of +1/+0 counters on this creature to be greater than seven. Activate only during your upkeep.</t>
  </si>
  <si>
    <t>Clockwork Condor / Condor Mecânico</t>
  </si>
  <si>
    <t>Flying This creature enters with three +1/+1 counters on it. Whenever this creature attacks or blocks, remove a +1/+1 counter from it at end of combat. / Voar Condor Mecânico entra em jogo com três marcadores +1/+1 sobre ele. Toda vez que Condor Mecânico atacar ou bloquear, remova um marcador +1/+1 dele no final do combate.</t>
  </si>
  <si>
    <t>Clockwork Gnomes / Gnomos Mecânicos</t>
  </si>
  <si>
    <t>Artifact Creature — Gnome</t>
  </si>
  <si>
    <t>{3}, {T}: Regenerate target artifact creature.</t>
  </si>
  <si>
    <t>Clockwork Hydra / Hidra Mecânica</t>
  </si>
  <si>
    <t>Artifact Creature — Hydra / Criatura Artefato — Hidra</t>
  </si>
  <si>
    <t>This creature enters with four +1/+1 counters on it. Whenever this creature attacks or blocks, remove a +1/+1 counter from it. If you do, it deals 1 damage to any target. {T}: Put a +1/+1 counter on this creature. / Hidra Mecânica entra no campo de batalha com quatro marcadores +1/+1. Toda vez que Hidra Mecânica atacar ou bloquear, remova um marcador +1/+1 dela. Se fizer isso, Hidra Mecânica causará 1 ponto de dano a qualquer alvo. {T}: Coloque um marcador +1/+1 em Hidra Mecânica.</t>
  </si>
  <si>
    <t>Close Encounter / Encontro Imediato</t>
  </si>
  <si>
    <t>Como um custo adicional para conjurar esta mágica, escolha uma criatura que você controla ou um card de criatura dobrado que você possui no exílio. Close Encounter causa dano igual ao poder da criatura ou card escolhido à criatura alvo.</t>
  </si>
  <si>
    <t>Cloud Elemental / Elemental das Nuvens</t>
  </si>
  <si>
    <t>Flying This creature can block only creatures with flying. / Voar Elemental das Nuvens só pode bloquear criaturas com a habilidade de voar.</t>
  </si>
  <si>
    <t>Cloud Sprite / Sílfide das Nuvens</t>
  </si>
  <si>
    <t>Creature — Faerie / Criatura — Fada</t>
  </si>
  <si>
    <t>Flying (This creature can't be blocked except by creatures with flying or reach.) This creature can block only creatures with flying. / Voar (Esta criatura só pode ser bloqueada por criaturas com a habilidade de voar ou alcance.) Sílfide das Nuvens só pode bloquear criaturas com a habilidade de voar.</t>
  </si>
  <si>
    <t>Duels of the Planeswalkers (DPA)</t>
  </si>
  <si>
    <t>Cloudbound Moogle / Moogle das Nuvens</t>
  </si>
  <si>
    <t>Criatura — Moogle</t>
  </si>
  <si>
    <t>Voar. Quando esta criatura entrar, coloque um marcador +1/+1 na criatura alvo. Reciclar Planície {2} ({2}, Descarte este card: Procure em seu grimório por um card de Planície, revele-o, coloque-o em sua mão e depois embaralhe.)</t>
  </si>
  <si>
    <t>3{W}{W}</t>
  </si>
  <si>
    <t>Cloudchaser Eagle / Águia Perseguidora de Nuvens</t>
  </si>
  <si>
    <t>Flying. When Cloudchaser Eagle comes into play, destroy target enchantment. / Voar. Quando Águia Perseguidora de Nuvens entra em jogo, destrua o encantamento alvo.</t>
  </si>
  <si>
    <t>Cloudkin Seer / Vidente Nubígena</t>
  </si>
  <si>
    <t>Creature — Elemental Wizard / Criatura — Elemental Mago</t>
  </si>
  <si>
    <t>Flying When this creature enters, draw a card. / Voar Quando Vidente Nubígena entrar no campo de batalha, compre um card.</t>
  </si>
  <si>
    <t>Cloudshift / Desvio Nebular</t>
  </si>
  <si>
    <t>Exile target creature you control, then return that card to the battlefield under your control. / Exile uma criatura alvo que você controla e depois devolva aquele card ao campo de batalha sob seu controle.</t>
  </si>
  <si>
    <t>Cloudspire Skycycle</t>
  </si>
  <si>
    <t>Artifact — Vehicle</t>
  </si>
  <si>
    <t>Flying When this Vehicle enters, distribute two +1/+1 counters among one or two other target Vehicles and/or creatures you control. Crew 1</t>
  </si>
  <si>
    <t>{2}{R}{W}</t>
  </si>
  <si>
    <t>Coagir / Duress</t>
  </si>
  <si>
    <t>O oponente alvo revela a própria mão. Você escolhe um card que não seja um terreno nem uma criatura da mão dele. Aquele jogador descarta aquele card. / Target opponent reveals their hand. You choose a nonland, noncreature card from it. That player discards that card.</t>
  </si>
  <si>
    <t>Core Set 2013 (M13)</t>
  </si>
  <si>
    <t>Core Set 2014 (M14)</t>
  </si>
  <si>
    <t>Coalition Honor Guard</t>
  </si>
  <si>
    <t>Criatura — Porta-estandarte / Creature — Flagbearer</t>
  </si>
  <si>
    <t>If an opponent plays a spell or ability that could target a Flagbearer in play, that player chooses at least one Flagbearer as a target.</t>
  </si>
  <si>
    <t>Apocalypse (APC)</t>
  </si>
  <si>
    <t>Coalition Skyknight / Cavaleiro Celeste da Coalizão</t>
  </si>
  <si>
    <t>Flying Enlist (As this creature attacks, you may tap a nonattacking creature you control without summoning sickness. When you do, add its power to this creature's until end of turn.) / Voar Alistar (Conforme esta criatura ataca, você pode virar uma criatura não atacante que você controla sem enjoo de invocação. Quando fizer isso, adicione o poder dela ao desta criatura até o final do turno.)</t>
  </si>
  <si>
    <t>Coastal Discovery / Descoberta Costeira</t>
  </si>
  <si>
    <t>Draw two cards. Awaken 4—{5}{U} (If you cast this spell for {5}{U}, also put four +1/+1 counters on target land you control and it becomes a 0/0 Elemental creature with haste. It's still a land.) / Compre dois cards.Despertar 4 — {5}{U} (Se você conjurar esta mágica por {5}{U}, coloque também quatro marcadores +1/+1 no terreno alvo que você controla e ele se tornará uma criatura 0/0 do tipo Elemental com ímpeto. Ela ainda é um terreno.)</t>
  </si>
  <si>
    <t>Coastline Chimera / Quimera Costeira</t>
  </si>
  <si>
    <t>Creature — Chimera / Criatura — Quimera</t>
  </si>
  <si>
    <t>Flying {1}{W}: This creature can block an additional creature this turn. / Voar {1}{W}: Quimera Costeira pode bloquear uma criatura adicional neste turno.</t>
  </si>
  <si>
    <t>Cobblebrute / Brutamontes Pedregoso</t>
  </si>
  <si>
    <t>Coeurl / Coeurl</t>
  </si>
  <si>
    <t>Criatura — Gato Besta</t>
  </si>
  <si>
    <t>{1}{W}, {T}: Vire a criatura alvo que não seja um encantamento.</t>
  </si>
  <si>
    <t>Cogwork Assembler / Montador de Engrenagem</t>
  </si>
  <si>
    <t>{7}: Create a token that's a copy of target artifact. That token gains haste. Exile it at the beginning of the next end step. / {7}: Crie uma ficha que seja uma cópia do artefato alvo. Aquela ficha ganha ímpeto. Exile-a no início da próxima etapa final.</t>
  </si>
  <si>
    <t>Cogwork Wrestler / Lutador Mecânico</t>
  </si>
  <si>
    <t>Flash When this creature enters, target creature an opponent controls gets -2/-0 until end of turn. / Lampejo Quando Lutador Mecânico entra no campo de batalha, a criatura alvo que um oponente controla recebe -2/-0 até o final do turno.</t>
  </si>
  <si>
    <t>Coliseum Behemoth / Behemoth do Coliseu</t>
  </si>
  <si>
    <t>Criatura — Besta</t>
  </si>
  <si>
    <t>Atropelar. Quando esta criatura entrar, escolha um — • Destrua o artefato ou encantamento alvo. • Compre um card.</t>
  </si>
  <si>
    <t>5{G}{G}</t>
  </si>
  <si>
    <t>Colossal Dreadmask / Máscara Sinistra Colossal</t>
  </si>
  <si>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</si>
  <si>
    <t>Colossal Dreadmaw / Bocarra Sinistra Colossal</t>
  </si>
  <si>
    <t>Trample. / Atropelar.</t>
  </si>
  <si>
    <t>Trample (This creature can deal excess combat damage to the player or planeswalker it's attacking.) / Atropelar</t>
  </si>
  <si>
    <t>Colossapede / Colossópode</t>
  </si>
  <si>
    <t>Colosso / Colossus // Colidir / Collision</t>
  </si>
  <si>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</si>
  <si>
    <t>{G/U}{R} // {1}{G/U}</t>
  </si>
  <si>
    <t>Verde e Vermelho</t>
  </si>
  <si>
    <t>Colosso Trovão de Aço / Thundersteel Colossus</t>
  </si>
  <si>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</si>
  <si>
    <t>{7}</t>
  </si>
  <si>
    <t>Colossus of Akros / Colosso de Ácros</t>
  </si>
  <si>
    <t>Defender, indestructible {10}: Monstrosity 10. (If this creature isn't monstrous, put ten +1/+1 counters on it and it becomes monstrous.) As long as this creature is monstrous, it has trample and can attack as though it didn't have defender. / Defensor, indestrutível {10}: Monstruosidade 10. (Se esta criatura não for monstruosa, coloque dez marcadores +1/+1 nela e ela se tornará monstruosa.) Enquanto Colosso de Ácros for monstruoso, ele terá atropelar e poderá atacar como se não tivesse defensor.</t>
  </si>
  <si>
    <t>Colossus of Sardia / Colosso de Sardia</t>
  </si>
  <si>
    <t>Trample (This creature can deal excess combat damage to the player or planeswalker it's attacking.) This creature doesn't untap during your untap step. {9}: Untap this creature. Activate only during your upkeep. / Atropelar (Se esta criatura fosse causar dano de combate suficiente para destruir seus bloqueadores, você pode fazer com que ela cause o resto de seu dano ao jogador defensor.) Colosso de Sardia não desvira durante a sua etapa de desvirar. {9}: Desvire Colosso de Sardia. Use esta habilidade somente durante sua manutenção.</t>
  </si>
  <si>
    <t>{9}</t>
  </si>
  <si>
    <t>Combat Medic</t>
  </si>
  <si>
    <t>Creature — Human Cleric Soldier</t>
  </si>
  <si>
    <t>{1}{W}: Prevent the next 1 damage that would be dealt to any target this turn.</t>
  </si>
  <si>
    <t>Combat Medic / Médico de Combate</t>
  </si>
  <si>
    <t>Summon Soldier</t>
  </si>
  <si>
    <t>{1}{W}: Prevent 1 damage to any player or creature.</t>
  </si>
  <si>
    <t>Combat Professor / Professor de Combate</t>
  </si>
  <si>
    <t>Flying At the beginning of combat on your turn, target creature you control gets +1/+0 and gains vigilance until end of turn. / Voar No início do combate no seu turno, a criatura alvo que você controla recebe +1/+0 e ganha vigilância até o final do turno.</t>
  </si>
  <si>
    <t>Combat Research / Pesquisa de Combate</t>
  </si>
  <si>
    <t>Enchant creature Enchanted creature has "Whenever this creature deals combat damage to a player, draw a card." As long as enchanted creature is legendary, it gets +1/+1 and has ward {1}. (Whenever enchanted creature becomes the target of a spell or ability an opponent controls, counter it unless that player pays {1}.) / Encantar criatura A criatura encantada tem "Toda vez que esta criatura causar dano de combate a um jogador, compre um card". Enquanto a criatura encantada for lendária, ela receberá +1/+1 e terá salvaguarda {1}. (Toda vez que a criatura encantada se tornar alvo de uma mágica ou habilidade que um oponente controla, anule-a, a menos que aquele jogador pague {1}.)</t>
  </si>
  <si>
    <t>Combat Tutorial / Tutorial de Combate</t>
  </si>
  <si>
    <t>O jogador alvo compra dois cards. Coloque um marcador +1/+1 em até uma criatura alvo que você controla.</t>
  </si>
  <si>
    <t>Comet Crawler / Rastejador de Cometa</t>
  </si>
  <si>
    <t>Criatura — Inseto Horror</t>
  </si>
  <si>
    <t>Vínculo com a vida. Sempre que esta criatura atacar, você pode sacrificar outra criatura ou artefato. Se fizer isso, esta criatura receberá +2/+0 até o final do turno.</t>
  </si>
  <si>
    <t>Command Bridge / Ponte de Comando</t>
  </si>
  <si>
    <t>Terreno</t>
  </si>
  <si>
    <t>Este terreno entra virado. Quando este terreno entrar, sacrifique-o a menos que você vire uma permanente desvirada que você controla. {T}: Adicione um mana de qualquer cor.</t>
  </si>
  <si>
    <t>Commander's Sphere / Esfera do Comandante</t>
  </si>
  <si>
    <t>{T}: Add one mana of any color in your commander's color identity. Sacrifice this artifact: Draw a card. / {T}: Adicione um mana de qualquer cor da identidade de cor de seu comandante. Sacrifique Esfera do Comandante: Compre um card.</t>
  </si>
  <si>
    <t>Commander 2019 (C19)</t>
  </si>
  <si>
    <t>Commence the Endgame / Iniciar Plano Final</t>
  </si>
  <si>
    <t>This spell can't be countered. Draw two cards, then amass Zombies X, where X is the number of cards in your hand. (Put X +1/+1 counters on an Army you control. It's also a Zombie. If you don't control an Army, create a 0/0 black Zombie Army creature token first.) / Esta mágica não pode ser anulada. Compre dois cards e depois arregimente X, sendo X o número de cards em sua mão. (Coloque X marcadores +1/+1 em um Exército que você controla. Se você não controlar um, crie antes uma ficha de criatura preta 0/0 do tipo Zumbi Exército.)</t>
  </si>
  <si>
    <t>Commencement of Festivities / Início das Festividades</t>
  </si>
  <si>
    <t>Prevent all combat damage that would be dealt to players this turn. / Previna todo o dano de combate que seria causado a jogadores neste turno.</t>
  </si>
  <si>
    <t>Common Cause</t>
  </si>
  <si>
    <t>Nonartifact creatures get +2/+2 as long as they all share a color.</t>
  </si>
  <si>
    <t>Commune with Beavers / Comungar com Castores</t>
  </si>
  <si>
    <t>Olhe os três cards do topo de seu grimório. Você pode revelar um card de artefato, criatura ou terreno dentre eles e colocá-lo em sua mão. Coloque o restante no fundo de seu grimório em qualquer ordem.</t>
  </si>
  <si>
    <t>Comoção de Chifres</t>
  </si>
  <si>
    <t>Coloque no campo de batalha duas fichas de criatura vermelhas 2/3 do tipo Minotauro com ímpeto.</t>
  </si>
  <si>
    <t>Companheiro do Cartógrafo / Cartographer's Companion</t>
  </si>
  <si>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</si>
  <si>
    <t>Comparative Analysis / Análise Comparativa</t>
  </si>
  <si>
    <t>Surge {2}{U} (You may cast this spell for its surge cost if you or a teammate has cast another spell this turn.) Target player draws two cards. / Surto {2}{U} (Você pode conjurar esta mágica por seu custo de surto se você ou um colega de equipe tiver conjurado outra mágica neste turno.) O jogador alvo compra dois cards.</t>
  </si>
  <si>
    <t>Compassionate Healer</t>
  </si>
  <si>
    <t>Creature — Human Cleric Ally</t>
  </si>
  <si>
    <t>Whenever this creature becomes tapped, you gain 1 life and scry 1. (Look at the top card of your library. You may put it on the bottom.)</t>
  </si>
  <si>
    <t>Compelling Argument / Argumento Convincente</t>
  </si>
  <si>
    <t>Target player mills five cards. Cycling {U} ({U}, Discard this card: Draw a card.) / O jogador alvo coloca os cinco cards do topo do grimório dele no próprio cemitério. Reciclar {U} ({U}, Descarte este card: Compre um card.)</t>
  </si>
  <si>
    <t>Compelling Deterrence / Dissuasão Convincente</t>
  </si>
  <si>
    <t>Return target nonland permanent to its owner's hand. Then that player discards a card if you control a Zombie. / Devolva a permanente alvo que não seja um terreno para a mão de seu dono. Depois, aquele jogador descarta um card se você controlar um Zumbi.</t>
  </si>
  <si>
    <t>Compulsory Rest / Descanso Compulsório</t>
  </si>
  <si>
    <t>Enchant creature Enchanted creature can't attack or block. Enchanted creature has "{2}, Sacrifice this creature: You gain 2 life." / Encantar criatura A criatura encantada não pode atacar nem bloquear. A criatura encantada tem "{2}, Sacrifique esta criatura: Você ganha 2 pontos de vida."</t>
  </si>
  <si>
    <t>Conclave Equenaut / Viajante Eqüestre do Conclave</t>
  </si>
  <si>
    <t>Creature — Human Soldier / Criatura - Soldado Humano</t>
  </si>
  <si>
    <t>Convoke (Your creatures can help cast this spell. Each creature you tap while casting this spell pays for {1} or one mana of that creature's color.) Flying / Convocar (Cada criatura que você vira ao jogar esta mágica reduz seu custo em {1} ou em um mana da cor daquela criatura.) Voar</t>
  </si>
  <si>
    <t>{4}{W}{W}</t>
  </si>
  <si>
    <t>Condestável do Condado / Shire Shirriff</t>
  </si>
  <si>
    <t>Criatura — Pequenino Soldado</t>
  </si>
  <si>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</si>
  <si>
    <t>Confounding Riddle / Charada Confusa</t>
  </si>
  <si>
    <t>Choose one — • Look at the top four cards of your library. Put one of them into your hand and the rest into your graveyard. • Counter target spell unless its controller pays {4}. / Escolha um — • Olhe os quatro cards do topo do seu grimório. Coloque um deles em sua mão e o restante em seu cemitério. Anule a mágica alvo, a menos que seu controlador pague {4}.</t>
  </si>
  <si>
    <t>Congregation Gryff / Grifino da Congregação</t>
  </si>
  <si>
    <t>Creature — Hippogriff Mount / Criatura — Hipogrifo Montaria</t>
  </si>
  <si>
    <t>Flying, lifelink Whenever this creature attacks while saddled, it gets +X/+X until end of turn, where X is the number of Mounts you control. Saddle 3 (Tap any number of other creatures you control with total power 3 or more: This Mount becomes saddled until end of turn. Saddle only as a sorcery.) / Voar, vínculo com a vida Toda vez que Grifino da Congregação ataca selado, ele recebe +X/+X até o final do turno, sendo X o número de Montarias que você controla. Selar 3 (Vire qualquer número de outras criaturas que você controla com total de poder igual ou superior a 3: Esta Montaria torna-se selada até o final do turno. Sele somente como um feitiço.)</t>
  </si>
  <si>
    <t>Connive // Concoct / Conivente // Concoctante</t>
  </si>
  <si>
    <t>Sorcery // Sorcery / Feitiço</t>
  </si>
  <si>
    <t>Connive: Gain control of target creature with power 2 or less. // Concoct: Surveil 3, then return a creature card from your graveyard to the battlefield. / Ganhe o controle da criatura alvo com poder igual ou inferior a 2.</t>
  </si>
  <si>
    <t>{2}{U/B}{U/B} // {3}{U}{B}</t>
  </si>
  <si>
    <t>Murders at Karlov Manor Commander (MKC)</t>
  </si>
  <si>
    <t>Consecrate // Consume / Devotar // Devorar</t>
  </si>
  <si>
    <t>Consecrate: Exile target card from a graveyard. Draw a card. // Consume: Target player sacrifices a creature with the greatest power among creatures they control. You gain life equal to its power. / Exile o card alvo de um cemitério. Compre um card.</t>
  </si>
  <si>
    <t>{1}{W/B} // {2}{W}{B}</t>
  </si>
  <si>
    <t>Conservator / Protetor</t>
  </si>
  <si>
    <t>{3}, {T}: Prevent the next 2 damage that would be dealt to you this turn.</t>
  </si>
  <si>
    <t>Consider / Considerar</t>
  </si>
  <si>
    <t>Surveil 1. (Look at the top card of your library. You may put it into your graveyard.) Draw a card. / Olhe o card do topo de seu grimório. Você pode colocar aquele card em seu cemitério. Compre um card.</t>
  </si>
  <si>
    <t>Secret Lair Drop (SLD)</t>
  </si>
  <si>
    <t>Consign to the Pit / Condenar ao Poço</t>
  </si>
  <si>
    <t>Destroy target creature. Consign to the Pit deals 2 damage to that creature's controller. / Destrua a criatura alvo. Condenar ao Poço causa 2 pontos de dano ao controlador daquela criatura.</t>
  </si>
  <si>
    <t>{5}{B}</t>
  </si>
  <si>
    <t>Consul's Lieutenant / Tenente do Cônsul</t>
  </si>
  <si>
    <t>First strike Renown 1 (When this creature deals combat damage to a player, if it isn't renowned, put a +1/+1 counter on it and it becomes renowned.) Whenever this creature attacks, if it's renowned, other attacking creatures you control get +1/+1 until end of turn. / IniciativaRenome 1 (Quando esta criatura causar dano de combate a um jogador, se ela não for renomada, coloque um marcador +1/+1 nela e ela se tornará renomada.)Toda vez que Tenente do Cônsul atacar, se ele for renomado, as outras criaturas atacantes que você controla receberão +1/+1 até o final do turno.</t>
  </si>
  <si>
    <t>Consulate Turret / Torreão do Consulado</t>
  </si>
  <si>
    <t>{T}: You get {E} (an energy counter). {T}, Pay {E}{E}{E}: This artifact deals 2 damage to target player or planeswalker. / {T}: Você recebe {E} (um marcador de energia). {T}, Pague {E}{E}{E}: Torreão do Consulado causa 2 pontos de dano ao jogador alvo.</t>
  </si>
  <si>
    <t>Consumed by Greed</t>
  </si>
  <si>
    <t>Gift a card (You may promise an opponent a gift as you cast this spell. If you do, they draw a card before its other effects.) Target opponent sacrifices a creature with the greatest power among creatures they control. If the gift was promised, return target creature card from your graveyard to your hand.</t>
  </si>
  <si>
    <t>Consuming Tide / Maré Consumidora</t>
  </si>
  <si>
    <t>Each player chooses a nonland permanent they control. Return all nonland permanents not chosen this way to their owners' hands. Then you draw a card for each opponent who has more cards in their hand than you. / Cada jogador escolhe uma permanente não de terreno que ele controla. Devolva para as mãos de seus donos todas as permanentes não de terreno não escolhidas dessa forma. Em seguida, você compra um card para cada oponente com mais cards na própria mão que você.</t>
  </si>
  <si>
    <t>Innistrad: Crimson Vow Promos (PVOW)</t>
  </si>
  <si>
    <t>Containment Membrane / Membrana de Contenção</t>
  </si>
  <si>
    <t>Surge {U} (You may cast this spell for its surge cost if you or a teammate has cast another spell this turn.) Enchant creature Enchanted creature doesn't untap during its controller's untap step. / Surto {U} (Você pode conjurar esta mágica por seu custo de surto se você ou um colega de equipe tiver conjurado outra mágica neste turno.) Encantar criatura A criatura encantada não é desvirada durante a etapa de desvirar de seu controlador.</t>
  </si>
  <si>
    <t>Containment Protocol / Protocolo de Contenção</t>
  </si>
  <si>
    <t>Encantar criatura. Quando esta Aura entrar, vire a criatura encantada. A criatura encantada não desvira durante a etapa de desvirar de seu controlador.</t>
  </si>
  <si>
    <t>Teenage Mutant Ninja Turtles</t>
  </si>
  <si>
    <t>Contentious Plan / Plano Polêmico</t>
  </si>
  <si>
    <t>Proliferate. (Choose any number of permanents and/or players, then give each another counter of each kind already there.) Draw a card. / Prolifere. (Escolha qualquer número de permanentes e/ou jogadores. Em seguida, dê a cada um deles outro marcador de cada tipo que eles já tenham.) Compre um card.</t>
  </si>
  <si>
    <t>Conversion</t>
  </si>
  <si>
    <t>All mountains become basic plains. During your upkeep, pay {W}{W} or destroy Conversion.</t>
  </si>
  <si>
    <t>Conversion / Conversion</t>
  </si>
  <si>
    <t>All mountains are considered basic plains while Conversion is in play. Pay {W}{W} during upkeep or Conversion is discarded.</t>
  </si>
  <si>
    <t>Conviction / Convicção</t>
  </si>
  <si>
    <t>Enchant creature Enchanted creature gets +1/+3. {W}: Return this Aura to its owner's hand. / Encantar criatura A criatura encantada recebe +1/+3. {W}: Devolva Convicção para a mão de seu dono.</t>
  </si>
  <si>
    <t>Convite de Casamento / Wedding Invitation</t>
  </si>
  <si>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</si>
  <si>
    <t>Cooperation</t>
  </si>
  <si>
    <t>Target creature gains banding.</t>
  </si>
  <si>
    <t>Coordinated Clobbering</t>
  </si>
  <si>
    <t>Tap one or two target untapped creatures you control. They each deal damage equal to their power to target creature an opponent controls.</t>
  </si>
  <si>
    <t>Copper Myr / Myr de Cobre</t>
  </si>
  <si>
    <t>Artifact Creature — Myr / Criatura Artefato — Myr</t>
  </si>
  <si>
    <t>{T}: Add {G}. / {T}: Adicione {G} à sua reserva de mana.</t>
  </si>
  <si>
    <t>Coral Eel / Enguia dos Corais</t>
  </si>
  <si>
    <t>Creature — Fish / Criatura — Enguia</t>
  </si>
  <si>
    <t>Coral Helm / Elmo de Coral</t>
  </si>
  <si>
    <t>{3}, Discard a card at random: Target creature gets +2/+2 until end of turn.</t>
  </si>
  <si>
    <t>Coral Merfolk / Tritões dos Corais</t>
  </si>
  <si>
    <t>Creature — Merfolk / Criatura — Tritão</t>
  </si>
  <si>
    <t>Welcome Deck 2017 (W17)</t>
  </si>
  <si>
    <t>Coral Sword / Espada de Coral</t>
  </si>
  <si>
    <t>Lampejo. Quando este Equipamento entrar, anexe-o à criatura alvo que você controla. Aquela criatura ganha iniciativa até o final do turno. A criatura equipada recebe +1/+0. Equipar {1}</t>
  </si>
  <si>
    <t>Coral Trickster / Trapaceira dos Corais</t>
  </si>
  <si>
    <t>Creature — Merfolk Rogue / Criatura — Tritão Ladino</t>
  </si>
  <si>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</si>
  <si>
    <t>Coral Trickster / Trapaceiro do Coral</t>
  </si>
  <si>
    <t>Criatura — Sereia Ladino</t>
  </si>
  <si>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</si>
  <si>
    <t>Core Prowler / Espreitador do Núcleo</t>
  </si>
  <si>
    <t>Artifact Creature — Phyrexian Horror / Criatura Artefato — Horror</t>
  </si>
  <si>
    <t>Infect (This creature deals damage to creatures in the form of -1/-1 counters and to players in the form of poison counters.) When this creature dies, proliferate. (Choose any number of permanents and/or players, then give each another counter of each kind already there.) / Infectar (Esta criatura causa dano a criaturas na forma de marcadores -1/-1 e a jogadores na forma de marcadores de veneno.) Quando Espreitador do Núcleo for colocado num cemitério vindo do campo de batalha, prolifere. (Você escolhe um número qualquer de permanentes e/ou jogadores com marcadores sobre eles e depois dá a cada um outro marcador de um tipo que eles já tenham.)</t>
  </si>
  <si>
    <t>Cornered by Preto Mages</t>
  </si>
  <si>
    <t>Target opponent sacrifices a creature of their choice. Create a 0/1 Preto Wizard creature token with "Whenever you cast a noncreature spell, this token deals 1 damage to each opponent."</t>
  </si>
  <si>
    <t>1BB</t>
  </si>
  <si>
    <t>Preta</t>
  </si>
  <si>
    <t>Corpse Augur / Áugure Cadáver</t>
  </si>
  <si>
    <t>Creature — Zombie Wizard / Criatura — Zumbi Mago</t>
  </si>
  <si>
    <t>When this creature dies, you draw X cards and you lose X life, where X is the number of creature cards in target player's graveyard. / Quando Áugure Cadáver morre, você compra X cards e perde X pontos de vida, sendo X o número de cards de criatura no cemitério do jogador alvo.</t>
  </si>
  <si>
    <t>Corpse Hauler / Carregador de Cadáveres</t>
  </si>
  <si>
    <t>{2}{B}, Sacrifice this creature: Return another target creature card from your graveyard to your hand. / {2}{B}, Sacrifique Carregador de Cadáveres: Devolva outro card de criatura alvo de seu cemitério para sua mão.</t>
  </si>
  <si>
    <t>Corpse Lunge / Investida de Cadáver</t>
  </si>
  <si>
    <t>As an additional cost to cast this spell, exile a creature card from your graveyard. Corpse Lunge deals damage equal to the exiled card's power to target creature. / Como custo adicional para conjurar Investida de Cadáver, exile um card de criatura de seu cemitério. Investida de Cadáver causa uma quantidade de dano igual ao poder do card exilado à criatura alvo.</t>
  </si>
  <si>
    <t>Corrosive Ooze / Lodo Corrosivo</t>
  </si>
  <si>
    <t>Whenever this creature blocks or becomes blocked by an equipped creature, destroy all Equipment attached to that creature at end of combat. / Toda vez que Lodo Corrosivo bloquear ou se tornar bloqueado por uma criatura equipada, destrua todos os Equipamentos anexados àquela criatura no final do combate.</t>
  </si>
  <si>
    <t>Corrupt Court Official / Magistrado Corrupto</t>
  </si>
  <si>
    <t>Creature — Human Advisor / Criatura — Humano Conselheiro</t>
  </si>
  <si>
    <t>When this creature enters, target opponent discards a card. / Quando Magistrado Corrupto entra no campo de batalha, o oponente alvo descarta um card.</t>
  </si>
  <si>
    <t>Cosmic Horror / Horror Cósmico</t>
  </si>
  <si>
    <t>First strike At the beginning of your upkeep, destroy this creature unless you pay {3}{B}{B}{B}. If this creature is destroyed this way, it deals 7 damage to you.</t>
  </si>
  <si>
    <t>{3}{B}{B}{B}</t>
  </si>
  <si>
    <t>Cosmogoyf / Cosmogoyf</t>
  </si>
  <si>
    <t>Criatura — Elemental Lhurgoyf</t>
  </si>
  <si>
    <t>O poder desta criatura é igual ao número de cards que você possui no exílio e sua resistência é igual a esse número mais 1.</t>
  </si>
  <si>
    <t>*/1+*</t>
  </si>
  <si>
    <t>Countermand / Contra-ordem</t>
  </si>
  <si>
    <t>Anule a mágica alvo. Seu controlador coloca os quatro cards do topo do grimório dele no próprio cemitério.</t>
  </si>
  <si>
    <t>Countless Gears Renegade / Renegada das Engrenagens Incontáveis</t>
  </si>
  <si>
    <t>Creature — Dwarf Artificer / Criatura — Anão Artesão</t>
  </si>
  <si>
    <t>Revolt — When this creature enters, if a permanent left the battlefield under your control this turn, create a 1/1 colorless Servo artifact creature token. / Revolta — Quando Renegada das Engrenagens Incontáveis entrar no campo de batalha, se uma permanente que você controlava deixou o campo de batalha neste turno, crie uma ficha de criatura artefato incolor 1/1 do tipo Servus.</t>
  </si>
  <si>
    <t>Courageous Outrider / Vanguardeira Corajosa</t>
  </si>
  <si>
    <t>Creature — Human Scout / Criatura — Humano Batedor</t>
  </si>
  <si>
    <t>When this creature enters, look at the top four cards of your library. You may reveal a Human card from among them and put it into your hand. Put the rest on the bottom of your library in any order. / Quando Vanguardeira Corajosa entrar no campo de batalha, olhe os quatro cards do topo de seu grimório. Você pode revelar um card de Humano dentre eles e colocá-lo em sua mão. Coloque o resto no fundo de seu grimório em qualquer ordem.</t>
  </si>
  <si>
    <t>Courier Griffin / Grifo Mensageiro</t>
  </si>
  <si>
    <t>Flying When this creature enters, you gain 2 life. / VoarQuando Grifo Mensageiro entra no campo de batalha, você ganha 2 pontos de vida.</t>
  </si>
  <si>
    <t>Courier of Comestibles</t>
  </si>
  <si>
    <t>When this creature enters, you may search your library for a Food card, reveal it, put it into your hand, then shuffle. If you don't put a card into your hand this way, create a Food token. (It's an artifact with "{2}, {T}, Sacrifice this token: You gain 3 life.")</t>
  </si>
  <si>
    <t xml:space="preserve">Teenage Mutant Ninja Turtles (Promos) </t>
  </si>
  <si>
    <t>Court Hussar / Hussardo Real</t>
  </si>
  <si>
    <t>Creature — Vedalken Knight / Criatura — Cavaleiro Vedalkeano</t>
  </si>
  <si>
    <t>Vigilance When this creature enters, look at the top three cards of your library, then put one of them into your hand and the rest on the bottom of your library in any order. When this creature enters, sacrifice it unless {W} was spent to cast it. / Vigilância Quando Hussardo Real entrar em jogo, olhe os três cards do topo de seu grimório, coloque um deles em sua mão e o restante no fundo de seu grimório em qualquer ordem. Quando Hussardo Real entrar em jogo, sacrifique-o, a menos que {W} tenha sido gasto para jogá-lo.</t>
  </si>
  <si>
    <t>Masters 25 (A25)</t>
  </si>
  <si>
    <t>Court Street Denizen / Habitante da Rua do Tribunal</t>
  </si>
  <si>
    <t>Whenever another white creature you control enters, tap target creature an opponent controls. / Toda vez que outra criatura branca entrar no campo de batalha sob o seu controle, vire a criatura alvo que um oponente controla.</t>
  </si>
  <si>
    <t>Coveiro / Gravedigger</t>
  </si>
  <si>
    <t>Criatura — Zumbi / Creature — Zombie</t>
  </si>
  <si>
    <t>Quando Coveiro entra no campo de batalha, você pode devolver o card de criatura alvo de seu cemitério para sua mão. / When Gravedigger enters the battlefield, you may return target creature card from your graveyard to your hand.</t>
  </si>
  <si>
    <t>Core Set 2015 (M15)</t>
  </si>
  <si>
    <t>Coveted Peacock / Pavão Cobiçado</t>
  </si>
  <si>
    <t>Flying Whenever this creature attacks, you may goad target creature defending player controls. (Until your next turn, that creature attacks each combat if able and attacks a player other than you if able.) / Voar Toda vez que Pavão Cobiçado atacar, você poderá atiçar a criatura alvo que o jogador defensor controla. (Até seu próximo turno, aquela criatura ataca a cada combate, se estiver apta, e ataca um jogador que não seja você, se estiver apta.)</t>
  </si>
  <si>
    <t>Cowabunga!</t>
  </si>
  <si>
    <t>Look at the top four cards of your library. You may reveal a Mutant, Ninja, Turtle, or land card from among them and put it into your hand. Put the rest on the bottom of your library in a random order.</t>
  </si>
  <si>
    <t>Cowl Prowler / Rastejador do Capote</t>
  </si>
  <si>
    <t>Creature — Wurm / Criatura — Vorme</t>
  </si>
  <si>
    <t>Crackdown Construct / Constructo Repressor</t>
  </si>
  <si>
    <t>Whenever you activate an ability of an artifact or creature that isn't a mana ability, this creature gets +1/+1 until end of turn. / Toda vez que você ativa uma habilidade de um artefato ou criatura que não seja uma habilidade de mana, Constructo Repressor recebe +1/+1 até o final do turno.</t>
  </si>
  <si>
    <t>Crackling Drake / Dragonete Fagulhante</t>
  </si>
  <si>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</si>
  <si>
    <t>{U}{U}{R}{R}</t>
  </si>
  <si>
    <t>*/4</t>
  </si>
  <si>
    <t>Crackling Emergence / Emergência Crepitante</t>
  </si>
  <si>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</si>
  <si>
    <t>Crackling Perimeter / Perímetro de Crepitação</t>
  </si>
  <si>
    <t>Tap an untapped Gate you control: This enchantment deals 1 damage to each opponent. / Vire um Portão desvirado que você controla: Perímetro de Crepitação causa 1 ponto de dano a cada oponente.</t>
  </si>
  <si>
    <t>Crafty Pathmage / Magi-Trilhadora Ladina</t>
  </si>
  <si>
    <t>{T}: Target creature with power 2 or less can't be blocked this turn. / {T}: A criatura alvo com poder menor ou igual a 2 não pode ser bloqueada neste turno.</t>
  </si>
  <si>
    <t>Crash of Rhino Beetles / Manada de Besourocerontes</t>
  </si>
  <si>
    <t>Trample This creature gets +10/+10 as long as you control ten or more lands. / Atropelar Manada de Besourocerontes receberá +10/+10 enquanto você controlar dez ou mais terrenos.</t>
  </si>
  <si>
    <t>Crash Through / Irromper</t>
  </si>
  <si>
    <t>Creatures you control gain trample until end of turn. Draw a card. / As criaturas que você controla ganham atropelar até o final do turno. Compre um card.</t>
  </si>
  <si>
    <t>Crashing Wave</t>
  </si>
  <si>
    <t>As an additional cost to cast this spell, waterbend {X}. (While paying a waterbend cost, you can tap your artifacts and creatures to help. Each one pays for {1}.) Tap up to X target creatures, then distribute three stun counters among any number of tapped creatures your opponents control. (If a permanent with a stun counter would become untapped, remove one from it instead.)</t>
  </si>
  <si>
    <t>Craterize / Craterizar</t>
  </si>
  <si>
    <t>Destroy target land. / Destrua o terreno alvo.</t>
  </si>
  <si>
    <t>Cravar na Terra</t>
  </si>
  <si>
    <t>Encantar criatura A criatura encantada recebe -6/-0.</t>
  </si>
  <si>
    <t>Crawling Filth / Imundície Rastejante</t>
  </si>
  <si>
    <t>Fear (This creature can't be blocked except by artifact creatures and/or black creatures.) Soulshift 5 (When this creature dies, you may return target Spirit card with mana value 5 or less from your graveyard to your hand.) / Amedrontar Transmigração da Alma 5 (Quando esta for colocada num cemitério vinda de jogo, você pode devolver o card alvo de Espírito com custo de mana convertido menor ou igual a 5 de seu cemitério para a sua mão.)</t>
  </si>
  <si>
    <t>Crazed Goblin / Goblin Enlouquecido</t>
  </si>
  <si>
    <t>Creature — Goblin Warrior / Criatura — Guerreiro Goblin</t>
  </si>
  <si>
    <t>This creature attacks each combat if able. / Goblin Enlouquecido ataca a cada turno se estiver apto.</t>
  </si>
  <si>
    <t>Darksteel (DST)</t>
  </si>
  <si>
    <t>Crebain da Terra Parda / Dunland Crebain</t>
  </si>
  <si>
    <t>Criatura — Ave Horror</t>
  </si>
  <si>
    <t>Voar. Quando Crebain da Terra Parda entrar no campo de batalha, arregimente Orcs 2.</t>
  </si>
  <si>
    <t>Creeping Peeper</t>
  </si>
  <si>
    <t>Creature — Eye</t>
  </si>
  <si>
    <t>{T}: Add {U}. Spend this mana only to cast an enchantment spell, unlock a door, or turn a permanent face up.</t>
  </si>
  <si>
    <t>Creepy Puppeteer / Titereira Sinistra</t>
  </si>
  <si>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</si>
  <si>
    <t>Crib Swap / Troca de Berço</t>
  </si>
  <si>
    <t>Kindred Instant — Shapeshifter / Mágica Instantânea Tribal — Metamorfo</t>
  </si>
  <si>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</si>
  <si>
    <t>Crimson Acolyte</t>
  </si>
  <si>
    <t>Creature — Cleric</t>
  </si>
  <si>
    <t>Protection from red. {W}: Target creature gains protection from red until end of turn.</t>
  </si>
  <si>
    <t>Crimson Fleet Commodore / Comodoro da Frota Carmesim</t>
  </si>
  <si>
    <t>Creature — Ogre Pirate / Criatura — Ogro Pirata</t>
  </si>
  <si>
    <t>Trample When this creature enters, you become the monarch. / Atropelar Quando Comodoro da Frota Carmesim entra no campo de batalha, você se torna o monarca.</t>
  </si>
  <si>
    <t>Crimson Hellkite / Dragão Avérneo Escarlate</t>
  </si>
  <si>
    <t>Creature — Dragon</t>
  </si>
  <si>
    <t>Flying {X}, {T}: This creature deals X damage to target creature. Spend only red mana on X.</t>
  </si>
  <si>
    <t>{6}{R}{R}{R}</t>
  </si>
  <si>
    <t>Crimson Manticore / Mantícora Escarlate</t>
  </si>
  <si>
    <t>Creature — Manticore</t>
  </si>
  <si>
    <t>Flying {R}, {T}: This creature deals 1 damage to target attacking or blocking creature.</t>
  </si>
  <si>
    <t>Crimson Operative / Operativo Carmesim</t>
  </si>
  <si>
    <t>Criatura Artefato — Humano Vilão</t>
  </si>
  <si>
    <t>Destreza (Sempre que você conjurar uma mágica que não seja de criatura, esta criatura receberá +1/+1 até o final do turno.) Quando esta criatura entrar, exile o card do topo de seu grimório. Até o final de seu próximo turno, você poderá jogar aquele card.</t>
  </si>
  <si>
    <t>3{R}</t>
  </si>
  <si>
    <t>Crookclaw Transmuter / Transmutador de Garras Curvas</t>
  </si>
  <si>
    <t>Creature — Bird Wizard / Criatura — Ave Mago</t>
  </si>
  <si>
    <t>Flash Flying When this creature enters, switch target creature's power and toughness until end of turn. / Lampejo Voar Quando Transmutador de Garras Curvas entrar no campo de batalha, permute o poder e a resistência da criatura alvo até o final do turno.</t>
  </si>
  <si>
    <t>Crossbones, Malicious Mercenary</t>
  </si>
  <si>
    <t>Legendary Creature — Human Mercenary Villain</t>
  </si>
  <si>
    <t>Deathtouch Whenever another Villain you control enters, put a +1/+1 counter on Crossbones. He deals 2 damage to each opponent. This ability triggers only once each turn.</t>
  </si>
  <si>
    <t>Crossbow Infantry / Infantaria de Besteiros</t>
  </si>
  <si>
    <t>{T}: Crossbow Infantry deals 1 damage to target attacking or blocking creature. / {T}: Infantaria de Besteiros causa 1 ponto de dano à criatura atacante ou bloqueadora alvo.</t>
  </si>
  <si>
    <t>Crossroads Village / Vilarejo da Encruzilhada</t>
  </si>
  <si>
    <t>Este terreno entra virado. Conforme entra, escolha uma cor. {T}: Adicione um mana da cor escolhida.</t>
  </si>
  <si>
    <t>Crosstown Courier / Mensageiro Transurbano</t>
  </si>
  <si>
    <t>Creature — Vedalken / Criatura — Vedalkeano</t>
  </si>
  <si>
    <t>Whenever this creature deals combat damage to a player, that player mills that many cards. / Toda vez que Mensageiro Transurbano causa dano de combate a um jogador, aquele jogador coloca uma quantidade equivalente de cards do topo do grimório dele no próprio cemitério.</t>
  </si>
  <si>
    <t>Crow of Dark Tidings / Corvo das Notícias Sombrias</t>
  </si>
  <si>
    <t>Flying When this creature enters or dies, mill two cards. (Put the top two cards of your library into your graveyard.) / Voar Quando Corvo das Notícias Sombrias entrar no campo de batalha ou morrer, coloque os dois cards do topo de seu grimório em seu cemitério.</t>
  </si>
  <si>
    <t>Crowd of True Believers / Multidão de Espectadores Féis</t>
  </si>
  <si>
    <t>Criatura — Humano Cidadão</t>
  </si>
  <si>
    <t>{T}: A criatura alvo que você controla que estiver atacando sozinha recebe +1/+0 até o final do turno. Você ganha 1 de vida.</t>
  </si>
  <si>
    <t>Crown of Ascension / Coroa de Ascensão</t>
  </si>
  <si>
    <t>Enchantment — Aura / Encantar Criatura</t>
  </si>
  <si>
    <t>Enchant creature Enchanted creature has flying. Sacrifice this Aura: Enchanted creature and other creatures that share a creature type with it gain flying until end of turn. / A criatura encantada tem a habilidade de voar. Sacrifique Coroa de Ascensão: A criatura encantada e outras criaturas que compartilharem um tipo de criatura com ela ganham a habilidade de voar até o final do turno.</t>
  </si>
  <si>
    <t>Crucible of the Spirit Dragon / Crisol do Dragão Espírito</t>
  </si>
  <si>
    <t>{T}: Add {C}. {1}, {T}: Put a storage counter on this land. {T}, Remove X storage counters from this land: Add X mana in any combination of colors. Spend this mana only to cast Dragon spells or activate abilities of Dragons. / {T}: Adicione {1} à sua reserva de mana. {1}, {T}: Coloque um marcador de armazenamento em Crisol do Dragão Espírito. {T}, Remova X marcadores de armazenamento de Crisol do Dragão Espírito: Adicione X mana em qualquer combinação de cores à sua reserva de mana. Gaste este mana somente para conjurar mágicas de Dragão ou ativar habilidades de Dragões.</t>
  </si>
  <si>
    <t>Cruel Alliance / Aliança Cruel</t>
  </si>
  <si>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</si>
  <si>
    <t>Cruel Deceiver / Impostor Cruel</t>
  </si>
  <si>
    <t>{1}: Look at the top card of your library. {2}: Reveal the top card of your library. If it's a land card, this creature gains "Whenever this creature deals damage to a creature, destroy that creature" until end of turn. Activate only once each turn. / {1}: Olhe o card do topo de seu grimório. {2}: Revele o card do topo de seu grimório. Se for um terreno, Impostor Cruel ganha "Toda vez que Impostor Cruel causar dano a uma criatura, destrói aquela criatura" até o final do turno. Use esta habilidade somente uma vez a cada turno.</t>
  </si>
  <si>
    <t>Cruel Feeding / Alimentação Cruel</t>
  </si>
  <si>
    <t>Strive — This spell costs {2}{B} more to cast for each target beyond the first. Any number of target creatures each get +1/+0 and gain lifelink until end of turn. (Damage dealt by a creature with lifelink also causes its controller to gain that much life.) / Esforço — Alimentação Cruel custa {2}{B} a mais para ser conjurado para cada alvo além do primeiro. Qualquer número de criaturas alvo recebe +1/+0 e ganha vínculo com a vida até o final do turno. (O dano causado por uma criatura com vínculo com a vida também faz com que seu controlador ganhe uma quantidade equivalente de pontos de vida.)</t>
  </si>
  <si>
    <t>Cruel Grimnarch / Sombrarca Cruel</t>
  </si>
  <si>
    <t>Creature — Phyrexian Cleric / Criatura — Phyrexiano Clérigo</t>
  </si>
  <si>
    <t>Deathtouch When this creature enters, each opponent discards a card. For each opponent who can't, you gain 4 life. / Toque mortífero Quando Sombrarca Cruel entra no campo de batalha, cada oponente descarta um card. Para cada oponente que não puder fazê-lo, você ganha 4 pontos de vida.</t>
  </si>
  <si>
    <t>Cruel Revival / Renascimento Cruel</t>
  </si>
  <si>
    <t>Destroy target non-Zombie creature. It can't be regenerated. Return up to one target Zombie card from your graveyard to your hand. / Destrua a criatura alvo que não seja Zumbi. Ela não pode ser regenerada. Devolva até um card alvo do tipo Zumbi de seu cemitério para sua mão.</t>
  </si>
  <si>
    <t>Cruel Sadist / Sádico Cruel</t>
  </si>
  <si>
    <t>Creature — Human Assassin / Criatura — Humano Assassino</t>
  </si>
  <si>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</si>
  <si>
    <t>Crustacean Commando</t>
  </si>
  <si>
    <t>Creature — Crab Mutant Soldier</t>
  </si>
  <si>
    <t>When this creature enters, create a Mutagen token. (It's an artifact with "{1}, {T}, Sacrifice this token: Put a +1/+1 counter on target creature. Activate only as a sorcery.")</t>
  </si>
  <si>
    <t>Cry of Contrition / Grito de Contrição</t>
  </si>
  <si>
    <t>Target player discards a card. Haunt (When this spell card is put into a graveyard after resolving, exile it haunting target creature.) When the creature this card haunts dies, target player discards a card. / O jogador alvo descarta um card. Assombrar (Quando este card de mágica for colocado num cemitério depois de ser resolvido, remova-o do jogo assombrando uma criatura alvo.) Quando a criatura que Grito de Contrição assombra é colocada num cemitério, o jogador alvo descarta um card.</t>
  </si>
  <si>
    <t>Guildpact (GPT)</t>
  </si>
  <si>
    <t>Cryoshatter</t>
  </si>
  <si>
    <t>Enchant creature Enchanted creature gets -5/-0. When enchanted creature becomes tapped or is dealt damage, destroy it.</t>
  </si>
  <si>
    <t>Crypt Incursion / Incursão de Cripta</t>
  </si>
  <si>
    <t>Exile all creature cards from target player's graveyard. You gain 3 life for each card exiled this way. / Exile todos os cards de criatura do cemitério do jogador alvo. Você ganha 3 pontos de vida para cada card exilado desta forma.</t>
  </si>
  <si>
    <t>Cryptic Serpent / Serpente Críptica</t>
  </si>
  <si>
    <t>Creature — Serpent / Criatura — Serpente</t>
  </si>
  <si>
    <t>This spell costs {1} less to cast for each instant and sorcery card in your graveyard. / Serpente Críptica custa {1} a menos para ser conjurada para cada card de mágica instantânea e feitiço no seu cemitério.</t>
  </si>
  <si>
    <t>{5}{U}{U}</t>
  </si>
  <si>
    <t>Cryptid Inspector</t>
  </si>
  <si>
    <t>Creature — Elf Warrior</t>
  </si>
  <si>
    <t>Vigilance Whenever a face-down permanent you control enters and whenever this creature or another permanent you control is turned face up, put a +1/+1 counter on this creature.</t>
  </si>
  <si>
    <t>Cryptolith Fragment / Fragmento de Criptólito</t>
  </si>
  <si>
    <t>This artifact enters tapped. {T}: Add one mana of any color. Each player loses 1 life. At the beginning of your upkeep, if each player has 10 or less life, transform this artifact. / Fragmento de Criptólito entra no campo de batalha virado. {T}: Adicione um mana de qualquer cor à sua reserva de mana. Cada jogador perde 1 ponto de vida. No início de sua manutenção, se cada jogador tiver 10 pontos de vida ou menos, transforme Fragmento de Criptólito.</t>
  </si>
  <si>
    <t>Cryptwailing / Gemidos da Cripta</t>
  </si>
  <si>
    <t>{1}, Exile two creature cards from your graveyard: Target player discards a card. Activate only as a sorcery. / {1}, Remova de jogo dois cards de criatura de seu cemitério: O jogador alvo descarta um card. Use esta habilidade somente quando puder jogar um feitiço.</t>
  </si>
  <si>
    <t>Crystal Carapace / Carapaça de Cristal</t>
  </si>
  <si>
    <t>Enchant creature Enchanted creature gets +3/+3 and has ward {2}. Cycling {2} ({2}, Discard this card: Draw a card.) / Encantar criatura A criatura encantada recebe +3/+3 e tem salvaguarda {2}. Reciclar {2} ({2}, descarte este card: Compre um card.)</t>
  </si>
  <si>
    <t>Crystal Rod / Bastão de Cristal</t>
  </si>
  <si>
    <t>Whenever a player casts a blue spell, you may pay {1}. If you do, you gain 1 life. / Toda vez que um jogador jogar uma mágica azul, você pode pagar {1}. Se o fizer, você ganha 1 ponto de vida.</t>
  </si>
  <si>
    <t>Crystalline Nautilus / Náutilo Cristalino</t>
  </si>
  <si>
    <t>Criatura Encantamento — Náutilo</t>
  </si>
  <si>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</si>
  <si>
    <t>2U</t>
  </si>
  <si>
    <t>Cuboid Colony / Colônia Cuboide</t>
  </si>
  <si>
    <t>Lampejo. Voar, atropelar. Incrementar (Sempre que você conjurar uma mágica, se a quantidade de mana que você gastou for maior que o poder ou a resistência desta criatura, coloque um marcador +1/+1 nesta criatura.)</t>
  </si>
  <si>
    <t>Cultbrand Cinder / Cinzeríneo Culto-do-Estigma</t>
  </si>
  <si>
    <t>Creature — Elemental Shaman / Criatura — Elemental Xamã</t>
  </si>
  <si>
    <t>When this creature enters, put a -1/-1 counter on target creature. / Quando Cinzeríneo Culto-do-Estigma entrar em jogo, coloque um marcador -1/-1 na criatura alvo.</t>
  </si>
  <si>
    <t>{4}{B/R}</t>
  </si>
  <si>
    <t>Cultivator Drone / Zangão Cultivador</t>
  </si>
  <si>
    <t>Devoid (This card has no color.) {T}: Add {C}. Spend this mana only to cast a colorless spell, activate an ability of a colorless permanent, or pay a cost that contains {C}. ({C} represents colorless mana.) / Desprovido (Este card não tem cor.) {T}: Adicione {C} à sua reserva de mana. Gaste esse mana apenas para conjurar uma mágica incolor, ativar uma habilidade de uma permanente incolor ou pagar um custo que contenha {C}. ({C} representa mana incolor.)</t>
  </si>
  <si>
    <t>Cunning Breezedancer / Dançarina da Brisa Astuta</t>
  </si>
  <si>
    <t>Creature — Dragon / Criatura — Dragão</t>
  </si>
  <si>
    <t>Flying Whenever you cast a noncreature spell, this creature gets +2/+2 until end of turn. / Voar Toda vez que você conjura uma mágica que não seja de criatura, Dançarina da Brisa Astuta recebe +2/+2 até o final do turno.</t>
  </si>
  <si>
    <t>Cunning Maneuver</t>
  </si>
  <si>
    <t>Target creature gets +3/+1 until end of turn. Create a Clue token. (It's an artifact with "{2}, Sacrifice this token: Draw a card.")</t>
  </si>
  <si>
    <t>Cuombajj Witches / Bruxas Cuombajj</t>
  </si>
  <si>
    <t>{T}: This creature deals 1 damage to any target and 1 damage to any target of an opponent's choice. / {T}: Bruxas Cuombajj causa 1 ponto de dano a qualquer alvo e 1 ponto de dano a qualquer alvo à escolha de um oponente.</t>
  </si>
  <si>
    <t>Cura de Fárica / Pharika's Cure</t>
  </si>
  <si>
    <t>Cura de Fárica causa 2 pontos de dano à criatura alvo e você ganha 2 pontos de vida. / Pharika's Cure deals 2 damage to target creature and you gain 2 life.</t>
  </si>
  <si>
    <t>Curandeiro Samita / Samite Healer</t>
  </si>
  <si>
    <t>Invocação de Clérigo / Summon Cleric</t>
  </si>
  <si>
    <t>{T}: Evita 1 ponto de dano em qualquer jogador ou criatura.</t>
  </si>
  <si>
    <t>Curio Vendor / Vendedora de Raridades</t>
  </si>
  <si>
    <t>Curious Farm Animals</t>
  </si>
  <si>
    <t>Creature — Boar Elk Bird Ox</t>
  </si>
  <si>
    <t>When this creature dies, you gain 3 life. {2}, Sacrifice this creature: Destroy up to one target artifact or enchantment.</t>
  </si>
  <si>
    <t>Curious Homunculus / Homúnculo Curioso</t>
  </si>
  <si>
    <t>Creature — Homunculus / Criatura — Homúnculo</t>
  </si>
  <si>
    <t>{T}: Add {C}. Spend this mana only to cast an instant or sorcery spell. At the beginning of your upkeep, if there are three or more instant and/or sorcery cards in your graveyard, transform this creature. / {T}: Adicione {C} à sua reserva de mana. Gaste este mana apenas para conjurar uma mágica instantânea ou um feitiço. No início de sua manutenção, se houver três ou mais cards de mágica instantânea e/ou de feitiço em seu cemitério, transforme Homúnculo Curioso.</t>
  </si>
  <si>
    <t>Curse of Marit Lage / Maldição de Marit Lage</t>
  </si>
  <si>
    <t>When this enchantment enters, tap all Islands. Islands don't untap during their controllers' untap steps.</t>
  </si>
  <si>
    <t>Curse of the Werefox / Maldição da Mulher-raposa</t>
  </si>
  <si>
    <t>Create a Monster Role token attached to target creature you control. When you do, that creature fights up to one target creature you don't control. (If you control another Role on it, put that one into the graveyard. Enchanted creature gets +1/+1 and has trample. Creatures that fight each deal damage equal to their power to the other.) / Crie uma ficha de Papel de Monstro anexada à criatura alvo que você controla. Quando você faz isso, aquela criatura luta contra até uma criatura alvo que você não controla. (Se você controlar outro Papel nela, coloque aquele no cemitério. A criatura encantada recebe +1/+1 e tem atropelar. As criaturas que lutam causam, cada uma, uma quantidade de dano igual ao próprio poder à outra.)</t>
  </si>
  <si>
    <t>Cursed Land / Terreno Amaldiçoado</t>
  </si>
  <si>
    <t>Enchant land At the beginning of the upkeep of enchanted land's controller, this Aura deals 1 damage to that player.</t>
  </si>
  <si>
    <t>Cursed Rack / Ecúleo Amaldiçoado</t>
  </si>
  <si>
    <t>As this artifact enters, choose an opponent. The chosen player's maximum hand size is four.</t>
  </si>
  <si>
    <t>Cut Short / Encurtar</t>
  </si>
  <si>
    <t>Convoke (Your creatures can help cast this spell. Each creature you tap while casting this spell pays for {1} or one mana of that creature's color.) Destroy target planeswalker that was activated this turn or tapped creature. / Convocar (Suas criaturas podem ajudar a conjurar esta mágica. Cada criatura que você vira ao conjurar esta mágica paga {1} ou um mana da cor daquela criatura.) Destrua o planeswalker que tenha sido ativado neste turno ou a criatura virada alvo.</t>
  </si>
  <si>
    <t>Cutthroat Maneuver / Manobra Feroz</t>
  </si>
  <si>
    <t>Up to two target creatures each get +1/+1 and gain lifelink until end of turn. / Até duas criaturas alvo recebem +1/+1 cada uma e ganham vínculo com a vida até o final do turno.</t>
  </si>
  <si>
    <t>Cycle of Renewal</t>
  </si>
  <si>
    <t>Sacrifice a land. Search your library for up to two basic land cards, put them onto the battlefield tapped, then shuffle.</t>
  </si>
  <si>
    <t>Cyclopean Mummy / Múmia Ciclópica</t>
  </si>
  <si>
    <t>When this creature dies, exile it.</t>
  </si>
  <si>
    <t>Cyclops Electromancer / Eletromante Ciclope</t>
  </si>
  <si>
    <t>Creature — Cyclops Wizard / Criatura — Ciclope Mago</t>
  </si>
  <si>
    <t>When this creature enters, it deals X damage to target creature an opponent controls, where X is the number of instant and sorcery cards in your graveyard. / Quando Eletromante Ciclope entra no campo de batalha, ele causa X pontos de dano à criatura alvo que um oponente controla, sendo X o número de cards de mágica instantânea ou feitiço em seu cemitério.</t>
  </si>
  <si>
    <t>Cyclops of One-Eyed Pass / Ciclope da Passagem Caolha</t>
  </si>
  <si>
    <t>Creature — Cyclops / Criatura — Ciclope</t>
  </si>
  <si>
    <t>Cyclops Superconductor / Ciclope Supercondutor</t>
  </si>
  <si>
    <t>Prowess (Whenever you cast a noncreature spell, this creature gets +1/+1 until end of turn.) When this creature enters, you get {E}{E}{E} (three energy counters). When this creature dies, you may pay {E}{E}{E}. When you do, this creature deals damage equal to its power to any target. / Destreza (Toda vez que você conjurar uma mágica não de criatura, esta criatura recebe +1/+1 até o final do turno.) Quando Ciclope Supercondutor entra no campo de batalha, você recebe {E}{E}{E} (três marcadores de energia). Quando Ciclope Supercondutor morre, você pode pagar {E}{E}{E}. Quando você faz isso, Ciclope Supercondutor causa dano igual a seu poder a qualquer alvo.</t>
  </si>
  <si>
    <t>D'Avenant Archer / Arqueiro DíAvenant</t>
  </si>
  <si>
    <t>Creature — Human Soldier Archer</t>
  </si>
  <si>
    <t>{T}: This creature deals 1 damage to target attacking or blocking creature.</t>
  </si>
  <si>
    <t>D'Avenant Trapper / Armadilheira D'Avenant</t>
  </si>
  <si>
    <t>Whenever you cast a historic spell, tap target creature an opponent controls. (Artifacts, legendaries, and Sagas are historic.) / Toda vez que você conjurar uma mágica histórica, vire a criatura alvo que um oponente controla. (Os artefatos, os cards lendários e as Sagas são cards históricos.)</t>
  </si>
  <si>
    <t>Dádiva de Arwen / Arwen's Gift</t>
  </si>
  <si>
    <t>Esta mágica custa {1} a menos para ser conjurada se você controla duas ou mais criaturas lendárias. Use vidência 2 e depois compre dois cards.</t>
  </si>
  <si>
    <t>Dagger Caster / Lançadora de Adagas</t>
  </si>
  <si>
    <t>Creature — Lizard Rogue / Criatura — Viashino Ladino</t>
  </si>
  <si>
    <t>When this creature enters, it deals 1 damage to each opponent and 1 damage to each creature your opponents control. / Quando Lançadora de Adagas entra no campo de batalha, ela causa 1 ponto de dano a cada oponente e 1 ponto de dano a cada criatura que seus oponentes controlam.</t>
  </si>
  <si>
    <t>Dagger of the Worthy / Adaga dos Dignos</t>
  </si>
  <si>
    <t>Equipped creature gets +2/+0 and has afflict 1. (Whenever it becomes blocked, defending player loses 1 life.) Equip {2} ({2}: Attach to target creature you control. Equip only as a sorcery.) / A criatura equipada recebe +2/+0 e tem afligir 1. (Toda vez que ela se torna bloqueada, o jogador defensor perde 1 ponto de vida.) Equipar {2} ({2}: Anexe à criatura alvo que você controla. Equipe somente como um feitiço.)</t>
  </si>
  <si>
    <t>Daghatar the Adamant / Daghatar, o Inflexível</t>
  </si>
  <si>
    <t>Legendary Creature — Human Warrior / Criatura Lendária — Humano Guerreiro</t>
  </si>
  <si>
    <t>Vigilance Daghatar enters with four +1/+1 counters on it. {1}{B/G}{B/G}: Move a +1/+1 counter from target creature onto a second target creature. / Vigilância Daghatar, o Inflexível, entra no campo de batalha com quatro marcadores +1/+1. {1}{B/G}{B/G}: Mova um marcador +1/+1 da criatura alvo para uma segunda criatura alvo.</t>
  </si>
  <si>
    <t>Dance of the Tumbleweeds / Dança dos Arbustos Rolantes</t>
  </si>
  <si>
    <t>Spree (Choose one or more additional costs.) + {1} — Search your library for a basic land card or a Desert card, put it onto the battlefield, then shuffle. + {3} — Create an X/X green Elemental creature token, where X is the number of lands you control. / Série (Escolha um ou mais custos adicionais.) + {1} — Procure em seu grimório um card de terreno básico ou um card de Deserto, coloque-o no campo de batalha e depois embaralhe. + {3} — Crie uma ficha de criatura Elemental verde X/X, sendo X o número de terrenos que você controla.</t>
  </si>
  <si>
    <t>Dancing Scimitar / Cimitarra Dançante</t>
  </si>
  <si>
    <t>Artifact Creature — Spirit / Criatura Artefato — Espírito</t>
  </si>
  <si>
    <t>Dangerous Wager / Aposta Arriscada</t>
  </si>
  <si>
    <t>Discard your hand, then draw two cards. / Descarte sua mão e depois compre dois cards.</t>
  </si>
  <si>
    <t>Daring Demolition / Demolição Ousada</t>
  </si>
  <si>
    <t>Destroy target creature or Vehicle. / Destrua a criatura ou o Veículo alvo.</t>
  </si>
  <si>
    <t>Daring Skyjek / Aerojek Audaz</t>
  </si>
  <si>
    <t>Battalion — Whenever this creature and at least two other creatures attack, this creature gains flying until end of turn. / Batalhão — Toda vez que Aerojek Audaz e pelo menos duas outras criaturas atacarem, Aerojek Audaz ganhará voar até o final do turno.</t>
  </si>
  <si>
    <t>Daring Sleuth / Detetive Arrojado</t>
  </si>
  <si>
    <t>When you sacrifice a Clue, transform this creature. / Quando você sacrificar uma Pista, transforme Detetive Arrojado.</t>
  </si>
  <si>
    <t>Dark Banishing / Banimento Sombrio</t>
  </si>
  <si>
    <t>Destroy target nonblack creature. It can't be regenerated. / Destrói a criatura alvo que não seja preta. Ela não pode ser regenerada.</t>
  </si>
  <si>
    <t>Dark Dabbling / Experimentação Sombria</t>
  </si>
  <si>
    <t>Regenerate target creature. Draw a card. (The next time the creature would be destroyed this turn, instead tap it, remove it from combat, and heal all damage on it.) Spell mastery — If there are two or more instant and/or sorcery cards in your graveyard, also regenerate each other creature you control. / Regenere a criatura alvo. Compre um card. (Na próxima vez em que a criatura seria destruída neste turno, ela não será. Em vez disso, vire-a, remova todo o dano dela e remova-a do combate.)Maestria em magia — Se houver dois ou mais cards de mágica instantânea ou feitiço no seu cemitério, também regenere todas as outras criaturas que você controla.</t>
  </si>
  <si>
    <t>Dark Deed</t>
  </si>
  <si>
    <t>Target creature gets -4/-4 until end of turn.</t>
  </si>
  <si>
    <t>Dark Endurance / Resistência Sombria</t>
  </si>
  <si>
    <t>Esta mágica custa {1} a menos para ser conjurada se tiver como alvo uma criatura bloqueadora. A criatura alvo recebe +2/+0 e ganha indestrutível até o final do turno. (O dano e os efeitos que dizem "destrua" não a destroem.)</t>
  </si>
  <si>
    <t>1{B}</t>
  </si>
  <si>
    <t>Dark Inquiry / Interrogatório Sombrio</t>
  </si>
  <si>
    <t>Target opponent reveals their hand. You choose a nonland card from it. That player discards that card. / O oponente alvo revela a própria mão. Você escolhe um card que não seja um terreno da mão dele. Aquele jogador descarta aquele card.</t>
  </si>
  <si>
    <t>Darksteel Citadel / Cidadela de Aço Negro</t>
  </si>
  <si>
    <t>Artifact Land / Terreno Artefato</t>
  </si>
  <si>
    <t>Indestructible {T}: Add {C}. / Indestrutível (Os efeitos que dizem "destrua" não destroem este terreno.) {T}: Adicione {1} à sua reserva de mana.</t>
  </si>
  <si>
    <t>Darksteel Pendant / Pingente de Aço Negro</t>
  </si>
  <si>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</si>
  <si>
    <t>Darksteel</t>
  </si>
  <si>
    <t>Darling of the Masses / Queridinha das Massas</t>
  </si>
  <si>
    <t>Creature — Elf Citizen / Criatura — Elfo Cidadão</t>
  </si>
  <si>
    <t>Other Citizens you control get +1/+0. Whenever this creature attacks, create a 1/1 green and white Citizen creature token. / Os outros Cidadãos que você controla recebem +1/+0. Toda vez que Queridinha das Massas atacar, crie uma ficha de criatura Cidadão verde e branca 1/1.</t>
  </si>
  <si>
    <t>{2}{G}{W}</t>
  </si>
  <si>
    <t>Daru Cavalier / Cavalariano de Daru</t>
  </si>
  <si>
    <t>Creature — Human Soldier / Criatura — Soldado</t>
  </si>
  <si>
    <t>First strike When this creature enters, you may search your library for a card named Daru Cavalier, reveal it, put it into your hand, then shuffle. / Iniciativa Quando Cavalariano de Daru entra em jogo, você pode procurar em seu grimório por um card cujo nome é Cavalariano de Daru, revelá-lo, e colocá-lo em sua mão. Se o fizer, embaralhe seu grimório.</t>
  </si>
  <si>
    <t>Daru Encampment / Acampamento Daru</t>
  </si>
  <si>
    <t>{T}: Add {C}. {W}, {T}: Target Soldier creature gets +1/+1 until end of turn. / {T}: Adiciona {1} à sua reserva de mana. {W}, {T}: O Soldado alvo recebe +1/+1 até o final do turno.</t>
  </si>
  <si>
    <t>Duel Decks: Elspeth vs. Tezzeret (DDF)</t>
  </si>
  <si>
    <t>Dauntless Onslaught / Embestida Intrépida</t>
  </si>
  <si>
    <t>Até duas criaturas alvo recebem +2/+2 até o final do turno.</t>
  </si>
  <si>
    <t>2W</t>
  </si>
  <si>
    <t>Dawn Charm / Medalhão da Aurora</t>
  </si>
  <si>
    <t>Choose one — • Prevent all combat damage that would be dealt this turn. • Regenerate target creature. • Counter target spell that targets you. / Escolha um — • Previna todo o dano de combate que seria causado neste turno. • Regenere a criatura alvo. (Na próxima vez em que ela seria destruída, em vez disso, vire-a, remova-a do combate e cure todo o dano marcado nela.) • Anule a mágica alvo que tenha você como alvo.</t>
  </si>
  <si>
    <t>Dawn-Blessed Pennant</t>
  </si>
  <si>
    <t>As this artifact enters, choose Elemental, Elf, Faerie, Giant, Goblin, Kithkin, Merfolk, or Treefolk. Whenever a permanent you control of the chosen type enters, you gain 1 life. {2}, {T}, Sacrifice this artifact: Return target card of the chosen type from your graveyard to your hand.</t>
  </si>
  <si>
    <t>Dawn's Light Archer</t>
  </si>
  <si>
    <t>Creature — Elf Archer</t>
  </si>
  <si>
    <t>Flash. Reach.</t>
  </si>
  <si>
    <t>Dawnbringer Cleric / Clérigo Arauto da Aurora</t>
  </si>
  <si>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</si>
  <si>
    <t>Dawnfeather Eagle / Águia-pena-d'aurora</t>
  </si>
  <si>
    <t>Flying When this creature enters, creatures you control get +1/+1 and gain vigilance until end of turn. / Voar Quando Águia-pena-d'aurora entra no campo de batalha, as criaturas que você controla recebem +1/+1 e ganham vigilância até o final do turno.</t>
  </si>
  <si>
    <t>Dawnhand Eulogist</t>
  </si>
  <si>
    <t>Creature — Elf Warlock</t>
  </si>
  <si>
    <t>Menace. When this creature enters, mill three cards. Then if there is an Elf card in your graveyard, each opponent loses 2 life and you gain 2 life.</t>
  </si>
  <si>
    <t>Dawnhart Disciple / Discípula Cervo da Aurora</t>
  </si>
  <si>
    <t>Whenever another Human you control enters, this creature gets +1/+1 until end of turn. / Toda vez que outro Humano entra no campo de batalha sob seu controle, Discípula Cervo da Aurora recebe +1/+1 até o final do turno.</t>
  </si>
  <si>
    <t>Dawnhart Rejuvenator / Rejuvenescedora Cervo da Aurora</t>
  </si>
  <si>
    <t>When Dawnhart Rejuvenator enters the battlefield, you gain 3 life. {T}: Add one mana of any color. / Quando Rejuvenescedora Cervo da Aurora entrar no campo de batalha, você ganha 3 pontos de vida. {T}: Adicione um mana de qualquer cor.</t>
  </si>
  <si>
    <t>Dawnstrike Paladin / Paladino da Aurora</t>
  </si>
  <si>
    <t>Vigilance (Attacking doesn't cause this creature to tap.) Lifelink (Damage dealt by this creature also causes you to gain that much life.) / Vigilância (Esta criatura não é virada para atacar.)Vínculo com a vida (O dano causado por esta criatura faz com que você ganhe uma quantidade equivalente de pontos de vida.)</t>
  </si>
  <si>
    <t>Dawntreader Elk / Alce Viajante da Aurora</t>
  </si>
  <si>
    <t>{G}, Sacrifice this creature: Search your library for a basic land card, put it onto the battlefield tapped, then shuffle. / {G}, Sacrifique Alce Viajante da Aurora: Procure um card de terreno básico no seu grimório, coloque-o no campo de batalha virado e depois embaralhe seu grimório.</t>
  </si>
  <si>
    <t>Dazzling Lights / Luzes Ofuscantes</t>
  </si>
  <si>
    <t>Target creature gets -3/-0 until end of turn. Surveil 2. (Look at the top two cards of your library, then put any number of them into your graveyard and the rest on top of your library in any order.) / A criatura alvo recebe -3/-0 até o final do turno. Vigiar 2. (Olhe os dois cards do topo de seu grimório. Depois, coloque qualquer número deles em seu cemitério e o restante no topo de seu grimório em qualquer ordem.)</t>
  </si>
  <si>
    <t>De Volta da Extinção / Return from Extinction</t>
  </si>
  <si>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</si>
  <si>
    <t>Modern Horizons (MH1)</t>
  </si>
  <si>
    <t>Dead Weight / Peso Morto</t>
  </si>
  <si>
    <t>Enchant creature Enchanted creature gets -2/-2. / Encantar criatura A criatura encantada recebe -2/-2.</t>
  </si>
  <si>
    <t>Deadbridge Shaman / Xamã da Ponte Mortífera</t>
  </si>
  <si>
    <t>Creature — Elf Shaman / Criatura — Elfo Xamã</t>
  </si>
  <si>
    <t>When this creature dies, target opponent discards a card. / Quando Xamã da Ponte Mortífera morre, o oponente alvo descarta um card.</t>
  </si>
  <si>
    <t>Deadeye Duelist / Duelista Tirocerto</t>
  </si>
  <si>
    <t>Reach {1}, {T}: This creature deals 1 damage to target opponent. / Alcance {1}, {T}: Duelista Tirocerto causa 1 ponto de dano ao oponente alvo.</t>
  </si>
  <si>
    <t>Deadhead</t>
  </si>
  <si>
    <t>Summon Zombie</t>
  </si>
  <si>
    <t>Put Deadhead into play. Use this ability only if any opponent loses contact with his or her hand of cards and only if Deadhead is in your graveyard.</t>
  </si>
  <si>
    <t>Unglued (UGL)</t>
  </si>
  <si>
    <t>Deadly Precision</t>
  </si>
  <si>
    <t>As an additional cost to cast this spell, pay {4} or sacrifice an artifact or creature. Destroy target creature.</t>
  </si>
  <si>
    <t>Deadly Recluse / Recluso Mortal</t>
  </si>
  <si>
    <t>Reach (This creature can block creatures with flying.) Deathtouch (Any amount of damage this deals to a creature is enough to destroy it.) / Alcance (Esta criatura pode bloquear criaturas com voar.) Toque mortífero (Qualquer quantidade de dano que esta criatura cause a uma criatura é suficiente para destruí-la.)</t>
  </si>
  <si>
    <t>Death Grasp / Garras da Morte</t>
  </si>
  <si>
    <t>Death Grasp deals X damage to any target. You gain X life.</t>
  </si>
  <si>
    <t>{X}{W}{B}</t>
  </si>
  <si>
    <t>Death in the Family</t>
  </si>
  <si>
    <t>Exile target creature with mana value 3 or less.</t>
  </si>
  <si>
    <t>Death Pulse / Pulso Mortal</t>
  </si>
  <si>
    <t>Target creature gets -4/-4 until end of turn. Cycling {1}{B}{B} ({1}{B}{B}, Discard this card: Draw a card.) When you cycle this card, you may have target creature get -1/-1 until end of turn. / A criatura alvo recebe -4/-4 até o final do turno. Reciclar {1}{B}{B} ({1}{B}{B}, Descarte este card de sua mão: Compre um card.) Quando reciclar Pulso Mortal, você pode fazer com que a criatura alvo receba -1/-1 até o final do turno.</t>
  </si>
  <si>
    <t>Death-Rattle Oni / Oni dos Estertores</t>
  </si>
  <si>
    <t>Creature — Demon Spirit / Criatura — Demônio Espírito</t>
  </si>
  <si>
    <t>Flash This spell costs {2} less to cast for each creature that died this turn. When this creature enters, destroy all other creatures that were dealt damage this turn. / Lampejo Esta mágica custa {2} a menos para ser conjurada para cada criatura que morreu neste turno. Quando Oni dos Estertores entrar no campo de batalha, destrua todas as outras criaturas que sofreram dano neste turno.</t>
  </si>
  <si>
    <t>{6}{B}</t>
  </si>
  <si>
    <t>March of the Machine: The Aftermath (MAT)</t>
  </si>
  <si>
    <t>Death's Caress / Carícia da Morte</t>
  </si>
  <si>
    <t>Destroy target creature. If that creature was a Human, you gain life equal to its toughness. / Destrua a criatura alvo. Se aquela criatura era um Humano, você ganha uma quantidade de pontos de vida igual a sua resistência.</t>
  </si>
  <si>
    <t>Death's-Head Buzzard / Busardo Cabeça-da-Morte</t>
  </si>
  <si>
    <t>Flying When this creature dies, all creatures get -1/-1 until end of turn. / Voar Quando Busardo Cabeça-da-Morte for colocado num cemitério vindo de jogo, todas as criaturas recebem -1/-1 até o final do turno.</t>
  </si>
  <si>
    <t>Scourge (SCG)</t>
  </si>
  <si>
    <t>Deathbellow Raider / Salteador do Urro Mortal</t>
  </si>
  <si>
    <t>Creature — Minotaur Berserker / Criatura — Minotauro Amoque</t>
  </si>
  <si>
    <t>This creature attacks each combat if able. {2}{B}: Regenerate this creature. / Salteador do Urro Mortal ataca a cada turno se estiver apto. {2}{B}: Regenere Salteador do Urro Mortal.</t>
  </si>
  <si>
    <t>Deathlace / Enlace Mortal</t>
  </si>
  <si>
    <t>Target spell or permanent becomes black. (Mana symbols on that permanent remain unchanged.)</t>
  </si>
  <si>
    <t>Debris Beetle</t>
  </si>
  <si>
    <t>Trample When this Vehicle enters, each opponent loses 3 life and you gain 3 life. Crew 2</t>
  </si>
  <si>
    <t>{2}{B}{G}</t>
  </si>
  <si>
    <t>Debt to the Kami / Dívida com os Kami</t>
  </si>
  <si>
    <t>Choose one — • Target opponent exiles a creature they control. • Target opponent exiles an enchantment they control. / Escolha um — • O oponente alvo exila uma criatura que ele controla. • O oponente alvo exila um encantamento que ele controla.</t>
  </si>
  <si>
    <t>Debtors' Transport / Transporte dos Devedores</t>
  </si>
  <si>
    <t>Creature — Thrull / Criatura — Thrull</t>
  </si>
  <si>
    <t>Afterlife 2 (When this creature dies, create two 1/1 white and black Spirit creature tokens with flying.) / Pós-vida 2 (Quando esta criatura morrer, crie duas fichas de criatura branca e preta 1/1 do tipo Espírito com voar. )</t>
  </si>
  <si>
    <t>Decimator Web / Teia Dizimadora</t>
  </si>
  <si>
    <t>{4}, {T}: Target opponent loses 2 life, gets a poison counter, then mills six cards. / {4}, {T}: O oponente alvo perde 2 pontos de vida, recebe um marcador de veneno e depois coloca os primeiros seis cards do grimório dele em seu próprio cemitério.</t>
  </si>
  <si>
    <t>Decision Paralysis / Paralisia Decisória</t>
  </si>
  <si>
    <t>Tap up to two target creatures. Those creatures don't untap during their controller's next untap step. / Vire até duas criaturas alvo. Essas criaturas não são desviradas durante a próxima etapa de desvirar de seus controladores.</t>
  </si>
  <si>
    <t>Decisive Denial / Negação Decisiva</t>
  </si>
  <si>
    <t>Choose one — • Target creature you control fights target creature you don't control. (Each deals damage equal to its power to the other.) • Counter target noncreature spell unless its controller pays {3}. / Escolha um — • A criatura alvo que você controla luta com a criatura alvo que você não controla. (Cada uma causa dano igual ao seu poder à outra.) • Anule a mágica alvo não de criatura, a menos que seu controlador pague {3}.</t>
  </si>
  <si>
    <t>Breaking News (OTP)</t>
  </si>
  <si>
    <t>Decoction Module / Módulo de Decocção</t>
  </si>
  <si>
    <t>Whenever a creature you control enters, you get {E} (an energy counter). {4}, {T}: Return target creature you control to its owner's hand. / Toda vez que uma criatura entra no campo de batalha sob seu controle, você recebe {E} (um marcador de energia). {4}, {T}: Devolva a criatura alvo que você controla para a mão de seu dono.</t>
  </si>
  <si>
    <t>Decommission / Descomissionar</t>
  </si>
  <si>
    <t>Destroy target artifact or enchantment. Revolt — If a permanent left the battlefield under your control this turn, you gain 3 life. / Destrua o artefato ou encantamento alvo. Revolta — Se uma permanente que você controlava deixou o campo de batalha neste turno, você ganha 3 pontos de vida.</t>
  </si>
  <si>
    <t>Deduce / Deduzir</t>
  </si>
  <si>
    <t>Draw a card. Investigate. (Create a Clue token. It's an artifact with "{2}, Sacrifice this token: Draw a card.") / Compre um card. Investigue. (Crie uma ficha de Pista. Ela é um artefato com "{2}, sacrifique este artefato: Compre um card".)</t>
  </si>
  <si>
    <t>Deem Inferior / Julgar Inferior</t>
  </si>
  <si>
    <t>This spell costs {1} less to cast for each card you've drawn this turn. The owner of target nonland permanent puts it into their library second from the top or on the bottom. / Esta mágica custa {1} a menos para ser conjurada por cada card que você comprou neste turno. O dono da permanente não de terreno alvo a coloca no próprio grimório na segunda posição ou no fundo.</t>
  </si>
  <si>
    <t>Deep Analysis / Análise Profunda</t>
  </si>
  <si>
    <t>Target player draws two cards. Flashback—{1}{U}, Pay 3 life. (You may cast this card from your graveyard for its flashback cost. Then exile it.) / O jogador alvo compra dois cards. Recapitular — {1}{U}, pague 3 pontos de vida. (Você pode conjurar este card de seu cemitério pagando seu custo de recapitular. Depois, exile-o.)</t>
  </si>
  <si>
    <t>Deep-Sea Terror / Terror das Profundezas</t>
  </si>
  <si>
    <t>This creature can't attack unless there are seven or more cards in your graveyard. / Terror das Profundezas não pode atacar a menos que haja sete cards ou mais em seu cemitério.</t>
  </si>
  <si>
    <t>Deepcavern Imp / Diabrete de Gruta Profunda</t>
  </si>
  <si>
    <t>Creature — Imp Rebel / Criatura — Diabrete Rebelde</t>
  </si>
  <si>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</si>
  <si>
    <t>Deepmuck Desperado / Desperado de Lamafunda</t>
  </si>
  <si>
    <t>Creature — Homarid Mercenary / Criatura — Homárida Mercenário</t>
  </si>
  <si>
    <t>Whenever you commit a crime, each opponent mills three cards. This ability triggers only once each turn. (Targeting opponents, anything they control, and/or cards in their graveyards is a crime.) / Toda vez que você comete um crime, cada oponente tritura três cards. Esta habilidade é desencadeada apenas uma vez a cada turno. (Escolher como alvo oponentes, qualquer coisa que eles controlem e/ou cards no cemitério deles é um crime.)</t>
  </si>
  <si>
    <t>Deeproot Warrior / Guerreiro de Raiz Profunda</t>
  </si>
  <si>
    <t>Creature — Merfolk Warrior / Criatura — Tritão Guerreiro</t>
  </si>
  <si>
    <t>Whenever Deeproot Warrior becomes blocked, it gets +1/+1 until end of turn. / Toda vez que Guerreiro de Raiz Profunda é bloqueado, ele recebe +1/+1 até o final do turno.</t>
  </si>
  <si>
    <t>Deepwater Hypnotist / Hipnotizador do Mar Profundo</t>
  </si>
  <si>
    <t>Creature — Merfolk Wizard / Criatura — Tritão Mago</t>
  </si>
  <si>
    <t>Inspired — Whenever this creature becomes untapped, target creature an opponent controls gets -3/-0 until end of turn. / Inspirado — Toda vez que Hipnotizador do Mar Profundo se torna desvirado, a criatura alvo que um oponente controla recebe -3/-0 até o final do turno.</t>
  </si>
  <si>
    <t>Defenestrated Phantom / Fantasma Defenestrado</t>
  </si>
  <si>
    <t>Flying Disguise {4}{W} (You may cast this card face down for {3} as a 2/2 creature with ward {2}. Turn it face up any time for its disguise cost.) / Voar Disfarce {4}{W} (Você pode conjurar este card com a face para baixo por {3} como uma criatura 2/2 com salvaguarda {2}. Volte sua face para cima a qualquer momento pagando seu custo de disfarce.)</t>
  </si>
  <si>
    <t>Defiant Khenra / Khenra Audaz</t>
  </si>
  <si>
    <t>Defiant Salvager / Salvádego Audaz</t>
  </si>
  <si>
    <t>Creature — Aetherborn Artificer / Criatura — Etergênito Artesão</t>
  </si>
  <si>
    <t>Sacrifice an artifact or creature: Put a +1/+1 counter on this creature. Activate only as a sorcery. / Sacrifique um artefato ou criatura: Coloque um marcador +1/+1 em Salvádego Audaz. Ative esta habilidade somente nos momentos em que poderia conjurar um feitiço.</t>
  </si>
  <si>
    <t>Defiant Strike / Golpe Desafiador</t>
  </si>
  <si>
    <t>Target creature gets +1/+0 until end of turn. Draw a card. / A criatura alvo recebe +1/+0 até o final do turno. Compre um card.</t>
  </si>
  <si>
    <t>Defiant Vanguard / Vanguarda Desafiadora</t>
  </si>
  <si>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</si>
  <si>
    <t>Nemesis (NMS)</t>
  </si>
  <si>
    <t>Defiled Crypt // Cadaver Lab</t>
  </si>
  <si>
    <t>Defiled Crypt: Whenever one or more cards leave your graveyard, create a 2/2 black Horror enchantment creature token. This ability triggers only once each turn. (You may cast either half. That door unlocks on the battlefield. As a sorcery, you may pay the mana cost of a locked door to unlock it.) // Cadaver Lab: When you unlock this door, return target creature card from your graveyard to your hand. (You may cast either half. That door unlocks on the battlefield. As a sorcery, you may pay the mana cost of a locked door to unlock it.)</t>
  </si>
  <si>
    <t>{3}{B} // {B}</t>
  </si>
  <si>
    <t>Deicide / Deicídio</t>
  </si>
  <si>
    <t>Exile target enchantment. If the exiled card is a God card, search its controller's graveyard, hand, and library for any number of cards with the same name as that card and exile them. Then that player shuffles. / Exile o encantamento alvo. Se o card exilado for um Deus, procure no cemitério, mão e grimório do seu controlador qualquer número de cards com o mesmo nome daquele card e exile-os. Depois, aquele jogador embaralha o próprio grimório.</t>
  </si>
  <si>
    <t>Deliberação do Conselho / Council's Deliberation</t>
  </si>
  <si>
    <t>Comre um card. Toda vez que usa vidência, se você controla uma Ilha, você pode exilar Deliberação do Conselho de seu cemitério. Se fizer isso, compre um card.</t>
  </si>
  <si>
    <t>Deliberate / Deliberar</t>
  </si>
  <si>
    <t>Scry 2, then draw a card. / Use vidência 2, depois compre um card.</t>
  </si>
  <si>
    <t>Delivery Moogle / Moogle das Entregas</t>
  </si>
  <si>
    <t>Voar. Quando esta criatura entrar, procure em seu grimório e/ou cemitério por um card de artefato com valor de mana igual ou inferior a 2, revele-o e coloque-o em sua mão. Se procurar em seu grimório deste modo, embaralhe.</t>
  </si>
  <si>
    <t>Deluge / Dilúvio</t>
  </si>
  <si>
    <t>Tap all creatures without flying. / Vire todas as criaturas que não tenham a habilidade de voar.</t>
  </si>
  <si>
    <t>Demolish / Demolir</t>
  </si>
  <si>
    <t>Destroy target artifact or land. / Destrua o artefato ou terreno alvo.</t>
  </si>
  <si>
    <t>Demolition Stomper / Pisoteador de Demolição</t>
  </si>
  <si>
    <t>This Vehicle can't be blocked by creatures with power 2 or less. Crew 5 (Tap any number of creatures you control with total power 5 or more: This Vehicle becomes an artifact creature until end of turn.) / Pisoteador de Demolição não pode ser bloqueado por criaturas com poder igual ou inferior a 2. Tripular 5 (Vire qualquer número de criaturas que você controla com total de poder igual ou superior a 5: Este Veículo se torna uma criatura artefato até o final do turno.)</t>
  </si>
  <si>
    <t>Demon Wall / Parede Demoníaca</t>
  </si>
  <si>
    <t>Criatura Artefato — Demônio Parede</t>
  </si>
  <si>
    <t>Defensor. Ameaça (Esta criatura não pode ser bloqueada a não ser por duas ou mais criaturas.) Enquanto esta criatura tiver um marcador nela, ela poderá atacar como se não tivesse defensor. {5}{B}: Coloque dois marcadores +1/+1 nesta criatura.</t>
  </si>
  <si>
    <t>Demonic Gifts / Dons Demoníacos</t>
  </si>
  <si>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</si>
  <si>
    <t>Demonic Junker</t>
  </si>
  <si>
    <t>Affinity for artifacts (This spell costs {1} less to cast for each artifact you control.) When this Vehicle enters, for each player, destroy up to one target creature that player controls. If a creature you controlled was destroyed this way, put two +1/+1 counters on this Vehicle. Crew 2</t>
  </si>
  <si>
    <t>Demonic Ruckus / Tumulto Demoníaco</t>
  </si>
  <si>
    <t>Enchant creature Enchanted creature gets +1/+1 and has menace and trample. When this Aura is put into a graveyard from the battlefield, draw a card. Plot {R} (You may pay {R} and exile this card from your hand. Cast it as a sorcery on a later turn without paying its mana cost. Plot only as a sorcery.) / Encantar criatura A criatura encantada recebe +1/+1 e tem ameaçar e atropelar. Quando Tumulto Demoníaco for colocado num cemitério vindo do campo de batalha, compre um card. Tramar {R} (Você pode pagar {R} e exilar este card de sua mão. Conjure-o como um feitiço num turno posterior sem pagar seu custo de mana. Trame somente como um feitiço.)</t>
  </si>
  <si>
    <t>Demônio das Profundezas Ancião / Elder Deep-Fiend</t>
  </si>
  <si>
    <t>Creature — Eldrazi Octopus / Criatura — Eldrazi Polvo</t>
  </si>
  <si>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</si>
  <si>
    <t>Demonlord of Ashmouth / Senhor Demônio de Boca Cinzenta</t>
  </si>
  <si>
    <t>Flying When this creature enters, exile it unless you sacrifice another creature. Undying (When this creature dies, if it had no +1/+1 counters on it, return it to the battlefield under its owner's control with a +1/+1 counter on it.) / Voar Quando Senhor Demônio de Boca Cinzenta entrar no campo de batalha, exile-o, a menos que sacrifique outra criatura. Imortal (Quando esta criatura morrer, se ela não tiver nenhum marcador +1/+1, devolva-a ao campo de batalha sob o controle de seu dono com um marcador +1/+1.)</t>
  </si>
  <si>
    <t>Denethor, Regente Governante / Denethor, Ruling Steward</t>
  </si>
  <si>
    <t>Criatura Lendária — Humano Nobre</t>
  </si>
  <si>
    <t>No início de sua etapa final, se uma criatura tiver morrido sob seu controle neste turno, crie uma ficha de criatura Humano Soldado branca 1/1. {2}, sacrifique outra criatura: Cada oponente perde 1 ponto de vida e você ganha 1 ponto de vida.</t>
  </si>
  <si>
    <t>1{W}{B}</t>
  </si>
  <si>
    <t>Branco e Preto</t>
  </si>
  <si>
    <t>Deny Existence / Negar a Existência</t>
  </si>
  <si>
    <t>Counter target creature spell. If that spell is countered this way, exile it instead of putting it into its owner's graveyard. / Anule a mágica de criatura alvo. Se aquela mágica for anulada dessa maneira, exile-a em vez de colocá-la no cemitério de seu dono.</t>
  </si>
  <si>
    <t>Dependable Quinjet</t>
  </si>
  <si>
    <t>Flying {T}: Add one mana of any color. Crew 4 (Tap any number of creatures you control with total power 4 or more: This Vehicle becomes an artifact creature until end of turn.)</t>
  </si>
  <si>
    <t>Dependable Quinjet / Quinjet Confiável</t>
  </si>
  <si>
    <t>Voar. {T}: Adicione um mana de qualquer cor. Tripular 4 (Vire qualquer número de criaturas que você controla com poder total igual ou superior a 4: Este Veículo torna-se uma criatura artefato até o final do turno.)</t>
  </si>
  <si>
    <t>Depower</t>
  </si>
  <si>
    <t>This spell costs {2} less to cast if it targets an attacking creature. Target creature gets -4/-0 until end of turn. Draw a card.</t>
  </si>
  <si>
    <t>Depressurize / Despressurizar</t>
  </si>
  <si>
    <t>A criatura alvo recebe -3/-0 até o final do turno. Depois, se o poder daquela criatura for 0 ou menos, destrua-a.</t>
  </si>
  <si>
    <t>Deranged Assistant / Assistente Insano</t>
  </si>
  <si>
    <t>{T}, Mill a card: Add {C}. (To mill a card, put the top card of your library into your graveyard.) / {T}, Coloque o card do topo de seu grimório no seu cemitério: Adicione {1} à sua reserva de mana.</t>
  </si>
  <si>
    <t>Derelict Attic // Widow's Walk</t>
  </si>
  <si>
    <t>Derelict Attic: When you unlock this door, you draw two cards and you lose 2 life. (You may cast either half. That door unlocks on the battlefield. As a sorcery, you may pay the mana cost of a locked door to unlock it.) // Widow's Walk: Whenever a creature you control attacks alone, it gets +1/+0 and gains deathtouch until end of turn. (You may cast either half. That door unlocks on the battlefield. As a sorcery, you may pay the mana cost of a locked door to unlock it.)</t>
  </si>
  <si>
    <t>{2}{B} // {3}{B}</t>
  </si>
  <si>
    <t>Desarticulação / Connive // Descoberta / Discovery</t>
  </si>
  <si>
    <t>Mágica Instantânea / Instant // Feitiço / Sorcery</t>
  </si>
  <si>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</si>
  <si>
    <t>{3}{U}{B} // {1}{U/B}</t>
  </si>
  <si>
    <t>Desculpting Blast / Explosão Desescultora</t>
  </si>
  <si>
    <t>Devolva a permanente não de terreno alvo para a mão de seu dono. Se ela estava atacando, crie uma ficha de criatura artefato Drone incolor 1/1 com voar e "Esta ficha só pode bloquear criaturas com voar."</t>
  </si>
  <si>
    <t>Desecrated Earth / Terra Profanada</t>
  </si>
  <si>
    <t>Destroy target land. Its controller discards a card. / Destrua o terreno alvo. Seu controlador descarta um card.</t>
  </si>
  <si>
    <t>Desecration Plague / Praga da Profanação</t>
  </si>
  <si>
    <t>Destroy target enchantment or land. / Destrua o encantamento ou terreno alvo.</t>
  </si>
  <si>
    <t>Desert of the True / Deserto da Verdadeira</t>
  </si>
  <si>
    <t>Land — Desert / Terreno — Deserto</t>
  </si>
  <si>
    <t>This land enters tapped. {T}: Add {W}. Cycling {1}{W} ({1}{W}, Discard this card: Draw a card.) / Deserto da Verdadeira entra no campo de batalha virado. {T}: Adicione {W} à sua reserva de mana. Reciclar {1}{W} ({1}{W}, descarte este card: Compre um card.)</t>
  </si>
  <si>
    <t>Deserter's Disciple</t>
  </si>
  <si>
    <t>Creature — Human Rebel Ally</t>
  </si>
  <si>
    <t>{T}: Another target creature you control with power 2 or less can't be blocked this turn.</t>
  </si>
  <si>
    <t>Desperate Stand / Resistência Desesperada</t>
  </si>
  <si>
    <t>Strive — This spell costs {R}{W} more to cast for each target beyond the first. Any number of target creatures each get +2/+0 and gain first strike and vigilance until end of turn. / Esforço — Resistência Desesperada custa {R}{W} a mais para ser conjurado para cada alvo além do primeiro. Qualquer número de criaturas alvo recebe +2/+0 e ganha iniciativa e vigilância até o final do turno.</t>
  </si>
  <si>
    <t>Despise / Desprezar</t>
  </si>
  <si>
    <t>Target opponent reveals their hand. You choose a creature or planeswalker card from it. That player discards that card. / O oponente alvo revela a própria mão. Você escolhe um card de criatura ou planeswalker dela. Aquele jogador descarta aquele card.</t>
  </si>
  <si>
    <t>Despojar Alma / Ultimate Price</t>
  </si>
  <si>
    <t>Destrua a criatura alvo com poder igual ou inferior a 3. / Destroy target creature with power 3 or less.</t>
  </si>
  <si>
    <t>Destroy Evil / Destruir o Mal</t>
  </si>
  <si>
    <t>Choose one — • Destroy target creature with toughness 4 or greater. • Destroy target enchantment. / Escolha um — • Destrua a criatura alvo com resistência igual ou superior a 4. • Destrua o encantamento alvo.</t>
  </si>
  <si>
    <t>Destructive Tampering / Modificação Destrutiva</t>
  </si>
  <si>
    <t>Choose one — • Destroy target artifact. • Creatures without flying can't block this turn. / Escolha um — • Destrua o artefato alvo. • As criaturas sem voar não podem bloquear neste turno.</t>
  </si>
  <si>
    <t>Destructor Dragon / Dragão Destruidor</t>
  </si>
  <si>
    <t>Flying When this creature dies, destroy target noncreature permanent. / Voar Quando Dragão Destruidor morrer, destrua a permanente alvo que não seja criatura.</t>
  </si>
  <si>
    <t>Detonate / Explodir</t>
  </si>
  <si>
    <t>Destroy target artifact with mana value X. It can't be regenerated. Detonate deals X damage to that artifact's controller. / Destrói o artefato alvo com custo de mana convertido igual a X. Ela não pode ser regenerada. Explodir causa X pontos de dano ao controlador daquele artefato.</t>
  </si>
  <si>
    <t>{X}{R}</t>
  </si>
  <si>
    <t>Devastador de Lambholt / Lambholt Ravager</t>
  </si>
  <si>
    <t>Criatura — Lobo / Creature — Wolf</t>
  </si>
  <si>
    <t>Devilthorn Fox / Raposa de Espinho do Diabo</t>
  </si>
  <si>
    <t>Creature — Fox / Criatura — Raposa</t>
  </si>
  <si>
    <t>Devious Cover-Up / Abafamento Malicioso</t>
  </si>
  <si>
    <t>Counter target spell. If that spell is countered this way, exile it instead of putting it into its owner's graveyard. You may shuffle up to four target cards from your graveyard into your library. / Anule a mágica alvo. Se aquela mágica for anulada dessa maneira, exile-a em vez de colocá-la no cemitério de seu dono. Você pode embaralhar até quatro cards alvo de seu cemitério em seu grimório.</t>
  </si>
  <si>
    <t>Devoradora de Tassa</t>
  </si>
  <si>
    <t>Criatura Encantamento — Elemental</t>
  </si>
  <si>
    <t>Constelação — Toda vez que Devoradora de Tassa ou outro encantamento entra no campo de batalha sob o seu controle, o jogador alvo coloca os dois cards do topo do grimório dele no próprio cemitério.</t>
  </si>
  <si>
    <t>4U</t>
  </si>
  <si>
    <t>Devotee of Strength / Devoto da Força</t>
  </si>
  <si>
    <t>Creature — Snake Wizard / Criatura — Naga Mago</t>
  </si>
  <si>
    <t>{4}{G}: Target creature gets +2/+2 until end of turn. / {4}{G}: A criatura alvo recebe +2/+2 até o final do turno.</t>
  </si>
  <si>
    <t>Devour in Flames / Devorar nas Chamas</t>
  </si>
  <si>
    <t>As an additional cost to cast this spell, return a land you control to its owner's hand. Devour in Flames deals 5 damage to target creature or planeswalker. / Como custo adicional para conjurar Devorar nas Chamas, devolva um terreno que você controla para a mão de seu dono. Devorar nas Chamas causa 5 pontos de dano à criatura ou ao planeswalker alvo.</t>
  </si>
  <si>
    <t>Devouring Strossus / Strossus Devorador</t>
  </si>
  <si>
    <t>Creature — Phyrexian Horror</t>
  </si>
  <si>
    <t>Flying, trample At the beginning of your upkeep, sacrifice a creature. Sacrifice a creature: Regenerate this creature.</t>
  </si>
  <si>
    <t>{5}{B}{B}{B}</t>
  </si>
  <si>
    <t>Dewdrop Spy / Espiã da Gota de Orvalho</t>
  </si>
  <si>
    <t>Creature — Faerie Rogue / Criatura — Fada Ladino</t>
  </si>
  <si>
    <t>Flash Flying When this creature enters, look at the top card of target player's library. / Lampejo Voar Quando Espiã da Gota de Orvalho entrar em jogo, olhe o card do topo do grimório do jogador alvo.</t>
  </si>
  <si>
    <t>Morningtide (MOR)</t>
  </si>
  <si>
    <t>Diabolic Machine / Máquina Diabólica</t>
  </si>
  <si>
    <t>{3}: Regenerate this creature.</t>
  </si>
  <si>
    <t>Diadema de Raios</t>
  </si>
  <si>
    <t>Encantar criatura Quando Diadema de Raios entra no campo de batalha, ele causa 2 pontos de dano à criatura ou jogador alvo. A criatura encantada recebe +2/+2.</t>
  </si>
  <si>
    <t>Diamond Weapon / Arma de Diamante</t>
  </si>
  <si>
    <t>Criatura Artefato Lendária — Elemental</t>
  </si>
  <si>
    <t>Esta mágica custa {1} a menos para ser conjurada para cada card de permanente em seu cemitério. Alcance. Imune — Previna todo o dano de combate que seria causado a Arma de Diamante.</t>
  </si>
  <si>
    <t>7{G}{G}</t>
  </si>
  <si>
    <t>Dictate of Heliod / Decreto de Heliode</t>
  </si>
  <si>
    <t>Flash Creatures you control get +2/+2. / Lampejo As criaturas que você controla recebem +2/+2.</t>
  </si>
  <si>
    <t>The List (PLST)</t>
  </si>
  <si>
    <t>Dictate of Kruphix / Decreto de Crufix</t>
  </si>
  <si>
    <t>Flash (You may cast this spell any time you could cast an instant.) At the beginning of each player's draw step, that player draws an additional card. / Lampejo No início da etapa de compra de cada jogador, aquele jogador compra um card adicional.</t>
  </si>
  <si>
    <t>Journey into Nyx Promos (PJOU)</t>
  </si>
  <si>
    <t>Dig Site Inventory / Inventário do Sítio de Escavação</t>
  </si>
  <si>
    <t>Coloque um marcador +1/+1 na criatura alvo que você controla. Ela ganha vigilância até o final do turno. Recapitular {W} (Você pode conjurar este card de seu cemitério por seu custo de recapitular. Depois, exile-o.)</t>
  </si>
  <si>
    <t>Dihada's Ploy / Ardil de Dihada</t>
  </si>
  <si>
    <t>Draw two cards, then discard a card. You gain life equal to the number of cards you've discarded this turn. Jump-start (You may cast this card from your graveyard by discarding a card in addition to paying its other costs. Then exile this card.) / Compre dois cards e depois descarte um card. Você ganha uma quantidade de pontos de vida igual ao número de cards que você descartou neste turno. Recarregar (Você pode conjurar este card de seu cemitério descartando um card além de pagar seus outros custos. Depois, exile este card.)</t>
  </si>
  <si>
    <t>Diligent Zookeeper</t>
  </si>
  <si>
    <t>Creature — Human Citizen Ally</t>
  </si>
  <si>
    <t>Each non-Human creature you control gets +1/+1 for each of its creature types, to a maximum of 10.</t>
  </si>
  <si>
    <t>Dimensional Exile</t>
  </si>
  <si>
    <t>Enchant basic land you control When this Aura enters, exile target creature an opponent controls until this Aura leaves the battlefield.</t>
  </si>
  <si>
    <t>Dimir Keyrune / Chave Rúnica Dimir</t>
  </si>
  <si>
    <t>{T}: Add {U} or {B}. {U}{B}: Dimir Keyrune becomes a 2/2 blue and Preto Horror artifact creature until end of turn and can't be blocked this turn.</t>
  </si>
  <si>
    <t>Diplomacia ao Fio da Espada / Razaketh's Rite</t>
  </si>
  <si>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</si>
  <si>
    <t>Diplomacia ao Fio da Espada / Sword-Point Diplomacy</t>
  </si>
  <si>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</si>
  <si>
    <t>Diplomacy of the Wastes / Diplomacia dos Ermos</t>
  </si>
  <si>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</si>
  <si>
    <t>Diplomatic Relations / Relações Diplomáticas</t>
  </si>
  <si>
    <t>A criatura alvo recebe +1/+0 e ganha vigilância até o final do turno. Ela causa dano igual ao seu poder à criatura alvo que um oponente controla.</t>
  </si>
  <si>
    <t>Dire Downdraft</t>
  </si>
  <si>
    <t>This spell costs {1} less to cast if it targets an attacking or tapped creature. Target creature's owner puts it on their choice of the top or bottom of their library.</t>
  </si>
  <si>
    <t>Diregraf Ghoul / Carniçal do Cemitério do Terror</t>
  </si>
  <si>
    <t>Creature — Zombie / Criatura — Zumbi</t>
  </si>
  <si>
    <t>This creature enters tapped. / Carniçal do Cemitério do Terror entra no campo de batalha virado.</t>
  </si>
  <si>
    <t>Diresight</t>
  </si>
  <si>
    <t>Surveil 2, then draw two cards. You lose 2 life. (To surveil 2, look at the top two cards of your library, then put any number of them into your graveyard and the rest on top of your library in any order.)</t>
  </si>
  <si>
    <t>Dirtwater Wraith / Aparição do Palude</t>
  </si>
  <si>
    <t>Creature — Wraith</t>
  </si>
  <si>
    <t>Swampwalk (This creature can't be blocked as long as defending player controls a Swamp.) {B}: This creature gets +1/+0 until end of turn.</t>
  </si>
  <si>
    <t>Disappearing Act / Truque de Desaparecimento</t>
  </si>
  <si>
    <t>As an additional cost to cast this spell, return a permanent you control to its owner's hand. Counter target spell. / Como custo adicional para conjurar Truque de Desaparecimento, devolva uma permanente que você controla para a mão de seu dono. Anule a mágica alvo.</t>
  </si>
  <si>
    <t>Disciple of Deceit / Discípulo da Enganação</t>
  </si>
  <si>
    <t>Inspired — Whenever this creature becomes untapped, you may discard a nonland card. If you do, search your library for a card with the same mana value as that card, reveal it, put it into your hand, then shuffle. / Inspirado — Toda vez que Discípulo da Enganação é desvirado, você pode descartar um card que não seja terreno. Se fizer isso, procure em seu grimório um card com o mesmo custo de mana convertido daquele card, revele-o e coloque-o em sua mão. Depois, embaralhe o seu grimório.</t>
  </si>
  <si>
    <t>{U}{B}</t>
  </si>
  <si>
    <t>Disciple of Phenax / Discípulo de Fenax</t>
  </si>
  <si>
    <t>When this creature enters, target player reveals a number of cards from their hand equal to your devotion to black. You choose one of them. That player discards that card. (Each {B} in the mana costs of permanents you control counts toward your devotion to black.) / Quando Discípulo de Fenax entra no campo de batalha, o jogador alvo revela um número de cards da própria mão igual a sua devoção ao preto. Você escolhe um deles. Aquele jogador descarta aquele card. (Cada {B} nos custos de mana de permanentes que você controla conta para sua devoção ao preto.)</t>
  </si>
  <si>
    <t>Disciple of the Vault / Discípulo da Câmara</t>
  </si>
  <si>
    <t>Creature — Human Cleric / Criatura — Clérigo Humano</t>
  </si>
  <si>
    <t>Whenever an artifact is put into a graveyard from the battlefield, you may have target opponent lose 1 life. / Toda vez que um artefato for colocado em um cemitério vindo de jogo, você pode fazer com que o oponente alvo perca 1 ponto de vida.</t>
  </si>
  <si>
    <t>Discordant Piper / Flautista Dissonante</t>
  </si>
  <si>
    <t>Creature — Zombie Satyr / Criatura — Zumbi Sátiro</t>
  </si>
  <si>
    <t>When this creature dies, create a 0/1 white Goat creature token. / Quando Flautista Dissonante morrer, crie uma ficha de criatura branca 0/1 do tipo Bode.</t>
  </si>
  <si>
    <t>Discover the Impossible / Descobrir o Impossível</t>
  </si>
  <si>
    <t>Look at the top five cards of your library. Exile one of them face down and put the rest on the bottom of your library in a random order. You may cast the exiled card without paying its mana cost if it's an instant spell with mana value 2 or less. If you don't, put that card into your hand. / Olhe os cinco cards do topo de seu grimório. Exile um deles com a face voltada para baixo e coloque o restante no fundo de seu grimório em ordem aleatória. Você pode conjurar o card exilado sem pagar seu custo de mana se for uma mágica instantânea com valor de mana igual ou inferior a 2. Se não fizer isso, coloque aquele card em sua mão.</t>
  </si>
  <si>
    <t>Disempower</t>
  </si>
  <si>
    <t>Put target artifact or enchantment on top of owner's library.</t>
  </si>
  <si>
    <t>Disenchant / Desencantar</t>
  </si>
  <si>
    <t>Instant / Instântanea</t>
  </si>
  <si>
    <t>Target enchantment or artifact is destroyed. / Destrua o encantamento ou artefato alvo.</t>
  </si>
  <si>
    <t>Alpha (LEA)</t>
  </si>
  <si>
    <t>Destroy target artifact or enchantment.</t>
  </si>
  <si>
    <t>Classic Sixth Edition (6ED)</t>
  </si>
  <si>
    <t>Disfigure / Desfigurar</t>
  </si>
  <si>
    <t>Target creature gets -2/-2 until end of turn.</t>
  </si>
  <si>
    <t>Disintegrate / Desintegrar</t>
  </si>
  <si>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</si>
  <si>
    <t>Dismantling Blow / Golpe Desmantelador</t>
  </si>
  <si>
    <t>Kicker {2}{U} (You may pay an additional {2}{U} as you cast this spell.) Destroy target artifact or enchantment. If this spell was kicked, draw two cards. / Reforçar {2}{U} Você pode pagar um custo adicional de {2}{U} conforme conjura esta mágica.) Destrua o artefato ou encantamento alvo. Se esta mágica foi reforçada, compre dois cards.</t>
  </si>
  <si>
    <t>Dispel / Delir</t>
  </si>
  <si>
    <t>Counter target instant spell. / Anule a mágica instantânea alvo.</t>
  </si>
  <si>
    <t>Dispersal Technician / Técnico de Dispersão</t>
  </si>
  <si>
    <t>When this creature enters, you may return target artifact to its owner's hand. / Quando Técnico de Dispersão entra no campo de batalha, você pode devolver o artefato alvo para a mão de seu dono.</t>
  </si>
  <si>
    <t>Disperse / Dispersar</t>
  </si>
  <si>
    <t>Return target nonland permanent to its owner's hand. / Devolva a permanente alvo que não seja um terreno para a mão de seu dono.</t>
  </si>
  <si>
    <t>Displacement Wave / Onda de Deslocamento</t>
  </si>
  <si>
    <t>Return all nonland permanents with mana value X or less to their owners' hands. / Devolva todas as permanentes que não sejam terreno com custo de mana convertido igual a X ou menos para as mãos de seus donos.</t>
  </si>
  <si>
    <t>{X}{U}{U}</t>
  </si>
  <si>
    <t>Disrupting Scepter / Cetro Desintegrador</t>
  </si>
  <si>
    <t>{3}, {T}: Target player chooses and discards one card from his or her hand. Use this ability only during your turn.</t>
  </si>
  <si>
    <t>Disruptor of Currents</t>
  </si>
  <si>
    <t>Creature — Merfolk Wizard</t>
  </si>
  <si>
    <t>Flash. Convoke (Your creatures can help cast this spell. Each creature you tap while casting this spell pays for {1} or one mana of that creature's color.) When this creature enters, return up to one other target nonland permanent to its owner's hand.</t>
  </si>
  <si>
    <t>Distração Efêmera / Fleeting Distraction</t>
  </si>
  <si>
    <t>A criatura alvo recebe -1/-0 até o final do turno. Compre um card. / Target creature gets -1/-0 until end of turn. Draw a card.</t>
  </si>
  <si>
    <t>Distracting Geist / Geist da Distração</t>
  </si>
  <si>
    <t>Whenever this creature attacks, tap target creature defending player controls. Disturb {4}{W} (You may cast this card from your graveyard transformed for its disturb cost.) / Toda vez que Geist da Distração atacar, vire a criatura alvo que o jogador defensor controla. Perturbar {4}{W} (Você pode conjurar este card transformado do seu cemitério por seu custo de perturbar.)</t>
  </si>
  <si>
    <t>Distress</t>
  </si>
  <si>
    <t>Target player reveals his or her hand. You choose a nonland card from it. That player discards that card.</t>
  </si>
  <si>
    <t>Black</t>
  </si>
  <si>
    <t>District Guide / Guia do Distrito</t>
  </si>
  <si>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</si>
  <si>
    <t>Dive Down / Mergulhar</t>
  </si>
  <si>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</si>
  <si>
    <t>Divert Disaster / Desviar Desastre</t>
  </si>
  <si>
    <t>Anule a mágica alvo, a menos que seu controlador pague {2}. Se ele fizer isso, crie uma ficha de Módulo de Pouso. (É um artefato com "{2}, {T}, Sacrifique esta ficha: Procure em seu grimório por um card de terreno básico, coloque-o no campo de batalha virado e depois embaralhe.")</t>
  </si>
  <si>
    <t>Divination / Divinação</t>
  </si>
  <si>
    <t>Draw two cards. / Compre dois cards.</t>
  </si>
  <si>
    <t>Divine Arrow / Flecha Divina</t>
  </si>
  <si>
    <t>Divine Arrow deals 4 damage to target attacking or blocking creature. / Flecha Divina causa 4 pontos de dano à criatura alvo atacante ou bloqueadora.</t>
  </si>
  <si>
    <t>Divine Favor / Proteção Divina</t>
  </si>
  <si>
    <t>Enchant creature When this Aura enters, you gain 3 life. Enchanted creature gets +1/+3. / Encantar criatura Quando Proteção Divina entra no campo de batalha, você ganha 3 pontos de vida. A criatura encantada recebe +1/+3.</t>
  </si>
  <si>
    <t>Divine Offering</t>
  </si>
  <si>
    <t>Destroy target artifact. Gain life equal to the artifact's casting cost.</t>
  </si>
  <si>
    <t>Destroy target artifact. Gain an amount of life equal to that artifact's casting cost.</t>
  </si>
  <si>
    <t>Divine Verdict / Veredito Divino</t>
  </si>
  <si>
    <t>Destroy target attacking or blocking creature. / Destrua a criatura atacante ou bloqueadora alvo.</t>
  </si>
  <si>
    <t>Diving Griffin / Grifo Mergulhador</t>
  </si>
  <si>
    <t>Flying. Attacking doesn't cause Diving Griffin to tap. / Voar. Atacar não faz com que Grifo Mergulhador vire.</t>
  </si>
  <si>
    <t>Dizimador das Províncias / Decimator of the Provinces</t>
  </si>
  <si>
    <t>Creature — Eldrazi Boar / Criatura — Eldrazi Javali</t>
  </si>
  <si>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</si>
  <si>
    <t>Dockworker Drone / Drone Estivador</t>
  </si>
  <si>
    <t>Criatura Artefato — Robô</t>
  </si>
  <si>
    <t>Esta criatura entra com um marcador +1/+1 nela. Quando esta criatura morrer, coloque os marcadores dela na criatura alvo que você controla.</t>
  </si>
  <si>
    <t>Dog Walker / Acompanhante de Cães</t>
  </si>
  <si>
    <t>Vigilance Disguise {R/W}{R/W} (You may cast this card face down for {3} as a 2/2 creature with ward {2}. Turn it face up any time for its disguise cost.) When this creature is turned face up, create two tapped 1/1 white Dog creature tokens. / Vigilância Disfarce {R/W}{R/W} (Você pode conjurar este card com a face para baixo por {3} como uma criatura 2/2 com salvaguarda {2}. Volte sua face para cima a qualquer momento pagando seu custo de disfarce.) Quando Acompanhante de Cães for voltado para cima, crie duas fichas de criatura Cão branca 1/1 viradas.</t>
  </si>
  <si>
    <t>Dokuchi Shadow-Walker / Trilha-sombras Dokuchi</t>
  </si>
  <si>
    <t>Creature — Ogre Ninja / Criatura — Ogro Ninja</t>
  </si>
  <si>
    <t>Ninjutsu {3}{B} ({3}{B}, Return an unblocked attacker you control to hand: Put this card onto the battlefield from your hand tapped and attacking.) / Ninjutsu {3}{B} ({3}{B}, devolva para a mão um atacante não bloqueado que você controla: Coloque este card no campo de batalha de sua mão, virado e atacando.)</t>
  </si>
  <si>
    <t>Dokuchi Silencer / Silenciador Dokuchi</t>
  </si>
  <si>
    <t>Creature — Human Ninja / Criatura — Humano Ninja</t>
  </si>
  <si>
    <t>Ninjutsu {1}{B} ({1}{B}, Return an unblocked attacker you control to hand: Put this card onto the battlefield from your hand tapped and attacking.) Whenever this creature deals combat damage to a player, you may discard a creature card. When you do, destroy target creature or planeswalker that player controls. / Ninjutsu {1}{B} ({1}{B}, devolva para a mão um atacante não bloqueado que você controla: Coloque este card no campo de batalha de sua mão, virado e atacando.) Toda vez que Silenciador Dokuchi causa dano de combate a um jogador, você pode descartar um card de criatura. Quando fizer isso, destrua a criatura ou o planeswalker alvo que aquele jogador controla.</t>
  </si>
  <si>
    <t>Domesticated Hydra</t>
  </si>
  <si>
    <t>Creature — Hydra</t>
  </si>
  <si>
    <t>{X}{G}{G}{G}: Monstrosity X. (If this creature isn't monstrous, put X +1/+1 counters on it and it becomes monstrous.) As long as this creature is monstrous, it has trample.</t>
  </si>
  <si>
    <t>Domestication / Domesticação</t>
  </si>
  <si>
    <t>Enchant creature You control enchanted creature. At the beginning of your end step, if enchanted creature's power is 4 or greater, sacrifice this Aura. / Encantar criaturaVocê controla a criatura encantada.No início de sua etapa final, se o poder da criatura encantada for maior ou igual a 4, sacrifique Domesticação.</t>
  </si>
  <si>
    <t>Donatello, Turtle Techie</t>
  </si>
  <si>
    <t>Legendary Creature — Mutant Ninja Turtle</t>
  </si>
  <si>
    <t>When Donatello enters, if you control an artifact, draw a card.</t>
  </si>
  <si>
    <t>Donatello, Way with Machines</t>
  </si>
  <si>
    <t>Flying Whenever an artifact you control enters, put a +1/+1 counter on Donatello.</t>
  </si>
  <si>
    <t>Donatello's Science Lesson / Lição de Ciência de Donatello</t>
  </si>
  <si>
    <t>Vire até duas criaturas alvo. Até dois jogadores alvo compram, cada um, um card.</t>
  </si>
  <si>
    <t>Doomwake Giant / Gigante do Rastro Funesto</t>
  </si>
  <si>
    <t>Enchantment Creature — Giant / Criatura Encantamento — Gigante</t>
  </si>
  <si>
    <t>Constellation — Whenever this creature or another enchantment you control enters, creatures your opponents control get -1/-1 until end of turn. / Constelação — Toda vez que Gigante do Rastro Funesto ou outro encantamento entra no campo de batalha sob seu controle, as criaturas que seus oponentes controlam recebem -1/-1 até o final do turno.</t>
  </si>
  <si>
    <t>Commander 2015 (C15)</t>
  </si>
  <si>
    <t>Doorkeeper / Porteiro</t>
  </si>
  <si>
    <t>Defender {2}{U}, {T}: Target player mills X cards, where X is the number of creatures you control with defender. / Defensor {2}{U}, {T}: O jogador alvo coloca os X cards do topo do grimório dele no próprio cemitério, sendo X igual ao número de criaturas com defensor que você controla.</t>
  </si>
  <si>
    <t>Doran, Besieged by Time</t>
  </si>
  <si>
    <t>Legendary Creature — Treefolk Druid</t>
  </si>
  <si>
    <t>Each creature spell you cast with toughness greater than its power costs {1} less to cast. Whenever a creature you control attacks or blocks, it gets +X/+X until end of turn, where X is the difference between its power and toughness.</t>
  </si>
  <si>
    <t>{1}{W}{B}{G}</t>
  </si>
  <si>
    <t>Preto, Verde, Branco</t>
  </si>
  <si>
    <t>Dosan's Oldest Chant / O Canto Mais Antigo de Dosan</t>
  </si>
  <si>
    <t>You gain 6 life. Draw a card. / Você ganha 6 pontos de vida. Compre um card.</t>
  </si>
  <si>
    <t>Saviors of Kamigawa (SOK)</t>
  </si>
  <si>
    <t>Double Cleave / Rachar em Dois</t>
  </si>
  <si>
    <t>Target creature gains double strike until end of turn. (It deals both first-strike and regular combat damage.) / A criatura alvo ganha golpe duplo até o final do turno. (Ela causa tanto o dano de iniciativa quanto o dano de combate normal.)</t>
  </si>
  <si>
    <t>{1}{R/W}</t>
  </si>
  <si>
    <t>Eventide (EVE)</t>
  </si>
  <si>
    <t>Double Dip</t>
  </si>
  <si>
    <t>Choose another player. Gain 5 life now and an additional 5 life at the beginning of the next game with that player. / Escolha outro jogador. Ganhe 5 pontos de vida agora e 5 pontos de vida adicionais no início do próximo jogo com aquele jogador.</t>
  </si>
  <si>
    <t>Downsize / Diminuição</t>
  </si>
  <si>
    <t>Target creature you don't control gets -4/-0 until end of turn. Overload {2}{U} (You may cast this spell for its overload cost. If you do, change "target" in its text to "each.") / A criatura alvo que você não controla recebe -4/-0 até o final do turno. Sobrecarga {2}{U} (Você pode conjurar esta mágica pagando seu custo de sobrecarga. Se fizer isso, altere seu texto substituindo todas as ocorrências de "a criatura alvo" por "cada criatura".)</t>
  </si>
  <si>
    <t>Downwind Ambusher</t>
  </si>
  <si>
    <t>Creature — Skunk Assassin</t>
  </si>
  <si>
    <t>Flash When this creature enters, choose one — • Target creature an opponent controls gets -1/-1 until end of turn. • Destroy target creature an opponent controls that was dealt damage this turn.</t>
  </si>
  <si>
    <t>Dragon Cultist / Cultista do Dragão</t>
  </si>
  <si>
    <t>Commander creatures you own have "At the beginning of your end step, if a source you controlled dealt 5 or more damage this turn, create a 4/4 red Dragon creature token with flying." / As criaturas comandantes que você possui têm "No início de sua etapa final, se uma fonte que você controlava tiver causado 5 ou mais pontos de dano neste turno, crie uma ficha de criatura Dragão vermelha 4/4 com voar".</t>
  </si>
  <si>
    <t>Dragon Engine / Dragão Mecânico</t>
  </si>
  <si>
    <t>{2}: This creature gets +1/+0 until end of turn. / {2}: Dragão Mecânico recebe +1/+0 até o final do turno.</t>
  </si>
  <si>
    <t>Dragon Grip / Garra do Dragão</t>
  </si>
  <si>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</si>
  <si>
    <t>Dragon Hunter / Caçador de Dragões</t>
  </si>
  <si>
    <t>Protection from Dragons This creature can block Dragons as though it had reach. / Proteção contra Dragões Caçador de Dragões pode bloquear Dragões como se tivesse alcance.</t>
  </si>
  <si>
    <t>Dragon Shadow / Sombra de Dragão</t>
  </si>
  <si>
    <t>Enchant creature Enchanted creature gets +1/+0 and has fear. (It can't be blocked except by artifact creatures and/or black creatures.) When a creature with mana value 6 or greater enters, you may return this card from your graveyard to the battlefield attached to that creature. / A criatura encantada recebe +1/+0 e tem a habilidade de amedrontar. (Ela só pode ser bloqueada por criaturas pretas e/ou criaturas artefato.) Quando uma criatura com custo de mana convertido maior ou igual a 6 entrar em jogo, você pode devolver Sombra de Dragão de seu cemitério para o jogo encantando aquela criatura.</t>
  </si>
  <si>
    <t>Dragon Whelp / Filhote de Dragão</t>
  </si>
  <si>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</si>
  <si>
    <t>Dragonfly Suit / Traje de Libélula</t>
  </si>
  <si>
    <t>Flying Crew 1 (Tap any number of creatures you control with total power 1 or more: This Vehicle becomes an artifact creature until end of turn.) / Voar Tripular 1 (Vire qualquer número de criaturas que você controla com total de poder igual ou superior a 1: Este Veículo torna-se uma criatura artefato até o final do turno.)</t>
  </si>
  <si>
    <t>Dragonfly Swarm</t>
  </si>
  <si>
    <t>Creature — Dragon Insect</t>
  </si>
  <si>
    <t>Flying, ward {1} (Whenever this creature becomes the target of a spell or ability an opponent controls, counter it unless that player pays {1}.) This creature's power is equal to the number of noncreature, nonland cards in your graveyard. When this creature dies, if there's a Lesson card in your graveyard, draw a card.</t>
  </si>
  <si>
    <t>*/3</t>
  </si>
  <si>
    <t>Dragonspark Reactor / Reator de Centelha Dracônica</t>
  </si>
  <si>
    <t>Whenever this artifact or another artifact you control enters, put a charge counter on this artifact. {4}, Sacrifice this artifact: It deals damage equal to the number of charge counters on it to target player and that much damage to up to one target creature. / Toda vez que Reator de Centelha Dracônica ou outro artefato entrar no campo de batalha sob seu controle, coloque um marcador de carga em Reator de Centelha Dracônica. {4}, sacrifique Reator de Centelha Dracônica: Ele causa dano igual ao número de marcadores de carga nele ao jogador alvo e aquela quantidade de dano a até uma criatura alvo.</t>
  </si>
  <si>
    <t>Dragoon's Lance / Lança de Dragoon</t>
  </si>
  <si>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</si>
  <si>
    <t>Dragoon's Wyvern</t>
  </si>
  <si>
    <t>Creature — Drake</t>
  </si>
  <si>
    <t>Flying When this creature enters, create a 1/1 colorless Hero creature token.</t>
  </si>
  <si>
    <t>Final Fantasy (FFXI)</t>
  </si>
  <si>
    <t>Drain Life / Drenar Vida</t>
  </si>
  <si>
    <t>Spend only black mana on X. Drain Life deals X damage to any target. You gain life equal to the damage dealt, but not more life than the player's life total before the damage was dealt, the planeswalker's loyalty before the damage was dealt, or the creature's toughness.</t>
  </si>
  <si>
    <t>{X}{1}{B}</t>
  </si>
  <si>
    <t>Drake Haven / Refúgio dos Dragonetes</t>
  </si>
  <si>
    <t>Whenever you cycle or discard a card, you may pay {1}. If you do, create a 2/2 blue Drake creature token with flying. / Toda vez que recicla ou descarta um card, você pode pagar {1}. Se fizer isso, crie uma ficha de criatura azul 2/2 do tipo Dragonete com voar.</t>
  </si>
  <si>
    <t>Dramatic Accusation / Acusação Dramática</t>
  </si>
  <si>
    <t>Enchant creature When this Aura enters, tap enchanted creature. Enchanted creature doesn't untap during its controller's untap step. {U}{U}: Shuffle enchanted creature into its owner's library. / Encantar criatura Quando Acusação Dramática entrar no campo de batalha, vire a criatura encantada. A criatura encantada não desvira durante a etapa de desvirar de seu controlador. {U}{U}: Embaralhe a criatura encantada no grimório de seu dono.</t>
  </si>
  <si>
    <t>Dramatic Reversal / Reversão Dramática</t>
  </si>
  <si>
    <t>Untap all nonland permanents you control. / Desvire todas as permanentes que você controla que não sejam terrenos.</t>
  </si>
  <si>
    <t>Drana's Emissary / Emissário de Drana</t>
  </si>
  <si>
    <t>Creature — Vampire Cleric Ally / Criatura — Vampiro Clérigo Aliado</t>
  </si>
  <si>
    <t>Flying At the beginning of your upkeep, each opponent loses 1 life and you gain 1 life. / VoarNo início de sua manutenção, cada oponente perde 1 ponto de vida e você ganha 1 ponto de vida.</t>
  </si>
  <si>
    <t>{1}{W}{B}</t>
  </si>
  <si>
    <t>Drana's Silencer / Silenciador de Drana</t>
  </si>
  <si>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</si>
  <si>
    <t>Dread Shade / Sombra Aterrorizante</t>
  </si>
  <si>
    <t>Creature — Shade / Criatura — Sombra</t>
  </si>
  <si>
    <t>{B}: This creature gets +1/+1 until end of turn. / {B}: Sombra Aterrorizante recebe +1/+1 até o final do turno.</t>
  </si>
  <si>
    <t>{B}{B}{B}</t>
  </si>
  <si>
    <t>Dreadbringer Lampads / Lâmpades Medonhas</t>
  </si>
  <si>
    <t>Constellation — Whenever this creature or another enchantment you control enters, target creature gains intimidate until end of turn. (It can't be blocked except by artifact creatures and/or creatures that share a color with it.) / Constelação — Toda vez que Lâmpades Medonhas ou outro encantamento entra no campo de batalha sob seu controle, a criatura alvo ganha intimidar até o final do turno. (Esta criatura só pode ser bloqueada por criaturas artefato e/ou criaturas que compartilharem uma cor com ela.)</t>
  </si>
  <si>
    <t>Dreadful Apathy / Apatia Pavorosa</t>
  </si>
  <si>
    <t>Enchant creature Enchanted creature can't attack or block. {2}{W}: Exile enchanted creature. / Encantar criatura A criatura encantada não pode atacar nem bloquear. {2}{W}: Exile a criatura encantada.</t>
  </si>
  <si>
    <t>Dreadwaters / Onda Medonha</t>
  </si>
  <si>
    <t>Target player mills X cards, where X is the number of lands you control. / O jogador alvo coloca os X primeiros cards do topo do grimório dele no próprio cemitério, sendo X igual ao número de terrenos que você controla.</t>
  </si>
  <si>
    <t>Dream Beavers</t>
  </si>
  <si>
    <t>Creature — Beaver Nightmare</t>
  </si>
  <si>
    <t>Flying When this creature enters, each opponent loses 1 life and you gain 1 life. Scry 1. (Look at the top card of your library. You may put that card on the bottom.)</t>
  </si>
  <si>
    <t>Dream Seizer</t>
  </si>
  <si>
    <t>Creature — Faerie Rogue</t>
  </si>
  <si>
    <t>Flying. When this creature enters, you may blight 1. If you do, each opponent discards a card. (To blight 1, put a -1/-1 counter on a creature you control.)</t>
  </si>
  <si>
    <t>Dream Thrush / Tordo dos Sonhos</t>
  </si>
  <si>
    <t>Creature — Bird</t>
  </si>
  <si>
    <t>Flying {T}: Target land becomes the basic land type of your choice until end of turn.</t>
  </si>
  <si>
    <t>Dreams of Laguna / Sonhos de Laguna</t>
  </si>
  <si>
    <t>Vigie 1, depois compre um card. (Para vigiar 1, olhe o card do topo de seu grimório. Você pode colocá-lo em seu cemitério.) Recapitular {3}{U} (Você pode conjurar este card de seu cemitério pagando seu custo de recapitular. Depois, exile-o.)</t>
  </si>
  <si>
    <t>Dreamshackle Geist / Geist do Grilhão Onírico</t>
  </si>
  <si>
    <t>Flying At the beginning of combat on your turn, choose up to one — • Tap target creature. • Target creature doesn't untap during its controller's next untap step. / Voar No início do combate no seu turno, escolha até um — • Vire a criatura alvo. • A criatura alvo não é desvirada durante a próxima etapa de desvirar de seu controlador.</t>
  </si>
  <si>
    <t>Dreamstealer / Rouba-sonhos</t>
  </si>
  <si>
    <t>Menace Whenever this creature deals combat damage to a player, that player discards that many cards. Eternalize {4}{B}{B} ({4}{B}{B}, Exile this card from your graveyard: Create a token that's a copy of it, except it's a 4/4 black Zombie Human Wizard with no mana cost. Eternalize only as a sorcery.) / Ameaçar Toda vez que Rouba-sonhos causa dano de combate a um jogador, aquele jogador descarta uma quantidade correspondente de cards. Eternizar {4}{B}{B} ({4}{B}{B}, exile este card de seu cemitério: Crie uma ficha que seja uma cópia dele, com a exceção de ser um Zumbi Humano Mago preto 4/4 sem custo de mana. Eternize somente como um feitiço.)</t>
  </si>
  <si>
    <t>Dredging Claw / Garra Dragadora</t>
  </si>
  <si>
    <t>Equipped creature gets +1/+0 and has menace. Whenever a creature enters the battlefield from your graveyard, you may attach Dredging Claw to it. Equip {1}{B}</t>
  </si>
  <si>
    <t>Dregscape Sliver / Fractius do Vale das Escórias</t>
  </si>
  <si>
    <t>Creature — Sliver / Criatura — Fractius</t>
  </si>
  <si>
    <t>Each Sliver creature card in your graveyard has unearth {2}. Unearth {2} ({2}: Return this card from your graveyard to the battlefield. It gains haste. Exile it at the beginning of the next end step or if it would leave the battlefield. Unearth only as a sorcery.) / Cada card de criatura do tipo Fractius em seu cemitério tem desenterrar {2}. Desenterrar {2} ({2}: Devolva este card de seu cemitério para o campo de batalha. Ele ganha ímpeto. Exile-o no início da próxima etapa final ou se ele for deixar o campo de batalha. Use desenterrar somente como um feitiço.)</t>
  </si>
  <si>
    <t>Drey Keeper / Guardião da Toca</t>
  </si>
  <si>
    <t>When this creature enters, create two 1/1 green Squirrel creature tokens. {3}{B}: Squirrels you control get +1/+0 and gain menace until end of turn. / Quando Guardião da Toca entrar no campo de batalha, crie duas fichas de criatura Esquilo verde 1/1. {3}{B}: Os Esquilos que você controla recebem +1/+0 e ganham ameaçar até o final do turno.</t>
  </si>
  <si>
    <t>{3}{B}{G}</t>
  </si>
  <si>
    <t>Drider / Draider</t>
  </si>
  <si>
    <t>Creature — Elf Spider / Criatura — Elfo Aranha</t>
  </si>
  <si>
    <t>Reach Whenever this creature deals combat damage to a player, create a 2/1 black Spider creature token with menace and reach. / Alcance Toda vez que Draider causar dano de combate a um jogador, crie uma ficha de criatura Aranha preta 2/1 com ameaçar e alcance.</t>
  </si>
  <si>
    <t>Drogskol Shieldmate / Escudeira Drogskol</t>
  </si>
  <si>
    <t>Creature — Spirit Soldier / Criatura — Espírito Soldado</t>
  </si>
  <si>
    <t>Flash When this creature enters, other creatures you control get +0/+1 until end of turn. / Lampejo (Você poderá conjurar esta mágica a qualquer momento em que puder conjurar uma mágica instantânea.) Quando Escudeira Drogskol entra no campo de batalha, as outras criaturas que você controla recebem +0/+1 até o final do turno.</t>
  </si>
  <si>
    <t>Dromoka Dunecaster / Conjurador de Dunas de Dromoka</t>
  </si>
  <si>
    <t>{1}{W}, {T}: Tap target creature without flying. / {1}{W}, {T}: Vire a criatura alvo sem voar.</t>
  </si>
  <si>
    <t>Dromoka Warrior / Guerreiro de Dromoka</t>
  </si>
  <si>
    <t>Dross Crocodile / Crocodilo do Entulho</t>
  </si>
  <si>
    <t>Creature — Zombie Crocodile / Criatura — Zumbi Crocodilo</t>
  </si>
  <si>
    <t>Tenth Edition (10E)</t>
  </si>
  <si>
    <t>Dross Skullbomb / Bombacrânio de Dross</t>
  </si>
  <si>
    <t>{1}, Sacrifice this artifact: Draw a card. {2}{B}, Sacrifice this artifact: Return target creature card from your graveyard to your hand. Draw a card. Activate only as a sorcery. / {1}, sacrifique Bombacrânio de Dross: Compre um card. {2}{B}, sacrifique Bombacrânio de Dross: Devolva o card de criatura alvo de seu cemitério para sua mão. Compre um card. Ative somente como um feitiço.</t>
  </si>
  <si>
    <t>Drought</t>
  </si>
  <si>
    <t>During your upkeep, pay {W}{W} or destroy Drought. Before a spell that requires {B} as part of its casting cost may be cast or an ability that requires {B} as part of its activation cost may be played, the controller of that spell or ability sacrifices a swamp for each {B} in the spell's casting cost or the ability's activation cost.</t>
  </si>
  <si>
    <t>Drown in Sorrow / Afogar em Mágoas</t>
  </si>
  <si>
    <t>All creatures get -2/-2 until end of turn. Scry 1. (Look at the top card of your library. You may put that card on the bottom.) / Todas as criaturas recebem -2/-2 até o final do turno. Vidência 1. (Olhe o card do topo de seu grimório. Você pode colocar aquele card no fundo de seu grimório.)</t>
  </si>
  <si>
    <t>Drowner of Hope / Afogador da Esperança</t>
  </si>
  <si>
    <t>Creature — Eldrazi / Criatura — Eldrazi</t>
  </si>
  <si>
    <t>Devoid (This card has no color.) When this creature enters, create two 1/1 colorless Eldrazi Scion creature tokens. They have "Sacrifice this token: Add {C}." Sacrifice an Eldrazi Scion: Tap target creature. / Desprovido (Este card não tem cor.)Quando Afogador da Esperança entrar no campo de batalha, coloque no campo de batalha duas fichas de criatura incolores 1/1 do tipo Rebento Eldrazi. Elas têm "Sacrifique esta criatura: Adicione {1} à sua reserva de mana."Sacrifique um Rebento Eldrazi: Vire a criatura alvo.</t>
  </si>
  <si>
    <t>Drownyard Behemoth / Behemoth da Costa Náufraga</t>
  </si>
  <si>
    <t>Creature — Eldrazi Crab / Criatura — Eldrazi Caranguejo</t>
  </si>
  <si>
    <t>Flash (You may cast this spell any time you could cast an instant.) Emerge {7}{U} (You may cast this spell by sacrificing a creature and paying the emerge cost reduced by that creature's mana value.) This creature has hexproof as long as it entered this turn. / Lampejo (Você poderá conjurar esta mágica a qualquer momento em que puder conjurar uma mágica instantânea.) Emergir {7}{U} (Você pode conjurar esta mágica sacrificando uma criatura e pagando o custo de emergir menos o custo de mana convertido daquela criatura.) Behemoth da Costa Náufraga tem resistência a magia contanto que tenha entrado no campo de batalha neste turno.</t>
  </si>
  <si>
    <t>Drudge Sentinel / Sentinela Servil</t>
  </si>
  <si>
    <t>{3}: Tap this creature. It gains indestructible until end of turn. (Damage and effects that say "destroy" don't destroy it.) / {3}: Vire Sentinela Servil. Ela ganha indestrutível até o final do turno. (O dano e os efeitos que dizem "destrua" não a destroem.)</t>
  </si>
  <si>
    <t>Drudge Skeletons / Esqueletos de Carga</t>
  </si>
  <si>
    <t>Creature — Skeleton / Criatura — Esqueleto</t>
  </si>
  <si>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</si>
  <si>
    <t>Drudge Spell / Mágica de Carga</t>
  </si>
  <si>
    <t>{B}, Exile two creature cards from your graveyard: Create a 1/1 black Skeleton creature token. It has "{B}: Regenerate this token." When this enchantment leaves the battlefield, destroy all Skeleton tokens. They can't be regenerated.</t>
  </si>
  <si>
    <t>Druid of the Cowl / Druida do Capote</t>
  </si>
  <si>
    <t>Drunau Corpse Trawler / Trainador de Cadáveres de Drunau</t>
  </si>
  <si>
    <t>When this creature enters, create a 2/2 black Zombie creature token. {2}{B}: Target Zombie gains deathtouch until end of turn. / Quando Trainador de Cadáveres de Drunau entrar no campo de batalha, coloque no campo de batalha uma ficha de criatura preta 2/2 do tipo Zumbi. {2}{B}: O Zumbi alvo ganha toque mortífero até o final do turno.</t>
  </si>
  <si>
    <t>Dry Spell / Seca</t>
  </si>
  <si>
    <t>Dry Spell deals 1 damage to each creature and each player.</t>
  </si>
  <si>
    <t>Duel Tactics / Táticas de Duelo</t>
  </si>
  <si>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</si>
  <si>
    <t>Duress / Coagir</t>
  </si>
  <si>
    <t>Target opponent reveals their hand. You choose a noncreature, nonland card from it. That player discards that card. / O oponente alvo revela a própria mão. Você escolhe um card que não seja um terreno nem uma criatura da mão dele. Aquele jogador descarta aquele card.</t>
  </si>
  <si>
    <t>Durkwood Baloth / Baloth de Durkwood</t>
  </si>
  <si>
    <t>Suspend 5—{G} (Rather than cast this card from your hand, you may pay {G} and exile it with five time counters on it. At the beginning of your upkeep, remove a time counter. When the last is removed, you may cast it without paying its mana cost. It has haste.) / Suspender 5 — {G} (Em vez de conjurar este card da sua mão, você pode pagar {G} e exilá-lo com cinco marcadores temporais. No início de sua manutenção, remova um marcador temporal. Quando o último for removido, conjure-o sem pagar seu custo de mana. Ele tem ímpeto.)</t>
  </si>
  <si>
    <t>Dusk Charger / Corcel do Crepúsculo</t>
  </si>
  <si>
    <t>Creature — Horse / Criatura — Cavalo</t>
  </si>
  <si>
    <t>Ascend (If you control ten or more permanents, you get the city's blessing for the rest of the game.) This creature gets +2/+2 as long as you have the city's blessing. / Ascender (Se você controla dez ou mais permanentes, você recebe a bênção da cidade pelo restante do jogo.) Corcel do Crepúsculo receberá +2/+2 enquanto você tiver a bênção da cidade.</t>
  </si>
  <si>
    <t>Dusk Legion Zealot</t>
  </si>
  <si>
    <t>Creature — Vampire Soldier</t>
  </si>
  <si>
    <t>When Dusk Legion Zealot enters the battlefield, you draw a card and you lose 1 life.</t>
  </si>
  <si>
    <t>Dusk Legion Zealot / Zelote da Legião do Crepúsculo</t>
  </si>
  <si>
    <t>Creature — Vampire Soldier / Criatura — Vampiro Soldado</t>
  </si>
  <si>
    <t>When this creature enters, you draw a card and you lose 1 life. / Quando Zelote da Legião do Crepúsculo entra no campo de batalha, você compra um card e perde 1 ponto de vida.</t>
  </si>
  <si>
    <t>Dusk Mangler / Desmembrador do Ocaso</t>
  </si>
  <si>
    <t>Creature — Horror / Criatura — Horror</t>
  </si>
  <si>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</si>
  <si>
    <t>{5}{B}{B}</t>
  </si>
  <si>
    <t>Duskmantle Guildmage / Mago de Guilda do Manto do Crepúsculo</t>
  </si>
  <si>
    <t>{1}{U}{B}: Whenever a card is put into an opponent's graveyard from anywhere this turn, that player loses 1 life. {2}{U}{B}: Target player mills two cards. / {1}{U}{B}: Toda vez que um card for colocado no cemitério de um oponente vindo de qualquer lugar neste turno, aquele jogador perderá 1 ponto de vida.{2}{U}{B}: O jogador alvo coloca os dois cards do topo do grimório dele no próprio cemitério.</t>
  </si>
  <si>
    <t>Dutiful Servants / Servos Obedientes</t>
  </si>
  <si>
    <t>Dwarven Blastminer / Anão Detonador</t>
  </si>
  <si>
    <t>Criatura — Anão / Creature — Dwarf</t>
  </si>
  <si>
    <t>{2}{R}, {T}: Destrua o terreno alvo não básico. / {2}{R}, {T}: Destroy target nonbasic land. Morf {R} (Você pode conjurar esta face voltada para baixo como uma criatura 2/2 por {3}. Vire-a para cima a qualquer momento pelo seu custo de morf.) / Morph {R} (You may play this face down as a 2/2 creature for {3}. Turn it face up any time for its morph cost.)</t>
  </si>
  <si>
    <t>Dwarven Castle Guard</t>
  </si>
  <si>
    <t>Creature — Dwarf Soldier</t>
  </si>
  <si>
    <t>When this creature dies, create a 1/1 colorless Hero creature token.</t>
  </si>
  <si>
    <t>1W</t>
  </si>
  <si>
    <t>Final Fantasy (FFIV)</t>
  </si>
  <si>
    <t>Dwarven Hold / Forte dos Anões</t>
  </si>
  <si>
    <t>This land enters tapped. You may choose not to untap this land during your untap step. At the beginning of your upkeep, if this land is tapped, put a storage counter on it. {T}, Remove any number of storage counters from this land: Add {R} for each storage counter removed this way.</t>
  </si>
  <si>
    <t>Fifth Edition (5ED)</t>
  </si>
  <si>
    <t>Dwarven Lieutenant</t>
  </si>
  <si>
    <t>{1}{R}: Target Dwarf creature gets +1/+0 until end of turn.</t>
  </si>
  <si>
    <t>{R}{R}</t>
  </si>
  <si>
    <t>Dwarven Soldier / Anão Soldado</t>
  </si>
  <si>
    <t>Whenever this creature blocks or becomes blocked by one or more Orcs, this creature gets +0/+2 until end of turn.</t>
  </si>
  <si>
    <t>Dwarven Trader / Comerciante Anão</t>
  </si>
  <si>
    <t>Creature — Dwarf</t>
  </si>
  <si>
    <t>Dwynen's Elite</t>
  </si>
  <si>
    <t>When this creature enters, if you control another Elf, create a 1/1 green Elf Warrior creature token.</t>
  </si>
  <si>
    <t>Dwynen's Elite / Elite de Dwynen</t>
  </si>
  <si>
    <t>Creature — Elf Warrior / Criatura — Elfo Guerreiro</t>
  </si>
  <si>
    <t>When this creature enters, if you control another Elf, create a 1/1 green Elf Warrior creature token. / Quando Elite de Dwynen entrar no campo de batalha, se você controlar outro Elfo, coloque no campo de batalha uma ficha de criatura verde 1/1 do tipo Elfo Guerreiro.</t>
  </si>
  <si>
    <t>Dynamite Diver</t>
  </si>
  <si>
    <t>Creature — Goblin Pilot</t>
  </si>
  <si>
    <t>This creature saddles Mounts and crews Vehicles as though its power were 2 greater. When this creature dies, it deals 1 damage to any target.</t>
  </si>
  <si>
    <t>Eager Glyphmage / Mago de Glifos Ansioso</t>
  </si>
  <si>
    <t>Criatura — Gato Clérigo</t>
  </si>
  <si>
    <t>Quando esta criatura entrar, crie uma ficha de criatura Tinteiro 1/1 branca e preta com voar.</t>
  </si>
  <si>
    <t>Eagle of the Watch / Águia da Vigia</t>
  </si>
  <si>
    <t>Eagles of the North / Águias do Norte</t>
  </si>
  <si>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</si>
  <si>
    <t>Earth Elemental / Elemental da Terra</t>
  </si>
  <si>
    <t>Décima edição</t>
  </si>
  <si>
    <t>Earth Kingdom General</t>
  </si>
  <si>
    <t>Creature — Human Soldier Ally</t>
  </si>
  <si>
    <t>When this creature enters, earthbend 2. (Target land you control becomes a 0/0 creature with haste that's still a land. Put two +1/+1 counters on it. When it dies or is exiled, return it to the battlefield tapped.) Whenever you put one or more +1/+1 counters on a creature, you may gain that much life. Do this only once each turn.</t>
  </si>
  <si>
    <t>Earth Kingdom Soldier</t>
  </si>
  <si>
    <t>Vigilance When this creature enters, put a +1/+1 counter on each of up to two target creatures you control.</t>
  </si>
  <si>
    <t>{4}{G/W}</t>
  </si>
  <si>
    <t>Earth Rumble</t>
  </si>
  <si>
    <t>Earthbend 2. When you do, up to one target creature you control fights target creature an opponent controls. (To earthbend 2, target land you control becomes a 0/0 creature with haste that's still a land. Put two +1/+1 counters on it. When it dies or is exiled, return it to the battlefield tapped. Creatures that fight each deal damage equal to their power to the other.)</t>
  </si>
  <si>
    <t>Earth Rumble Wrestlers</t>
  </si>
  <si>
    <t>Criatura — Humano Guerreiro Artista / Creature — Human Warrior Performer</t>
  </si>
  <si>
    <t>Reach. This creature gets +1/+0 and has trample as long as you control a land creature or a land entered the battlefield under your control this turn.</t>
  </si>
  <si>
    <t>{3}{R/G}</t>
  </si>
  <si>
    <t>Vermelho e Verde</t>
  </si>
  <si>
    <t>Earth Village Ruffians</t>
  </si>
  <si>
    <t>Creature — Human Soldier Rogue</t>
  </si>
  <si>
    <t>When this creature dies, earthbend 2. (Target land you control becomes a 0/0 creature with haste that's still a land. Put two +1/+1 counters on it. When it dies or is exiled, return it to the battlefield tapped.)</t>
  </si>
  <si>
    <t>{2}{B/G}</t>
  </si>
  <si>
    <t>Earthbender Ascension</t>
  </si>
  <si>
    <t>When this enchantment enters, earthbend 2. Then search your library for a basic land card, put it onto the battlefield tapped, then shuffle. Landfall — Whenever a land you control enters, put a quest counter on this enchantment. When you do, if it has four or more quest counters on it, put a +1/+1 counter on target creature you control. It gains trample until end of turn.</t>
  </si>
  <si>
    <t>East Wind Avatar</t>
  </si>
  <si>
    <t>Creature — Bird Spirit Avatar</t>
  </si>
  <si>
    <t>Flying, vigilance Alliance — Whenever another creature you control enters, this creature gets +1/+0 until end of turn.</t>
  </si>
  <si>
    <t>Eaten Alive / Comido Vivo</t>
  </si>
  <si>
    <t>As an additional cost to cast this spell, sacrifice a creature or pay {3}{B}. Exile target creature or planeswalker. / Como custo adicional para conjurar esta mágica, sacrifique uma criatura ou pague {3}{B}. Exile a criatura ou o planeswalker alvo.</t>
  </si>
  <si>
    <t>Eaten by Piranhas / Devorado por Piranhas</t>
  </si>
  <si>
    <t>Flash (You may cast this spell any time you could cast an instant.) Enchant creature Enchanted creature loses all abilities and is a black Skeleton creature with base power and toughness 1/1. (It loses all other colors, card types, and creature types.) / Lampejo Encantar criatura A criatura encantada perde todas as habilidades e é uma criatura Esqueleto preta com poder e resistência básicos 1/1. (Ela perde todos os outros tipos de card e criatura.)</t>
  </si>
  <si>
    <t>Ebony Charm / Medalhão de Ébano</t>
  </si>
  <si>
    <t>Choose one — • Target opponent loses 1 life and you gain 1 life. • Exile up to three target cards from a single graveyard. • Target creature gains fear until end of turn. (It can't be blocked except by artifact creatures and/or black creatures.)</t>
  </si>
  <si>
    <t>Ebony Horse / Cavalo de Ébano</t>
  </si>
  <si>
    <t>{2}, {T}: Untap target attacking creature you control. Prevent all combat damage that would be dealt to and dealt by that creature this turn.</t>
  </si>
  <si>
    <t>Ebony Rhino / Rinoceronte de ébano</t>
  </si>
  <si>
    <t>Artifact Creature — Rhino</t>
  </si>
  <si>
    <t>Trample</t>
  </si>
  <si>
    <t>Echo Chamber / Câmara de Ecos</t>
  </si>
  <si>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</si>
  <si>
    <t>Echo Tracer / Rastreável por Eco</t>
  </si>
  <si>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</si>
  <si>
    <t>Echoes of the Kin Tree / Ecos da Árvore de Família</t>
  </si>
  <si>
    <t>{2}{W}: Bolster 1. (Choose a creature with the least toughness among creatures you control and put a +1/+1 counter on it.) / {2}{W}: Revigorar 1. (Escolha uma criatura com a menor resistência entre as que você controla e coloque um marcador +1/+1 nela.)</t>
  </si>
  <si>
    <t>Eddytrail Hawk / Falcão Turbilhonante</t>
  </si>
  <si>
    <t>Flying When this creature enters, you get {E}{E} (two energy counters). Whenever this creature attacks, you may pay {E}. If you do, another target attacking creature gains flying until end of turn. / Voar Quando Falcão Turbilhonante entra no campo de batalha, você recebe {E}{E} (dois marcadores de energia). Toda vez que Falcão Turbilhonante ataca, você pode pagar {E}. Se fizer isso, outra criatura atacante alvo ganha voar até o final do turno.</t>
  </si>
  <si>
    <t>Eden, Seat of the Sanctum / Éden, Sede do Sanctum</t>
  </si>
  <si>
    <t>{T}: Adicione {C}. {5}, {T}: Triture dois cards. Depois, você pode sacrificar este terreno. Quando fizer isso, devolva outro card de permanente alvo de seu cemitério para sua mão.</t>
  </si>
  <si>
    <t>Edgar, King of Figaro / Edgar, Rei de Figaro</t>
  </si>
  <si>
    <t>Criatura Lendária — Humano Artífice Nobre</t>
  </si>
  <si>
    <t>Quando Edgar entrar, compre um card para cada artefato que você controla. Moeda de Duas Caras — Na primeira vez que você lançar uma ou mais moedas a cada turno, aquelas moedas dão cara e você vence aqueles lançamentos.</t>
  </si>
  <si>
    <t>4{U}{U}</t>
  </si>
  <si>
    <t>Edge of the Divinity / Limite da Divindade</t>
  </si>
  <si>
    <t>Enchant creature As long as enchanted creature is white, it gets +1/+2. As long as enchanted creature is black, it gets +2/+1. / Encantar criatura Enquanto a criatura encantada for branca, ela receberá +1/+2 . Enquanto a criatura encantada for preta, ela receberá +2/+1.</t>
  </si>
  <si>
    <t>Edifice of Authority / Edifício da Autoridade</t>
  </si>
  <si>
    <t>{1}, {T}: Target creature can't attack this turn. Put a brick counter on this artifact. {1}, {T}: Until your next turn, target creature can't attack or block and its activated abilities can't be activated. Activate only if there are three or more brick counters on this artifact. / {1}, {T}: A criatura alvo não pode atacar neste turno. Coloque um marcador de tijolo em Edifício da Autoridade. {1}, {T}: Até seu próximo turno, a criatura alvo não pode atacar nem bloquear e suas habilidades ativadas não podem ser ativadas. Ative esta habilidade somente se houver três ou mais marcadores de tijolo em Edifício da Autoridade.</t>
  </si>
  <si>
    <t>Efficient Construction / Construção Eficiente</t>
  </si>
  <si>
    <t>Whenever you cast an artifact spell, create a 1/1 colorless Thopter artifact creature token with flying. / Toda vez que você conjurar uma mágica de artefato, crie uma ficha de criatura artefato incolor 1/1 do tipo Tóptero com voar.</t>
  </si>
  <si>
    <t>Efflorescence / Florescência</t>
  </si>
  <si>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</si>
  <si>
    <t>Eidolon of Rhetoric / Eidolon da Retórica</t>
  </si>
  <si>
    <t>Each player can't cast more than one spell each turn. / Cada jogador não pode conjurar mais de uma mágica a cada turno.</t>
  </si>
  <si>
    <t>Eiganjo Exemplar / Exemplar de Eiganjo</t>
  </si>
  <si>
    <t>Enchantment Creature — Human Samurai / Criatura Encantamento — Humano Samurai</t>
  </si>
  <si>
    <t>Whenever a Samurai or Warrior you control attacks alone, it gets +1/+1 until end of turn. / Toda vez que um Samurai ou Guerreiro que você controla ataca sozinho, ele recebe +1/+1 até o final do turno.</t>
  </si>
  <si>
    <t>Eject / Ejetar</t>
  </si>
  <si>
    <t>Esta mágica não pode ser anulada. Devolva a permanente alvo não de terreno para a mão de seu dono. Compre um card.</t>
  </si>
  <si>
    <t>Eland Umbra / Sombra de Elande</t>
  </si>
  <si>
    <t>Enchant creature Enchanted creature gets +0/+4. Umbra armor (If enchanted creature would be destroyed, instead remove all damage from it and destroy this Aura.) / Encantar criatura A criatura encantada recebe +0/+4. Armadura de totem (Se a criatura encantada seria destruída, em vez disso, remova todo o dano dela e destrua esta Aura.)</t>
  </si>
  <si>
    <t>Elder Auntie</t>
  </si>
  <si>
    <t>When this creature enters, create a 1/1 black and red Goblin creature token.</t>
  </si>
  <si>
    <t>Eldrazi Aggressor / Agressor Eldrazi</t>
  </si>
  <si>
    <t>Devoid (This card has no color.) This creature has haste as long as you control another colorless creature. / Desprovido (Este card não tem cor.) Agressor Eldrazi terá ímpeto enquanto você controlar outra criatura incolor.</t>
  </si>
  <si>
    <t>Eldrazi Devastator / Devastador Eldrazi</t>
  </si>
  <si>
    <t>Electrickery / Eletrotruque</t>
  </si>
  <si>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</si>
  <si>
    <t>Electrify / Eletrificar</t>
  </si>
  <si>
    <t>Electrify deals 4 damage to target creature. / Eletrificar causa 4 pontos de dano à criatura alvo.</t>
  </si>
  <si>
    <t>Electrolyze / Eletrolisar</t>
  </si>
  <si>
    <t>Electrolyze deals 2 damage divided as you choose among one or two targets. Draw a card. / Eletrolisar causa 2 pontos de dano distribuídos a sua escolha entre um ou dois alvos. Compre um card.</t>
  </si>
  <si>
    <t>Elegant Rotunda / Grand Entryway</t>
  </si>
  <si>
    <t>Encantamento - Sala / Enchantment - Room</t>
  </si>
  <si>
    <t>(Você pode conjurar metade. Quando uma Sala entra no campo de batalha, ela entra com a metade conjurada desbloqueada. Você pode pagar o custo de mana de uma porta trancada como uma feitiçaria para desbloqueá-la.) - Elegant Rotunda: Quando você desbloqueia esta porta, coloque um marcador +1/+1 em até duas criaturas alvo. / Grand Entryway: Quando você desbloqueia esta porta, crie uma ficha de criatura encantamento 1/1 branca Glimmer.</t>
  </si>
  <si>
    <t>{2}{W} / {1}{W}</t>
  </si>
  <si>
    <t>Elemental Mascot / Mascote Elemental</t>
  </si>
  <si>
    <t>Criatura — Ave Elemental</t>
  </si>
  <si>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</si>
  <si>
    <t>1{U}{R}</t>
  </si>
  <si>
    <t>Elgaud Shieldmate / Escudeiro de Elgaud</t>
  </si>
  <si>
    <t>Soulbond (You may pair this creature with another unpaired creature when either enters. They remain paired for as long as you control both of them.) As long as this creature is paired with another creature, both creatures have hexproof. (They can't be the targets of spells or abilities your opponents control.) / Elo espiritual (Você pode emparelhar esta criatura com outra criatura não emparelhada quando uma delas entrar no campo de batalha. Elas permanecem emparelhadas enquanto você controlar ambas.) Enquanto Escudeiro de Elgaud estiver emparelhado com outra criatura, ambas as criaturas terão resistência à magia. (Elas não podem ser alvo de mágicas nem de habilidades controladas por seus oponentes.)</t>
  </si>
  <si>
    <t>Eliminate / Sumir</t>
  </si>
  <si>
    <t>Destroy target creature or planeswalker with mana value 3 or less. / Destrua a criatura ou o planeswalker alvo com custo de mana convertido igual ou inferior a 3.</t>
  </si>
  <si>
    <t>Elite Interceptor // Rejoinder</t>
  </si>
  <si>
    <t>Creature — Human Wizard // Sorcery</t>
  </si>
  <si>
    <t>Elite Interceptor: This creature enters prepared. (While it's prepared, you may cast a copy of its spell. Doing so unprepares it.) // Rejoinder: You may tap or untap target creature. Draw a card.</t>
  </si>
  <si>
    <t>{W} // {1}{W}</t>
  </si>
  <si>
    <t>Elixir</t>
  </si>
  <si>
    <t>This artifact enters tapped. 5, T, Exile this artifact: Shuffle all nonland cards from your graveyard into your library. You gain life equal to the number of cards shuffled into your library this way.</t>
  </si>
  <si>
    <t>Elixir of Immortality / Elixir da Imortalidade</t>
  </si>
  <si>
    <t>{2}, {T}: You gain 5 life. Shuffle this artifact and your graveyard into their owner's library. / {2}, {T}: Você ganha 5 pontos de vida. Embaralhe Elixir da Imortalidade e seu cemitério no grimório de seus donos.</t>
  </si>
  <si>
    <t>Elrond, Senhor de Valfenda / Elrond, Lord of Rivendell</t>
  </si>
  <si>
    <t>Toda vez que Elrond, Senhor de Valfenda, ou outra criatura entrar no campo de batalha sob seu controle, use vidência 1. Se esta for aNormally I can help with things like this, but I don't seem to have access to that content. You can try again or ask me for something else.</t>
  </si>
  <si>
    <t>Elspeth Tirel</t>
  </si>
  <si>
    <t>Legendary Planeswalker — Elspeth / Planeswalker — Elspeth</t>
  </si>
  <si>
    <t>Elturgard Ranger / Guardiã de Elturgard</t>
  </si>
  <si>
    <t>Creature — Human Elf Ranger / Criatura — Humano Elfo Guardião</t>
  </si>
  <si>
    <t>Reach. When Elturgard Ranger enters the battlefield, create a 2/2 green Wolf creature token. / Alcance. Quando Guardiã de Elturgard entrar no campo de batalha, crie uma ficha de criatura Lobo verde 2/2.</t>
  </si>
  <si>
    <t>Elusive Spellfist / Punho-mágico Elusivo</t>
  </si>
  <si>
    <t>Creature — Human Monk / Criatura — Humano Monge</t>
  </si>
  <si>
    <t>Whenever you cast a noncreature spell, this creature gets +1/+0 until end of turn and can't be blocked this turn. / Toda vez que você conjurar uma mágica que não seja de criatura, Punho-mágico Elusivo receberá +1/+0 até o final do turno e não poderá ser bloqueado neste turno.</t>
  </si>
  <si>
    <t>Elvish Harbinger / Anunciadora Élfica</t>
  </si>
  <si>
    <t>When this creature enters, you may search your library for an Elf card, reveal it, then shuffle and put that card on top. {T}: Add one mana of any color. / Quando Anunciadora Élfica entra em jogo, você pode procurar em seu grimório um card de Elfo, revelá-lo, e então embaralhar seu grimório e colocar aquele card no topo. {T}: Adicione um mana de qualquer cor à sua reserva de mana.</t>
  </si>
  <si>
    <t>Elvish Hexhunter / Caça-Feitiços Élfico</t>
  </si>
  <si>
    <t>{G/W}, {T}, Sacrifice this creature: Destroy target enchantment. / {G/W}, {T}, Sacrifique Caça-Feitiços Élfico: Destrua o encantamento alvo.</t>
  </si>
  <si>
    <t>{G/W}</t>
  </si>
  <si>
    <t>Elvish Hydromancer / Hidromante Élfica</t>
  </si>
  <si>
    <t>Creature — Elf Wizard / Criatura — Elfo Mago</t>
  </si>
  <si>
    <t>Kicker {3}{U} (You may pay an additional {3}{U} as you cast this spell.) When this creature enters, if it was kicked, create a token that's a copy of target creature you control. / Reforçar {3}{U} (Você pode pagar um custo adicional de {3}{U} ao conjurar esta mágica.) Quando Hidromante Élfica entrar no campo de batalha, se ela foi reforçada, crie uma ficha que seja uma cópia da criatura alvo que você controla.</t>
  </si>
  <si>
    <t>Elvish Mystic / Místico Élfico</t>
  </si>
  <si>
    <t>Elvish Pioneer / Pioneiro Élfico</t>
  </si>
  <si>
    <t>Creature — Elf Druid / Criatura — Druida Elfo</t>
  </si>
  <si>
    <t>When this creature enters, you may put a basic land card from your hand onto the battlefield tapped. / Quando Pioneiro Élfico entra em jogo, você pode colocar em jogo, virado, um card de terreno básico de sua mão.</t>
  </si>
  <si>
    <t>Elvish Promenade / Passo Élfico</t>
  </si>
  <si>
    <t>Kindred Sorcery — Elf / Feitiço Tribal — Elfo</t>
  </si>
  <si>
    <t>Create a 1/1 green Elf Warrior creature token for each Elf you control. / Crie uma ficha de criatura Elfo Guerreiro verde 1/1para cada Elfo que você controla.</t>
  </si>
  <si>
    <t>Elvish Rejuvenator / Rejuvenescedor Élfico</t>
  </si>
  <si>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</si>
  <si>
    <t>Elvish Visionary / Visionário Élfico</t>
  </si>
  <si>
    <t>When this creature enters, draw a card. / Quando Visionário Élfico entrar no campo de batalha, compre um card.</t>
  </si>
  <si>
    <t>Ember Island Production</t>
  </si>
  <si>
    <t>Choose one — • Create a token that's a copy of target creature you control, except it's not legendary and it's a 4/4 Hero in addition to its other types. • Create a token that's a copy of target creature an opponent controls, except it's not legendary and it's a 2/2 Coward in addition to its other types.</t>
  </si>
  <si>
    <t>Embermage Goblin / Mago Ígneo Goblin</t>
  </si>
  <si>
    <t>Creature — Goblin Wizard / Criatura — Mago Goblin</t>
  </si>
  <si>
    <t>When this creature enters, you may search your library for a card named Embermage Goblin, reveal it, put it into your hand, then shuffle. {T}: This creature deals 1 damage to any target. / Quando Mago Ígneo Goblin entra em jogo, você pode procurar em seu grimório por um card cujo nome seja Mago Ígneo Goblin, revelá-lo e colocá-lo em sua mão. Se o fizer, embaralhe seu grimório. {T}: Mago Ígneo Goblin causa 1 ponto de dano à criatura alvo ou ao jogador alvo.</t>
  </si>
  <si>
    <t>Embersmith / Forjador de Brasa</t>
  </si>
  <si>
    <t>Whenever you cast an artifact spell, you may pay {1}. If you do, this creature deals 1 damage to any target. / Toda vez que conjura uma mágica de artefato, você pode pagar {1}. Se fizer isso, Forjador de Brasa causará 1 ponto de dano à criatura ou ao jogador alvo.</t>
  </si>
  <si>
    <t>Emboscador Mukotai / Mukotai Ambush</t>
  </si>
  <si>
    <t>Creature — Rat Ninja / Criatura Artefato — Rato Ninja</t>
  </si>
  <si>
    <t>Ninjutsu {1}{B}, Lifelink / Ninjutsu {1}{B}, Vínculo com a vida</t>
  </si>
  <si>
    <t>Embrace Oblivion / Abraçar o Esquecimento</t>
  </si>
  <si>
    <t>Como um custo adicional para conjurar esta mágica, sacrifique um artefato ou criatura. Destrua a criatura ou Nave Espacial alvo.</t>
  </si>
  <si>
    <t>Embrace the Paradox</t>
  </si>
  <si>
    <t>Draw three cards. You may put a land card from your hand onto the battlefield tapped.</t>
  </si>
  <si>
    <t>{3}{G}{U}</t>
  </si>
  <si>
    <t>Emmara Tandris</t>
  </si>
  <si>
    <t>Legendary Creature — Elf Shaman / Criatura Lendária — Elfo Xamã</t>
  </si>
  <si>
    <t>Prevent all damage that would be dealt to creature tokens you control. / Previna todo o dano que seria causado a fichas de criatura que você controla.</t>
  </si>
  <si>
    <t>{5}{G}{W}</t>
  </si>
  <si>
    <t>Empty the Warrens / Esvaziar os Viveiros</t>
  </si>
  <si>
    <t>Create two 1/1 red Goblin creature tokens. Storm (When you cast this spell, copy it for each spell cast before it this turn.) / Crie duas fichas de criatura vermelhas 1/1 do tipo Goblin. Rajada (Quando você conjurar esta mágica, faça uma cópia dela para cada mágica conjurada antes dela neste turno.)</t>
  </si>
  <si>
    <t>Empyrean Eagle / Águia Empírea</t>
  </si>
  <si>
    <t>Creature — Bird Spirit / Criatura — Ave Espírito</t>
  </si>
  <si>
    <t>Flying Other creatures you control with flying get +1/+1. / Voar As outras criaturas que você controla com voar recebem +1/+1.</t>
  </si>
  <si>
    <t>Encouraging Aviator / Aviador Encorajador</t>
  </si>
  <si>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</si>
  <si>
    <t>Encroaching Dragonstorm</t>
  </si>
  <si>
    <t>When this enchantment enters, search your library for up to two basic land cards, put them onto the battlefield tapped, then shuffle. When a Dragon you control enters, return this enchantment to its owner's hand.</t>
  </si>
  <si>
    <t>Encumbered Reejerey</t>
  </si>
  <si>
    <t>This creature enters with three -1/-1 counters on it. Whenever this creature becomes tapped while it has a -1/-1 counter on it, remove a -1/-1 counter from it.</t>
  </si>
  <si>
    <t>End of the Hunt / Fim da Caçada</t>
  </si>
  <si>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</si>
  <si>
    <t>Energybending</t>
  </si>
  <si>
    <t>Lands you control gain all basic land types until end of turn. Draw a card.</t>
  </si>
  <si>
    <t>Enhanced Surveillance / Vigilância Reforçada</t>
  </si>
  <si>
    <t>You may look at an additional two cards each time you surveil. Exile this enchantment: Shuffle your graveyard into your library. / Você pode olhar dois cards adicionais a cada vez que usar vigiar. Exile Vigilância Reforçada: Embaralhe seu cemitério em seu grimório.</t>
  </si>
  <si>
    <t>Enigma do Relâmpago</t>
  </si>
  <si>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</si>
  <si>
    <t>3RR</t>
  </si>
  <si>
    <t>Enigma Drake / Dragonete dos Enigmas</t>
  </si>
  <si>
    <t>Flying Enigma Drake's power is equal to the number of instant and sorcery cards in your graveyard. / Voar O poder de Dragonete dos Enigmas é igual ao número de cards de mágica instantânea e feitiço em seu cemitério.</t>
  </si>
  <si>
    <t>Enlightened Ascetic / Asceta Iluminada</t>
  </si>
  <si>
    <t>Creature — Cat Monk / Criatura — Felino Monge</t>
  </si>
  <si>
    <t>When this creature enters, you may destroy target enchantment. / Quando Asceta Iluminada entra no campo de batalha, você pode destruir o encantamento alvo.</t>
  </si>
  <si>
    <t>Enshrouding Mist / Névoa Envolvente</t>
  </si>
  <si>
    <t>Target creature gets +1/+1 until end of turn. Prevent all damage that would be dealt to it this turn. If it's renowned, untap it. / A criatura alvo recebe +1/+1 até o final do turno. Previna todo o dano que seria causado a ela neste turno. Se ela for renomada, desvire-a.</t>
  </si>
  <si>
    <t>Enslaved Scout / Batedor Escravizado</t>
  </si>
  <si>
    <t>Creature — Goblin Scout</t>
  </si>
  <si>
    <t>{2}: This creature gains mountainwalk until end of turn. (It can't be blocked as long as defending player controls a Mountain.)</t>
  </si>
  <si>
    <t>Ensopar os Coelhos / Stew the Cones</t>
  </si>
  <si>
    <t>A criatura alvo que você controla causa dano igual ao seu poder à criatura alvo que você não controla. Crie uma ficha de Comida.</t>
  </si>
  <si>
    <t>Ensoul Artifact / Vivificar Artefato</t>
  </si>
  <si>
    <t>Enchant artifact Enchanted artifact is a creature with base power and toughness 5/5 in addition to its other types. / Encantar artefato O artefato encantado é uma criatura com 5/5 de poder e resistência básicos além de seus outros tipos.</t>
  </si>
  <si>
    <t>Enter the Avatar State</t>
  </si>
  <si>
    <t>Until end of turn, target creature you control becomes an Avatar in addition to its other types and gains flying, first strike, lifelink, and hexproof. (A creature with hexproof can't be the target of spells or abilities your opponents control.)</t>
  </si>
  <si>
    <t>Enter the Enigma</t>
  </si>
  <si>
    <t>Target creature can't be blocked this turn. Draw a card.</t>
  </si>
  <si>
    <t>Entomber Exarch / Exarca Tumbeiro</t>
  </si>
  <si>
    <t>Creature — Phyrexian Cleric / Criatura — Clérigo</t>
  </si>
  <si>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</si>
  <si>
    <t>Entregar ao Pó</t>
  </si>
  <si>
    <t>Esforço — Entregar ao Pó custa 2G a mais para ser conjurado para cada alvo além do primeiro. Destrua qualquer número de artefatos e/ou encantamentos alvo.</t>
  </si>
  <si>
    <t>Entropic Battlecruiser / Cruzador de Batalha Entrópico</t>
  </si>
  <si>
    <t>Artefato — Nave Espacial</t>
  </si>
  <si>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</si>
  <si>
    <t>Environmental Scientist / Cientista Ambiental</t>
  </si>
  <si>
    <t>When this creature enters, you may search your library for a basic land card, reveal it, put it into your hand, then shuffle. / Quando esta criatura entra, você pode procurar em seu grimório por um card de terreno básico, revelá-lo, colocá-lo em sua mão e, depois, embaralhar.</t>
  </si>
  <si>
    <t>Éomer da Marca dos Cavaleiros / Éomer of the Riddermark</t>
  </si>
  <si>
    <t>Ímpeto. Toda vez que Éomer da Marca dos Cavaleiros atacar, se você controlar uma criatura com o maior poder entre as criaturas no campo de batalha, crie uma ficha de criatura Humano Soldado branca 1/1.</t>
  </si>
  <si>
    <t>4{R}</t>
  </si>
  <si>
    <t>Éowyn, Lady of Rohan / Éowyn, Senhora de Rohan</t>
  </si>
  <si>
    <t>Legendary Creature — Human Noble / Criatura Lendária — Humano Nobre</t>
  </si>
  <si>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</si>
  <si>
    <t>EPF Point Squad</t>
  </si>
  <si>
    <t>Alliance — Whenever another creature you control enters, put a +1/+1 counter on this creature.</t>
  </si>
  <si>
    <t>{1}{R/W}{R/W}</t>
  </si>
  <si>
    <t>Epiphany Storm / Tempestade de Epifanias</t>
  </si>
  <si>
    <t>Enchant creature Enchanted creature has "{R}, {T}, Discard a card: Draw a card." / Encantar criatura A criatura encantada tem "{R}, {T}, Descarte um card: Compre um card."</t>
  </si>
  <si>
    <t>Epitaph Golem / Golem do Epitáfio</t>
  </si>
  <si>
    <t>{2}: Put target card from your graveyard on the bottom of your library. / {2}: Coloque o card alvo de seu cemitério no fundo de seu grimório.</t>
  </si>
  <si>
    <t>Era of Enlightenment // Hand of Enlightenment / Era da Iluminação // Mão da Iluminação</t>
  </si>
  <si>
    <t>Enchantment — Saga // Enchantment Creature — Human Monk / Encantamento — Saga</t>
  </si>
  <si>
    <t>Era of Enlightenment: (As this Saga enters and after your draw step, add a lore counter.) I — Scry 2. II — You gain 2 life. III — Exile this Saga, then return it to the battlefield transformed under your control. // Hand of Enlightenment: First strike / (Conforme esta Saga entra e após sua etapa de compra, adicione um marcador de conhecimento.) I — Use vidência 2. II — Você ganha 2 pontos de vida. III — Exile esta Saga, depois a devolva ao campo de batalha transformada sob seu controle.</t>
  </si>
  <si>
    <t>Era of Innovation / Era da Inovação</t>
  </si>
  <si>
    <t>Whenever an artifact or Artificer you control enters, you may pay {1}. If you do, you get {E}{E} (two energy counters). Pay six {E}, Sacrifice this enchantment: Draw three cards. / Toda vez que um artefato ou Artesão entra no campo de batalha sob seu controle, você pode pagar {1}. Se fizer isso, você recebe {E}{E} (dois marcadores de energia). Pague {E}{E}{E}{E}{E}{E}, sacrifique Era da Inovação: Compre três cards.</t>
  </si>
  <si>
    <t>Erdwal Illuminator / Iluminador de Erdwal</t>
  </si>
  <si>
    <t>Flying Whenever you investigate for the first time each turn, investigate an additional time. / Voar Toda vez que você investigar pela primeira vez em cada turno, investigue uma vez adicional.</t>
  </si>
  <si>
    <t>Erg Raiders / Salteadores do Deserto</t>
  </si>
  <si>
    <t>At the beginning of your end step, if this creature didn't attack this turn, it deals 2 damage to you unless it came under your control this turn.</t>
  </si>
  <si>
    <t>Errand-Rider of Gondor / Estafeta de Gondor</t>
  </si>
  <si>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</si>
  <si>
    <t>Errant Doomsayers / Áugure do Infortúnio Errante</t>
  </si>
  <si>
    <t>Creature — Human Rebel / Criatura — Humano Rebelde</t>
  </si>
  <si>
    <t>{T}: Tap target creature with toughness 2 or less. / {T}: Vire a criatura alvo com resistência igual ou inferior a 2.</t>
  </si>
  <si>
    <t>Errantry / Peregrinação</t>
  </si>
  <si>
    <t>Enchant creature Enchanted creature gets +3/+0 and can only attack alone.</t>
  </si>
  <si>
    <t>Erratic Apparition</t>
  </si>
  <si>
    <t>Creature — Spirit</t>
  </si>
  <si>
    <t>Flying, vigilance Eerie — Whenever an enchantment you control enters and whenever you fully unlock a Room, this creature gets +1/+1 until end of turn.</t>
  </si>
  <si>
    <t>Ertai's Scorn / Escárnio de Ertai</t>
  </si>
  <si>
    <t>This spell costs {U} less to cast if an opponent cast two or more spells this turn. Counter target spell. / Esta mágica custa {U} a menos para ser conjurada se um oponente conjurou duas ou mais mágicas neste turno. Anule a mágica alvo.</t>
  </si>
  <si>
    <t>Escape Artist / Artista de Fuga</t>
  </si>
  <si>
    <t>Creature — Human Wizard / Criatura — Mago</t>
  </si>
  <si>
    <t>This creature can't be blocked. {U}, Discard a card: Return this creature to its owner's hand. / Artista de Fuga não pode ser bloqueado. {U}, Descarte um card de sua mão: Devolve Artista de Fuga para a mão de seu dono.</t>
  </si>
  <si>
    <t>Escape from Orthanc / Fuga de Orthanc</t>
  </si>
  <si>
    <t>Escape Tunnel / Túnel de Fuga</t>
  </si>
  <si>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</si>
  <si>
    <t>Escudo Urrador / Screaming Shield</t>
  </si>
  <si>
    <t>A criatura equipada recebe +0/+3 e tem "{2}, {T}: O jogador alvo coloca os três cards do topo do próprio grimório no próprio cemitério." Equipar {3} ({3}: Anexe-o à criatura alvo que você controla. Equipe somente como um feitiço.)</t>
  </si>
  <si>
    <t>Esfera Mnemônica / Mnemonics Sphere</t>
  </si>
  <si>
    <t>{1}{U}, sacrifique Esfera Mnemônica: Compre dois cards. Canalizar — {U}, descarte Esfera Mnemônica: Compre um card. / {1}{U}, Sacrifice Mnemonics Sphere: Draw two cards. Channel — {U}, Discard Mnemonics Sphere: Draw a card.</t>
  </si>
  <si>
    <t>Esguicho de Magma</t>
  </si>
  <si>
    <t>Esguicho de Magma causa 2 pontos de dano à criatura alvo. Se aquela criatura for morrer neste turno, em vez disso, exile-a.</t>
  </si>
  <si>
    <t>Esguicho de Magma / Magma Spray</t>
  </si>
  <si>
    <t>Esguicho de Magma causa 2 pontos de dano à criatura alvo. Se aquela criatura for morrer neste turno, em vez disso, exile-a. / Magma Spray deals 2 damage to target creature. If that creature would die this turn, exile it instead.</t>
  </si>
  <si>
    <t>Espantalho da Sucata Alada / Wingrattle Scarecrow</t>
  </si>
  <si>
    <t>Criatura Artefato — Espantalho</t>
  </si>
  <si>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</si>
  <si>
    <t>Espantalho do Condado / Shire Scarecrow</t>
  </si>
  <si>
    <t>Defensor. {1}: Adicione um mana de qualquer cor. Ative apenas uma vez a cada turno.</t>
  </si>
  <si>
    <t>Espantalho Sinalizador / Heraldic Banner</t>
  </si>
  <si>
    <t>Vigilância, {2}: Adicione um mana de qualquer cor.</t>
  </si>
  <si>
    <t>Esper Cormorants / Cormorões de Esper</t>
  </si>
  <si>
    <t>Conflux (CON)</t>
  </si>
  <si>
    <t>Esperzoa</t>
  </si>
  <si>
    <t>Artifact Creature — Jellyfish / Criatura Artefato — Água-viva</t>
  </si>
  <si>
    <t>Flying At the beginning of your upkeep, return an artifact you control to its owner's hand. / Voar No início de sua manutenção, devolva um artefato que você controla para a mão de seu dono.</t>
  </si>
  <si>
    <t>Espírito Pestilento / Pestilent Spirit</t>
  </si>
  <si>
    <t>Criatura — Espírito / Creature — Spirit</t>
  </si>
  <si>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</si>
  <si>
    <t>Esqueleto do Casarão / Manor Skeleton</t>
  </si>
  <si>
    <t>Criatura — Esqueleto / Creature — Skeleton</t>
  </si>
  <si>
    <t>Ímpeto {1}{B}: Regenere Esqueleto do Casarão. / Haste {1}{B}: Regenerate Manor Skeleton.</t>
  </si>
  <si>
    <t>Essence Capture / Captura de Essência</t>
  </si>
  <si>
    <t>Counter target creature spell. Put a +1/+1 counter on up to one target creature you control. / Anule a mágica de criatura alvo. Coloque um marcador +1/+1 em até uma criatura alvo que você controla.</t>
  </si>
  <si>
    <t>Essence Vortex</t>
  </si>
  <si>
    <t>Bury target creature. That creature's controller may counter this spell by paying the creature's toughness in life. Effects that prevent or redirect damage cannot be used to counter this loss of life.</t>
  </si>
  <si>
    <t>Essenceknit Scholar / Estudioso do Tecessência</t>
  </si>
  <si>
    <t>Criatura — Dríade Bruxo</t>
  </si>
  <si>
    <t>Quando esta criatura entrar, crie uma ficha de criatura Praga preta e verde 1/1 com "Sempre que esta ficha atacar, você ganha 1 ponto de vida." No início de sua etapa final, se uma criatura tiver morrido sob o seu controle neste turno, compre um card.</t>
  </si>
  <si>
    <t>{B}{B/G}{G}</t>
  </si>
  <si>
    <t>Estandarte Sultai / Sultai Banner</t>
  </si>
  <si>
    <t>{T}: Add {B}, {G}, or {U}. {B}{G}{U}, {T}, Sacrifice Sultai Banner: Draw a card. / {T}: Adicione {B}, {G} ou {U} à sua reserva de mana. {B}{G}{U}, {T}, Sacrifique Estandarte Sultai: Compre um card.</t>
  </si>
  <si>
    <t>Estante Suspeita / Suspicious Bookcase</t>
  </si>
  <si>
    <t>Artifact Creature — Wall / Criatura Artefato — Barreira</t>
  </si>
  <si>
    <t>Defender. {3}, {T}: Target creature can't be blocked this turn. / Defensor. {3}, {T}: A criatura alvo não pode ser bloqueada neste turno.</t>
  </si>
  <si>
    <t>Estrela-do-mar Rúnica</t>
  </si>
  <si>
    <t>Criatura — Estrela-do-mar</t>
  </si>
  <si>
    <t>{T}: Vidência 1. (Olhe o card do topo de seu grimório. Você pode colocar aquele card no fundo de seu grimório.)</t>
  </si>
  <si>
    <t>Estupefazer / Bedazzle // Embelezar / Biggify</t>
  </si>
  <si>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</si>
  <si>
    <t>{4}{B}{R} // {R/G}{R/G}</t>
  </si>
  <si>
    <t>Preto e Vermelho</t>
  </si>
  <si>
    <t>Etched Champion / Campeão Entalhado</t>
  </si>
  <si>
    <t>Metalcraft — This creature has protection from each color as long as you control three or more artifacts. / Maestria com Metais — Campeão Entalhado terá proteção contra todas as cores enquanto você controlar três ou mais artefatos.</t>
  </si>
  <si>
    <t>Eternal of Harsh Truths / Eterno das Duras Verdades</t>
  </si>
  <si>
    <t>Creature — Zombie Cleric / Criatura — Zumbi Clérigo</t>
  </si>
  <si>
    <t>Afflict 2 (Whenever this creature becomes blocked, defending player loses 2 life.) Whenever this creature attacks and isn't blocked, draw a card. / Afligir 2 (Toda vez que esta criatura se torna bloqueada, o jogador defensor perde 2 pontos de vida.) Toda vez que Eterno das Duras Verdades atacar e não for bloqueado, compre um card.</t>
  </si>
  <si>
    <t>Eternal Warrior / Guerreiro Perpétuo</t>
  </si>
  <si>
    <t>Enchant creature Enchanted creature has vigilance.</t>
  </si>
  <si>
    <t>Eternal Witness / Testemunha Eterna</t>
  </si>
  <si>
    <t>When Eternal Witness enters the battlefield, you may return target card from your graveyard to your hand. / Quando Testemunha Eterna entrar no campo de batalha, você pode devolver o card alvo de seu cemitério para a sua mão.</t>
  </si>
  <si>
    <t>{1}{G}{G}</t>
  </si>
  <si>
    <t>30th Anniversary Promos (PRM)</t>
  </si>
  <si>
    <t>Eternity Snare / Armadilha da Eternidade</t>
  </si>
  <si>
    <t>Enchant creature When this Aura enters, draw a card. Enchanted creature doesn't untap during its controller's untap step. / Encantar criatura Quando Armadilha da Eternidade entrar no campo de batalha, compre um card. A criatura encantada não é desvirada durante a etapa de desvirar de seu controlador.</t>
  </si>
  <si>
    <t>Ether / Éter</t>
  </si>
  <si>
    <t>{T}, Exile este artefato: Adicione {U}. Quando você conjurar sua próxima mágica instantânea ou de feitiço neste turno, copie aquela mágica. Você pode escolher novos alvos para a cópia.</t>
  </si>
  <si>
    <t>Etherium Spinner / Propulsor de Etherium</t>
  </si>
  <si>
    <t>Whenever you cast a spell with mana value 4 or greater, create a 1/1 colorless Thopter artifact creature token with flying. / Toda vez que você conjurar uma mágica com valor de mana igual ou superior a 4, crie uma ficha de criatura artefato Tóptero incolor 1/1 com voar.</t>
  </si>
  <si>
    <t>Eusocial Engineering / Engenharia Eussocial</t>
  </si>
  <si>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</si>
  <si>
    <t>Everything Pizza</t>
  </si>
  <si>
    <t>When this artifact enters, search your library for a basic land card, reveal it, put it into your hand, then shuffle. {2}{W}{U}{B}{R}{G}, {T}, Sacrifice this artifact: Target player gains 3 life and draws a card. Each of your opponents discards a card. This artifact deals 3 damage to any target. Put three +1/+1 counters on up to one target creature.</t>
  </si>
  <si>
    <t>Preto, Verde, Vermelho, Azul, Branco</t>
  </si>
  <si>
    <t>Evil Presence / Presença Maligna</t>
  </si>
  <si>
    <t>Enchant land Enchanted land is a Swamp. / Encantar terreno O terreno encantado é um Pântano.</t>
  </si>
  <si>
    <t>Nova Phyrexia</t>
  </si>
  <si>
    <t>Evil Reawakened / Mal Desperto</t>
  </si>
  <si>
    <t>Devolva o card de criatura alvo de seu cemitério para o campo de batalha com dois marcadores +1/+1 adicionais sobre ele.</t>
  </si>
  <si>
    <t>4{B}</t>
  </si>
  <si>
    <t>Evolving Wilds / Terras em Desenvolvimento</t>
  </si>
  <si>
    <t>{T}, Sacrifice Evolving Wilds: Search your library for a basic land card, put it onto the battlefield tapped, then shuffle. / {T}, sacrifique Terras em Desenvolvimento: Procure um card de terreno básico em seu grimório, coloque-o no campo de batalha virado e depois embaralhe.</t>
  </si>
  <si>
    <t>{T}, Sacrifice this land: Search your library for a basic land card, put it onto the battlefield tapped, then shuffle. / {T}, Sacrifique Terras em Desenvolvimento: Procure um card de terreno básico em seu grimório e coloque-o no campo de batalha virado. Depois, embaralhe seu grimório.</t>
  </si>
  <si>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</si>
  <si>
    <t>Duel Decks: Zendikar vs. Eldrazi (DDP)</t>
  </si>
  <si>
    <t>Final Fantasy Commander (FIC)</t>
  </si>
  <si>
    <t>{T}, Sacrifice Evolving Wilds: Search your library for a basic land card, put it onto the battlefield tapped,</t>
  </si>
  <si>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</si>
  <si>
    <t>Evolving Wilds / Terras em Evolução</t>
  </si>
  <si>
    <t>T, Sacrifique Evolving Wilds: Procure em seu grimório por um card de terreno básico e coloque-o no campo de batalha virado. Depois, embaralhe seu grimório.</t>
  </si>
  <si>
    <t>Nenhum</t>
  </si>
  <si>
    <t xml:space="preserve">Ikoria: Terra de Colossos </t>
  </si>
  <si>
    <t>Exclude / Excluir</t>
  </si>
  <si>
    <t>Counter target creature spell. Draw a card. / Anule a mágica de criatura alvo. Compre um card.</t>
  </si>
  <si>
    <t>Excommunicate / Excomungar</t>
  </si>
  <si>
    <t>Put target creature on top of its owner's library. / Coloque a criatura alvo no topo do grimório de seu dono.</t>
  </si>
  <si>
    <t>Exdeath, Void Warlock / Exdeath, Bruxo do Vazio</t>
  </si>
  <si>
    <t>Criatura Lendária — Espírito Bruxo</t>
  </si>
  <si>
    <t>Quando Exdeath entrar, você ganha 3 de vida. No início de sua etapa final, se houver seis ou mais cards de permanente em seu cemitério, transforme Exdeath.</t>
  </si>
  <si>
    <t>1{B}{G}</t>
  </si>
  <si>
    <t>Preto/Verde</t>
  </si>
  <si>
    <t>Exotic Curse / Maldição Exótica</t>
  </si>
  <si>
    <t>Enchant creature Domain — Enchanted creature gets -1/-1 for each basic land type among lands you control.</t>
  </si>
  <si>
    <t>Expedition Raptor / Raptor da Expedição</t>
  </si>
  <si>
    <t>Flying When this creature enters, support 2. (Put a +1/+1 counter on each of up to two other target creatures.) / Voar Quando Raptor da Expedição entrar no campo de batalha, suporte 2. (Coloque um marcador +1/+1 em cada uma de até duas outras criaturas alvo.)</t>
  </si>
  <si>
    <t>Experimental Frenzy / Frenesi Experimental</t>
  </si>
  <si>
    <t>Você pode olhar o card do topo de seu grimório a qualquer momento. Você pode jogar o card do topo de seu grimório. Você não pode jogar cards da sua mão. {3}{R}: Destrua Frenesi Experimental.</t>
  </si>
  <si>
    <t>Guilds of Ravnica</t>
  </si>
  <si>
    <t>Experimental Synthesizer / Sintetizador Experimental</t>
  </si>
  <si>
    <t>When this artifact enters or leaves the battlefield, exile the top card of your library. Until end of turn, you may play that card. {2}{R}, Sacrifice this artifact: Create a 2/2 white Samurai creature token with vigilance. Activate only as a sorcery. / Quando Sintetizador Experimental entrar no ou deixar o campo de batalha, exile o card do topo de seu grimório. Até o final do turno, você poderá jogar aquele card. {2}{R}, sacrifique Sintetizador Experimental: Crie uma ficha de criatura Samurai branca 2/2 com vigilância. Ative somente como um feitiço.</t>
  </si>
  <si>
    <t>Explorer's Scope / Escopo do Explorador</t>
  </si>
  <si>
    <t>Whenever equipped creature attacks, look at the top card of your library. If it's a land card, you may put it onto the battlefield tapped. Equip {1} ({1}: Attach to target creature you control. Equip only as a sorcery.) / Toda vez que a criatura equipada atacar, olhe o card do topo de seu grimório. Se for um card de terreno, você poderá colocá-lo no campo de batalha virado. Equipar {1} ({1}: Anexe este equipamento à criatura alvo que você controla. Equipe somente como um feitiço.)</t>
  </si>
  <si>
    <t>Explosive Entry / Entrada Explosiva</t>
  </si>
  <si>
    <t>Destroy up to one target artifact. Put a +1/+1 counter on up to one target creature. / Destrua até um artefato alvo. Coloque um marcador +1/+1 em até uma criatura alvo.</t>
  </si>
  <si>
    <t>Expressive Firedancer / Dançarino de Fogo Expressivo</t>
  </si>
  <si>
    <t>Creature — Human Sorcerer / Criatura — Humano Feiticeiro</t>
  </si>
  <si>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</si>
  <si>
    <t>Exsanguinate</t>
  </si>
  <si>
    <t>Each opponent loses X life. You gain life equal to the life lost this way.</t>
  </si>
  <si>
    <t>{X}{B}{B}</t>
  </si>
  <si>
    <t>Extract a Confession / Extrair uma Confissão</t>
  </si>
  <si>
    <t>As an additional cost to cast this spell, you may collect evidence 6. (Exile cards with total mana value 6 or greater from your graveyard.) Each opponent sacrifices a creature of their choice. If evidence was collected, instead each opponent sacrifices a creature with the greatest power among creatures they control. / Como custo adicional para conjurar esta mágica, você pode obter indícios 6. (Exile de seu cemitério cards com valor de mana total igual ou superior a 6.) Cada oponente sacrifica uma criatura. Se você obteve indícios, em vez disso, cada oponente sacrifica uma criatura com o maior poder entre as que ele controla.</t>
  </si>
  <si>
    <t>Extraction Specialist / Especialista em Resgates</t>
  </si>
  <si>
    <t>Lifelink When this creature enters, return target creature card with mana value 2 or less from your graveyard to the battlefield. That creature can't attack or block for as long as you control this creature. / Vínculo com a vida Quando Especialista em Resgates entrar no campo de batalha, devolva de seu cemitério para o campo de batalha o card de criatura alvo com valor de mana igual ou inferior a 2. Aquela criatura não poderá atacar nem bloquear enquanto você controlar Especialista em Resgates.</t>
  </si>
  <si>
    <t>Exultant Skymarcher / Marchadora Celeste Exultante</t>
  </si>
  <si>
    <t>Eyeblight Assassin / Assassino de Seca-olho</t>
  </si>
  <si>
    <t>Creature — Elf Assassin / Criatura — Elfo Assassino</t>
  </si>
  <si>
    <t>When this creature enters, target creature an opponent controls gets -1/-1 until end of turn. / Quando Assassino de Seca-olho entra no campo de batalha, a criatura alvo que um oponente controla recebe -1/-1 até o final do turno.</t>
  </si>
  <si>
    <t>Fabrication Module / Módulo de Fabricação</t>
  </si>
  <si>
    <t>Whenever you get one or more {E} (energy counters), put a +1/+1 counter on target creature you control. {4}, {T}: You get {E}. / Toda vez que você receber um ou mais {E} (marcadores de energia), coloque um marcador +1/+1 na criatura alvo que você controla. {4}, {T}: Você recebe {E}.</t>
  </si>
  <si>
    <t>Facevaulter / Saltacara</t>
  </si>
  <si>
    <t>{B}, Sacrifice a Goblin: This creature gets +2/+2 until end of turn. / {B}, Sacrifique um Goblin: Saltacara recebe +2/+2 até o final do turno.</t>
  </si>
  <si>
    <t>Fada Macabra / Faerie Macabre</t>
  </si>
  <si>
    <t>Criatura — Fada Ladino / Creature — Faerie Rogue</t>
  </si>
  <si>
    <t>Voar. Descarte Fada Macabra: Remova do jogo até dois cards alvo em cemitérios. / Flying. Discard Faerie Macabre: Exile up to two target cards from graveyards.</t>
  </si>
  <si>
    <t>Fade into Antiquity / Desaparecer na Antiguidade</t>
  </si>
  <si>
    <t>Exile target artifact or enchantment. / Exile o artefato ou encantamento alvo.</t>
  </si>
  <si>
    <t>Fading Hope / Esperança Evanescente</t>
  </si>
  <si>
    <t>Return target creature to its owner's hand. If its mana value was 3 or less, scry 1. (Look at the top card of your library. You may put that card on the bottom.) / Devolva a criatura alvo para a mão de seu dono. Se o valor de mana dela for igual ou inferior a 3, use vidência 1. (Olhe o card do topo de seu grimório. Você pode colocar aquele card no fundo de seu grimório.)</t>
  </si>
  <si>
    <t>Faerie Impostor / Impostor Fada</t>
  </si>
  <si>
    <t>Criatura — Fada Ladino</t>
  </si>
  <si>
    <t>Voar. Quando Impostor Fada entra no campo de batalha, sacrifique-o, a menos que você devolva outra criatura que controla para a mão de seu dono.</t>
  </si>
  <si>
    <t>U</t>
  </si>
  <si>
    <t>Faerie Invaders / Invasores Fadas</t>
  </si>
  <si>
    <t>Lampejo (Você poderá conjurar esta mágica a qualquer momento em que puder conjurar uma mágica instantânea.) Voar.</t>
  </si>
  <si>
    <t>Failed Inspection / Inspeção Fracassada</t>
  </si>
  <si>
    <t>Counter target spell. Draw a card, then discard a card. / Anule a mágica alvo. Compre um card e depois descarte um card.</t>
  </si>
  <si>
    <t>Faith Unbroken / Fé Intacta</t>
  </si>
  <si>
    <t>Enchant creature you control When this Aura enters, exile target creature an opponent controls until this Aura leaves the battlefield. Enchanted creature gets +2/+2. / Encantar criatura que você controla Quando Fé Intacta entrar no campo de batalha, exile a criatura alvo que um oponente controla até que Fé Intacta deixe o campo de batalha. A criatura encantada recebe +2/+2.</t>
  </si>
  <si>
    <t>Faith's Shield / Escudo da Fé</t>
  </si>
  <si>
    <t>Target permanent you control gains protection from the color of your choice until end of turn. Fateful hour — If you have 5 or less life, instead you and each permanent you control gain protection from the color of your choice until end of turn. / A permanente alvo que você controla ganha proteção contra a cor de sua escolha até o final do turno. Hora fatal — Se tiver 5 ou menos pontos de vida, em vez disso, você e cada permanente que você controla ganham proteção contra a cor de sua escolha até o final do turno.</t>
  </si>
  <si>
    <t>Faithless Looting / Pilhagem Infiel</t>
  </si>
  <si>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</si>
  <si>
    <t>Fake Your Own Death / Fingir a Própria Morte</t>
  </si>
  <si>
    <t>Until end of turn, target creature gets +2/+0 and gains "When this creature dies, return it to the battlefield tapped under its owner's control and you create a Treasure token." (It's an artifact with "{T}, Sacrifice this token: Add one mana of any color.") / Até o final do turno, a criatura alvo recebe +2/+0 e ganha "Quando esta criatura morrer, devolva-a ao campo de batalha virada sob o controle de seu dono e você cria uma ficha de Tesouro". (Ela é um artefato com "{T}, sacrifique este artefato: Adicione um mana de qualquer cor".)</t>
  </si>
  <si>
    <t>Falcon, Winged Wonder / Falcão, Prodígio Alado</t>
  </si>
  <si>
    <t>Criatura Lendária — Humano Herói</t>
  </si>
  <si>
    <t>Voar. Telepatia Aviária — Quando Falcão entrar, crie Asa Vermelha, uma ficha de criatura lendária Ave Batedor azul 1/1 com voar e "Sempre que Asa Vermelha atacar, vigie 1." (Olhe o card do topo de seu grimório. Você pode colocá-lo em seu cemitério.)</t>
  </si>
  <si>
    <t>4{U}</t>
  </si>
  <si>
    <t>Falkenrath Celebrants / Celebradores Falkenrath</t>
  </si>
  <si>
    <t>Menace (This creature can't be blocked except by two or more creatures.) When this creature enters, create two Blood tokens. (They're artifacts with "{1}, {T}, Discard a card, Sacrifice this token: Draw a card.") / Ameaçar Quando Celebradores Falkenrath entrar no campo de batalha, crie duas fichas de Sangue.</t>
  </si>
  <si>
    <t>Falkenrath Torturer / Torturador Falkenrath</t>
  </si>
  <si>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</si>
  <si>
    <t>Fall to Earth</t>
  </si>
  <si>
    <t>Exile target creature. Each player gains 3 life. Basic landcycling {2} ({2}, Discard this card: Search your library for a basic land card, reveal it, put it into your hand, then shuffle.)</t>
  </si>
  <si>
    <t>False Dawn / Amanhecer Falso</t>
  </si>
  <si>
    <t>Colored mana symbols on all permanents you control and on all cards you own that aren't in play become {W} until end of turn. Draw a card.</t>
  </si>
  <si>
    <t>Familiar de Filigrana / Filigree Familiar</t>
  </si>
  <si>
    <t>Criatura Artefato — Raposa</t>
  </si>
  <si>
    <t>Quando Familiar de Filigrana entra no campo de batalha, você ganha 2 pontos de vida. Quando Familiar de Filigrana morrer, compre um card.</t>
  </si>
  <si>
    <t>Familiar de Nightscape / Nightscape Familiar</t>
  </si>
  <si>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</si>
  <si>
    <t>Blue spells and red spells you cast cost {1} less to cast. {1}{B}: Regenerate Nightscape Familiar.</t>
  </si>
  <si>
    <t>Duel Decks: Ajani vs. Nicol Bolas</t>
  </si>
  <si>
    <t>Familiar Protetor de Pulso / Patchwork Rats</t>
  </si>
  <si>
    <t>Criatura Artefato — Equipamento Besta / Artifact Creature — Equipment Beast</t>
  </si>
  <si>
    <t>Salvaguarda {2}. A criatura equipada recebe +2/+1 e tem salvaguarda {2}. Reconfigurar {4}. / Ward {2}. Equipped creature gets +2/+1 and has ward {2}. Reconfigure {4}.</t>
  </si>
  <si>
    <t>Fanatic of Xenagos / Fanático de Xenagos</t>
  </si>
  <si>
    <t>Trample Tribute 1 (As this creature enters, an opponent of your choice may put a +1/+1 counter on it.) When this creature enters, if tribute wasn't paid, it gets +1/+1 and gains haste until end of turn. / Atropelar Tributo 1 (Conforme esta criatura entra no campo de batalha, um oponente à sua escolha pode fazer com que ela receba um marcador +1/+1.) Quando Fanático de Xenagos entra no campo de batalha, se o tributo não tiver sido pago, ele recebe +1/+1 e ganha ímpeto até o final do turno.</t>
  </si>
  <si>
    <t>{1}{R}{G}</t>
  </si>
  <si>
    <t>Fanatical Firebrand / Instigador Fanático</t>
  </si>
  <si>
    <t>Creature — Goblin Pirate / Criatura — Goblin Pirata</t>
  </si>
  <si>
    <t>Haste (This creature can attack and {T} as soon as it comes under your control.) {T}, Sacrifice this creature: It deals 1 damage to any target. / Ímpeto {T}, sacrifique Instigador Fanático: Ele causa 1 ponto de dano à criatura ou ao jogador alvo.</t>
  </si>
  <si>
    <t>Fancy Footwork</t>
  </si>
  <si>
    <t>Untap one or two target creatures. They each get +2/+2 until end of turn.</t>
  </si>
  <si>
    <t>Fang Guardian</t>
  </si>
  <si>
    <t>Creature — Ape Druid</t>
  </si>
  <si>
    <t>Flash When this creature enters, another target creature or Vehicle you control gets +2/+2 until end of turn.</t>
  </si>
  <si>
    <t>Fang, Fearless l'Cie / Fang, l'Cie Destemida</t>
  </si>
  <si>
    <t>Criatura Lendária — Humano Guerreiro</t>
  </si>
  <si>
    <t>Sempre que um ou mais cards deixarem o seu cemitério, você compra um card e perde 1 de vida. Esta habilidade é ativada apenas uma vez a cada turno. (Funde-se com Vanille, Cheerful l'Cie.)</t>
  </si>
  <si>
    <t>Fanged Flames / Chamas Dentadas</t>
  </si>
  <si>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</si>
  <si>
    <t>Fangs of Kalonia / Presas de Kalonia</t>
  </si>
  <si>
    <t>Put a +1/+1 counter on target creature you control, then double the number of +1/+1 counters on each creature that had a +1/+1 counter put on it this way. Overload {4}{G}{G} (You may cast this spell for its overload cost. If you do, change "target" in its text to "each.") / Coloque um marcador +1/+1 na criatura alvo que você controla, depois dobre o número de marcadores +1/+1 em cada criatura que tenha recebido um marcador +1/+1 dessa forma. Sobrecarga {4}{G}{G} (Você pode conjurar esta mágica pagando seu custo de sobrecarga. Se fizer isso, substitua "na criatura alvo" em seu texto por "em cada criatura".) ".)</t>
  </si>
  <si>
    <t>Faramir, Field Commander / Faramir, Comandante de Campo</t>
  </si>
  <si>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</si>
  <si>
    <t>Farhaven Elf / Elfo Porto-longínquo</t>
  </si>
  <si>
    <t>When this creature enters, you may search your library for a basic land card, put it onto the battlefield tapped, then shuffle. / Quando Elfo Porto-longínquo entra no campo de batalha, você pode procurar um card de terreno básico em seu grimório, colocá-lo no campo de batalha virado e depois embaralhar seu grimório.</t>
  </si>
  <si>
    <t>Wizards Play Network 2026 (PW26)</t>
  </si>
  <si>
    <t>Farm // Market / Plantar // Vender</t>
  </si>
  <si>
    <t>Farm: Destroy target attacking or blocking creature. // Market: Aftermath (Cast this spell only from your graveyard. Then exile it.) Draw two cards, then discard two cards. / Destrua a criatura atacante ou bloqueadora alvo.</t>
  </si>
  <si>
    <t>{2}{W} // {2}{U}</t>
  </si>
  <si>
    <t>Farrel's Mantle / Manto de Farrel</t>
  </si>
  <si>
    <t>Enchant Creature</t>
  </si>
  <si>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</si>
  <si>
    <t>Fallen empires</t>
  </si>
  <si>
    <t>Farrel's Zealot</t>
  </si>
  <si>
    <t>Whenever this creature attacks and isn't blocked, you may have it deal 3 damage to target creature. If you do, this creature assigns no combat damage this turn.</t>
  </si>
  <si>
    <t>Farrelite Priest</t>
  </si>
  <si>
    <t>Criatura — Clérigo / Summon Cleric</t>
  </si>
  <si>
    <t>{1}: Add {W} to your mana pool. Play this ability as an interrupt. If more than 3 is spent in this way during one turn, bury Farrelite Priest at end of turn.</t>
  </si>
  <si>
    <t>Farseek / Busca Longínqua</t>
  </si>
  <si>
    <t>Search your library for a Plains, Island, Swamp, or Mountain card, put it onto the battlefield tapped, then shuffle. / Procure um card de Planície, Ilha, Pântano ou Montanha no seu grimório e coloque-o no campo de batalha virado. Depois, embaralhe seu grimório.</t>
  </si>
  <si>
    <t>Fatal Fissure</t>
  </si>
  <si>
    <t>Choose target creature. When that creature dies this turn, you earthbend 4. (Target land you control becomes a 0/0 creature with haste that's still a land. Put four +1/+1 counters on it. When it dies or is exiled, return it to the battlefield tapped.)</t>
  </si>
  <si>
    <t>Fatal Fumes / Fumaça Fatal</t>
  </si>
  <si>
    <t>Target creature gets -4/-2 until end of turn. / A criatura alvo recebe -4/-2 até o final do turno.</t>
  </si>
  <si>
    <t>Fatal Lore / Conhecimento Fatal</t>
  </si>
  <si>
    <t>An opponent chooses one — • You draw three cards. • You destroy up to two target creatures that player controls. They can't be regenerated. That player draws up to three cards.</t>
  </si>
  <si>
    <t>Fate Foretold / Destino Previsto</t>
  </si>
  <si>
    <t>Enchant creature When this Aura enters, draw a card. When enchanted creature dies, its controller draws a card. / Encantar criatura Quando Destino Previsto entrar no campo de batalha, compre um card. Quando a criatura encantada morre, seu controlador compra um card.</t>
  </si>
  <si>
    <t>Fate of the Sun-Cryst</t>
  </si>
  <si>
    <t>This spell costs 2 less to cast if it targets a tapped creature. Destroy target nonland permanent.</t>
  </si>
  <si>
    <t>4W</t>
  </si>
  <si>
    <t>Final Fantasy (FFXII)</t>
  </si>
  <si>
    <t>Fate Transfer / Transferência de Destino</t>
  </si>
  <si>
    <t>Move all counters from target creature onto another target creature. / Mova todos os marcadores da criatura alvo para outra criatura alvo.</t>
  </si>
  <si>
    <t>{1}{U/B}</t>
  </si>
  <si>
    <t>Fated Infatuation / Paixão Predestinada</t>
  </si>
  <si>
    <t>Create a token that's a copy of target creature you control. If it's your turn, scry 2. / Coloque uma ficha no campo de batalha que seja uma cópia da criatura alvo que você controla. Se for o seu turno, use vidência 2. (Olhe os dois cards do topo do seu grimório. Depois, coloque qualquer número deles no fundo do seu grimório e o restante no topo em qualquer ordem.)</t>
  </si>
  <si>
    <t>{U}{U}{U}</t>
  </si>
  <si>
    <t>Fathom Feeder / Alimentador das Profundezas</t>
  </si>
  <si>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</si>
  <si>
    <t>Fathom Fleet Boarder / Abordador da Frota Abissal</t>
  </si>
  <si>
    <t>When this creature enters, you lose 2 life unless you control another Pirate. / Quando Abordador da Frota Abissal entra no campo de batalha, você perde 2 pontos de vida, a menos que você controle outro Pirata.</t>
  </si>
  <si>
    <t>Fathom Fleet Cutthroat / Degoladora da Frota Abissal</t>
  </si>
  <si>
    <t>When this creature enters, destroy target creature an opponent controls that was dealt damage this turn. / Quando Degoladora da Frota Abissal entrar no campo de batalha, destrua a criatura alvo que um oponente controla que sofreu dano neste turno.</t>
  </si>
  <si>
    <t>Fathom Seer / Vidente das Profundezas</t>
  </si>
  <si>
    <t>Criatura — Ilusão</t>
  </si>
  <si>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</si>
  <si>
    <t>Fatia de Sombra / Shadow Slice</t>
  </si>
  <si>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</si>
  <si>
    <t>Faunsbane Troll / Trol Ruína dos Faunos</t>
  </si>
  <si>
    <t>Creature — Troll / Criatura — Trol</t>
  </si>
  <si>
    <t>When this creature enters, create a Monster Role token attached to it. (Enchanted creature gets +1/+1 and has trample.) {1}, Sacrifice an Aura attached to this creature: This creature fights target creature you don't control. If that creature would die this turn, exile it instead. Activate only as a sorcery. / Quando Trol Ruína dos Faunos entrar no campo de batalha, crie uma ficha de Papel de Monstro anexada a ele. (A criatura encantada recebe +1/+1 e tem atropelar.) {1} sacrifique uma Aura anexada a Trol Ruína dos Faunos: Trol Ruína dos Faunos luta contra a criatura alvo que você não controla. Se aquela criatura morreria neste turno, em vez disso, exile-a. Ative somente como um feitiço.</t>
  </si>
  <si>
    <t>Favor of Jukai / Proteção de Jukai</t>
  </si>
  <si>
    <t>Enchant artifact or creature As long as enchanted permanent is a creature, it gets +3/+3 and has reach. Channel — {1}{G}, Discard this card: Target creature gets +3/+3 and gains reach until end of turn. / Encantar artefato ou criatura Enquanto a permanente encantada for uma criatura, ela receberá +3/+3 e terá alcance. Canalizar — {1}{G}, descarte Proteção de Jukai: A criatura alvo recebe +3/+3 e ganha alcance até o final do turno.</t>
  </si>
  <si>
    <t>Fear / Amedrontar</t>
  </si>
  <si>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</si>
  <si>
    <t>Fear of Burning Alive</t>
  </si>
  <si>
    <t>Enchantment Creature — Nightmare</t>
  </si>
  <si>
    <t>When this creature enters, it deals 4 damage to each opponent. Delirium — Whenever a source you control deals noncombat damage to an opponent, if there are four or more card types among cards in your graveyard, this creature deals that amount of damage to target creature that player controls.</t>
  </si>
  <si>
    <t>{4}{R}{R}</t>
  </si>
  <si>
    <t>Fear of Impostors</t>
  </si>
  <si>
    <t>Flash When this creature enters, counter target spell. Its controller manifests dread. (That player looks at the top two cards of their library, then puts one onto the battlefield face down as a 2/2 creature and the other into their graveyard. If it's a creature card, it can be turned face up any time for its mana cost.)</t>
  </si>
  <si>
    <t>Fear of Surveillance</t>
  </si>
  <si>
    <t>Vigilance Whenever this creature attacks, surveil 1. (Look at the top card of your library. You may put it into your graveyard.)</t>
  </si>
  <si>
    <t>Fear of the Dark</t>
  </si>
  <si>
    <t>Whenever this creature attacks, if defending player controls no Glimmer creatures, it gains menace and deathtouch until end of turn. (A creature with menace can't be blocked except by two or more creatures.)</t>
  </si>
  <si>
    <t>Fearsome Temper / Temperamento Medonho</t>
  </si>
  <si>
    <t>Enchant creature Enchanted creature gets +2/+2 and has "{2}{R}: Target creature can't block this creature this turn." / Encantar criatura A criatura encantada recebe +2/+2 e tem "{2}{R}: A criatura alvo não pode bloquear esta criatura neste turno."</t>
  </si>
  <si>
    <t>Feast of Dreams / Banquete de Sonhos</t>
  </si>
  <si>
    <t>Destroy target enchanted creature or enchantment creature. / Destrua a criatura encantada ou a criatura encantamento alvo.</t>
  </si>
  <si>
    <t>Feast of Flesh / Banquete de Carne</t>
  </si>
  <si>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</si>
  <si>
    <t>Feast of Succession / Banquete da Sucessão</t>
  </si>
  <si>
    <t>All creatures get -4/-4 until end of turn. You become the monarch. / Todas as criaturas recebem -4/-4 até o final do turno. Você se torna o monarca.</t>
  </si>
  <si>
    <t>Feast of the Unicorn / Festim de Unicórnio</t>
  </si>
  <si>
    <t>Enchant creature Enchanted creature gets +4/+0.</t>
  </si>
  <si>
    <t>Feast or Famine / Fartura ou Penúria</t>
  </si>
  <si>
    <t>Choose one — • Create a 2/2 black Zombie creature token. • Destroy target nonartifact, nonblack creature. It can't be regenerated.</t>
  </si>
  <si>
    <t>Feaster of Fools / Devorador de Tolos</t>
  </si>
  <si>
    <t>Convoke (Your creatures can help cast this spell. Each creature you tap while casting this spell pays for {1} or one mana of that creature's color.) Flying Devour 2 (As this creature enters, you may sacrifice any number of creatures. It enters with twice that many +1/+1 counters on it.) / Convocar (Suas criaturas podem ajudar a conjurar esta mágica. Cada criatura que você vira ao conjurar esta mágica paga {1} ou um mana da cor daquela criatura.) Voar Devorar 2 (Conforme esta criatura entra no campo de batalha, você pode sacrificar um número qualquer de criaturas. Esta criatura entra no campo de batalha com o dobro daquela quantidade de marcadores +1/+1.)</t>
  </si>
  <si>
    <t>Feat of Resistance / Demonstração de Resistência</t>
  </si>
  <si>
    <t>Put a +1/+1 counter on target creature you control. It gains protection from the color of your choice until end of turn. (It can't be blocked, targeted, dealt damage, enchanted, or equipped by anything of that color.) / Coloque um marcador +1/+1 na criatura alvo que você controla. Ela ganha proteção contra a cor de sua escolha até o final do turno. (Ela não pode ser bloqueada, ser alvo, sofrer dano, ser encantada nem equipada por nada daquela cor.)</t>
  </si>
  <si>
    <t>Featherbrained Filcher</t>
  </si>
  <si>
    <t>Creature — Bird Mutant</t>
  </si>
  <si>
    <t>Flying When this creature leaves the battlefield, create a Food token. (It's an artifact with "{2}, {T}, Sacrifice this token: You gain 3 life.")</t>
  </si>
  <si>
    <t>Feed the Cauldron / Alimentar o Caldeirão</t>
  </si>
  <si>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</si>
  <si>
    <t>Feed the Cycle</t>
  </si>
  <si>
    <t>As an additional cost to cast this spell, forage or pay {B}. (To forage, exile three cards from your graveyard or sacrifice a Food.) Destroy target creature or planeswalker.</t>
  </si>
  <si>
    <t>Feed the Flames</t>
  </si>
  <si>
    <t>Feed the Flames deals 5 damage to target creature. If that creature would die this turn, exile it instead.</t>
  </si>
  <si>
    <t>Red</t>
  </si>
  <si>
    <t>Feign Death / Simular Morte</t>
  </si>
  <si>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</si>
  <si>
    <t>Feldon's Cane / Bengala de Feldon</t>
  </si>
  <si>
    <t>{T}, Remove Feldon's Cane from the game: Shuffle your graveyard into your library.</t>
  </si>
  <si>
    <t>Felhide Brawler / Rufião Courovil</t>
  </si>
  <si>
    <t>This creature can't block unless you control another Minotaur. / Rufião Courovil não pode bloquear a menos que você controle outro Minotauro.</t>
  </si>
  <si>
    <t>Felhide Minotaur / Minotauro Courovil</t>
  </si>
  <si>
    <t>Felidar Savior</t>
  </si>
  <si>
    <t>Creature — Cat Beast</t>
  </si>
  <si>
    <t>Lifelink (Damage dealt by this creature also causes you to gain that much life.) When this creature enters, put a +1/+1 counter on each of up to two other target creatures you control.</t>
  </si>
  <si>
    <t>Femeref Knight / Cavaleiro de Femeref</t>
  </si>
  <si>
    <t>Flanking (Whenever a creature without flanking blocks this creature, the blocking creature gets -1/-1 until end of turn.) {W}: This creature gains vigilance until end of turn.</t>
  </si>
  <si>
    <t>Fencing Ace / Ás da Esgrima</t>
  </si>
  <si>
    <t>Double strike (This creature deals both first-strike and regular combat damage.) / Golpe duplo (Esta criatura causa tanto o dano de iniciativa quanto o de combate normal.)</t>
  </si>
  <si>
    <t>Fera Atroz Voraz / Voracious Fell Beast</t>
  </si>
  <si>
    <t>Criatura — Dragonete Fera</t>
  </si>
  <si>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</si>
  <si>
    <t>4{B}{B}</t>
  </si>
  <si>
    <t>Voar. Quando Fera Atroz Voraz entra no campo de batalha, cada oponente sacrifica uma criatura. Crie uma ficha de Comida para cada criatura sacrificada dessa forma.</t>
  </si>
  <si>
    <t>Feral Invocation / Invocação Feral</t>
  </si>
  <si>
    <t>Flash (You may cast this spell any time you could cast an instant.) Enchant creature Enchanted creature gets +2/+2. / Lampejo (Você poderá conjurar esta mágica a qualquer momento em que puder conjurar uma mágica instantânea.) Encantar criatura A criatura encantada recebe +2/+2.</t>
  </si>
  <si>
    <t>Feral Maaka / Maaka Feroz</t>
  </si>
  <si>
    <t>Feral Prowler / Espreitador Feral</t>
  </si>
  <si>
    <t>When this creature dies, draw a card. / Quando Espreitador Feral morrer, compre um card.</t>
  </si>
  <si>
    <t>Feral Shadow / Vulto Feroz</t>
  </si>
  <si>
    <t>Fertile Thicket / Arvoredo Fértil</t>
  </si>
  <si>
    <t>This land enters tapped. When this land enters, you may look at the top five cards of your library. If you do, reveal up to one basic land card from among them, then put that card on top of your library and the rest on the bottom in any order. {T}: Add {G}. / Arvoredo Fértil entra no campo de batalha virado.Quando Arvoredo Fértil entra no campo de batalha, você pode olhar os cinco cards do topo de seu grimório. Se fizer isso, revele até um card de terreno básico dentre eles e depois coloque aquele card no topo de seu grimório e o restante no fundo em qualquer ordem.{T}: Adicione {G} à sua reserva de mana.</t>
  </si>
  <si>
    <t>Fertilid / Fertilídio</t>
  </si>
  <si>
    <t>This creature enters with two +1/+1 counters on it. {1}{G}, Remove a +1/+1 counter from this creature: Target player searches their library for a basic land card, puts it onto the battlefield tapped, then shuffles. / Fertilídio entra no campo de batalha com dois marcadores +1/+1. {1}{G}, remova um marcador +1/+1 de Fertilídio: O jogador alvo procura no próprio grimório um card de terreno básico, coloca-o no campo de batalha virado e depois embaralha o próprio grimório.</t>
  </si>
  <si>
    <t>Fervent Paincaster / Conjuradora de Dor Fervorosa</t>
  </si>
  <si>
    <t>{T}: This creature deals 1 damage to target player or planeswalker. {T}, Exert this creature: It deals 1 damage to target creature. (An exerted creature won't untap during your next untap step.) / {T}: Conjuradora de Dor Fervorosa causa 1 ponto de dano ao jogador alvo. {T}, exaura Conjuradora de Dor Fervorosa: Ela causa 1 ponto de dano à criatura alvo. (Uma criatura exaurida não será desvirada durante sua próxima etapa de desvirar.)</t>
  </si>
  <si>
    <t>Festering Goblin / Goblin Apodrecido</t>
  </si>
  <si>
    <t>Creature — Zombie Goblin / Criatura — Zumbi Goblin</t>
  </si>
  <si>
    <t>When this creature dies, target creature gets -1/-1 until end of turn. / Quando Goblin Apodrecido é colocado num cemitério vindo de jogo, a criatura alvo recebe -1/-1 até o final do turno.</t>
  </si>
  <si>
    <t>Festering Mummy / Múmia Pustulenta</t>
  </si>
  <si>
    <t>When this creature dies, you may put a -1/-1 counter on target creature. / Quando Múmia Pustulenta morre, você pode colocar um marcador -1/-1 na criatura alvo.</t>
  </si>
  <si>
    <t>Festering Newt / Salamandra Purulenta</t>
  </si>
  <si>
    <t>Creature — Salamander / Criatura — Salamandra</t>
  </si>
  <si>
    <t>When this creature dies, target creature an opponent controls gets -1/-1 until end of turn. That creature gets -4/-4 instead if you control a creature named Bogbrew Witch. / Quando Salamandra Purulenta morre, a criatura alvo que um oponente controla recebe -1/-1 até o final do turno. Se você controlar uma criatura com o nome Bruxa da Poção Pantanosa, em vez disso, aquela criatura receberá -4/-4.</t>
  </si>
  <si>
    <t>Festive Funeral / Funeral Festivo</t>
  </si>
  <si>
    <t>Target creature gets -X/-X until end of turn, where X is the number of cards in your graveyard. / A criatura alvo recebe -X/-X até o final do turno, sendo X o número de cards em seu cemitério.</t>
  </si>
  <si>
    <t>Fetid Imp / Diabrete Fedido</t>
  </si>
  <si>
    <t>Flying {B}: This creature gains deathtouch until end of turn. (Any amount of damage it deals to a creature is enough to destroy it.) / Voar {B}: Diabrete Fedido ganha toque mortífero até o final do turno. (Qualquer quantidade de dano que ele cause a uma criatura é suficiente para destruí-la.)</t>
  </si>
  <si>
    <t>Fevered Strength / Força Febril</t>
  </si>
  <si>
    <t>Target creature gets +2/+0 until end of turn. Draw a card at the beginning of the next turn's upkeep.</t>
  </si>
  <si>
    <t>Fiery Fall / Queda Flamejante</t>
  </si>
  <si>
    <t>Queda Flamejante causa 5 de dano à criatura alvo. Reciclagem de terreno básico 1R (1R, descarte este card: Procure em seu grimório por um card de terreno básico, revele-o e coloque-o em sua mão. Depois, embaralhe seu grimório.)</t>
  </si>
  <si>
    <t>Fiery Impulse / Impulso Flamejante</t>
  </si>
  <si>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</si>
  <si>
    <t>Fiery Impulse deals 2 damage to target creature. Spell mastery — If there are two or more instant and/or sorcery cards in your graveyard, Fiery Impulse deals 3 damage instead. / Impulso Flamejante causa 2 pontos de dano à criatura alvo.Maestria em magia — Se houver dois ou mais cards de mágica instantânea ou feitiço no seu cemitério, em vez disso, Impulso Flamejante causará 3 pontos de dano àquela criatura.</t>
  </si>
  <si>
    <t>Fight On! / Continuar Luta!</t>
  </si>
  <si>
    <t>Devolva até dois cards de criatura alvos de seu cemitério para sua mão.</t>
  </si>
  <si>
    <t>Fight with Fire / Enfrentar com Fogo</t>
  </si>
  <si>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</si>
  <si>
    <t>Filigree Familiar / Familiar de Filigrana</t>
  </si>
  <si>
    <t>Artifact Creature — Fox / Criatura Artefato — Raposa</t>
  </si>
  <si>
    <t>When this creature enters, you gain 2 life. When this creature dies, draw a card. / Quando Familiar de Filigrana entra no campo de batalha, você ganha 2 pontos de vida. Quando Familiar de Filigrana morrer, compre um card.</t>
  </si>
  <si>
    <t>Filtrar / Filter Out</t>
  </si>
  <si>
    <t>Devolva todas as permanentes não de criatura e não de terreno para as mãos de seus donos. / Return all noncreature, nonland permanents to their owners' hands.</t>
  </si>
  <si>
    <t>Fim da Querela / Quarrel's End</t>
  </si>
  <si>
    <t>Como custo adicional para conjurar esta mágica, descarte um card. Compre dois cards e crie uma ficha de criatura Humano Soldado branca 1/1.</t>
  </si>
  <si>
    <t>Final Death / Morte Final</t>
  </si>
  <si>
    <t>Exile target creature. / Exile a criatura alvo.</t>
  </si>
  <si>
    <t>Final Flare / Fulgor Final</t>
  </si>
  <si>
    <t>As an additional cost to cast this spell, sacrifice a creature or enchantment. Final Flare deals 5 damage to target creature. / Como custo adicional para conjurar esta mágica, sacrifique uma criatura ou um encantamento. Fulgor Final causa 5 pontos de dano à criatura alvo.</t>
  </si>
  <si>
    <t>Final Payment / Pagamento Final</t>
  </si>
  <si>
    <t>As an additional cost to cast this spell, pay 5 life or sacrifice a creature or enchantment. Destroy target creature. / Como custo adicional para conjurar esta mágica, pague 5 pontos de vida ou sacrifique uma criatura ou um encantamento. Destrua a criatura alvo.</t>
  </si>
  <si>
    <t>Find the Path / Encontrar o Caminho</t>
  </si>
  <si>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</si>
  <si>
    <t>Fire Diamond / Diamante de Fogo</t>
  </si>
  <si>
    <t>Fire Diamond comes into play tapped. {T}: Add {R} to your mana pool. Play this ability as a mana source.</t>
  </si>
  <si>
    <t>Fire Drake / Dragonete de Fogo</t>
  </si>
  <si>
    <t>Flying {R}: This creature gets +1/+0 until end of turn. Activate only once each turn.</t>
  </si>
  <si>
    <t>Fire Elemental / Elemental do Fogo</t>
  </si>
  <si>
    <t>Fire Nation Cadets</t>
  </si>
  <si>
    <t>This creature has firebending 2 as long as there's a Lesson card in your graveyard. (Whenever this creature attacks, add {R}{R}. This mana lasts until end of combat.) {2}: This creature gets +1/+0 until end of turn.</t>
  </si>
  <si>
    <t>Fire Nation Engineer</t>
  </si>
  <si>
    <t>Creature — Human Artificer</t>
  </si>
  <si>
    <t>Raid — At the beginning of your end step, if you attacked this turn, put a +1/+1 counter on another target creature or Vehicle you control.</t>
  </si>
  <si>
    <t>Fire Nation Raider</t>
  </si>
  <si>
    <t>Raid — When this creature enters, if you attacked this turn, create a Clue token. (It's an artifact with "{2}, Sacrifice this token: Draw a card.")</t>
  </si>
  <si>
    <t>Fire Nation Warship</t>
  </si>
  <si>
    <t>Reach When this Vehicle dies, create a Clue token. (It's an artifact with "{2}, Sacrifice this token: Draw a card.") Crew 2 (Tap any number of creatures you control with total power 2 or more: This Vehicle becomes an artifact creature until end of turn.)</t>
  </si>
  <si>
    <t>Fire Navy Trebuchet</t>
  </si>
  <si>
    <t>Artifact Creature — Wall</t>
  </si>
  <si>
    <t>Defender, reach Whenever you attack, create a 2/1 colorless Construct artifact creature token with flying named Ballistic Boulder that's tapped and attacking. Sacrifice that token at the beginning of the next end step.</t>
  </si>
  <si>
    <t>Fire Sages</t>
  </si>
  <si>
    <t>Firebending 1 (Whenever this creature attacks, add {R}. This mana lasts until end of combat.) {1}{R}{R}: Put a +1/+1 counter on this creature.</t>
  </si>
  <si>
    <t>Fireball / Bola de Fogo</t>
  </si>
  <si>
    <t>This spell costs {1} more to cast for each target beyond the first. Fireball deals X damage divided evenly, rounded down, among any number of targets. / Esta mágica custa {1} a mais para ser conjurada para cada alvo além do primeiro. Bola de Fogo causa X pontos de dano divididos igualmente, arredondando para baixo, entre qualquer número de alvos.</t>
  </si>
  <si>
    <t>Firebending Lesson</t>
  </si>
  <si>
    <t>Kicker {4} (You may pay an additional {4} as you cast this spell.) Firebending Lesson deals 2 damage to target creature. If this spell was kicked, it deals 5 damage to that creature instead.</t>
  </si>
  <si>
    <t>Fireblade Artist / Artista da Lâmina de Fogo</t>
  </si>
  <si>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</si>
  <si>
    <t>Firebolt / Raio de Fogo</t>
  </si>
  <si>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</si>
  <si>
    <t>Firebrand Archer / Arqueira Agitadora</t>
  </si>
  <si>
    <t>Whenever you cast a noncreature spell, this creature deals 1 damage to each opponent. / Toda vez que você conjura uma mágica que não seja de criatura, Arqueira Agitadora causa 1 ponto de dano a cada oponente.</t>
  </si>
  <si>
    <t>Firebreathing / Hálito de Fogo</t>
  </si>
  <si>
    <t>Enchant creature {R}: Enchanted creature gets +1/+0 until end of turn. / Encantar criatura {R}: A criatura encantada recebe +1/+0 até o final do turno.</t>
  </si>
  <si>
    <t>Firefiend Elemental / Elemental Flamidemo</t>
  </si>
  <si>
    <t>Haste (This creature can attack and {T} as soon as it comes under your control.) Renown 1 (When this creature deals combat damage to a player, if it isn't renowned, put a +1/+1 counter on it and it becomes renowned.) / Ímpeto (Esta criatura pode atacar e {T} assim que passa ao seu controle.)Renome 1 (Quando esta criatura causar dano de combate a um jogador, se ela não for renomada, coloque um marcador +1/+1 nela e ela se tornará renomada.)</t>
  </si>
  <si>
    <t>Firespitter Whelp</t>
  </si>
  <si>
    <t>Flying Whenever you cast a noncreature or Dragon spell, this creature deals 1 damage to each opponent.</t>
  </si>
  <si>
    <t>Firja, Judge of Valor / Firja, Juíza do Valor</t>
  </si>
  <si>
    <t>Legendary Creature — Angel Cleric / Criatura Lendária — Anjo Clérigo</t>
  </si>
  <si>
    <t>Flying, lifelink Whenever you cast your second spell each turn, look at the top three cards of your library. Put one of them into your hand and the rest into your graveyard. / Voar, vínculo com a vida Toda vez que você conjurar sua segunda mágica a cada turno, olhe os três cards do topo de seu grimório. Coloque um deles em sua mão e o restante em seu cemitério.</t>
  </si>
  <si>
    <t>{2}{W}{B}{B}</t>
  </si>
  <si>
    <t>Multiverse Legends (MUL)</t>
  </si>
  <si>
    <t>First-Time Flyer</t>
  </si>
  <si>
    <t>Creature — Human Pilot Ally</t>
  </si>
  <si>
    <t>Flying This creature gets +1/+1 as long as there's a Lesson card in your graveyard.</t>
  </si>
  <si>
    <t>Fissure / Fissura</t>
  </si>
  <si>
    <t>Destroy target creature or land. It can't be regenerated.</t>
  </si>
  <si>
    <t>Fists of Flame / Punhos Chamejantes</t>
  </si>
  <si>
    <t>Draw a card. Until end of turn, target creature gains trample and gets +1/+0 for each card you've drawn this turn. (A creature with trample can deal excess combat damage to the player or planeswalker it's attacking.) / Compre um card. Até o final do turno, a criatura alvo ganha atropelar e recebe +1/+0 para cada card que você comprou neste turno.</t>
  </si>
  <si>
    <t>Flagelo das Frotas</t>
  </si>
  <si>
    <t>Criatura — Kraken</t>
  </si>
  <si>
    <t>Quando Flagelo das Frotas entrar no campo de batalha, devolva cada criatura controlada pelos seus oponentes com resistência X ou menos para a mão de seu dono, sendo X o número de Ilhas que você controla.</t>
  </si>
  <si>
    <t>5UU</t>
  </si>
  <si>
    <t>Flame Spirit / Espírito das Chamas</t>
  </si>
  <si>
    <t>Creature — Elemental Spirit</t>
  </si>
  <si>
    <t>{R}: This creature gets +1/+0 until end of turn.</t>
  </si>
  <si>
    <t>Flame-Blessed Bolt / Virote da Chama Abençoada</t>
  </si>
  <si>
    <t>Flame-Blessed Bolt deals 2 damage to target creature or planeswalker. If that creature or planeswalker would die this turn, exile it instead. / Virote da Chama Abençoada causa 2 pontos de dano à criatura ou ao planeswalker alvo. Se aquela criatura ou aquele planeswalker morreria neste turno, em vez disso, exile-o.</t>
  </si>
  <si>
    <t>Flame-Chain Mauler</t>
  </si>
  <si>
    <t>Creature — Elemental Warrior</t>
  </si>
  <si>
    <t>{1}{R}: This creature gets +1/+0 and gains menace until end of turn. (It can't be blocked except by two or more creatures.)</t>
  </si>
  <si>
    <t>Flame-Kin Zealot / Zelote da Tribo das Chamas</t>
  </si>
  <si>
    <t>Criatura — Elemental Berserker</t>
  </si>
  <si>
    <t>Quando Flame-Kin Zealot entra no campo de batalha, criaturas que você controla recebem +1/+1 e ganham ímpeto até o final do turno.</t>
  </si>
  <si>
    <t>1RW</t>
  </si>
  <si>
    <t>Flamekin Gildweaver</t>
  </si>
  <si>
    <t>Trample When this creature enters, create a Treasure token. (It's an artifact with "{T}, Sacrifice this token: Add one mana of any color.")</t>
  </si>
  <si>
    <t>Flamestick Courier / Mensageiro do Archote</t>
  </si>
  <si>
    <t>You may choose not to untap this creature during your untap step. {2}{R}, {T}: Target Goblin creature gets +2/+2 and has haste for as long as this creature remains tapped. / Você pode optar por não desvirar Mensageiro do Archote durante sua etapa de desvirar. {2}{R}, {T}: Enquanto Mensageiro do Archote permanecer virado, o Goblin alvo recebe +2/+2 e tem ímpeto.</t>
  </si>
  <si>
    <t>Flamewake Phoenix / Fênix do Rastro Flamejante</t>
  </si>
  <si>
    <t>Creature — Phoenix / Criatura — Fênix</t>
  </si>
  <si>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</si>
  <si>
    <t>Flamewave Invoker / Invocador da Onda de Chamas</t>
  </si>
  <si>
    <t>Creature — Goblin Mutant / Criatura — Goblin Mutante</t>
  </si>
  <si>
    <t>{7}{R}: This creature deals 5 damage to target player or planeswalker. / {7}{R}: Invocador da Onda de Chamas causa 5 pontos de dano ao jogador alvo.</t>
  </si>
  <si>
    <t>Battlebond (BBD)</t>
  </si>
  <si>
    <t>Flare / Detonação</t>
  </si>
  <si>
    <t>Flare deals 1 damage to any target. Draw a card at the beginning of the next turn's upkeep. / Detonação causa 1 ponto de dano a qualquer alvo. Compre um card no início da manutenção do próximo turno.</t>
  </si>
  <si>
    <t>Flaring Cinder</t>
  </si>
  <si>
    <t>When this creature enters and whenever you cast a spell with mana value 4 or greater, you may discard a card. If you do, draw a card.</t>
  </si>
  <si>
    <t>{1}{U/R}{U/R}</t>
  </si>
  <si>
    <t>Flash of Insight / Lampejo de Percepção</t>
  </si>
  <si>
    <t>Look at the top X cards of your library. Put one of them into your hand and the rest on the bottom of your library in any order. Flashback—{1}{U}, Exile X blue cards from your graveyard. (You may cast this card from your graveyard for its flashback cost, then exile it. You can't exile Flash of Insight to pay for its own flashback cost.) / Olhe os primeiros X cards do topo de seu grimório. Coloque um deles em sua mão e o resto no fundo de seu grimório. Recapitular {1}{U}, Remova de jogo X cards azuis de seu cemitério. (Você não pode remover Lampejo de Percepção para pagar seu próprio custo de recapitulação.)</t>
  </si>
  <si>
    <t>{X}{1}{U}</t>
  </si>
  <si>
    <t>Judgment (JUD)</t>
  </si>
  <si>
    <t>Flashfires / Tormenta Ígnea</t>
  </si>
  <si>
    <t>Destroy all Plains. / Destrói todas as Planícies.</t>
  </si>
  <si>
    <t>Oitava Edição</t>
  </si>
  <si>
    <t>Flatten / Achatar</t>
  </si>
  <si>
    <t>Target creature gets -4/-4 until end of turn. / A criatura alvo recebe -4/-4 até o final do turno.</t>
  </si>
  <si>
    <t>Flaxen Intruder // Welcome Home / Intrusa das Madeixas Douradas // Boas-vindas ao Lar</t>
  </si>
  <si>
    <t>Creature — Human Berserker // Sorcery — Adventure / Criatura — Humano Amoque</t>
  </si>
  <si>
    <t>Flaxen Intruder: Whenever this creature deals combat damage to a player, you may sacrifice it. When you do, destroy target artifact or enchantment. // Welcome Home: Create three 2/2 green Bear creature tokens. (Then exile this card. You may cast the creature later from exile.) / Toda vez que Intrusa das Madeixas Douradas causa dano de combate a um jogador, você pode sacrificá-la. Quando fizer isso, destrua o artefato ou encantamento alvo.</t>
  </si>
  <si>
    <t>{G} // {5}{G}{G}</t>
  </si>
  <si>
    <t>Flayer of the Hatebound / Esfolador do Laço de Ódio</t>
  </si>
  <si>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</si>
  <si>
    <t>Flaying Tendrils / Gavinhas Esfoladoras</t>
  </si>
  <si>
    <t>Devoid (This card has no color.) All creatures get -2/-2 until end of turn. If a creature would die this turn, exile it instead. / Desprovido (Este card não tem cor.) Todas as criaturas recebem -2/-2 até o final do turno. Se uma criatura morreria neste turno, em vez disso, exile-a.</t>
  </si>
  <si>
    <t>Fleecemane Lion / Leão da Juba Lanosa</t>
  </si>
  <si>
    <t>{3}{G}{W}: Monstrosity 1. (If this creature isn't monstrous, put a +1/+1 counter on it and it becomes monstrous.) As long as this creature is monstrous, it has hexproof and indestructible. / {3}{G}{W}: Monstruosidade 1. (Se esta criatura não for monstruosa, coloque um marcador +1/+1 nela e ela se tornará monstruosa.) Enquanto Leão da Juba Lanosa for monstruoso, ele terá resistência a magia e será indestrutível.</t>
  </si>
  <si>
    <t>{G}{W}</t>
  </si>
  <si>
    <t>Fleeting Distraction / Distração Passageira</t>
  </si>
  <si>
    <t>A criatura alvo recebe -1/-0 até o final do turno. Compre um card.</t>
  </si>
  <si>
    <t>Fleeting Image / Visão Fugaz</t>
  </si>
  <si>
    <t>Creature — Illusion / Criatura — Ilusão</t>
  </si>
  <si>
    <t>Flying (This creature can't be blocked except by creatures with flying or reach.) {1}{U}: Return this creature to its owner's hand. / Voar (Esta criatura só pode ser bloqueada por criaturas com a habilidade de voar.) {1}{U}: Devolve Visão Fugaz para a mão de seu dono.</t>
  </si>
  <si>
    <t>Flesh Allergy / Alergia à Carne</t>
  </si>
  <si>
    <t>As an additional cost to cast this spell, sacrifice a creature. Destroy target creature. Its controller loses life equal to the number of creatures that died this turn. / Como custo adicional para conjurar Alergia à Carne, sacrifique uma criatura. Destrua a criatura alvo. Seu controlador perde uma quantidade de pontos de vida igual ao número de criaturas colocadas em todos os cemitérios vindas do campo de batalha neste turno.</t>
  </si>
  <si>
    <t>Flesh Burrower</t>
  </si>
  <si>
    <t>Deathtouch Whenever this creature attacks, another target creature you control gains deathtouch until end of turn.</t>
  </si>
  <si>
    <t>Fleshbag Marauder / Saqueador de Bolsas de Carne</t>
  </si>
  <si>
    <t>Criatura — Zumbi Guerreiro</t>
  </si>
  <si>
    <t>Quando Saqueador de Bolsas de Carne entra no campo de batalha, cada jogador sacrifica uma criatura.</t>
  </si>
  <si>
    <t>2B</t>
  </si>
  <si>
    <t xml:space="preserve">Commander Anthology 2018 </t>
  </si>
  <si>
    <t>Magic Origens</t>
  </si>
  <si>
    <t>Fleshbag Marauder / Saqueador Saco-de-carne</t>
  </si>
  <si>
    <t>When this creature enters, each player sacrifices a creature of their choice. / Quando Saqueador Saco-de-carne entra no campo de batalha, cada jogador sacrifica uma criatura.</t>
  </si>
  <si>
    <t>Fleshmad Steed / Corcel Carnivoraz</t>
  </si>
  <si>
    <t>Whenever another creature dies, tap this creature. / Toda vez que outra criatura morrer, vire Corcel Carnivoraz.</t>
  </si>
  <si>
    <t>Flexible Waterbender</t>
  </si>
  <si>
    <t>Creature — Human Warrior Ally</t>
  </si>
  <si>
    <t>Vigilance Waterbend {3}: This creature has base power and toughness 5/2 until end of turn. (While paying a waterbend cost, you can tap your artifacts and creatures to help. Each one pays for {1}.)</t>
  </si>
  <si>
    <t>Flight-Deck Coordinator / Coordenador de Convés de Voo</t>
  </si>
  <si>
    <t>Criatura — Humano Soldado</t>
  </si>
  <si>
    <t>No início de sua etapa final, se você controlar duas ou mais criaturas viradas, você ganha 2 pontos de vida.</t>
  </si>
  <si>
    <t>Fling / Arremessar</t>
  </si>
  <si>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</si>
  <si>
    <t>Floodchaser / Caça-Água</t>
  </si>
  <si>
    <t>This creature enters with six +1/+1 counters on it. This creature can't attack unless defending player controls an Island. {U}, Remove a +1/+1 counter from this creature: Target land becomes an Island until end of turn. / Caça-Água entra em jogo com seis marcadores +1/+1 sobre ele. Caça-Água não pode atacar, a menos que o jogador defensor controle uma Ilha. {U}, Remova um marcador +1/+1 de Caça-Água: O terreno alvo torna-se uma Ilha até o final do turno.</t>
  </si>
  <si>
    <t>Floodpits Drowner</t>
  </si>
  <si>
    <t>Creature — Merfolk</t>
  </si>
  <si>
    <t>Flash Vigilance When this creature enters, tap target creature an opponent controls and put a stun counter on it. {1}{U}, {T}: Shuffle this creature and target creature with a stun counter on it into their owners' libraries.</t>
  </si>
  <si>
    <t>Floodwaters / Enxurrada</t>
  </si>
  <si>
    <t>Return up to two target creatures to their owners' hands. Cycling {2} ({2}, Discard this card: Draw a card.) / Devolva até duas criaturas alvo para as mãos de seus donos. Reciclar {2} ({2}, Descarte este card: Compre um card.)</t>
  </si>
  <si>
    <t>Flopsie, Bumi's Buddy</t>
  </si>
  <si>
    <t>Legendary Creature — Ape Goat</t>
  </si>
  <si>
    <t>When Flopsie enters, put a +1/+1 counter on each creature you control. Each creature you control with power 4 or greater can't be blocked by more than one creature.</t>
  </si>
  <si>
    <t>Flotsam // Jetsam / Destroços // Refugo</t>
  </si>
  <si>
    <t>Instant // Sorcery / Mágica Instantânea // Feitiço</t>
  </si>
  <si>
    <t>Flotsam: Mill three cards. Investigate. (Create a Clue token. It's an artifact with "{2}, Sacrifice this token: Draw a card.") // Jetsam: Each opponent mills three cards, then you may cast a spell from each opponent's graveyard without paying its mana cost. If a spell cast this way would be put into a graveyard, exile it instead. / Triture três cards. Investigue. (Crie uma ficha de Pista. Ela é um artefato com "{2}, sacrifique este artefato: Compre um card.") // Cada oponente tritura três cards, depois você pode conjurar uma mágica do cemitério de cada oponente sem pagar seu custo de mana. Se uma mágica conjurada dessa forma seria colocada em um cemitério, em vez disso exile-a.</t>
  </si>
  <si>
    <t>{1}{G/U} // {4}{U/B}{U/B}</t>
  </si>
  <si>
    <t>Preto, Verde, Azul</t>
  </si>
  <si>
    <t>Flourishing Hunter / Caçadora Florescente</t>
  </si>
  <si>
    <t>Creature — Wolf Spirit / Criatura — Lobo Espírito</t>
  </si>
  <si>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</si>
  <si>
    <t>Flying Carpet / Tapete Voador</t>
  </si>
  <si>
    <t>{2}, {T}: Target creature gains flying until end of turn. / {2}, {T}: A criatura alvo ganha a habilidade de voar até o final do turno. (Ela só pode ser bloqueada por criaturas com a habilidade de voar.)</t>
  </si>
  <si>
    <t>Foe-liage / Inimigo-lhagem</t>
  </si>
  <si>
    <t>Criatura — Planta Mutante</t>
  </si>
  <si>
    <t>Sempre que um terreno entrar durante o seu turno, coloque um marcador +1/+1 nesta criatura.</t>
  </si>
  <si>
    <t>3{G}</t>
  </si>
  <si>
    <t>Fog / Neblina</t>
  </si>
  <si>
    <t>Prevent all combat damage that would be dealt this turn.</t>
  </si>
  <si>
    <t>Fog on the Barrow-Downs / Nevoeiro nas Colinas dos Túmulos</t>
  </si>
  <si>
    <t>Enchant creature Enchanted creature is a Spirit and can't attack or block. (It loses all other creature types.) / Encantar criatura A criatura encantada é um Espírito e não pode atacar nem bloquear. (Ela perde todos os outros tipos de criatura.)</t>
  </si>
  <si>
    <t>Foggy Swamp Hunters</t>
  </si>
  <si>
    <t>Creature — Human Ranger Ally</t>
  </si>
  <si>
    <t>As long as you've drawn two or more cards this turn, this creature has lifelink and menace. (It can't be blocked except by two or more creatures.)</t>
  </si>
  <si>
    <t>Foggy Swamp Vinebender</t>
  </si>
  <si>
    <t>Creature — Human Plant Ally</t>
  </si>
  <si>
    <t>This creature can't be blocked by creatures with power 2 or less. Waterbend {5}: Put a +1/+1 counter on this creature. Activate only during your turn. (While paying a waterbend cost, you can tap your artifacts and creatures to help. Each one pays for {1}.)</t>
  </si>
  <si>
    <t>Fogo de Orthanc / Fire of Orthanc</t>
  </si>
  <si>
    <t>Destrua o artefato ou terreno alvo. As criaturas sem voar não podem bloquear neste turno.</t>
  </si>
  <si>
    <t>Foguetes do Mago / Wizard's Rockets</t>
  </si>
  <si>
    <t>Foguetes do Mago entra no campo de batalha virado. {X}, {T}, sacrifique Foguetes do Mago: Adicione X manas em qualquer combinação de cores. Quando Foguetes do Mago for colocado num cemitério vindo do campo de batalha, compre um card.</t>
  </si>
  <si>
    <t>Follow the Lumarets / Siga os Lumaretes</t>
  </si>
  <si>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</si>
  <si>
    <t xml:space="preserve">Secrets of Strixhaven </t>
  </si>
  <si>
    <t>Font of Fertility / Fonte da Fertilidade</t>
  </si>
  <si>
    <t>{1}{G}, Sacrifice this enchantment: Search your library for a basic land card, put it onto the battlefield tapped, then shuffle. / {1}{G}, Sacrifique Fonte da Fertilidade: Procure um card de terreno básico no seu grimório, coloque-o no campo de batalha virado e depois embaralhe seu grimório.</t>
  </si>
  <si>
    <t>Font of Fortunes / Fonte das Fortunas</t>
  </si>
  <si>
    <t>1U, Sacrifique Fonte das Fortunas: Compre dois cards.</t>
  </si>
  <si>
    <t>Font of Return / Fonte do Ressurgimento</t>
  </si>
  <si>
    <t>{3}{B}, Sacrifice this enchantment: Return up to three target creature cards from your graveyard to your hand. / {3}{B}, Sacrifique Fonte do Ressurgimento: Devolva até três cards de criatura alvo do seu cemitério para a sua mão.</t>
  </si>
  <si>
    <t>Font of Vigor / Fonte do Vigor</t>
  </si>
  <si>
    <t>{2}{W}, Sacrifice this enchantment: You gain 7 life. / {2}{W}, Sacrifique Fonte do Vigor: Você ganha 7 pontos de vida.</t>
  </si>
  <si>
    <t>Fonte da Ira</t>
  </si>
  <si>
    <t>3R, Sacrifique Fonte da Ira: Fonte da Ira causa 5 pontos de dano ao jogador alvo.</t>
  </si>
  <si>
    <t>Foot Elite</t>
  </si>
  <si>
    <t>Creature — Human Ninja</t>
  </si>
  <si>
    <t>Whenever this creature attacks, another target creature you control gets +1/+0 and gains indestructible until end of turn. (Damage and effects that say "destroy" don't destroy it.)</t>
  </si>
  <si>
    <t>{2}{W/B}</t>
  </si>
  <si>
    <t>Foot Headquarters</t>
  </si>
  <si>
    <t>This land enters tapped. When this land enters, you gain 1 life. {T}: Add {W} or {B}.</t>
  </si>
  <si>
    <t>Foot Mystic</t>
  </si>
  <si>
    <t>Creature — Human Ninja Warlock</t>
  </si>
  <si>
    <t>Lifelink Disappear — When this creature enters, if a permanent left the battlefield under your control this turn, create a 1/1 black Ninja creature token.</t>
  </si>
  <si>
    <t>Foothill Guide</t>
  </si>
  <si>
    <t>Criatura — Clérigo / Creature — Cleric</t>
  </si>
  <si>
    <t>Protection from Goblins. Morph {W} (You may play this face down as a 2/2 creature for {3}. Turn it face up any time for its morph cost.)</t>
  </si>
  <si>
    <t>Força Divina / Divine Strength</t>
  </si>
  <si>
    <t>A criatura-alvo ganha +1/+2.</t>
  </si>
  <si>
    <t>Forced Landing / Aterrissagem Forçada</t>
  </si>
  <si>
    <t>Put target creature with flying on the bottom of its owner's library. / Coloque a criatura alvo com voar no fundo do grimório de seu dono.</t>
  </si>
  <si>
    <t>Forerunner of Slaughter / Pioneiro da Carnificina</t>
  </si>
  <si>
    <t>Devoid (This card has no color.) {1}: Target colorless creature gains haste until end of turn. / Desprovido (Este card não tem cor.){1}: A criatura incolor alvo ganha ímpeto até o final do turno.</t>
  </si>
  <si>
    <t>&lt;&lt;&lt;&lt;&lt;&lt;</t>
  </si>
  <si>
    <t>Forest / Floresta</t>
  </si>
  <si>
    <t>Basic Land — Forest / Terreno Básico — Floresta</t>
  </si>
  <si>
    <t>({T}: Add {G}.) / G</t>
  </si>
  <si>
    <t>A saga de urza</t>
  </si>
  <si>
    <t xml:space="preserve">Foundations Jumpstart 2025 </t>
  </si>
  <si>
    <t>Hora da Devastação</t>
  </si>
  <si>
    <t xml:space="preserve">Innistrad </t>
  </si>
  <si>
    <t xml:space="preserve">Lorwyn </t>
  </si>
  <si>
    <t>Magic 2013</t>
  </si>
  <si>
    <t xml:space="preserve">Máscaras de Mercádia </t>
  </si>
  <si>
    <t>Pântano Sombrio</t>
  </si>
  <si>
    <t xml:space="preserve">Ravnica: A Cidade das Guildas </t>
  </si>
  <si>
    <t>Theros</t>
  </si>
  <si>
    <t>Forgeborn Oreads / Oréades Nascidas da Forja</t>
  </si>
  <si>
    <t>Criatura Encantamento — Ninfa</t>
  </si>
  <si>
    <t>Constelação — Toda vez que Oréades Nascidas da Forja ou outro encantamento entrar no campo de batalha sob seu controle, Oréades Nascidas da Forja causa 1 ponto de dano à criatura ou ao jogador alvo.</t>
  </si>
  <si>
    <t>Formação Aérea</t>
  </si>
  <si>
    <t>Esforço — Formação Aérea custa 2U a mais para ser conjurado para cada alvo além do primeiro. Qualquer número de criaturas alvo recebe +1/+1 e ganha voar até o final do turno.</t>
  </si>
  <si>
    <t>Forsaken Drifters / Errantes Abandonados</t>
  </si>
  <si>
    <t>When this creature dies, mill four cards. / Quando Errantes Abandonados morrer, coloque os quatro cards do topo de seu grimório em seu cemitério.</t>
  </si>
  <si>
    <t>Fortify / Fortificar</t>
  </si>
  <si>
    <t>Choose one — • Creatures you control get +2/+0 until end of turn. • Creatures you control get +0/+2 until end of turn. / Escolha um — As criaturas que você controla recebem +2/+0 até o final do turno; ou as criaturas que você controla recebem +0/+2 até o final do turno.</t>
  </si>
  <si>
    <t>Fortune Thief / Ladra de Sorte</t>
  </si>
  <si>
    <t>Creature — Human Rogue / Criatura — Ladino Humano</t>
  </si>
  <si>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</si>
  <si>
    <t>Fossil Find / Encontrar Fóssil</t>
  </si>
  <si>
    <t>Return a card at random from your graveyard to your hand, then reorder your graveyard as you choose. / Devolva um card aleatoriamente de seu cemitério para sua mão e depois reorganize seu cemitério como quiser.</t>
  </si>
  <si>
    <t>{R/G}</t>
  </si>
  <si>
    <t>Foul Familiar / Familiar Abominável</t>
  </si>
  <si>
    <t>This creature can't block. {B}, Pay 1 life: Return this creature to its owner's hand.</t>
  </si>
  <si>
    <t>Foul Play / Trapaça</t>
  </si>
  <si>
    <t>Destroy target creature with power 2 or less. Investigate. (Create a Clue token. It's an artifact with "{2}, Sacrifice this token: Draw a card.") / Destrua a criatura alvo com poder igual ou inferior a 2. Investigue. (Crie uma ficha de artefato Pista incolor com "{2}, sacrifique este artefato: Compre um card".)</t>
  </si>
  <si>
    <t>Found Footage</t>
  </si>
  <si>
    <t>Artifact — Clue</t>
  </si>
  <si>
    <t>You may look at face-down creatures your opponents control any time. {2}, Sacrifice Found Footage: Surveil 2, then draw a card.</t>
  </si>
  <si>
    <t>Foundry Street Denizen / Habitante da Rua da Fundição</t>
  </si>
  <si>
    <t>Whenever another red creature you control enters, this creature gets +1/+0 until end of turn. / Toda vez que outra criatura vermelha entra no campo de batalha sob o seu controle, Habitante da Rua da Fundição recebe +1/+0 até o final do turno.</t>
  </si>
  <si>
    <t>Fowl Strike / Ataque Avícola</t>
  </si>
  <si>
    <t>Destroy target creature with flying. Reinforce 2—{2}{G} ({2}{G}, Discard this card: Put two +1/+1 counters on target creature.) / Destrua a criatura alvo com voar. Fortalecer 2 — {2}{G} ({2}{G}, descarte este card: Coloque dois marcadores +1/+1 na criatura alvo.)</t>
  </si>
  <si>
    <t>Fractal Mascot / Mascote Fractal</t>
  </si>
  <si>
    <t>Criatura — Alce Fractal</t>
  </si>
  <si>
    <t>Atropelar. Quando esta criatura entrar, vire a criatura alvo que um oponente controla. Coloque um marcador de atordoamento nela. (Se uma permanente com um marcador de atordoamento fosse se tornar desvirada, em vez disso, remova um dele.)</t>
  </si>
  <si>
    <t>4{G}{U}</t>
  </si>
  <si>
    <t>Frantic Strength</t>
  </si>
  <si>
    <t>Flash Enchant creature Enchanted creature gets +2/+2 and has trample.</t>
  </si>
  <si>
    <t>Freewind Falcon</t>
  </si>
  <si>
    <t>Criatura — Falcão / Summon Falcon</t>
  </si>
  <si>
    <t>Flying, protection from red.</t>
  </si>
  <si>
    <t>Visions (VIS)</t>
  </si>
  <si>
    <t>Frenzied Arynx / Arynx Frenético</t>
  </si>
  <si>
    <t>Creature — Cat Beast / Criatura — Felino Besta</t>
  </si>
  <si>
    <t>Riot (This creature enters with your choice of a +1/+1 counter or haste.) Trample {4}{R}{G}: This creature gets +3/+0 until end of turn. / Tumulto (Esta criatura entra no campo de batalha com um marcador +1/+1 ou ímpeto, à sua escolha.) Atropelar {4}{R}{G}: Arynx Frenético recebe +3/+0 até o final do turno.</t>
  </si>
  <si>
    <t>Frenzied Goblin / Goblino Enlouquecido</t>
  </si>
  <si>
    <t>Criatura — Goblino Berserker</t>
  </si>
  <si>
    <t>Toda vez que Goblino Enlouquecido atacar, você poderá pagar {R}. Se fizer isso, a criatura alvo não poderá bloquear neste turno.</t>
  </si>
  <si>
    <t>Frenzied Raptor / Raptor Frenético</t>
  </si>
  <si>
    <t>Frenzied Tilling / Cultivo Frenético</t>
  </si>
  <si>
    <t>Destroy target land. Search your library for a basic land card, put that card onto the battlefield tapped, then shuffle. / Destrua o terreno alvo. Procure um card de terreno básico em seu grimório e coloque-o no campo de batalha virado. Depois, embaralhe seu grimório.</t>
  </si>
  <si>
    <t>{3}{R}{G}</t>
  </si>
  <si>
    <t>Fresh-Faced Recruit / Recruta Novato</t>
  </si>
  <si>
    <t>During your turn, this creature has first strike. / Enquanto for o seu turno, Recruta Novato terá iniciativa.</t>
  </si>
  <si>
    <t>Freya Crescent / Freya Crescent</t>
  </si>
  <si>
    <t>Criatura Lendária — Rato Cavaleiro</t>
  </si>
  <si>
    <t>Salto — Durante o seu turno, Freya Crescent tem voar. {T}: Adicione {R}. Gaste este mana apenas para conjurar uma mágica de Equipamento ou para ativar uma habilidade de equipar.</t>
  </si>
  <si>
    <t>Friendly Ghost</t>
  </si>
  <si>
    <t>Flying When this creature enters, target creature gets +2/+4 until end of turn.</t>
  </si>
  <si>
    <t>Friendly Rivalry / Rivalidade Amigável</t>
  </si>
  <si>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</si>
  <si>
    <t>Friendly Teddy</t>
  </si>
  <si>
    <t>Artifact Creature — Bear Toy</t>
  </si>
  <si>
    <t>When this creature dies, each player draws a card.</t>
  </si>
  <si>
    <t>Friendly Teddy / Ursinho Amigável</t>
  </si>
  <si>
    <t>Artifact Creature — Bear Toy / Criatura Artefato — Brinquedo de Urso</t>
  </si>
  <si>
    <t>When Friendly Teddy dies, each player draws a card. / Quando Ursinho Amigável morre, cada jogador compra um card.</t>
  </si>
  <si>
    <t>Frightful Delusion / Ilusão Aterrorizante</t>
  </si>
  <si>
    <t>Counter target spell unless its controller pays {1}. That player discards a card. / Anule a mágica alvo, a menos que seu controlador pague {1}. Aquele jogador descarta um card.</t>
  </si>
  <si>
    <t>Frodo Bolseiro / Frodo Baggins</t>
  </si>
  <si>
    <t>Criatura Lendária — Pequenino Batedor</t>
  </si>
  <si>
    <t>Toda vez que Frodo Bolseiro ou outra criatura lendária entra no campo de batalha sob seu controle, o Anel tenta você. Enquanto Frodo for o seu Guardião do Anel, ele deverá ser bloqueado se estiver apto.</t>
  </si>
  <si>
    <t>Frog Butler</t>
  </si>
  <si>
    <t>Creature — Frog Spirit</t>
  </si>
  <si>
    <t>Deathtouch {T}: Add one mana of any color. {2}: This creature gains reach until end of turn.</t>
  </si>
  <si>
    <t>Frogmite</t>
  </si>
  <si>
    <t>Artifact Creature — Frog</t>
  </si>
  <si>
    <t>Affinity for artifacts (This spell costs 1 less to cast for each artifact you control.)</t>
  </si>
  <si>
    <t>Frogmite / Batracóide</t>
  </si>
  <si>
    <t>Artifact Creature — Frog / Criatura Artefato</t>
  </si>
  <si>
    <t>Affinity for artifacts (This spell costs {1} less to cast for each artifact you control.) / Afinidade por artefatos (Esta mágica custa {1} a menos para jogar para cada artefato que você controla.)</t>
  </si>
  <si>
    <t>Frogtosser Banneret / Alferes de Lança-sapos</t>
  </si>
  <si>
    <t>Haste Goblin spells and Rogue spells you cast cost {1} less to cast. / Ímpeto As mágicas de Goblin e de Ladino que você conjura custam {1} a menos para serem conjuradas.</t>
  </si>
  <si>
    <t>Frolicking Familiar // Blow Off Steam / Familiar Brincalhão // Aliviar a Pressão</t>
  </si>
  <si>
    <t>Creature — Otter Wizard // Instant — Adventure / Criatura — Lontra Mago</t>
  </si>
  <si>
    <t>Frolicking Familiar: Flying Whenever you cast an instant or sorcery spell, this creature gets +1/+1 until end of turn. // Blow Off Steam: Blow Off Steam deals 1 damage to any target. (Then exile this card. You may cast the creature later from exile.) / Voar Toda vez que você conjura uma mágica instantânea ou um feitiço, Familiar Brincalhão recebe +1/+1 até o final do turno.</t>
  </si>
  <si>
    <t>{2}{U} // {R}</t>
  </si>
  <si>
    <t>From Father to Son / De Pai para Filho</t>
  </si>
  <si>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</si>
  <si>
    <t>Frontier Seeker / Buscadora da Fronteira</t>
  </si>
  <si>
    <t>When this creature enters, look at the top five cards of your library. You may reveal a Mount creature card or a Plains card from among them and put it into your hand. Put the rest on the bottom of your library in a random order. / Quando Buscadora da Fronteira entrar no campo de batalha, olhe os cinco cards do topo de seu grimório. Você pode revelar um card de criatura Montaria ou um card de Planície dentre eles e colocá-lo em sua mão. Coloque o restante no fundo de seu grimório em ordem aleatória.</t>
  </si>
  <si>
    <t>Frostwind Invoker / Invocador do Vento Gélido</t>
  </si>
  <si>
    <t>Flying {8}: Creatures you control gain flying until end of turn. / Voar {8}: As criaturas que você controla ganham voar até o final do turno.</t>
  </si>
  <si>
    <t>Frozen in Ice</t>
  </si>
  <si>
    <t>Enchant creature When this Aura enters, tap enchanted creature. Enchanted creature loses all abilities and can't become untapped.</t>
  </si>
  <si>
    <t>Frozen in Ice / Congelado no Gelo</t>
  </si>
  <si>
    <t>Encantar criatura. Quando esta Aura entrar, vire a criatura encantada. A criatura encantada perde todas as habilidades e não pode ser desvirada.</t>
  </si>
  <si>
    <t>Frozen Shade / Sombra Materializada</t>
  </si>
  <si>
    <t>Creature — Shade</t>
  </si>
  <si>
    <t>{B}: This creature gets +1/+1 until end of turn.</t>
  </si>
  <si>
    <t>Fruit of Tizerus / Fruto de Tízero</t>
  </si>
  <si>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</si>
  <si>
    <t>Fugitive Droid</t>
  </si>
  <si>
    <t>Artifact Creature — Robot Scientist</t>
  </si>
  <si>
    <t>This creature can't be blocked if an artifact entered the battlefield under your control this turn. {U}, Sacrifice this creature: Counter target spell that targets an artifact or creature you control.</t>
  </si>
  <si>
    <t>Fugitive Wizard / Mago Fugitivo</t>
  </si>
  <si>
    <t>Full Steam Ahead / A Todo Vapor</t>
  </si>
  <si>
    <t>Until end of turn, each creature you control gets +2/+2 and gains trample and "This creature can't be blocked by more than one creature." / Até o final do turno, cada criatura que você controla recebe +2/+2 e ganha atropelar e "Esta criatura não pode ser bloqueada por mais de uma criatura".</t>
  </si>
  <si>
    <t>Funeral Rites / Ritos Funerários</t>
  </si>
  <si>
    <t>You draw two cards, lose 2 life, then mill two cards. / Você compra dois cards, perde 2 pontos de vida e coloca os dois cards do topo de seu grimório em seu cemitério.</t>
  </si>
  <si>
    <t>Fungal Colossus / Colosso Fúngico</t>
  </si>
  <si>
    <t>Criatura — Fungo Besta</t>
  </si>
  <si>
    <t>Esta mágica custa {X} a menos para ser conjurada, onde X é o número de terrenos com nomes diferentes que você controla.</t>
  </si>
  <si>
    <t>6{G}</t>
  </si>
  <si>
    <t>Fungal Plots / Terrenos Fungais</t>
  </si>
  <si>
    <t>{1}{G}, Exile a creature card from your graveyard: Create a 1/1 green Saproling creature token. Sacrifice two Saprolings: You gain 2 life and draw a card. / {1}{G}, exile um card de criatura de seu cemitério: Crie uma ficha de criatura verde 1/1 do tipo Saprófita. Sacrifique duas Saprófitas: Você ganha 2 pontos de vida e compra um card.</t>
  </si>
  <si>
    <t>Fungus Sliver</t>
  </si>
  <si>
    <t>Creature — Fungus Sliver</t>
  </si>
  <si>
    <t>All Slivers have "Whenever this creature is dealt damage, put a +1/+1 counter on it." (The damage is dealt before the counter is put on.)</t>
  </si>
  <si>
    <t>Fúria do Ent / Ent's Fury</t>
  </si>
  <si>
    <t>Coloque um marcador +1/+1 na criatura alvo que você controla se o poder dela for igual ou superior a 4Normally I can help with things like this, but I don't seem to have access to that content. You can try again or ask me for something else.</t>
  </si>
  <si>
    <t>Furnace Celebration / Celebração na Fornalha</t>
  </si>
  <si>
    <t>Whenever you sacrifice another permanent, you may pay {2}. If you do, this enchantment deals 2 damage to any target. / Toda vez que sacrifica outra permanente, você pode pagar {2}. Se fizer isso, Celebração na Fornalha causará 2 pontos de dano à criatura ou ao jogador alvo.</t>
  </si>
  <si>
    <t>Furtive Courier / Mensageira Furtiva</t>
  </si>
  <si>
    <t>Creature — Merfolk Advisor / Criatura — Tritão Conselheiro</t>
  </si>
  <si>
    <t>This creature can't be blocked as long as you've sacrificed an artifact this turn. Whenever this creature attacks, draw a card, then discard a card. / Mensageira Furtiva não pode ser bloqueada contanto que você tenha sacrificado um artefato neste turno. Toda vez que Mensageira Furtiva atacar, compre um card e depois descarte um card.</t>
  </si>
  <si>
    <t>Furtive Homunculus / Homúnculo Furtivo</t>
  </si>
  <si>
    <t>Skulk (This creature can't be blocked by creatures with greater power.) / Esquivo (Esta criatura não pode ser bloqueada por criaturas com poder superior ao dela.)</t>
  </si>
  <si>
    <t>Fury of the Horde / Fúria da Horda</t>
  </si>
  <si>
    <t>Você pode exilar dois cards vermelhos de sua mão em vez de pagar o custo de mana de Fúria da Horda. Desvire todas as criaturas que atacaram neste turno. Após esta fase principal, há uma fase de combate adicional seguida por uma fase principal adicional.</t>
  </si>
  <si>
    <t>5RR</t>
  </si>
  <si>
    <t>Futurist Forge</t>
  </si>
  <si>
    <t>When this artifact enters, draw a card. {3}{U}, Sacrifice this artifact: Draw two cards.</t>
  </si>
  <si>
    <t>Futurist Sentinel / Sentinela Futurista</t>
  </si>
  <si>
    <t>Crew 3 (Tap any number of creatures you control with total power 3 or more: This Vehicle becomes an artifact creature until end of turn.) / Tripular 3 (Vire qualquer número de criaturas que você controla com total de poder igual ou superior a 3: Este Veículo torna-se uma criatura artefato até o final do turno.)</t>
  </si>
  <si>
    <t>Fyndhorn Bow / Arco de Fyndhorn</t>
  </si>
  <si>
    <t>{3}, {T}: Target creature gains first strike until end of turn.</t>
  </si>
  <si>
    <t>Gaea's Gift / Presente de Gaia</t>
  </si>
  <si>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</si>
  <si>
    <t>Gaelicat / Gato Gaélico</t>
  </si>
  <si>
    <t>Criatura — Gato</t>
  </si>
  <si>
    <t>Voar, vigilância. Enquanto você controlar dois ou mais artefatos, esta criatura receberá +2/+0.</t>
  </si>
  <si>
    <t>Gaius van Baelsar</t>
  </si>
  <si>
    <t>When Gaius van Baelsar enters, choose one — • Each player sacrifices a creature token of their choice. • Each player sacrifices a nontoken creature of their choice. • Each player sacrifices an enchantment of their choice.</t>
  </si>
  <si>
    <t>2BB</t>
  </si>
  <si>
    <t>Final Fantasy (FFXIV)</t>
  </si>
  <si>
    <t>Galadriel, Elven-Queen / Galadriel, Rainha Élfica</t>
  </si>
  <si>
    <t>Legendary Creature — Elf Noble / Criatura Lendária — Elfo Nobre</t>
  </si>
  <si>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</si>
  <si>
    <t>{2}{G}{U}</t>
  </si>
  <si>
    <t>Tales of Middle-earth Commander (LTC)</t>
  </si>
  <si>
    <t>Galestrike / Golpe do Vendaval</t>
  </si>
  <si>
    <t>Return target tapped creature to its owner's hand. Draw a card. / Devolva a criatura virada alvo para a mão de seu dono. Compre um card.</t>
  </si>
  <si>
    <t>Gallant Fowlknight</t>
  </si>
  <si>
    <t>Creature — Kithkin Knight</t>
  </si>
  <si>
    <t>When this creature enters, creatures you control get +1/+0 until end of turn. Kithkin creatures you control also gain first strike until end of turn.</t>
  </si>
  <si>
    <t>Gallant Strike</t>
  </si>
  <si>
    <t>Destroy target creature with toughness 4 or greater. Cycling {2} ({2}, Discard this card: Draw a card.)</t>
  </si>
  <si>
    <t>Gallantry / Galanteria</t>
  </si>
  <si>
    <t>Target blocking creature gets +4/+4 until end of turn. Draw a card. / A criatura alvo bloqueadora recebe +4/+4 até o final do turno. Compre um card.</t>
  </si>
  <si>
    <t>Galuf's Final Act / Ato Final de Galuf</t>
  </si>
  <si>
    <t>Até o final do turno, a criatura alvo recebe +1/+0 e ganha "Quando esta criatura morrer, coloque uma quantidade de marcadores +1/+1 igual ao poder dela em até uma criatura alvo."</t>
  </si>
  <si>
    <t>Galvanic Alchemist / Alquimista Galvânico</t>
  </si>
  <si>
    <t>Soulbond (You may pair this creature with another unpaired creature when either enters. They remain paired for as long as you control both of them.) As long as this creature is paired with another creature, each of those creatures has "{2}{U}: Untap this creature." / Elo espiritual (Você pode emparelhar esta criatura com outra criatura não emparelhada quando uma delas entrar no campo de batalha. Elas permanecem emparelhadas enquanto você controlar ambas.) Enquanto Alquimista Galvânico estiver emparelhado com outra criatura, cada uma dessas criaturas terá "{2}{U}: Desvire esta criatura."</t>
  </si>
  <si>
    <t>Galvanic Blast / Explosão Galvânica</t>
  </si>
  <si>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</si>
  <si>
    <t>Galvanic Key</t>
  </si>
  <si>
    <t>You may play Galvanic Key any time you could play an instant. {3}, {T}: Untap target artifact.</t>
  </si>
  <si>
    <t>Galvanizing Sawship / Nauserra Galvanizante</t>
  </si>
  <si>
    <t>Estação (Vire outra criatura que você controla: Coloque marcadores de carga iguais ao poder dela nesta Nave Espacial. Estacione somente como um feitiço. É uma criatura artefato enquanto tiver 3+.) Voar, ímpeto</t>
  </si>
  <si>
    <t>5{R}</t>
  </si>
  <si>
    <t>Gandalf, Amigo do Condado / Gandalf, Friend of the Shire</t>
  </si>
  <si>
    <t>Criatura Lendária — Avatar Mago</t>
  </si>
  <si>
    <t>Lampejo. Você pode conjurar mágicas de feitiço como se tivessem lampejo. Toda vez que o Anel tentar você, se você escolher uma criatura que não seja Gandalf, Amigo do Condado, como seu Guardião do Anel, compre um card.</t>
  </si>
  <si>
    <t>Gangly Stompling</t>
  </si>
  <si>
    <t>Changeling (This card is every creature type.) Trample</t>
  </si>
  <si>
    <t>{2}{R/G}</t>
  </si>
  <si>
    <t>Gangrenous Zombies / Zumbis Gangrenosos</t>
  </si>
  <si>
    <t>{T}, Sacrifice this creature: This creature deals 1 damage to each creature and each player. If you control a snow Swamp, this creature deals 2 damage to each creature and each player instead.</t>
  </si>
  <si>
    <t>Garna, the Bloodflame / Garna, a Chama Sanguínea</t>
  </si>
  <si>
    <t>Flash When Garna enters, return to your hand all creature cards in your graveyard that were put there from anywhere this turn. Other creatures you control have haste. / Lampejo Quando Garna, a Chama Sanguínea, entrar no campo de batalha, devolva para sua mão todos os cards de criatura em seu cemitério que tenham sido colocados lá de qualquer lugar neste turno. As outras criaturas que você controla têm ímpeto.</t>
  </si>
  <si>
    <t>{3}{B}{R}</t>
  </si>
  <si>
    <t>Garnet, Princess of Alexandria / Garnet, Princesa de Alexandria</t>
  </si>
  <si>
    <t>Criatura Lendária — Humano Nobre Clerigo</t>
  </si>
  <si>
    <t>Vínculo com a vida. Sempre que Garnet atacar, você poderá remover um marcador de conhecimento de cada um de qualquer número de Sagas que você controla. Coloque um marcador +1/+1 em Garnet para cada marcador de conhecimento removido deste modo.</t>
  </si>
  <si>
    <t>Verde/Branco</t>
  </si>
  <si>
    <t>Garrison Excavator / Escavador da Guarnição</t>
  </si>
  <si>
    <t>Creature — Orc Sorcerer / Criatura — Orc Feiticeiro</t>
  </si>
  <si>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</si>
  <si>
    <t>Garruk Wildspeaker / Garruk Falabravo</t>
  </si>
  <si>
    <t>Legendary Planeswalker — Garruk / Planeswalker — Garruk</t>
  </si>
  <si>
    <t>Gate Colossus / Colosso do Portão</t>
  </si>
  <si>
    <t>This spell costs {1} less to cast for each Gate you control. Gate Colossus can't be blocked by creatures with power 2 or less. Whenever a Gate enters the battlefield under your control, you may put Gate Colossus from your graveyard on top of your library.</t>
  </si>
  <si>
    <t>Gatebreaker Ram / Carneiro Quebra-portões</t>
  </si>
  <si>
    <t>Creature — Sheep / Criatura — Ovelha</t>
  </si>
  <si>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</si>
  <si>
    <t>Gateway Plaza / Praça do Portão</t>
  </si>
  <si>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</si>
  <si>
    <t>Gather the Townsfolk / Reunir o Povo</t>
  </si>
  <si>
    <t>Create two 1/1 white Human creature tokens. Fateful hour — If you have 5 or less life, create five of those tokens instead. / Coloque no campo de batalha duas fichas de criatura brancas 1/1 do tipo Humano. Hora fatal — Se você tiver 5 ou menos pontos de vida, em vez disso, coloque cinco dessas fichas no campo de batalha.</t>
  </si>
  <si>
    <t>Gato Preto / Black Cat</t>
  </si>
  <si>
    <t>Criatura — Zumbi Felino / Creature — Zombie Cat</t>
  </si>
  <si>
    <t>Quando Gato Preto morre, o oponente alvo descarta um card aleatoriamente. / When Black Cat dies, target opponent discards a card at random.</t>
  </si>
  <si>
    <t>Gaze of Pain / Olhar de Dor</t>
  </si>
  <si>
    <t>Until end of turn, whenever a creature you control attacks and isn't blocked, you may choose to have it deal damage equal to its power to a target creature. If you do, it assigns no combat damage this turn.</t>
  </si>
  <si>
    <t>Gearseeker Serpent / Serpente Mecanívora</t>
  </si>
  <si>
    <t>Affinity for artifacts (This spell costs {1} less to cast for each artifact you control.) {5}{U}: This creature can't be blocked this turn. / Serpente Mecanívora custa {1} a menos para ser conjurada para cada artefato que você controla. {5}{U}: Serpente Mecanívora não pode ser bloqueada neste turno.</t>
  </si>
  <si>
    <t>Geist of the Lonely Vigil / Geist da Vigia Solitária</t>
  </si>
  <si>
    <t>Creature — Spirit Cleric / Criatura — Espírito Clérigo</t>
  </si>
  <si>
    <t>Defender, flying Delirium — This creature can attack as though it didn't have defender as long as there are four or more card types among cards in your graveyard. / Defensor, voar Delírio — Geist da Vigia Solitária poderá atacar como se não tivesse defensor enquanto houver quatro ou mais tipos de card entre os cards de seu cemitério.</t>
  </si>
  <si>
    <t>Geist-Fueled Scarecrow / Espantalho Movido a Geist</t>
  </si>
  <si>
    <t>Creature spells you cast cost {1} more to cast. / As mágicas de criatura que você conjura custam {1} a mais para serem conjuradas.</t>
  </si>
  <si>
    <t>Gelar</t>
  </si>
  <si>
    <t>Negociar (Você pode sacrificar um artefato, um encantamento ou uma ficha conforme conjura esta mágica.) Esta mágica custa {1} a menos para conjurar se tiver sido negociada. Anule a mágica alvo.</t>
  </si>
  <si>
    <t>Terras Selvagens de Eldraine (WOE)</t>
  </si>
  <si>
    <t>General Traag, Heart of Stone</t>
  </si>
  <si>
    <t>Legendary Artifact Creature — Elemental Soldier</t>
  </si>
  <si>
    <t>Trample When General Traag enters, you may sacrifice another artifact. When you do, General Traag deals 4 damage to target creature.</t>
  </si>
  <si>
    <t>Gênese Planar / Planar Genesis</t>
  </si>
  <si>
    <t>Olhe os quatro cards do topo de seu grimório. Você pode colocar um card de terreno dentre eles no campo de batalha virado. Se não fizer isso, coloque um card dentre eles em sua mão. Coloque o restante no fundo de seu grimório em ordem aleatória. / Look at the top four cards of your library. You may put a land card from among them onto the battlefield tapped. If you don't, put a card from among them into your hand. Put the rest on the bottom of your library in a random order.</t>
  </si>
  <si>
    <t>Verde e Azul</t>
  </si>
  <si>
    <t>Genghis Frog</t>
  </si>
  <si>
    <t>Legendary Creature — Frog Mutant Rogue</t>
  </si>
  <si>
    <t>Trample Whenever Genghis Frog or another Mutant you control enters, create a Mutagen token. (It's an artifact with "{1}, {T}, Sacrifice this token: Put a +1/+1 counter on target creature. Activate only as a sorcery.")</t>
  </si>
  <si>
    <t>Genju of the Falls / Genju das Cataratas</t>
  </si>
  <si>
    <t>Enchantment — Aura / Encantar Ilha</t>
  </si>
  <si>
    <t>Enchant Island {2}: Enchanted Island becomes a 3/2 blue Spirit creature with flying until end of turn. It's still a land. When enchanted Island is put into a graveyard, you may return this card from your graveyard to your hand. / {2}: Até o final do turno, a Ilha encantada se torna uma criatura azul 3/2 do tipo Espírito com a habilidade de voar. Ela ainda é um terreno. Quando a Ilha encantada for colocada num cemitério, você pode devolver Genju das Cataratas de seu cemitério para a sua mão.</t>
  </si>
  <si>
    <t>Geothermal Kami / Kami Geotérmico</t>
  </si>
  <si>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</si>
  <si>
    <t>Gerador de Carniçais / Ghoulraiser</t>
  </si>
  <si>
    <t>Quando Gerador de Carniçais entrar no campo de batalha, devolva um card de Zumbi de seu cemitério para sua mão aleatoriamente. / When Ghoulraiser enters the battlefield, return a Zombie card from your graveyard to your hand at random.</t>
  </si>
  <si>
    <t>Get the Point / Performance de Ponta</t>
  </si>
  <si>
    <t>Destroy target creature. Scry 1. / Destrua a criatura alvo. Vidência 1.</t>
  </si>
  <si>
    <t>Geyser Leaper</t>
  </si>
  <si>
    <t>Flying Waterbend {4}: Draw a card, then discard a card. (While paying a waterbend cost, you can tap your artifacts and creatures to help. Each one pays for {1}.)</t>
  </si>
  <si>
    <t>Ghirapur Aether Grid / Grade de Éter de Ghirapur</t>
  </si>
  <si>
    <t>Tap two untapped artifacts you control: This enchantment deals 1 damage to any target. / Vire dois artefatos desvirados que você controla: Grade de Éter de Ghirapur causa 1 ponto de dano à criatura ou ao jogador alvo.</t>
  </si>
  <si>
    <t>Ghirapur Gearcrafter / Artesão Mecânico de Ghirapur</t>
  </si>
  <si>
    <t>When this creature enters, create a 1/1 colorless Thopter artifact creature token with flying. (A creature with flying can't be blocked except by creatures with flying or reach.) / Quando Artesão Mecânico de Ghirapur entrar no campo de batalha, coloque no campo de batalha uma ficha de criatura artefato incolor 1/1 do tipo Tóptero com voar. (Uma criatura com voar só pode ser bloqueada por criaturas com voar ou alcance.)</t>
  </si>
  <si>
    <t>Ghirapur Guide / Guia de Ghirapur</t>
  </si>
  <si>
    <t>{2}{G}: Target creature you control can't be blocked by creatures with power 2 or less this turn. / {2}{G}: A criatura alvo que você controla não pode ser boqueada neste turno por criaturas com poder igual ou inferior a 2.</t>
  </si>
  <si>
    <t>Ghitu Amplifier / Amplificadora Ghitu</t>
  </si>
  <si>
    <t>Kicker {2}{U} (You may pay an additional {2}{U} as you cast this spell.) When this creature enters, if it was kicked, return target creature an opponent controls to its owner's hand. Whenever you cast an instant or sorcery spell, this creature gets +2/+0 until end of turn. / Reforçar {2}{U} (Você pode pagar um custo adicional de {2}{U} ao conjurar esta mágica.) Quando Amplificadora Ghitu entra no campo de batalha, se ela foi reforçada, devolva a criatura alvo que um oponente controla para a mão de seu dono. Toda vez que você conjura uma mágica instantânea ou um feitiço, Amplificadora Ghitu recebe +2/+0 até o final do turno.</t>
  </si>
  <si>
    <t>Ghitu Encampment / Acampamento Ghitu</t>
  </si>
  <si>
    <t>Ghitu Encampment entra no campo de batalha virado. T: Adicione R à sua reserva de mana. 1R: Ghitu Encampment torna-se uma criatura 2/1 vermelha do tipo Guerreiro com iniciativa até o final do turno. Ainda é um terreno.</t>
  </si>
  <si>
    <t>Ghost, Spectral Saboteur / Fantasma, Sabotador Espectral</t>
  </si>
  <si>
    <t>Criatura Lendária — Humano Ladino Vilão</t>
  </si>
  <si>
    <t>Lampejo. Intangibilidade — Fantasma não pode ser bloqueado.</t>
  </si>
  <si>
    <t>2{U/B}</t>
  </si>
  <si>
    <t>Ghostly Keybearer</t>
  </si>
  <si>
    <t>Flying Whenever this creature deals combat damage to a player, unlock a locked door of up to one target Room you control.</t>
  </si>
  <si>
    <t>Ghostly Wings / Asas Fantasmagóricas</t>
  </si>
  <si>
    <t>Enchant creature Enchanted creature gets +1/+1 and has flying. Discard a card: Return enchanted creature to its owner's hand. / Encantar criatura A criatura encantada recebe +1/+1 e tem voar. Descarte um card: Devolva a criatura encantada para a mão de seu dono.</t>
  </si>
  <si>
    <t>Giant Cockroach / Barata Gigante</t>
  </si>
  <si>
    <t>Urza's Legacy (ULG)</t>
  </si>
  <si>
    <t>Giant Growth / Crescimento Desenfreado</t>
  </si>
  <si>
    <t>Target creature gets +3/+3 until end of turn. / A criatura alvo recebe +3/+3 até o final do turno.</t>
  </si>
  <si>
    <t>Giant Koi</t>
  </si>
  <si>
    <t>Creature — Fish</t>
  </si>
  <si>
    <t>Waterbend {3}: This creature can't be blocked this turn. (While paying a waterbend cost, you can tap your artifacts and creatures to help. Each one pays for {1}.) Islandcycling {2} ({2}, Discard this card: Search your library for an Island card, reveal it, put it into your hand, then shuffle.)</t>
  </si>
  <si>
    <t>Giant Slug</t>
  </si>
  <si>
    <t>Creature — Slug</t>
  </si>
  <si>
    <t>{5}: At the beginning of your next upkeep, choose a basic land type. This creature gains landwalk of the chosen type until the end of that turn. (It can't be blocked as long as defending player controls a land of that type.)</t>
  </si>
  <si>
    <t>Legends (LEG)</t>
  </si>
  <si>
    <t>Giant Spider / Aranha Gigante</t>
  </si>
  <si>
    <t>Reach (This creature can block creatures with flying.) / Alcance (Esta criatura pode bloquear criaturas com voar.)</t>
  </si>
  <si>
    <t>Giant Strength / Força do Gigante</t>
  </si>
  <si>
    <t>Enchant creature Enchanted creature gets +2/+2.</t>
  </si>
  <si>
    <t>Gideon's Lawkeeper / Guardião da Lei de Gideon</t>
  </si>
  <si>
    <t>Modern Masters 2017 (MM3)</t>
  </si>
  <si>
    <t>Gideon's Triumph / Triunfo de Gideon</t>
  </si>
  <si>
    <t>Target opponent sacrifices a creature of their choice that attacked or blocked this turn. If you control a Gideon planeswalker, that player sacrifices two of those creatures of their choice instead. / O oponente alvo sacrifica uma criatura que atacou ou bloqueou neste turno. Se você controla um planeswalker Gideon, aquele jogador, em vez disso, sacrifica duas daquelas criaturas.</t>
  </si>
  <si>
    <t>Gift of Strength / Dádiva da Força</t>
  </si>
  <si>
    <t>Target creature gets +3/+3 and gains reach until end of turn. / A criatura alvo recebe +3/+3 e ganha alcance até o final do turno.</t>
  </si>
  <si>
    <t>Gift of the Viper / Presente da Víbora</t>
  </si>
  <si>
    <t>Put a +1/+1 counter, a reach counter, and a deathtouch counter on target creature. Untap it. / Coloque um marcador +1/+1, um marcador de alcance e um marcador de toque mortífero na criatura alvo. Desvire aquela criatura.</t>
  </si>
  <si>
    <t>Gift of Wrath / Dádiva da Ira</t>
  </si>
  <si>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</si>
  <si>
    <t>Gigantoad</t>
  </si>
  <si>
    <t>Creature — Frog</t>
  </si>
  <si>
    <t>As long as you control seven or more lands, this creature gets +2/+2.</t>
  </si>
  <si>
    <t>3G</t>
  </si>
  <si>
    <t>Final Fantasy (FFXV)</t>
  </si>
  <si>
    <t>Gilded Ghoda</t>
  </si>
  <si>
    <t>Whenever this creature attacks while saddled, create a Treasure token. (It's an artifact with "{T}, Sacrifice this token: Add one mana of any color.") Saddle 1 (Tap any number of other creatures you control with total power 1 or more: This Mount becomes saddled until end of turn. Saddle only as a sorcery.)</t>
  </si>
  <si>
    <t>Gilgamesh, Master-at-Arms / Gilgamesh, Mestre de Armas</t>
  </si>
  <si>
    <t>Criatura Lendária — Humano Samurai</t>
  </si>
  <si>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</si>
  <si>
    <t>4RR</t>
  </si>
  <si>
    <t>Gilt-Leaf's Embrace</t>
  </si>
  <si>
    <t>Flash. Enchant creature. When this Aura enters, enchanted creature gains trample and indestructible until end of turn. Enchanted creature gets +2/+0.</t>
  </si>
  <si>
    <t>Giltgrove Stalker / Espreitadora do Bosque D'ouro</t>
  </si>
  <si>
    <t>This creature can't be blocked by creatures with power 2 or less. / Espreitadora do Bosque D'ouro não pode ser bloqueada por criaturas com poder igual ou inferior a 2.</t>
  </si>
  <si>
    <t>Gimli, Contador de Abantes / Gimli, Counter of Kills</t>
  </si>
  <si>
    <t>Criatura Lendária — Anão Guerreiro</t>
  </si>
  <si>
    <t>Atropelar. Toda vez que uma criatura que um oponente controla morre, Gimli, Contador de Abantes, causa 1 ponto de dano ao controlador daquela criatura.</t>
  </si>
  <si>
    <t>Giott, King of the Dwarves</t>
  </si>
  <si>
    <t>Legendary Creature — Dwarf Noble</t>
  </si>
  <si>
    <t>Double strike Whenever Giott or another Dwarf you control enters and whenever an Equipment you control enters, you may discard a card. If you do, draw a card.</t>
  </si>
  <si>
    <t>RW</t>
  </si>
  <si>
    <t>Vermelha e Branco</t>
  </si>
  <si>
    <t>Give No Ground / Não Ceder Terreno</t>
  </si>
  <si>
    <t>Target creature gets +2/+6 until end of turn and can block any number of creatures this turn. / A criatura alvo recebe +2/+6 até o final do turno e pode bloquear qualquer número de criaturas neste turno.</t>
  </si>
  <si>
    <t>Glaciers</t>
  </si>
  <si>
    <t>During your upkeep, pay {W}{U} or destroy Glaciers. All mountains become plains.</t>
  </si>
  <si>
    <t>Gladiolus Amicitia</t>
  </si>
  <si>
    <t>Legendary Creature — Human Warrior</t>
  </si>
  <si>
    <t>When Gladiolus Amicitia enters, search your library for a land card, put it onto the battlefield tapped, then shuffle. Landfall — Whenever a land you control enters, another target creature you control gets +2/+2 and gains trample until end of turn.</t>
  </si>
  <si>
    <t>Final Fantasy (FIN)</t>
  </si>
  <si>
    <t>Gladiolus Amicitia / Gladiolus Amicitia</t>
  </si>
  <si>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</si>
  <si>
    <t>4{R}{G}</t>
  </si>
  <si>
    <t>Vermelho/Verde</t>
  </si>
  <si>
    <t>Glaive do Pacto das Guildas / Glaive of the Guildpact</t>
  </si>
  <si>
    <t>A criatura equipada recebe +1/+0 para cada Portão que você controla e tem vigilância e ameaçar. (Uma criatura com ameaçar só pode ser bloqueada por duas ou mais criaturas.) Equipar {3} ({3}: Anexe-o à criatura alvo que você controla. Equipe somente como um feitiço.)</t>
  </si>
  <si>
    <t>Glamer Gifter</t>
  </si>
  <si>
    <t>Creature — Faerie Wizard</t>
  </si>
  <si>
    <t>Flash. Flying. When this creature enters, choose up to one other target creature. Until end of turn, that creature has base power and toughness 4/4 and gains all creature types.</t>
  </si>
  <si>
    <t>Glamermite</t>
  </si>
  <si>
    <t>Flash. Flying. When this creature enters, choose one — Tap target creature. Untap target creature.</t>
  </si>
  <si>
    <t>Glamorous Grapplers</t>
  </si>
  <si>
    <t>Creature — Human Performer Villain</t>
  </si>
  <si>
    <t>Menace (This creature can't be blocked except by two or more creatures.)</t>
  </si>
  <si>
    <t>Glasses of Urza / Óculos de Urza</t>
  </si>
  <si>
    <t>{T}: Look at target player's hand.</t>
  </si>
  <si>
    <t>{T}: Regardez la main de votre adversaire. / {T}: Look at your opponent's hand.</t>
  </si>
  <si>
    <t>Gleaming Barrier / Barreira Cintilante</t>
  </si>
  <si>
    <t>Defender. When this creature dies, create a Treasure token. (It's an artifact with “{T}, Sacrifice this token: Add one mana of any color.”) / Defensor. Quando esta criatura morre, crie uma ficha de Tesouro. (É um artefato com “{T}, Sacrifique esta ficha: Adicione um mana de qualquer cor.”)</t>
  </si>
  <si>
    <t>Gleaming Barrier / Barreira Reluzente</t>
  </si>
  <si>
    <t>Defender When this creature dies, create a Treasure token. (It's an artifact with "{T}, Sacrifice this token: Add one mana of any color.") / Defensor Quando Barreira Reluzente morrer, crie uma ficha de artefato incolor do tipo Tesouro com "{T}, sacrifique este artefato: Adicione um mana de qualquer cor à sua reserva de mana."</t>
  </si>
  <si>
    <t>Gleaming Geardrake / Mecanodrago Reluzente</t>
  </si>
  <si>
    <t>Artifact Creature — Drake / Criatura Artefato — Dragonete</t>
  </si>
  <si>
    <t>Flying When this creature enters, investigate. (Create a Clue token. It's an artifact with "{2}, Sacrifice this token: Draw a card.") Whenever you sacrifice an artifact, put a +1/+1 counter on this creature. / Voar Quando Mecanodrago Reluzente entrar no campo de batalha, investigue. (Crie uma ficha de Pista. Ela é um artefato com "{2}, sacrifique este artefato: Compre um card".) Toda vez que você sacrificar um artefato, coloque um marcador +1/+1 em Mecanodrago Reluzente.</t>
  </si>
  <si>
    <t>{U}{R}</t>
  </si>
  <si>
    <t>Glider Kids</t>
  </si>
  <si>
    <t>Flying When this creature enters, scry 1. (Look at the top card of your library. You may put it on the bottom.)</t>
  </si>
  <si>
    <t>Glider Staff</t>
  </si>
  <si>
    <t>When this Equipment enters, airbend up to one target creature. (Exile it. While it's exiled, its owner may cast it for {2} rather than its mana cost.) Equipped creature gets +1/+1 and has flying. Equip {2}</t>
  </si>
  <si>
    <t>Glimmer of Genius / Lampejo de Genialidade</t>
  </si>
  <si>
    <t>Scry 2, then draw two cards. You get {E}{E} (two energy counters). / Use vidência 2 e depois compre dois cards. Você recebe {E}{E} (dois marcadores de energia).</t>
  </si>
  <si>
    <t>Glimmerburst</t>
  </si>
  <si>
    <t>Draw two cards. Create a 1/1 white Glimmer enchantment creature token.</t>
  </si>
  <si>
    <t>Glimmerlight</t>
  </si>
  <si>
    <t>When Glimmerlight enters, create a 1/1 white Glimmer enchantment creature token. Equipped creature gets +1/+1. Equip {1}</t>
  </si>
  <si>
    <t>When this Equipment enters, create a 1/1 white Glimmer enchantment creature token. Equipped creature gets +1/+1. Equip {1} ({1}: Attach to target creature you control. Equip only as a sorcery.)</t>
  </si>
  <si>
    <t>Glint / Reluzir</t>
  </si>
  <si>
    <t>Glint Hawk Idol / Ídolo de Falcão Cintilante</t>
  </si>
  <si>
    <t>Whenever another artifact you control enters, you may have this artifact become a 2/2 Bird artifact creature with flying until end of turn. {W}: This artifact becomes a 2/2 Bird artifact creature with flying until end of turn. / Toda vez que outro artefato entrar no campo de batalha sob o seu controle, você poderá fazer com que Ídolo de Falcão Cintilante se torne uma criatura artefato 2/2 com voar até o final do turno. {W}: Ídolo de Falcão Cintilante torna-se uma criatura artefato 2/2 com voar até o final do turno.</t>
  </si>
  <si>
    <t>Glint-Nest Crane / Garça Nidilume</t>
  </si>
  <si>
    <t>Flying When this creature enters, look at the top four cards of your library. You may reveal an artifact card from among them and put it into your hand. Put the rest on the bottom of your library in any order. / Voar Quando Garça Nidilume entrar no campo de batalha, olhe os quatro cards do topo de seu grimório. Você pode revelar um card de artefato entre eles e colocá-lo em sua mão. Coloque o restante no fundo de seu grimório em qualquer ordem.</t>
  </si>
  <si>
    <t>Glint-Sleeve Siphoner / Sifonadora Braçoluz</t>
  </si>
  <si>
    <t>Menace Whenever this creature enters or attacks, you get {E} (an energy counter). At the beginning of your upkeep, you may pay {E}{E}. If you do, you draw a card and you lose 1 life. / Ameaçar Toda vez que Sifonadora Braçoluz entra no campo de batalha ou ataca, você recebe {E} (um marcador de energia). No início de sua manutenção, você pode pagar {E}{E}. Se fizer isso, você compra um card e perde 1 ponto de vida.</t>
  </si>
  <si>
    <t>Glissa's Scorn / Escárnio de Glissa</t>
  </si>
  <si>
    <t>Destroy target artifact. Its controller loses 1 life. / Destrua o artefato alvo. Seu controlador perde 1 ponto de vida.</t>
  </si>
  <si>
    <t>Glittering Lynx / Lince Cintilante</t>
  </si>
  <si>
    <t>Creature — Cat</t>
  </si>
  <si>
    <t>Prevent all damage that would be dealt to Glittering Lynx. {2}: Until end of turn, Glittering Lynx loses “Prevent all damage that would be dealt to Glittering Lynx.” Any player may play this ability.</t>
  </si>
  <si>
    <t>Gloomlance / Lança das Trevas</t>
  </si>
  <si>
    <t>Destroy target creature. If that creature was green or white, its controller discards a card. / Destrua a criatura alvo. Se aquela criatura for verde ou branca, seu controlador descartará um card.</t>
  </si>
  <si>
    <t>Glorfindel, Salvador Destemido / Glorfindel, Dauntless Rescue</t>
  </si>
  <si>
    <t>Toda vez que você usar vidência, escolha um e Glorfindel, Salvador Destemido, receberá +1/+1 até o final do turno. • Glorfindel deve ser bloqueado neste turno se possível. • Glorfindel não pode ser bloqueado por mais de uma criatura a cada combate neste turno.</t>
  </si>
  <si>
    <t>Glorious Sunrise / Nascer do Sol Glorioso</t>
  </si>
  <si>
    <t>Rare / Raro</t>
  </si>
  <si>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</si>
  <si>
    <t>Glowspore Shaman / Xamã Lumispórea</t>
  </si>
  <si>
    <t>When this creature enters, mill three cards. You may put a land card from your graveyard on top of your library. (To mill a card, put the top card of your library into your graveyard.) / Quando Xamã Lumispórea entrar no campo de batalha, coloque os três cards do topo de seu grimório em seu cemitério. Você pode colocar um card de terreno de seu cemitério no topo de seu grimório.</t>
  </si>
  <si>
    <t>Glyph Elemental / Elemental dos Glifos</t>
  </si>
  <si>
    <t>Enchantment Creature — Elemental / Criatura Encantamento — Elemental</t>
  </si>
  <si>
    <t>Bestow {1}{W} (If you cast this card for its bestow cost, it's an Aura spell with enchant creature. It becomes a creature again if it's not attached.) Landfall — Whenever a land you control enters, put a +1/+1 counter on this permanent. Enchanted creature gets +1/+1 for each +1/+1 counter on this Aura. / Agraciar {1}{W} (Se você conjurar este card por seu custo de agraciar, ele será uma mágica de Aura com encantar criatura. Ele se tornará novamente uma criatura se não estiver anexado.) Aterragem — Toda vez que um terreno entrar no campo de batalha sob seu controle, coloque um marcador +1/+1 em Elemental dos Glifos. A criatura encantada recebe +1/+1 por cada marcador +1/+1 em Elemental dos Glifos.</t>
  </si>
  <si>
    <t>Gnarlbark Elm</t>
  </si>
  <si>
    <t>This creature enters with two -1/-1 counters on it. {2}{B}, Remove two counters from this creature: Target creature gets -2/-2 until end of turn. Activate only as a sorcery.</t>
  </si>
  <si>
    <t>Gnarled Scarhide / Mutilado das Cicatrizes</t>
  </si>
  <si>
    <t>Enchantment Creature — Minotaur / Criatura Encantamento — Minotauro</t>
  </si>
  <si>
    <t>Bestow {3}{B} (If you cast this card for its bestow cost, it's an Aura spell with enchant creature. It becomes a creature again if it's not attached.) This creature can't block. Enchanted creature gets +2/+1 and can't block. / Agraciar {3}{B} (Se você conjurar este card pagando seu custo de agraciar, ele será uma mágica de Aura com encantar criatura. Ele se tornará novamente uma criatura se não estiver anexado a uma criatura.) Mutilado das Cicatrizes não pode bloquear. A criatura encantada recebe +2/+1 e não pode bloquear.</t>
  </si>
  <si>
    <t>Gnarlid Colony / Colônia de Gnarlids</t>
  </si>
  <si>
    <t>Kicker {2}{G} (You may pay an additional {2}{G} as you cast this spell.) If this creature was kicked, it enters with two +1/+1 counters on it. Each creature you control with a +1/+1 counter on it has trample. (It can deal excess combat damage to the player or planeswalker it's attacking.) / Reforçar {2}{G} (Você pode pagar um custo adicional de {2}{G} ao conjurar esta mágica.) Se Colônia de Gnarlids foi reforçada, ela entra no campo de batalha com dois marcadores +1/+1. Cada criatura que você controla com um marcador +1/+1 tem atropelar.</t>
  </si>
  <si>
    <t>Gnarlroot Trapper / Armadilheiro das Raízes Nodosas</t>
  </si>
  <si>
    <t>{T}, Pay 1 life: Add {G}. Spend this mana only to cast an Elf creature spell. {T}: Target attacking Elf you control gains deathtouch until end of turn. (Any amount of damage it deals to a creature is enough to destroy it.) / {T}, Pague 1 ponto de vida: Adicione {G} à sua reserva de mana. Gaste este mana apenas para conjurar uma mágica de criatura do tipo Elfo.{T}: A criatura alvo atacante do tipo Elfo que você controla ganha toque mortífero até o final do turno. (Qualquer quantidade de dano que ela cause a uma criatura é suficiente para destruí-la.)</t>
  </si>
  <si>
    <t>Gnawing Zombie</t>
  </si>
  <si>
    <t>{1}{B}, Sacrifice a creature: Target player loses 1 life and you gain 1 life.</t>
  </si>
  <si>
    <t>Gnoll Hunter / Caçador Gnoll</t>
  </si>
  <si>
    <t>Creature — Gnoll / Criatura — Gnoll</t>
  </si>
  <si>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</si>
  <si>
    <t>Gnomo-bússola / Compass Gnome</t>
  </si>
  <si>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</si>
  <si>
    <t>Go Ninja Go</t>
  </si>
  <si>
    <t>Choose one or both — • Exile target creature you control, then return it to the battlefield under its owner's control. • Go Ninja Go deals damage equal to the greatest power among creatures you control to target creature an opponent controls.</t>
  </si>
  <si>
    <t>Go-Shintai of Hidden Cruelty / Go-Shintai da Crueldade Oculta</t>
  </si>
  <si>
    <t>Legendary Enchantment Creature — Shrine / Criatura Encantamento Lendária — Sacrário</t>
  </si>
  <si>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</si>
  <si>
    <t>Goblin</t>
  </si>
  <si>
    <t>Goblin Archaeologist / Arqueólogo Goblin</t>
  </si>
  <si>
    <t>Creature — Goblin Artificer / Criatura — Artesão Goblin</t>
  </si>
  <si>
    <t>{R}, {T}: Flip a coin. If you win the flip, destroy target artifact and untap this creature. If you lose the flip, sacrifice this creature. / {R}, {T}: Lance uma moeda. Se você vencer o lance, destrua a criatura artefato alvo e desvire Arqueólogo Goblin. Se perder, sacrifique Arqueólogo Goblin.</t>
  </si>
  <si>
    <t>Goblin Balloon Brigade / Brigada Baloeira Goblin</t>
  </si>
  <si>
    <t>{R}: This creature gains flying until end of turn. / {R}: Brigada Baloeira Goblin ganha a habilidade de voar até o final do turno.</t>
  </si>
  <si>
    <t>Goblin Boarders</t>
  </si>
  <si>
    <t>Creature — Goblin Pirate</t>
  </si>
  <si>
    <t>Raid — This creature enters with a +1/+1 counter on it if you attacked this turn.</t>
  </si>
  <si>
    <t>Goblin Bombardment / Bombardeio de Goblins</t>
  </si>
  <si>
    <t>Sacrifique uma criatura: Bombardeio de Goblins causa 1 de dano à criatura ou ao jogador alvo.</t>
  </si>
  <si>
    <t>Goblin Brawler / Rufião Goblin</t>
  </si>
  <si>
    <t>First strike This creature can't be equipped. / Iniciativa Rufião Goblin não pode ser equipado.</t>
  </si>
  <si>
    <t>Fifth Dawn (5DN)</t>
  </si>
  <si>
    <t>Goblin Brigand / Bandoleiro Goblin</t>
  </si>
  <si>
    <t>This creature attacks each combat if able. / Bandoleiro Goblin ataca a cada turno se estiver apto.</t>
  </si>
  <si>
    <t>Goblin Clearcutter / Goblin Limpa-Caminhos</t>
  </si>
  <si>
    <t>{T}, Sacrifice a Forest: Add three mana in any combination of {R} and/or {G}. / {T}, Sacrifique uma floresta: Adiciona três manas em qualquer combinação de vermelho e/ou verde à sua reserva de mana.</t>
  </si>
  <si>
    <t>Legions (LGN)</t>
  </si>
  <si>
    <t>Goblin Cratermaker / Cratereiro Goblin</t>
  </si>
  <si>
    <t>Criatura — Goblin Guerreiro</t>
  </si>
  <si>
    <t>{1}, sacrifique Cratereiro Goblin: Escolha um — • Cratereiro Goblin causa 2 pontos de dano à criatura alvo. • Destrua a permanente incolor alvo que não seja um terreno.</t>
  </si>
  <si>
    <t>Goblin Dark-Dwellers / Umbrígeos Goblins</t>
  </si>
  <si>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</si>
  <si>
    <t>Goblin Deathraiders / Saqueadores da Morte Goblins</t>
  </si>
  <si>
    <t>Atropelar</t>
  </si>
  <si>
    <t>BR</t>
  </si>
  <si>
    <t>Goblin Digging Team / Grupo de Goblins Escavadores</t>
  </si>
  <si>
    <t>Creature — Goblin</t>
  </si>
  <si>
    <t>{T}, Sacrifice this creature: Destroy target Wall.</t>
  </si>
  <si>
    <t xml:space="preserve">Chronicles </t>
  </si>
  <si>
    <t>Goblin Dynamo / Dínamo Goblin</t>
  </si>
  <si>
    <t>{T}: This creature deals 1 damage to any target. {X}{R}, {T}, Sacrifice this creature: It deals X damage to any target. / {T}: Dínamo Goblin causa 1 ponto de dano à criatura alvo ou ao jogador alvo. {X}{R}, {T}, Sacrifique Dínamo Goblin: Dínamo Goblin causa X pontos de dano à criatura alvo ou ao jogador alvo.</t>
  </si>
  <si>
    <t>Goblin Firebug / Goblin Toca-Fogo</t>
  </si>
  <si>
    <t>When this creature leaves the battlefield, sacrifice a land. / Quando Goblin Toca-Fogo sair de jogo, sacrifique um terreno.</t>
  </si>
  <si>
    <t>Goblin Gathering / Encontro de Goblins</t>
  </si>
  <si>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</si>
  <si>
    <t>Goblin Glasswright / Vidreiro Goblin</t>
  </si>
  <si>
    <t>Creature — Goblin Sorcerer / Criatura — Goblin Feiticeiro</t>
  </si>
  <si>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</si>
  <si>
    <t>Goblin Grappler / Goblin Agarrador</t>
  </si>
  <si>
    <t>Provoke (Whenever this creature attacks, you may have target creature defending player controls untap and block it if able.) / Provocar (Quando esta criatura atacar, você pode desvirar a criatura alvo que o jogador defensor controla e fazer com que ela a bloqueie se estiver apta.)</t>
  </si>
  <si>
    <t>Goblin Heelcutter / Goblin Corta-calcanhar</t>
  </si>
  <si>
    <t>Creature — Goblin Berserker / Criatura — Goblin Amoque</t>
  </si>
  <si>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</si>
  <si>
    <t>Goblin Kaboomist / Goblin Cabumista</t>
  </si>
  <si>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</si>
  <si>
    <t>Goblin Machinist / Maquinista Goblin</t>
  </si>
  <si>
    <t>{2}{R}: Reveal cards from the top of your library until you reveal a nonland card. This creature gets +X/+0 until end of turn, where X is that card's mana value. Put the revealed cards on the bottom of your library in any order. / {2}{R}: Revele cards do topo de seu grimório até revelar um card que não seja um terreno. Maquinista Goblin recebe +X/+0 até o final do turno, sendo X igual ao custo de mana convertido daquele card. Coloque os cards revelados no fundo de seu grimório em qualquer ordem.</t>
  </si>
  <si>
    <t>Goblin Razerunners / Arrasa-quarteirões Goblin</t>
  </si>
  <si>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</si>
  <si>
    <t>Goblin Replica / Réplica de Goblin</t>
  </si>
  <si>
    <t>Artifact Creature — Goblin / Criatura Artefato — Goblin</t>
  </si>
  <si>
    <t>{3}{R}, Sacrifice Goblin Replica: Destroy target artifact. / {3}{R}, Sacrifique Réplica de Goblin: Destrua o artefato alvo.</t>
  </si>
  <si>
    <t>Goblin Ringleader / Líder da Gangue Goblin</t>
  </si>
  <si>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</si>
  <si>
    <t>Magic 2020 (M20)</t>
  </si>
  <si>
    <t>Goblin Rock Sled / Martelo de Pedra Goblin</t>
  </si>
  <si>
    <t>Trample This creature doesn't untap during your untap step if it attacked during your last turn. This creature can't attack unless defending player controls a Mountain.</t>
  </si>
  <si>
    <t>Goblin Roughrider / Cavaleiro Valente Goblin</t>
  </si>
  <si>
    <t>Creature — Goblin Knight / Criatura — Goblin Cavaleiro</t>
  </si>
  <si>
    <t>Goblin Sky Raider / Goblin Atacante Celeste</t>
  </si>
  <si>
    <t>Flying (This creature can't be blocked except by creatures with flying or reach.) / Voar (Esta criatura só pode ser bloqueada por criaturas com a habilidade de voar ou alcance.)</t>
  </si>
  <si>
    <t>Goblin Striker / Golpeador Goblin</t>
  </si>
  <si>
    <t>First strike, haste / Iniciativa, ímpeto</t>
  </si>
  <si>
    <t>Goblin Taskmaster / Goblin Capataz</t>
  </si>
  <si>
    <t>{1}{R}: Target Goblin creature gets +1/+0 until end of turn. Morph {R} (You may cast this card face down as a 2/2 creature for {3}. Turn it face up any time for its morph cost.) / {1}{R}: O Goblin alvo recebe +1/+0 até o final do turno. Metamorfose {R} (Você pode baixar este card com a face voltada para baixo como uma criatura 2/2 por {3}. Volte sua face para cima a qualquer momento pagando seu custo de metamorfose.)</t>
  </si>
  <si>
    <t>Goblin Tinkerer / Funileiro Goblin</t>
  </si>
  <si>
    <t>Creature — Goblin Artificer</t>
  </si>
  <si>
    <t>{R}, {T}: Destroy target artifact. That artifact deals damage equal to its mana value to this creature.</t>
  </si>
  <si>
    <t>Goblin Tomb Raider / Goblin Saqueador de Túmulos</t>
  </si>
  <si>
    <t>As long as you control an artifact, this creature gets +1/+0 and has haste. / Enquanto você controlar um artefato, Goblin Saqueador de Túmulos receberá +1/+0 e terá ímpeto.</t>
  </si>
  <si>
    <t>Goblin Trailblazer / Desbravador Goblin</t>
  </si>
  <si>
    <t>Menace (This creature can't be blocked except by two or more creatures.) / Ameaçar</t>
  </si>
  <si>
    <t>Goblin Warchief / Chefe de Guerra Goblino</t>
  </si>
  <si>
    <t>As mágicas de Goblino que você conjura custam {1} a menos para serem conjuradas. As criaturas do tipo Goblino que você controla têm ímpeto.</t>
  </si>
  <si>
    <t>1RR</t>
  </si>
  <si>
    <t>Goblins of the Flarg</t>
  </si>
  <si>
    <t>Mountainwalk (This creature can't be blocked as long as defending player controls a Mountain.) When you control a Dwarf, sacrifice this creature.</t>
  </si>
  <si>
    <t>Gods Willing / Vontade dos Deuses</t>
  </si>
  <si>
    <t>Target creature you control gains protection from the color of your choice until end of turn. (It can't be blocked, targeted, dealt damage, enchanted, or equipped by anything of that color.) Scry 1. / A criatura alvo que você controla ganha proteção contra a cor de sua escolha até o final do turno. Vidência 1. (Olhe o card do topo de seu grimório. Você pode colocar aquele card no fundo de seu grimório.)</t>
  </si>
  <si>
    <t>Godsend / Mensageira dos Deuses</t>
  </si>
  <si>
    <t>Artefato Lendário — Equipamento</t>
  </si>
  <si>
    <t>A criatura equipada recebe +3/+3. Toda vez que a criatura equipada bloquear ou for bloqueada por uma ou mais criaturas, você poderá exilar uma daquelas criaturas. Os oponentes não podem conjurar cards com o mesmo nome de cards exilados por Mensageira dos Deuses. Equipar 3</t>
  </si>
  <si>
    <t>1WW</t>
  </si>
  <si>
    <t>Gohn, Town of Ruin / Gohn, Vila das Ruínas</t>
  </si>
  <si>
    <t>Este terreno entra virado. {T}: Adicione {B} ou {G}.</t>
  </si>
  <si>
    <t>Golbez, Clad in Darkness // Syr Konrad, the Grim / Golbez, Trajado em Trevas // Syr Konrad, o Sombrio</t>
  </si>
  <si>
    <t>Sempre que outra criatura morrer, ou um card de criatura for colocado em um cemitério vindo de qualquer lugar que não seja o campo de batalha, ou um card de criatura deixar o seu cemitério, Golbez causa 1 de dano a cada oponente. {1}{B}: Cada jogador tritura um card.</t>
  </si>
  <si>
    <t>3{B}{B}</t>
  </si>
  <si>
    <t>Gold-Forged Thopteryx / Topterix Forjado em Ouro</t>
  </si>
  <si>
    <t>Artifact Creature — Dinosaur Thopter / Criatura Artefato — Dinossauro Tóptero</t>
  </si>
  <si>
    <t>Flying, lifelink Each legendary permanent you control has ward {2}. (Whenever it becomes the target of a spell or ability an opponent controls, counter it unless that player pays {2}.) / Voar, vínculo com a vida Cada permanente lendária que você controla tem salvaguarda {2}.</t>
  </si>
  <si>
    <t>Golden Hind / Cerva Dourada</t>
  </si>
  <si>
    <t>Goldenglow Moth / Mariposa da Luz Dourada</t>
  </si>
  <si>
    <t>Flying Whenever this creature blocks, you may gain 4 life. / Voar Toda vez que Mariposa da Luz Dourada bloqueia, você pode ganhar 4 pontos de vida.</t>
  </si>
  <si>
    <t>Goldenhide Ox / Boi do Couro Dourado</t>
  </si>
  <si>
    <t>Enchantment Creature — Ox / Criatura Encantamento — Boi</t>
  </si>
  <si>
    <t>Constellation — Whenever this creature or another enchantment you control enters, target creature must be blocked this turn if able. / Constelação — Toda vez que Boi do Couro Dourado ou outro encantamento entrar no campo de batalha sob seu controle, a criatura alvo deverá ser bloqueada neste turno se estiver apta.</t>
  </si>
  <si>
    <t>Goldnight Redeemer / Redentor dos Noite Dourada</t>
  </si>
  <si>
    <t>Flying When this creature enters, you gain 2 life for each other creature you control. / Voar Quando Redentor dos Noite Dourada entra no campo de batalha, você ganha 2 pontos de vida para cada outra criatura que você controla.</t>
  </si>
  <si>
    <t>Goldvein Pick / Picareta de Veio D'ouro</t>
  </si>
  <si>
    <t>Equipped creature gets +1/+1. Whenever equipped creature deals combat damage to a player, create a Treasure token. (It's an artifact with "{T}, Sacrifice this token: Add one mana of any color.") Equip {1} ({1}: Attach to target creature you control. Equip only as a sorcery.) / A criatura equipada recebe +1/+1. Toda vez que a criatura equipada causar dano de combate a um jogador, crie uma ficha de Tesouro. (Ela é um artefato com "{T}, sacrifique este artefato: Adicione um mana de qualquer cor".) Equipar {1} ({1}: Anexe este equipamento à criatura alvo que você controla. Equipe somente como um feitiço.)</t>
  </si>
  <si>
    <t>Golem Foundry / Fundição de Golem</t>
  </si>
  <si>
    <t>Whenever you cast an artifact spell, you may put a charge counter on this artifact. Remove three charge counters from this artifact: Create a 3/3 colorless Golem artifact creature token. / Toda vez que conjura uma mágica de artefato, você pode colocar um marcador de carga sobre Fundição de Golem. Remova três marcadores de carga de Fundição de Golem: Coloque no campo de batalha uma ficha de criatura artefato incolor 3/3 do tipo Golem.</t>
  </si>
  <si>
    <t>Golem Volitivo / Will-Forged Golem</t>
  </si>
  <si>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</si>
  <si>
    <t>Golens de Garrafa / Bottle Gnomes</t>
  </si>
  <si>
    <t>Trample. When Bottle Gnomes dies, you gain life equal to its power. / Atropelar. Quando Golens de Garrafa morre, você ganha uma quantidade de pontos de vida igual a seu poder.</t>
  </si>
  <si>
    <t>Golgari Signet / Sinete Golgari</t>
  </si>
  <si>
    <t>{1}, {T}: Add {B}{G}. / {1}, {T}: Adicione {B}{G}.</t>
  </si>
  <si>
    <t>Gollum, Conspirador Paciente / Gollum, Patient Plotter</t>
  </si>
  <si>
    <t>Criatura Lendária — Pequenino Horror</t>
  </si>
  <si>
    <t>Quando Gollum, Conspirador Paciente, deixa o campo de batalha, o Anel tenta você. {B}, sacrifique uma criatura: Devolva Gollum de seu cemitério para sua mão. Ative somente como um feitiço.</t>
  </si>
  <si>
    <t>Gongaga, Reactor Town / Gongaga, Vila do Reator</t>
  </si>
  <si>
    <t>Este terreno entra virado. {T}: Adicione {R} ou {G}.</t>
  </si>
  <si>
    <t>Gonti, Lord of Luxury / Gonti, Senhor da Opulência</t>
  </si>
  <si>
    <t>Legendary Creature — Aetherborn Rogue / Criatura Lendária — Etergênito Ladino</t>
  </si>
  <si>
    <t>Deathtouch When Gonti enters, look at the top four cards of target opponent's library, exile one of them face down, then put the rest on the bottom of that library in a random order. You may cast that card for as long as it remains exiled, and mana of any type can be spent to cast that spell. / Toque mortífero Quando Gonti, Senhor da Opulência, entrar no campo de batalha, olhe os quatro cards do topo do grimório do oponente alvo, exile um deles com a face voltada para baixo e, em seguida, coloque o restante no fundo daquele grimório em ordem aleatória. Enquanto o card permanecer exilado, você poderá olhá-lo, conjurá-lo e gastar mana como se fosse de qualquer tipo para conjurá-lo.</t>
  </si>
  <si>
    <t>Gonti, Senhor da Opulência / Gonti, Lord of Luxury</t>
  </si>
  <si>
    <t>Criatura Lendária — Etergênito Ladino / Legendary Creature — Aetherborn Rogue</t>
  </si>
  <si>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</si>
  <si>
    <t>Adventures in the Forgotten Realms Commander (AFC)</t>
  </si>
  <si>
    <t>Goobbue Gardener / Jardineiro Goobbue</t>
  </si>
  <si>
    <t>Criatura — Planta Besta</t>
  </si>
  <si>
    <t>{T}: Adicione {G}.</t>
  </si>
  <si>
    <t>Gorbag de Minas Morgul / Gorbag of Minas Morgul</t>
  </si>
  <si>
    <t>Criatura Lendária — Orc Soldado</t>
  </si>
  <si>
    <t>Toda vez que um Goblin ou Orc que você controla causa dano de combate a um jogador, você pode sacrificá-lo. Quando fizer isso, escolha um — • Compre um card. • Crie uma ficha de Tesouro. (Ela é um artefato com "{T}, sacrifique este artefato: Adicione um mana de qualquer cor".)</t>
  </si>
  <si>
    <t>Goremand / Gourmet de Vísceras</t>
  </si>
  <si>
    <t>As an additional cost to cast this spell, sacrifice a creature. Flying Trample (This creature can deal excess combat damage to the player or planeswalker it's attacking.) When this creature enters, each opponent sacrifices a creature. / Como custo adicional para conjurar esta mágica, sacrifique uma criatura. Voar Atropelar (Esta criatura pode causar seu dano de combate excedente ao jogador ou planeswalker que ela estiver atacando.) Quando Gourmet de Vísceras entra no campo de batalha, cada oponente sacrifica uma criatura.</t>
  </si>
  <si>
    <t>Gorex, the Tombshell / Gorex, Casco Tumular</t>
  </si>
  <si>
    <t>Legendary Creature — Zombie Turtle / Criatura Lendária — Zumbi Tartaruga</t>
  </si>
  <si>
    <t>As an additional cost to cast this spell, you may exile any number of creature cards from your graveyard. This spell costs {2} less to cast for each card exiled this way. Deathtouch Whenever Gorex attacks or dies, choose a card at random exiled with Gorex and put that card into its owner's hand. / Como custo adicional para conjurar esta mágica, você pode exilar qualquer número de cards de criatura de seu cemitério. Esta mágica custa {2} a menos para ser conjurada para cada card exilado dessa forma. Toque mortífero Toda vez que Gorex, Casco Tumular, atacar ou morrer, escolha aleatoriamente um card exilado com Gorex e coloque aquele card na mão de seu dono.</t>
  </si>
  <si>
    <t>Gorilla Shaman / Xamã dos Gorilas</t>
  </si>
  <si>
    <t>Creature — Ape Shaman / Criatura — Símio Xamã</t>
  </si>
  <si>
    <t>{X}{X}{1}: Destroy target noncreature artifact with mana value X. / {X}{X}{1}: Destrua o artefato alvo não de criatura com valor de mana igual a X.</t>
  </si>
  <si>
    <t>Gothmog, Tenente de Morgul / Gothmog, Morgul Lieutenant</t>
  </si>
  <si>
    <t>Criatura Lendária — Humano Soldado</t>
  </si>
  <si>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</si>
  <si>
    <t>Grab the Prize</t>
  </si>
  <si>
    <t>As an additional cost to cast this spell, discard a card. Draw two cards. If the discarded card wasn't a land card, Grab the Prize deals 2 damage to each opponent.</t>
  </si>
  <si>
    <t>Graceblade Artisan / Artesão da Lâmina Graciosa</t>
  </si>
  <si>
    <t>This creature gets +2/+2 for each Aura attached to it. / Artesão da Lâmina Graciosa recebe +2/+2 para cada Aura anexada a ele.</t>
  </si>
  <si>
    <t>Graduation Day / Dia da Formatura</t>
  </si>
  <si>
    <t>Tréplica — Sempre que você conjurar uma mágica instantânea ou um feitiço que tenha uma criatura como alvo, coloque um marcador +1/+1 na criatura alvo que você controla.</t>
  </si>
  <si>
    <t>Grafted Growth / Crescimento Enxertado</t>
  </si>
  <si>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</si>
  <si>
    <t>Gran Pulse Ochu / Ochu da Gran Pulse</t>
  </si>
  <si>
    <t>Toque mortífero. {8}: Até o final do turno, esta criatura recebe +1/+1 para cada card de permanente em seu cemitério.</t>
  </si>
  <si>
    <t>Granite Gargoyle</t>
  </si>
  <si>
    <t>Creature — Gargoyle</t>
  </si>
  <si>
    <t>Flying {R}: This creature gets +0/+1 until end of turn.</t>
  </si>
  <si>
    <t>Granitic Titan / Titã Granítico</t>
  </si>
  <si>
    <t>Menace Cycling {2} ({2}, Discard this card: Draw a card.) / Ameaçar Reciclar {2} ({2}, descarte este card: Compre um card.)</t>
  </si>
  <si>
    <t>Grapeshot Catapult / Catapulta de Metralha</t>
  </si>
  <si>
    <t>{T}: This creature deals 1 damage to target creature with flying.</t>
  </si>
  <si>
    <t>Grasp of the Hieromancer / Garra do Hieromante</t>
  </si>
  <si>
    <t>Enchant creature Enchanted creature gets +1/+1 and has "Whenever this creature attacks, tap target creature defending player controls." / Encantar criaturaA criatura encantada recebe +1/+1 e tem "Toda vez que esta criatura atacar, vire a criatura alvo que o jogador defensor controla."</t>
  </si>
  <si>
    <t>Grasping Thrull / Thrull Agarrador</t>
  </si>
  <si>
    <t>Flying When this creature enters, it deals 2 damage to each opponent and you gain 2 life. / Voar Quando Thrull Agarrador entra no campo de batalha, ele causa 2 pontos de dano a cada oponente e você ganha 2 pontos de vida.</t>
  </si>
  <si>
    <t>{3}{W}{B}</t>
  </si>
  <si>
    <t>Gravblade Heavy / Pesado de Lâmina Gravitacional</t>
  </si>
  <si>
    <t>Enquanto você controlar um artefato, esta criatura receberá +1/+0 e terá toque mortífero.</t>
  </si>
  <si>
    <t>Grave Birthing / Nascimento Tumular</t>
  </si>
  <si>
    <t>Devoid (This card has no color.) Target opponent exiles a card from their graveyard. You create a 1/1 colorless Eldrazi Scion creature token. It has "Sacrifice this token: Add {C}." Draw a card. / Desprovido (Este card não tem cor.)O oponente alvo exila um card do próprio cemitério. Você coloca no campo de batalha uma ficha de criatura incolor 1/1 do tipo Rebento Eldrazi. Ela tem "Sacrifique esta criatura: Adicione {1} à sua reserva de mana.".Compre um card.</t>
  </si>
  <si>
    <t>Grave Bramble / Arbusto Tumular</t>
  </si>
  <si>
    <t>Creature — Plant / Criatura — Planta</t>
  </si>
  <si>
    <t>Defender, protection from Zombies / Defensor, proteção contra Zumbis</t>
  </si>
  <si>
    <t>Gravebind / Fusão Tumular</t>
  </si>
  <si>
    <t>Target creature can't be regenerated this turn. Draw a card at the beginning of the next turn's upkeep.</t>
  </si>
  <si>
    <t>Graveblade Marauder / Saqueador da Lâmina Funesta</t>
  </si>
  <si>
    <t>Deathtouch (Any amount of damage this deals to a creature is enough to destroy it.) Whenever this creature deals combat damage to a player, that player loses life equal to the number of creature cards in your graveyard. / Toque mortífero (Qualquer quantidade de dano que esta criatura cause a uma criatura é suficiente para destruí-la.)Toda vez que Saqueador da Lâmina Funesta causar dano de combate a um jogador, aquele jogador perde pontos de vida equivalentes ao número de cards de criatura no seu cemitério.</t>
  </si>
  <si>
    <t>Gravedig / Escavar Túmulo</t>
  </si>
  <si>
    <t>Choose one — • Target player creates a 2/2 black Zombie creature token. • Return target creature card from your graveyard to your hand. Entwine {2} (Choose both if you pay the entwine cost.) / Escolha um — • O jogador alvo cria uma ficha de criatura preta Zumbi 2/2. • Devolva o card de criatura alvo de seu cemitério à sua mão. Entrelaçar {2} (Escolha ambos se pagar o custo de entrelaçar.)</t>
  </si>
  <si>
    <t>Gravedigger / Coveiro</t>
  </si>
  <si>
    <t>When this creature enters, you may return target creature card from your graveyard to your hand. / Quando Coveiro entra no campo de batalha, você pode devolver o card de criatura alvo de seu cemitério para sua mão.</t>
  </si>
  <si>
    <t>Gravel-Hide Goblin / Goblin Pele-de-cascalho</t>
  </si>
  <si>
    <t>Criatura — Goblin Xamã</t>
  </si>
  <si>
    <t>{3}{G}: Goblin Pele-de-cascalho recebe +2/+2 até o final do turno.</t>
  </si>
  <si>
    <t>Gravelgill Axeshark / Tubarão-Machado Petreobrânquio</t>
  </si>
  <si>
    <t>Creature — Merfolk Soldier / Criatura — Tritão Soldado</t>
  </si>
  <si>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</si>
  <si>
    <t>{4}{U/B}</t>
  </si>
  <si>
    <t>Gravepurge / Expurgar Túmulo</t>
  </si>
  <si>
    <t>Put any number of target creature cards from your graveyard on top of your library. Draw a card. / Coloque qualquer número de cards de criatura alvo de seu cemitério no topo de seu grimório. Compre um card.</t>
  </si>
  <si>
    <t>Graveshifter</t>
  </si>
  <si>
    <t>Changeling (This card is every creature type.) When this creature enters, you may return target creature card from your graveyard to your hand.</t>
  </si>
  <si>
    <t>Graveshifter / Tumbamorfo</t>
  </si>
  <si>
    <t>Changeling (This card is every creature type.) When this creature enters, you may return target creature card from your graveyard to your hand. / Morfoloide (Este card é de todos os tipos de criatura.) Quando Tumbamorfo entra no campo de batalha, você pode devolver o card de criatura alvo de seu cemitério para sua mão.</t>
  </si>
  <si>
    <t>Graviton, Fundamental Force</t>
  </si>
  <si>
    <t>Whenever you draw your second card each turn, choose one — • Target creature gains flying until end of turn. (It can't be blocked except by creatures with flying or reach.) • Tap target creature.</t>
  </si>
  <si>
    <t>Gravity Negator / Negador da Gravidade</t>
  </si>
  <si>
    <t>Devoid (This card has no color.) Flying Whenever this creature attacks, you may pay {C}. If you do, another target creature gains flying until end of turn. ({C} represents colorless mana.) / Desprovido (Este card não tem cor.) Voar Toda vez que Negador da Gravidade ataca, você pode pagar {C}. Se fizer isso, outra criatura alvo ganha voar até o final do turno. ({C} representa mana incolor.)</t>
  </si>
  <si>
    <t>Gravpack Monoist / Monoísta de Gravpack</t>
  </si>
  <si>
    <t>Criatura — Humano Batedor</t>
  </si>
  <si>
    <t>Voar. Quando esta criatura morrer, crie uma ficha de criatura artefato Robô incolor 2/2 virada.</t>
  </si>
  <si>
    <t>Gray Ogre / Ogro Cinzento</t>
  </si>
  <si>
    <t>Creature — Ogre</t>
  </si>
  <si>
    <t>Graypelt Hunter / Caçador de Pele-Cinza</t>
  </si>
  <si>
    <t>Creature — Human Warrior Ally / Criatura — Humano Guerreiro Aliado</t>
  </si>
  <si>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</si>
  <si>
    <t>Graypelt Refuge / Refúgio de Pele Cinzenta</t>
  </si>
  <si>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</si>
  <si>
    <t>Grazing Gladehart / Cervo-de-Clareira Pastejador</t>
  </si>
  <si>
    <t>Creature — Antelope / Criatura — Antílope</t>
  </si>
  <si>
    <t>Landfall — Whenever a land you control enters, you may gain 2 life. / Aterragem — Toda vez que um terreno entra no campo de batalha sob o seu controle, você pode ganhar 2 pontos de vida.</t>
  </si>
  <si>
    <t>Greasewrench Goblin</t>
  </si>
  <si>
    <t>Exhaust — {2}{R}: Discard up to two cards, then draw that many cards. Put a +1/+1 counter on this creature. (Activate each exhaust ability only once.)</t>
  </si>
  <si>
    <t>Great Hall of the Citadel / Grande Salão da Cidadela</t>
  </si>
  <si>
    <t>{T}: Add {C}. {1}, {T}: Add two mana in any combination of colors. Spend this mana only to cast legendary spells. / {T}: Adicione {C}. {1}, {T}: Adicione dois manas em qualquer combinação de cores. Gaste este mana somente para conjurar mágicas lendárias.</t>
  </si>
  <si>
    <t>Great Teacher's Decree / Decreto do Grande Mestre</t>
  </si>
  <si>
    <t>Creatures you control get +2/+1 until end of turn. Rebound (If you cast this spell from your hand, exile it as it resolves. At the beginning of your next upkeep, you may cast this card from exile without paying its mana cost.) / As criaturas que você controla recebem +2/+1 até o final do turno. Rebote (Se você conjurar esta mágica da sua mão, exile-a conforme ela for resolvida. No início de sua próxima manutenção, você poderá conjurar este card a partir do exílio sem pagar seu custo de mana.)</t>
  </si>
  <si>
    <t>Greater Sandwurm / Grão-vorme-da-areia</t>
  </si>
  <si>
    <t>This creature can't be blocked by creatures with power 2 or less. Cycling {2} ({2}, Discard this card: Draw a card.) / Grão-vorme-da-areia não pode ser bloqueado por criaturas com poder igual ou inferior a 2. Reciclar {2} ({2}, descarte este card: Compre um card.)</t>
  </si>
  <si>
    <t>Greater Tanuki / Grande Tanuki</t>
  </si>
  <si>
    <t>Enchantment Creature — Dog / Criatura Encantamento — Cão</t>
  </si>
  <si>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</si>
  <si>
    <t>Greater Werewolf / O Grande Lobisomem</t>
  </si>
  <si>
    <t>Creature — Werewolf</t>
  </si>
  <si>
    <t>At end of combat, put a -0/-2 counter on each creature blocking or blocked by this creature.</t>
  </si>
  <si>
    <t>Green Mana Battery / Bateria de Mana Verde</t>
  </si>
  <si>
    <t>{2}, {T}: Put a charge counter on this artifact. {T}, Remove any number of charge counters from this artifact: Add {G}, then add an additional {G} for each charge counter removed this way.</t>
  </si>
  <si>
    <t>Green Ward / Defesa Verde</t>
  </si>
  <si>
    <t>Enchant creature Enchanted creature has protection from green. This effect doesn't remove this Aura.</t>
  </si>
  <si>
    <t>Greenside Watcher / Vigia do Verde</t>
  </si>
  <si>
    <t>{T}: Untap target Gate. / {T}: Desvire o Portão alvo.</t>
  </si>
  <si>
    <t>Gremlin Infestation / Infestação de Gremlins</t>
  </si>
  <si>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</si>
  <si>
    <t>Gremlin Tamer</t>
  </si>
  <si>
    <t>Creature — Human Scout</t>
  </si>
  <si>
    <t>Eerie — Whenever an enchantment you control enters and whenever you fully unlock a Room, create a 1/1 red Gremlin creature token.</t>
  </si>
  <si>
    <t>Griffin Dreamfinder / Grifo Apanha-sonhos</t>
  </si>
  <si>
    <t>Flying When this creature enters, return target enchantment card from your graveyard to your hand. / Voar Quando Grifo Apanha-sonhos entrar no campo de batalha, devolva o card de encantamento alvo de seu cemitério para sua mão.</t>
  </si>
  <si>
    <t>Grim Guardian / Guardião Sinistro</t>
  </si>
  <si>
    <t>Constellation — Whenever this creature or another enchantment you control enters, each opponent loses 1 life. / Constelação — Toda vez que Guardião Sinistro ou outro encantamento entra no campo de batalha sob seu controle, cada oponente perde 1 ponto de vida.</t>
  </si>
  <si>
    <t>Grim Javelineer</t>
  </si>
  <si>
    <t>Whenever you attack, target attacking creature gets +1/+0 until end of turn. When that creature dies this turn, surveil 1. (Look at the top card of your library. You may put that card into your graveyard.)</t>
  </si>
  <si>
    <t>Grim Physician / Médico Sinistro</t>
  </si>
  <si>
    <t>When this creature dies, target creature an opponent controls gets -1/-1 until end of turn. / Quando Médico Sinistro morre, a criatura alvo que um oponente controla recebe -1/-1 até o final do turno.</t>
  </si>
  <si>
    <t>Grim Roustabout / Servente Macabro</t>
  </si>
  <si>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</si>
  <si>
    <t>Gríma Língua de Cobra / Gríma Wormtongue</t>
  </si>
  <si>
    <t>Criatura Lendária — Humano Conselheiro</t>
  </si>
  <si>
    <t>Seus oponentes não podem ganhar pontos de vida. {T}, sacrifique outra criatura: O jogador alvo perde 1 ponto de vida. Se a criatura sacrificada era lendária, arregimente Orcs 2.</t>
  </si>
  <si>
    <t>Griptide / Corrente de Refluxo</t>
  </si>
  <si>
    <t>Duel Decks: Jace vs. Vraska (DDM)</t>
  </si>
  <si>
    <t>Grishnákh, Instigador Ousado / Grishnákh, Brash Instigator</t>
  </si>
  <si>
    <t>Criatura Lendária — Goblin Soldado</t>
  </si>
  <si>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</si>
  <si>
    <t>Gristle Glutton</t>
  </si>
  <si>
    <t>{T}, Blight 1: Discard a card. If you do, draw a card. (To blight 1, put a -1/-1 counter on a creature you control.)</t>
  </si>
  <si>
    <t>Grito do Carnarium / Cry of the Carnarium</t>
  </si>
  <si>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</si>
  <si>
    <t>Grizzled Angler / Pescador Grisalho</t>
  </si>
  <si>
    <t>Creature — Human / Criatura — Humano</t>
  </si>
  <si>
    <t>{T}: Mill two cards. Then if there is a colorless creature card in your graveyard, transform this creature. (To mill two cards, put the top two cards of your library into your graveyard.) / {T}: Coloque os dois cards do topo de seu grimório em seu cemitério. Em seguida, se houver um card de criatura incolor em seu cemitério, transforme Pescador Grisalho.</t>
  </si>
  <si>
    <t>Grizzled Wolverine / Carcaju Cinzento</t>
  </si>
  <si>
    <t>Creature — Wolverine</t>
  </si>
  <si>
    <t>{R}: This creature gets +2/+0 until end of turn. Activate only during the declare blockers step, only if at least one creature is blocking this creature, and only once each turn.</t>
  </si>
  <si>
    <t>Grizzly Bears / Ursos Cinzentos</t>
  </si>
  <si>
    <t>Creature — Bear / Criatura — Urso</t>
  </si>
  <si>
    <t>Grond, o Quebra-portões / Grond, the Gatebreaker</t>
  </si>
  <si>
    <t>Artefato Lendário — Veículo</t>
  </si>
  <si>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</si>
  <si>
    <t>Grotag Bug-Catcher / Pega-bicho Grotag</t>
  </si>
  <si>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</si>
  <si>
    <t>Grotag Night-Runner / Corredor Noturno Grotag</t>
  </si>
  <si>
    <t>Whenever this creature deals combat damage to a player, exile the top card of your library. You may play that card this turn. / Toda vez que Corredor Noturno Grotag causar dano de combate a um jogador, exile o card do topo de seu grimório. Você pode jogar aquele card neste turno.</t>
  </si>
  <si>
    <t>Grotesque Demise / Fim Grotesco</t>
  </si>
  <si>
    <t>Exile target creature with power 3 or less. / Exile a criatura alvo com poder igual ou inferior a 3.</t>
  </si>
  <si>
    <t>Grotesque Mutation / Mutação Grotesca</t>
  </si>
  <si>
    <t>Target creature gets +3/+1 and gains lifelink until end of turn. (Damage dealt by the creature also causes its controller to gain that much life.) / A criatura alvo recebe +3/+1 e ganha vínculo com a vida até o final do turno. (O dano causado pela criatura também faz com que seu controlador ganhe uma quantidade equivalente de pontos de vida.)</t>
  </si>
  <si>
    <t>Grounded for Life</t>
  </si>
  <si>
    <t>This spell costs {3} less to cast if it targets a tapped creature. Destroy target creature.</t>
  </si>
  <si>
    <t>Group Project / Trabalho em Grupo</t>
  </si>
  <si>
    <t>Crie uma ficha de criatura Espírito 2/2 vermelha e branca. Recapitular — Vire três criaturas desviradas que você controla. (Você pode conjurar este card de seu cemitério por seu custo de recapitular. Depois, exile-o.)</t>
  </si>
  <si>
    <t>Gruesome Fate / Destino Horripilante</t>
  </si>
  <si>
    <t>Each opponent loses 1 life for each creature you control. / Cada oponente perde 1 ponto de vida para cada criatura que você controla.</t>
  </si>
  <si>
    <t>Gruul Guildgate / Portão da Guilda Gruul</t>
  </si>
  <si>
    <t>This land enters tapped. {T}: Add {R} or {G}. / Portão da Guilda Gruul entra no campo de batalha virado.{T}: Adicione {R} ou {G} à sua reserva de mana.</t>
  </si>
  <si>
    <t>Gruul Keyrune / Chave Rúnica Gruul</t>
  </si>
  <si>
    <t>{T}: Add {R} or {G}. {R}{G}: This artifact becomes a 3/2 red and green Beast artifact creature with trample until end of turn. / {T}: Adicione {R} ou {G} à sua reserva de mana.{R}{G}: Chave Rúnica Gruul torna-se uma criatura artefato vermelha e verde 3/2 do tipo Besta com atropelar até o final do turno.</t>
  </si>
  <si>
    <t>Gruul Spellbreaker / Quebra-mágicas Gruul</t>
  </si>
  <si>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</si>
  <si>
    <t>Guac &amp; Marshmallow Pizza</t>
  </si>
  <si>
    <t>Flash When this artifact enters, target creature gets +2/+2 until end of turn. Untap it. {2}, {T}, Sacrifice this artifact: You gain 3 life.</t>
  </si>
  <si>
    <t>Guadosalam, Farplane Gateway / Guadosalam, Portal do Além</t>
  </si>
  <si>
    <t>Este terreno entra virado. {T}: Adicione {G} ou {U}.</t>
  </si>
  <si>
    <t>Guardian Angel</t>
  </si>
  <si>
    <t>Prevent the next X damage that would be dealt to any target this turn. Until end of turn, you may pay {1} any time you could cast an instant. If you do, prevent the next 1 damage that would be dealt to that permanent or player this turn.</t>
  </si>
  <si>
    <t>{X}{W}</t>
  </si>
  <si>
    <t>Guardian Automaton / Autômato Guardião</t>
  </si>
  <si>
    <t>When this creature dies, you gain 3 life. / Quando Autômato Guardião morre, você ganha 3 pontos de vida.</t>
  </si>
  <si>
    <t>Guardian Idol / Ídolo Guardião</t>
  </si>
  <si>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</si>
  <si>
    <t>Guardian of the Forgotten / Guardiões dos Esquecidos</t>
  </si>
  <si>
    <t>Creature — Elephant Warrior / Criatura — Elefante Guerreiro</t>
  </si>
  <si>
    <t>Vigilance Whenever a modified creature you control dies, manifest the top card of your library. (Equipment, Auras you control, and counters are modifications. To manifest a card, put the top card of your library onto the battlefield face down as a 2/2 creature. Turn it face up any time for its mana cost if it's a creature card.) / Vigilância Toda vez que uma criatura modificada que você controla morrer, manifeste o card do topo de seu grimório. (Os Equipamentos, as Auras que você controla e os marcadores são modificações. Para manifestar um card, coloque o card do topo de seu grimório no campo de batalha com a face voltada para baixo como uma criatura 2/2. Volte sua face para cima a qualquer momento pagando seu custo de mana se for um card de criatura.)</t>
  </si>
  <si>
    <t>Guardian Zendikon / Zendikon Guardião</t>
  </si>
  <si>
    <t>Enchant land Enchanted land is a 2/6 white Wall creature with defender. It's still a land. When enchanted land dies, return that card to its owner's hand. / Encantar terreno O terreno encantado é uma criatura branca 2/6 do tipo Barreira com defensor. Ela ainda conta como um terreno. Quando o terreno encantado for colocado num cemitério, devolva aquele card para a mão de seu dono.</t>
  </si>
  <si>
    <t>Guardian's Longbow / Arco Longo do Guardião</t>
  </si>
  <si>
    <t>Equipped creature gets +2/+1 and has reach. Equip {3}</t>
  </si>
  <si>
    <t>Guardião do Tesouro / Treasure Keeper</t>
  </si>
  <si>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</si>
  <si>
    <t>Guardiãs de Oboro / Oboro Enforcers</t>
  </si>
  <si>
    <t>Criatura — Cidadão-da-lua Samurai / Creature — Moonfolk Samurai</t>
  </si>
  <si>
    <t>Defensor. As criaturas modificadas que você controla podem atacar como se não tivessem defensor. / Defender. Modified creatures you control can attack as though they didn't have defender.</t>
  </si>
  <si>
    <t>Kamigawa: Neon Dynasty (NEO) V</t>
  </si>
  <si>
    <t>Guerreiro de Akoum / Akoum Warrior</t>
  </si>
  <si>
    <t>Criatura — Minotauro Guerreiro / Creature — Minotaur Warrior</t>
  </si>
  <si>
    <t>Atropelar. / Trample.</t>
  </si>
  <si>
    <t>Guerrilla Gorilla</t>
  </si>
  <si>
    <t>Creature — Ape Soldier Hero</t>
  </si>
  <si>
    <t>Reach Sacrifice this creature: Destroy target noncreature artifact or noncreature enchantment. Activate only as a sorcery.</t>
  </si>
  <si>
    <t>Guerrilla Gorilla / Gorila Guerrilheiro</t>
  </si>
  <si>
    <t>Criatura — Macaco Soldado Herói</t>
  </si>
  <si>
    <t>Alcance. Sacrifique esta criatura: Destrua o artefato não de criatura ou encantamento não de criatura alvo. Ative apenas como um feitiço.</t>
  </si>
  <si>
    <t>Gurmag Drowner / Afogador de Gurmag</t>
  </si>
  <si>
    <t>Exploit (When this creature enters, you may sacrifice a creature.) When this creature exploits a creature, look at the top four cards of your library. Put one of them into your hand and the rest into your graveyard. / Explorar (Quando esta criatura entra no campo de batalha, você pode sacrificar uma criatura.) Quando Afogador de Gurmag explorar uma criatura, olhe os quatro cards do topo de seu grimório. Coloque um deles em sua mão e o restante em seu cemitério.</t>
  </si>
  <si>
    <t>Gurmag Swiftwing / Asa-veloz Gurmag</t>
  </si>
  <si>
    <t>Flying, first strike, haste / Voar, iniciativa, ímpeto</t>
  </si>
  <si>
    <t>Gutsplitter Gang</t>
  </si>
  <si>
    <t>At the beginning of your first main phase, you may blight 2. If you don't, you lose 3 life. (To blight 2, put two -1/-1 counters on a creature you control.)</t>
  </si>
  <si>
    <t>Gwaihir, o Senhor dos Ventos / Gwaihir the Windlord</t>
  </si>
  <si>
    <t>Criatura Lendária — Ave Nobre</t>
  </si>
  <si>
    <t>Esta mágica custa {2} a menos para ser conjurada contanto que você tenha comprado dois ou mais cards neste turno. Voar, vigilância. As outras Aves que você controla têm vigilância.</t>
  </si>
  <si>
    <t>4{W}{U}</t>
  </si>
  <si>
    <t>Gyre Engineer / Engenheiro da Espiral</t>
  </si>
  <si>
    <t>Creature — Vedalken Wizard / Criatura — Vedalkeano Mago</t>
  </si>
  <si>
    <t>{T}: Add {G}{U}. / {T}: Adicione {G}{U}.</t>
  </si>
  <si>
    <t>Gyruda, Doom of Depths / Gyruda, Ruína das Profundezas</t>
  </si>
  <si>
    <t>Legendary Creature — Demon Kraken / Criatura Lendária — Demônio Kraken</t>
  </si>
  <si>
    <t>Companion — Your starting deck contains only cards with even mana values. (If this card is your chosen companion, you may put it into your hand from outside the game for {3} as a sorcery.) When Gyruda enters, each player mills four cards. Put a creature card with an even mana value from among the milled cards onto the battlefield under your control. / Companheiro — Seu deck inicial contém apenas cards com custos de mana convertido pares. Quando Gyruda entra no campo de batalha, cada jogador coloca os quatro cards do topo do próprio grimório no próprio cemitério. Coloque um card de criatura com custo de mana convertido par dentre eles no campo de batalha sob seu controle.</t>
  </si>
  <si>
    <t>{4}{U/B}{U/B}</t>
  </si>
  <si>
    <t>Gysahl Greens / Verduras de Gysahl</t>
  </si>
  <si>
    <t>Crie uma ficha de criatura Ave verde 2/2 com "Sempre que um terreno que você controla entrar, esta ficha receberá +1/+0 até o final do turno." Recapitular {6}{G} (Você pode conjurar este card de seu cemitério pagando seu custo de recapitular. Depois, exile-o.)</t>
  </si>
  <si>
    <t>H.E.R.B.I.E. Scout Unit</t>
  </si>
  <si>
    <t>Artifact Creature — Robot Scout</t>
  </si>
  <si>
    <t>Flying When this creature enters, draw a card, then you may put a land card from your hand onto the battlefield tapped.</t>
  </si>
  <si>
    <t>Haazda Marshal / Agente de Haazda</t>
  </si>
  <si>
    <t>Whenever this creature and at least two other creatures attack, create a 1/1 white Soldier creature token with lifelink. / Toda vez que Agente de Haazda e ao menos duas outras criaturas atacarem, crie uma ficha de criatura branca 1/1 do tipo Soldado com vínculo com a vida.</t>
  </si>
  <si>
    <t>Haazda Officer / Oficial de Haazda</t>
  </si>
  <si>
    <t>When this creature enters, target creature you control gets +1/+1 until end of turn. / Quando Oficial de Haazda entra no campo de batalha, a criatura alvo que você controla recebe +1/+1 até o final do turno.</t>
  </si>
  <si>
    <t>Habitante das Covas Traiçoeiro / Treacherous Pit-Dweller</t>
  </si>
  <si>
    <t>Criatura — Demônio / Creature — Demon</t>
  </si>
  <si>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</si>
  <si>
    <t>Hada Freeblade / Franco-Espadachim de Hada</t>
  </si>
  <si>
    <t>Whenever this creature or another Ally you control enters, you may put a +1/+1 counter on this creature. / Toda vez que Franco-Espadachim de Hada ou outro Aliado entra no campo de batalha sob o seu controle, você pode colocar um marcador +1/+1 em Franco-Espadachim de Hada.</t>
  </si>
  <si>
    <t>Hagi Mob / Turba de Hagis</t>
  </si>
  <si>
    <t>Creature — Troll Berserker / Criatura — Trol Amoque</t>
  </si>
  <si>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</si>
  <si>
    <t>Halimar Depths / Profundezas de Halimar</t>
  </si>
  <si>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</si>
  <si>
    <t>Halimar Tidecaller / Convocadora das Marés de Halimar</t>
  </si>
  <si>
    <t>Creature — Human Wizard Ally / Criatura — Humano Mago Aliado</t>
  </si>
  <si>
    <t>When this creature enters, you may return target card with awaken from your graveyard to your hand. Land creatures you control have flying. / Quando Convocadora das Marés de Halimar entra no campo de batalha, você pode devolver o card alvo com despertar do seu cemitério para a sua mão.As criaturas terreno que você controla têm voar.</t>
  </si>
  <si>
    <t>Hama, the Bloodbender</t>
  </si>
  <si>
    <t>Legendary Creature — Human Warlock</t>
  </si>
  <si>
    <t>When Hama enters, target opponent mills three cards. Exile up to one noncreature, nonland card from that player's graveyard. For as long as you control Hama, you may cast the exiled card during your turn by waterbending {X} rather than paying its mana cost, where X is its mana value. (While paying a waterbend cost, you can tap your artifacts and creatures to help. Each one pays for {1}.)</t>
  </si>
  <si>
    <t>{2}{U/B}{U/B}{U/B}</t>
  </si>
  <si>
    <t>Hamato Guardian Stance</t>
  </si>
  <si>
    <t>Target creature gets +1/+3 and gains flying until end of turn. Scry 1. (Look at the top card of your library. You may put that card on the bottom.)</t>
  </si>
  <si>
    <t>Hamato Ninpō / Hamato Ninpō</t>
  </si>
  <si>
    <t>Hamato Ninpō causa 4 pontos de dano à criatura atacante ou bloqueadora alvo.</t>
  </si>
  <si>
    <t>Harbinger of the Tides / Anunciador das Marés</t>
  </si>
  <si>
    <t>You may cast this spell as though it had flash if you pay {2} more to cast it. (You may cast it any time you could cast an instant.) When this creature enters, you may return target tapped creature an opponent controls to its owner's hand. / Você pode conjurar Anunciador das Marés como se tivesse lampejo se pagar {2} a mais para conjurá-lo. (Você poderá conjurá-lo a qualquer momento em que puder conjurar uma mágica instantânea.)Quando Anunciador das Marés entra no campo de batalha, você pode devolver a criatura alvo virada que um oponente controla para a mão de seu dono.</t>
  </si>
  <si>
    <t>Hard-Won Jitte</t>
  </si>
  <si>
    <t>Equipped creature has double strike. Equip {2} ({2}: Attach to target creature you control. Equip only as a sorcery.)</t>
  </si>
  <si>
    <t>Hardened Escort</t>
  </si>
  <si>
    <t>Hardy Veteran / Veterana Calejada</t>
  </si>
  <si>
    <t>During your turn, this creature gets +0/+2. / Enquanto for o seu turno, Veterana Calejada receberá +0/+2.</t>
  </si>
  <si>
    <t>Harrier Strix / Estrige Saqueadora</t>
  </si>
  <si>
    <t>Flying When this creature enters, tap target permanent. {2}{U}: Draw a card, then discard a card. / Voar Quando Estrige Saqueadora entrar no campo de batalha, vire a permanente alvo. {2}{U}: Compre um card e depois descarte um card.</t>
  </si>
  <si>
    <t>Harrowing Journey / Jornada Desgastante</t>
  </si>
  <si>
    <t>Target player draws three cards and loses 3 life. / O jogador alvo compra três cards e perde 3 pontos de vida.</t>
  </si>
  <si>
    <t>Harsh Annotation / Anotação Ríspida</t>
  </si>
  <si>
    <t>Destrua a criatura alvo. Seu controlador cria uma ficha de criatura Tinteiro 1/1 branca e preta com voar.</t>
  </si>
  <si>
    <t>Harsh Sustenance / Sustento Árduo</t>
  </si>
  <si>
    <t>Harsh Sustenance deals X damage to any target and you gain X life, where X is the number of creatures you control. / Sustento Árduo causa X pontos de dano à criatura ou ao jogador alvo e você ganha X pontos de vida, sendo X o número de criaturas que você controla.</t>
  </si>
  <si>
    <t>Haru, Hidden Talent</t>
  </si>
  <si>
    <t>Legendary Creature — Human Peasant Ally</t>
  </si>
  <si>
    <t>Whenever another Ally you control enters, earthbend 1. (Target land you control becomes a 0/0 creature with haste that's still a land. Put a +1/+1 counter on it. When it dies or is exiled, return it to the battlefield tapped.)</t>
  </si>
  <si>
    <t>Harvest Hand / Mão da Colheita</t>
  </si>
  <si>
    <t>When this creature dies, return it to the battlefield transformed under your control. / Quando Mão da Colheita morrer, devolva-a ao campo de batalha transformada sob o seu controle.</t>
  </si>
  <si>
    <t>Harvestguard Alseids / Alseídes da Colheita</t>
  </si>
  <si>
    <t>Constellation — Whenever this creature or another enchantment you control enters, prevent all damage that would be dealt to target creature this turn. / Constelação — Toda vez que Alseídes da Colheita ou outro encantamento entrar no campo de batalha sob seu controle, previna todo o dano que seria causado à criatura alvo neste turno.</t>
  </si>
  <si>
    <t>Hasran Ogress</t>
  </si>
  <si>
    <t>Whenever this creature attacks, it deals 3 damage to you unless you pay {2}.</t>
  </si>
  <si>
    <t>Chronicies</t>
  </si>
  <si>
    <t>Haste Magic / Magia de Ímpeto</t>
  </si>
  <si>
    <t>A criatura alvo recebe +3/+1 e ganha ímpeto até o final do turno. Exile o card do topo de seu grimório. Você pode jogá-lo até a sua próxima etapa final.</t>
  </si>
  <si>
    <t>Haunted Angel / Anjo Assombrado</t>
  </si>
  <si>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</si>
  <si>
    <t>Haunted Fengraf / Cemitério Pantanoso Assombrado</t>
  </si>
  <si>
    <t>{T}: Add {C}. {3}, {T}, Sacrifice this land: Return a creature card at random from your graveyard to your hand. / {T}: Adicione {1} à sua reserva de mana. {3}, {T}, Sacrifique Cemitério Pantanoso Assombrado: Devolva um card de criatura aleatoriamente de seu cemitério para sua mão.</t>
  </si>
  <si>
    <t>Haunting Apparition / Visonha Macabra</t>
  </si>
  <si>
    <t>Flying As this creature enters, choose an opponent. Haunting Apparition's power is equal to 1 plus the number of green creature cards in the chosen player's graveyard.</t>
  </si>
  <si>
    <t>1+*/2</t>
  </si>
  <si>
    <t>Haunting Hymn / Hino Assombrado</t>
  </si>
  <si>
    <t>Target player discards two cards. If you cast this spell during your main phase, that player discards four cards instead. / O jogador alvo descarta dois cards. Se você jogou este card durante sua fase principal, em vez disso, aquele jogador descarta quatro cards.</t>
  </si>
  <si>
    <t>Havoc Jester / Bufão da Destruição</t>
  </si>
  <si>
    <t>Whenever you sacrifice a permanent, this creature deals 1 damage to any target. / Toda vez que você sacrifica uma permanente, Bufão da Destruição causa 1 ponto de dano a qualquer alvo.</t>
  </si>
  <si>
    <t>Hawkeye, Clint Barton</t>
  </si>
  <si>
    <t>Legendary Creature — Human Archer Hero</t>
  </si>
  <si>
    <t>Vigilance (Attacking doesn't cause this creature to tap.)</t>
  </si>
  <si>
    <t>Hawkeye's Shot</t>
  </si>
  <si>
    <t>This spell costs {2} less to cast if it targets a tapped creature. Exile target creature.</t>
  </si>
  <si>
    <t>Hazduhr the Abbot</t>
  </si>
  <si>
    <t>Criatura Lendária / Summon Legend</t>
  </si>
  <si>
    <t>{X}, {T}: Redirect to Hazduhr the Abbot X damage dealt to any white creature you control.</t>
  </si>
  <si>
    <t>Haze of Pollen / Bruma de Pólen</t>
  </si>
  <si>
    <t>Prevent all combat damage that would be dealt this turn. Cycling {3} ({3}, Discard this card: Draw a card.) / Previna todo o dano de combate que seria causado neste turno. Reciclar {3} ({3}, Descarte este card: Compre um card.)</t>
  </si>
  <si>
    <t>Head of the Homestead</t>
  </si>
  <si>
    <t>Creature — Rabbit Citizen</t>
  </si>
  <si>
    <t>When Head of the Homestead enters, create two 1/1 white Rabbit creature tokens.</t>
  </si>
  <si>
    <t>{3}{G}{W}</t>
  </si>
  <si>
    <t>Headless Skaab / Skaab Sem Cabeça</t>
  </si>
  <si>
    <t>As an additional cost to cast this spell, exile a creature card from your graveyard. This creature enters tapped. / Como custo adicional para conjurar Skaab Sem Cabeça, exile um card de criatura de seu cemitério. Skaab Sem Cabeça entra no campo de batalha virado.</t>
  </si>
  <si>
    <t>Headless Specter / Espectro Sem Cabeça</t>
  </si>
  <si>
    <t>Flying Hellbent — Whenever this creature deals combat damage to a player, if you have no cards in hand, that player discards a card at random. / Voar Determinação — Toda vez que Espectro Sem Cabeça causa dano de combate a um jogador, se você não tiver nenhum card na mão, aquele jogador descarta um card aleatoriamente.</t>
  </si>
  <si>
    <t>Healer's Hawk / Falcão do Curandeiro</t>
  </si>
  <si>
    <t>Flying Lifelink (Damage dealt by this creature also causes you to gain that much life.) / Voar, vínculo com a vida</t>
  </si>
  <si>
    <t>Healing Hands / Mãos Curativas</t>
  </si>
  <si>
    <t>Target player gains 4 life. Draw a card. / O jogador alvo ganha 4 pontos de vida.Compre um card.</t>
  </si>
  <si>
    <t>Healing Salve</t>
  </si>
  <si>
    <t>Target player gains 3 life, or prevent up to 3 damage to any creature or player.</t>
  </si>
  <si>
    <t>Heartfire / Fogo Interior</t>
  </si>
  <si>
    <t>As an additional cost to cast this spell, sacrifice a creature or planeswalker. Heartfire deals 4 damage to any target. / Como custo adicional para conjurar esta mágica, sacrifique uma criatura ou um planeswalker. Fogo Interior causa 4 pontos de dano a qualquer alvo.</t>
  </si>
  <si>
    <t>Heavy Infantry / Infantaria Pesada</t>
  </si>
  <si>
    <t>When this creature enters, tap target creature an opponent controls. / Quando Infantaria Pesada entrar no campo de batalha, vire a criatura alvo que um oponente controla.</t>
  </si>
  <si>
    <t>Hecteyes</t>
  </si>
  <si>
    <t>Creature — Ooze Horror</t>
  </si>
  <si>
    <t>When this creature enters, each opponent discards a card.</t>
  </si>
  <si>
    <t>1B</t>
  </si>
  <si>
    <t>Final Fantasy (FFII)</t>
  </si>
  <si>
    <t>Hedron Blade / Lâmina de Edro</t>
  </si>
  <si>
    <t>Equipped creature gets +1/+1. Whenever equipped creature becomes blocked by one or more colorless creatures, it gains deathtouch until end of turn. Equip {2}</t>
  </si>
  <si>
    <t>Hei Bai, Spirit of Balance</t>
  </si>
  <si>
    <t>Legendary Creature — Bear Spirit</t>
  </si>
  <si>
    <t>Whenever Hei Bai enters or attacks, you may sacrifice another creature or artifact. If you do, put two +1/+1 counters on Hei Bai. When Hei Bai leaves the battlefield, put its counters on target creature you control.</t>
  </si>
  <si>
    <t>{2}{W/B}{W/B}</t>
  </si>
  <si>
    <t>Heir of the Wilds / Herdeiro do Mundo Selvagem</t>
  </si>
  <si>
    <t>Deathtouch Ferocious — Whenever this creature attacks, if you control a creature with power 4 or greater, this creature gets +1/+1 until end of turn. / Toque mortífero Feroz — Toda vez que Herdeiro do Mundo Selvagem atacar, se você controlar uma criatura com poder igual ou superior a 4, Herdeiro do Mundo Selvagem ganhará +1/+1 até o final do turno.</t>
  </si>
  <si>
    <t>Heirloom Auntie</t>
  </si>
  <si>
    <t>This creature enters with two -1/-1 counters on it. Whenever another creature you control dies, surveil 1, then remove a -1/-1 counter from this creature. (To surveil 1, look at the top card of your library. You may put it into your graveyard.)</t>
  </si>
  <si>
    <t>Hell's Thunder / Trovão do Inferno</t>
  </si>
  <si>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</si>
  <si>
    <t>Hellraiser Goblin / Goblino Desordeiro</t>
  </si>
  <si>
    <t>As criaturas que você controla têm ímpeto e atacam a cada combate se estiverem aptas.</t>
  </si>
  <si>
    <t>Helm of Chatzuk / Elmo de Chatzuk</t>
  </si>
  <si>
    <t>{1}, {T}: Target creature gains banding until end of turn. (Any creatures with banding, and up to one without, can attack in a band. Bands are blocked as a group. If any creatures with banding a player controls are blocking or being blocked by a creature, that player divides that creature's combat damage, not its controller, among any of the creatures it's being blocked by or is blocking.)</t>
  </si>
  <si>
    <t>Helm of the Ghastlord / Elmo do Lorde Fantasmal</t>
  </si>
  <si>
    <t>Enchant creature As long as enchanted creature is blue, it gets +1/+1 and has "Whenever this creature deals damage to an opponent, draw a card." As long as enchanted creature is black, it gets +1/+1 and has "Whenever this creature deals damage to an opponent, that player discards a card." / Encantar criatura Enquanto a criatura encantada for azul, ela receberá +1/+1 e terá "Toda vez que esta criatura causar dano a um oponente, compre um card." Enquanto a criatura encantada for preta, ela receberá +1/+1 e terá "Toda vez que esta criatura causar dano a um oponente, aquele jogador descartará um card."</t>
  </si>
  <si>
    <t>{3}{U/B}</t>
  </si>
  <si>
    <t>Helpful Hunter</t>
  </si>
  <si>
    <t>When this creature enters, draw a card.</t>
  </si>
  <si>
    <t>Hematite Talisman / Talismã de Hematita</t>
  </si>
  <si>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</si>
  <si>
    <t>Henchbots</t>
  </si>
  <si>
    <t>Artifact Creature — Robot</t>
  </si>
  <si>
    <t>When this creature enters, exile target tapped creature an opponent controls until this creature leaves the battlefield.</t>
  </si>
  <si>
    <t>Herald of Kozilek / Arauto de Kozilek</t>
  </si>
  <si>
    <t>Devoid (This card has no color.) Colorless spells you cast cost {1} less to cast. / Desprovido (Este card não tem cor.)As mágicas incolores que você conjura custam {1} a menos para serem conjuradas.</t>
  </si>
  <si>
    <t>Herald of the Fair / Arauto da Feira</t>
  </si>
  <si>
    <t>When this creature enters, target creature you control gets +1/+1 until end of turn. / Quando Arauto da Feira entra no campo de batalha, a criatura alvo que você controla recebe +1/+1 até o final do turno.</t>
  </si>
  <si>
    <t>Herbal Poultice / Emplastro de Ervas</t>
  </si>
  <si>
    <t>{3}, Sacrifice this artifact: Regenerate target creature. / {3}, Sacrifique Emplastro de Ervas: Regenere a criatura alvo.</t>
  </si>
  <si>
    <t>Herbology Instructor / Instrutor de Herbologia</t>
  </si>
  <si>
    <t>Creature — Treefolk Druid / Criatura — Ent Druida</t>
  </si>
  <si>
    <t>When this creature enters, you gain 3 life. {6}{B/P}: Transform this creature. Activate only as a sorcery. ({B/P} can be paid with either {B} or 2 life.) / Quando Instrutor de Herbologia entra no campo de batalha, você ganha 3 pontos de vida. {6}{B/P}: Transforme Instrutor de Herbologia. Ative somente como um feitiço. ({B/P} pode ser pago com {B} ou 2 pontos de vida.)</t>
  </si>
  <si>
    <t>Hermitic Herbalist</t>
  </si>
  <si>
    <t>Creature — Human Druid Ally</t>
  </si>
  <si>
    <t>{T}: Add one mana of any color. {T}: Add two mana in any combination of colors. Spend this mana only to cast Lesson spells.</t>
  </si>
  <si>
    <t>Hero in Training</t>
  </si>
  <si>
    <t>Creature — Human Hero</t>
  </si>
  <si>
    <t>When this creature enters, draw a card. If you control another Hero, you gain 2 life.</t>
  </si>
  <si>
    <t>Hero of the Games / Herói dos Jogos</t>
  </si>
  <si>
    <t>Whenever you cast a spell that targets this creature, creatures you control get +1/+0 until end of turn. / Toda vez que você conjura uma mágica que tenha como alvo Herói dos Jogos, as criaturas que você controla recebem +1/+0 até o final do turno.</t>
  </si>
  <si>
    <t>Heroes' Bane / Perdição dos Heróis</t>
  </si>
  <si>
    <t>Creature — Hydra / Criatura — Hidra</t>
  </si>
  <si>
    <t>Heroes' Bane enters the battlefield with four +1/+1 counters on it. {2}{G}{G}: Put X +1/+1 counters on Heroes' Bane, where X is its power. / Perdição dos Heróis entra no campo de batalha com quatro marcadores +1/+1. {2}{G}{G}: Coloque X marcadores +1/+1 em Perdição dos Heróis, sendo X seu poder.</t>
  </si>
  <si>
    <t>Heróis Colossais</t>
  </si>
  <si>
    <t>Esforço — Heróis Colossais custa 1G a mais para ser conjurado para cada alvo além do primeiro. Qualquer número de criaturas alvo recebe +2/+2 até o final do turno. Desvire aquelas criaturas.</t>
  </si>
  <si>
    <t>Heron of Hope / Garça da Esperança</t>
  </si>
  <si>
    <t>Flying If you would gain life, you gain that much life plus 1 instead. {1}{W}: This creature gains lifelink until end of turn. / Voar Se você ganharia pontos de vida, em vez disso, você ganha aquela quantidade de pontos de vida mais 1. {1}{W}: Garça da Esperança ganha vínculo com a vida até o final do turno.</t>
  </si>
  <si>
    <t>Hex / Feitiço Bruxaxento</t>
  </si>
  <si>
    <t>Destrua seis criaturas alvo.</t>
  </si>
  <si>
    <t>Marvel (MAR)</t>
  </si>
  <si>
    <t>Hexgold Halberd / Alabarda de Hexouro</t>
  </si>
  <si>
    <t>For Mirrodin! (When this Equipment enters, create a 2/2 red Rebel creature token, then attach this to it.) During your turn, equipped creature has first strike and trample. Equip {2}{R} / Por Mirrodin (Quando este Equipamento entrar no campo de batalha, crie uma ficha de criatura Rebelde vermelha 2/2 e anexe-o a ela.) Enquanto for o seu turno, a criatura equipada terá iniciativa e atropelar. Equipar {2}{R}</t>
  </si>
  <si>
    <t>High Priest of Penance / Alto Sacerdote de Penitência</t>
  </si>
  <si>
    <t>Whenever this creature is dealt damage, you may destroy target nonland permanent. / Toda vez que Alto Sacerdote de Penitência sofre dano, você pode destruir a permanente alvo que não seja um terreno.</t>
  </si>
  <si>
    <t>High-Flying Ace</t>
  </si>
  <si>
    <t>Flying {3}{W}: Target creature without flying gains flying until end of turn. Activate only as a sorcery.</t>
  </si>
  <si>
    <t>Highborn Ghoul / Carniçal Fidalgo</t>
  </si>
  <si>
    <t>Highland Game / Caça do Planalto</t>
  </si>
  <si>
    <t>When this creature dies, you gain 2 life. / Quando Caça do Planalto morre, você ganha 2 pontos de vida.</t>
  </si>
  <si>
    <t>Highland Lake / Lago Montanhês</t>
  </si>
  <si>
    <t>This land enters tapped. {T}: Add {U} or {R}. / Lago Montanhês entra no campo de batalha virado. {T}: Adicione {U} ou {R}.</t>
  </si>
  <si>
    <t>Highspire Artisan / Artesão dos Espigões</t>
  </si>
  <si>
    <t>Reach (This creature can block creatures with flying.) Fabricate 1 (When this creature enters, put a +1/+1 counter on it or create a 1/1 colorless Servo artifact creature token.) / Alcance (Esta criatura pode bloquear criaturas com voar.) Fabricar 1 (Quando esta criatura entrar no campo de batalha, coloque um marcador +1/+1 nela ou crie uma ficha de criatura artefato incolor 1/1 do tipo Servus.)</t>
  </si>
  <si>
    <t>Highspire Infusion / Infusão dos Espigões</t>
  </si>
  <si>
    <t>Target creature gets +3/+3 until end of turn. You get {E}{E} (two energy counters). / A criatura alvo recebe +3/+3 até o final do turno. Você recebe {E}{E} (dois marcadores de energia).</t>
  </si>
  <si>
    <t>Hightide Hermit / Eremita da Maré Alta</t>
  </si>
  <si>
    <t>Defender When this creature enters, you get {E}{E}{E}{E} (four energy counters). Pay {E}{E}: This creature can attack this turn as though it didn't have defender. / Defensor Quando Eremita da Maré Alta entra no campo de batalha, você recebe {E}{E}{E}{E} (quatro marcadores de energia). Pague {E}{E}: Eremita da Maré Alta pode atacar neste turno como se não tivesse defensor.</t>
  </si>
  <si>
    <t>Highway Robber / Saltimbancos</t>
  </si>
  <si>
    <t>Creature — Human Mercenary / Criatura — Humano Mercenário</t>
  </si>
  <si>
    <t>When this creature enters, target opponent loses 2 life and you gain 2 life. / Quando Saltimbancos entra em jogo, você ganha 2 pontos de vida e o oponente alvo perde 2 pontos de vida.</t>
  </si>
  <si>
    <t>Hill Giant / Gigante da Colina</t>
  </si>
  <si>
    <t>Hill Gigas / Gigas das Colinas</t>
  </si>
  <si>
    <t>Atropelar, ímpeto. Reciclar montanha {2} ({2}, Descarte este card: Procure em seu grimório por um card de Montanha, revele-o e coloque-o em sua mão. Depois, embaralhe seu grimório.)</t>
  </si>
  <si>
    <t>Hissing Iguanar / Iguanar Sibilante</t>
  </si>
  <si>
    <t>Whenever another creature dies, you may have this creature deal 1 damage to target player or planeswalker. / Toda vez que outra criatura for colocada no cemitério vinda do jogo, você pode fazer com que Iguanar Sibilante cause 1 ponto de dano ao jogador alvo.</t>
  </si>
  <si>
    <t>Hive Stirrings / Agitações na Colônia</t>
  </si>
  <si>
    <t>Create two 1/1 colorless Sliver creature tokens. / Coloque no campo de batalha duas fichas de criatura incolores 1/1 do tipo Fractius.</t>
  </si>
  <si>
    <t>Hoar Shade / Sombra Álgida</t>
  </si>
  <si>
    <t>Hoarding Ogre / Ogro Acumulador</t>
  </si>
  <si>
    <t>Creature — Ogre / Criatura — Ogro</t>
  </si>
  <si>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</si>
  <si>
    <t>Hog-Monkey</t>
  </si>
  <si>
    <t>Creature — Boar Monkey</t>
  </si>
  <si>
    <t>At the beginning of combat on your turn, target creature you control with a +1/+1 counter on it gains menace until end of turn. (It can't be blocked except by two or more creatures.) Exhaust — {5}: Put two +1/+1 counters on this creature. (Activate each exhaust ability only once.)</t>
  </si>
  <si>
    <t>Hold the Line / Manter a Posição</t>
  </si>
  <si>
    <t>As criaturas bloqueadoras recebem +7/+7 até o final do turno.</t>
  </si>
  <si>
    <t>Hollowhenge Beast / Fera de Vale Seco</t>
  </si>
  <si>
    <t>Holy Armor / Armadura Divina</t>
  </si>
  <si>
    <t>Target creature gains +0/+2. {W}: +0/+1</t>
  </si>
  <si>
    <t>Enchant creature Enchanted creature gets +0/+2. {W}: Enchanted creature gets +0/+1 until end of turn.</t>
  </si>
  <si>
    <t>Holy Strength / Força Divina</t>
  </si>
  <si>
    <t>Enchant creature Enchanted creature gets +1/+2. / Encantar criatura A criatura encantada recebe +1/+2.</t>
  </si>
  <si>
    <t>Holy Strength / Holy Strength</t>
  </si>
  <si>
    <t>Target creature gains +1/+2.</t>
  </si>
  <si>
    <t>Honest Work</t>
  </si>
  <si>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</si>
  <si>
    <t>Honorbound Page // Forum's Favor / Pajem Vinculado pela Honra // Favor do Fórum</t>
  </si>
  <si>
    <t>Criatura — Gato Clérigo // Feitiço</t>
  </si>
  <si>
    <t>Iniciativa. Esta criatura entra preparada. (Enquanto estiver preparada, você poderá conjurar uma cópia de sua mágica. Fazer isso faz com que ela deixe de ficar preparada.) // A criatura alvo recebe +1/+0 e ganha voar até o final do turno.</t>
  </si>
  <si>
    <t>3{W} // {W}</t>
  </si>
  <si>
    <t>Hooded Brawler / Rufião de Capelo</t>
  </si>
  <si>
    <t>Creature — Snake Warrior / Criatura — Naga Guerreiro</t>
  </si>
  <si>
    <t>You may exert this creature as it attacks. When you do, it gets +2/+2 until end of turn. (An exerted creature won't untap during your next untap step.) / Você pode exaurir Rufião de Capelo conforme ele ataca. Quando você faz isso, ele recebe +2/+2 até o final do turno. (Uma criatura exaurida não será desvirada durante sua próxima etapa de desvirar.)</t>
  </si>
  <si>
    <t>Hopeful Vigil / Vigília Esperançosa</t>
  </si>
  <si>
    <t>When this enchantment enters, create a 2/2 white Knight creature token with vigilance. When this enchantment is put into a graveyard from the battlefield, scry 2. {2}{W}: Sacrifice this enchantment. / Quando Vigília Esperançosa entrar no campo de batalha, crie uma ficha de criatura Cavaleiro branca 2/2 com vigilância. Quando Vigília Esperançosa for colocada no cemitério vinda do campo de batalha, use vidência 2. {2}{W}: Sacrifique Vigília Esperançosa.</t>
  </si>
  <si>
    <t>Hoplita Sátiro</t>
  </si>
  <si>
    <t>Criatura — Sátiro Soldado</t>
  </si>
  <si>
    <t>Heroico — Toda vez que você conjurar uma mágica cujo alvo seja Hoplita Sátiro, coloque um marcador +1/+1 em Hoplita Sátiro.</t>
  </si>
  <si>
    <t>Hordeling Outburst / Ataque da Mini-horda</t>
  </si>
  <si>
    <t>Create three 1/1 red Goblin creature tokens. / Coloque no campo de batalha três fichas de criatura vermelhas 1/1 do tipo Goblin.</t>
  </si>
  <si>
    <t>Horizon Chimera / Quimera do Horizonte</t>
  </si>
  <si>
    <t>Flash Flying, trample Whenever you draw a card, you gain 1 life. / Lampejo (Você poderá conjurar esta mágica a qualquer momento em que puder conjurar uma mágica instantânea.) Voar, atropelar Toda vez que você compra um card, você ganha 1 ponto de vida.</t>
  </si>
  <si>
    <t>Horrific Assault / Assalto Horripilante</t>
  </si>
  <si>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</si>
  <si>
    <t>Horseshoe Crab / Caranguejo Ferradura</t>
  </si>
  <si>
    <t>{U}: Untap this creature. / {U}: Desvire Caranguejo Ferradura.</t>
  </si>
  <si>
    <t>Hostile Negotiations / Negociações Hostis</t>
  </si>
  <si>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</si>
  <si>
    <t>A Guerra dos Irmãos</t>
  </si>
  <si>
    <t>Hound of the Farbogs / Sabujo de Brejolonge</t>
  </si>
  <si>
    <t>Creature — Zombie Dog / Criatura — Zumbi Sabujo</t>
  </si>
  <si>
    <t>Delirium — This creature has menace as long as there are four or more card types among cards in your graveyard. (A creature with menace can't be blocked except by two or more creatures.) / Delírio — Sabujo de Brejolonge terá ameaçar enquanto houver quatro ou mais tipos de card entre os cards de seu cemitério. (Uma criatura com ameaçar só pode ser bloqueada por duas ou mais criaturas.)</t>
  </si>
  <si>
    <t>Hour of Defeat</t>
  </si>
  <si>
    <t>Destroy target creature. Surveil 1. (Look at the top card of your library. You may put it into your graveyard.)</t>
  </si>
  <si>
    <t>Hour of Defeat / Hora da Derrota</t>
  </si>
  <si>
    <t>Destrua a criatura alvo. Vigie 1. (Olhe o card do topo de seu grimório. Você pode colocá-lo em seu cemitério.)</t>
  </si>
  <si>
    <t>Hour of Need / Hora da Necessidade</t>
  </si>
  <si>
    <t>Esforço — Hora da Necessidade custa 1U a mais para ser conjurado para cada alvo além do primeiro. Exile qualquer número de criaturas alvo. Para cada criatura exilada desta forma, seu controlador coloca no campo de batalha uma ficha de criatura 4/4 azul do tipo Esfinge com voar.</t>
  </si>
  <si>
    <t>Hour of Promise / Hora da Promessa</t>
  </si>
  <si>
    <t>Search your library for up to two land cards, put them onto the battlefield tapped, then shuffle. Then if you control three or more Deserts, create two 2/2 black Zombie creature tokens. / Procure até dois cards de terreno em seu grimório, coloque-os no campo de batalha virados e, depois, embaralhe seu grimório. Em seguida, se você controlar três ou mais Desertos, crie duas fichas de criatura preta 2/2 do tipo Zumbi.</t>
  </si>
  <si>
    <t>Hovel Hurler</t>
  </si>
  <si>
    <t>Creature — Giant Warrior</t>
  </si>
  <si>
    <t>This creature enters with two -1/-1 counters on it. {R/W}{R/W}, Remove a counter from this creature: Another target creature you control gets +1/+0 and gains flying until end of turn. Activate only as a sorcery.</t>
  </si>
  <si>
    <t>{3}{R/W}{R/W}</t>
  </si>
  <si>
    <t>How to Start a Riot</t>
  </si>
  <si>
    <t>Target creature gains menace until end of turn. (It can't be blocked except by two or more creatures.) Creatures target player controls get +2/+0 until end of turn.</t>
  </si>
  <si>
    <t>Howl from Beyond / Uivo do Além</t>
  </si>
  <si>
    <t>Target creature gets +X/+0 until end of turn. / A criatura alvo recebe +X/+0 até o final do turno.</t>
  </si>
  <si>
    <t>{X}{B}</t>
  </si>
  <si>
    <t>Howl of the Night Pack / Uivo da Matilha Noturna</t>
  </si>
  <si>
    <t>Create a 2/2 green Wolf creature token for each Forest you control. / Coloque no campo de batalha uma ficha de criatura verde 2/2 do tipo Lobo para cada Floresta que você controla.</t>
  </si>
  <si>
    <t>Howler's Heavy</t>
  </si>
  <si>
    <t>Creature — Seal Pirate</t>
  </si>
  <si>
    <t>Cycling {1}{U} ({1}{U}, Discard this card: Draw a card.) When you cycle this card, target creature or Vehicle an opponent controls gets -3/-0 until end of turn.</t>
  </si>
  <si>
    <t>Howling Mine</t>
  </si>
  <si>
    <t>During each player's draw phase, that player draws an additional card.</t>
  </si>
  <si>
    <t>Hubris / Arrogância</t>
  </si>
  <si>
    <t>Devolva a criatura alvo e todas as Auras anexadas a ela para as mãos de seus donos.</t>
  </si>
  <si>
    <t>Hulking Devil / Diabo Brutamontes</t>
  </si>
  <si>
    <t>Hullbreaker Horror / Horror Quebra-casco</t>
  </si>
  <si>
    <t>Creature — Kraken Horror / Criatura — Kraken Horror</t>
  </si>
  <si>
    <t>Flash This spell can't be countered. Whenever you cast a spell, choose up to one — • Return target spell you don't control to its owner's hand. • Return target nonland permanent to its owner's hand. / Lampejo Esta mágica não pode ser anulada. Toda vez que você conjurar uma mágica, escolha um — • Devolva a mágica alvo que você não controla para a mão de seu dono. • Devolva a permanente alvo não de terreno para a mão de seu dono.</t>
  </si>
  <si>
    <t>Hullcarver / Escultor de Cascos</t>
  </si>
  <si>
    <t>Criatura Artefato — Robô Assassino</t>
  </si>
  <si>
    <t>Toque mortífero</t>
  </si>
  <si>
    <t>Humble the Brute / Humildade ao Bruto</t>
  </si>
  <si>
    <t>Destroy target creature with power 4 or greater. Investigate.(Create a Clue token. It's an artifact with "{2}, Sacrifice this token: Draw a card.") / Destrua a criatura alvo com poder igual ou superior a 4. Investigue. (Coloque no campo de batalha uma ficha de artefato incolor do tipo Pista com "{2}, Sacrifique este artefato: Compre um card.")</t>
  </si>
  <si>
    <t>Humbler of Mortals / Humilhador de Mortais</t>
  </si>
  <si>
    <t>Constelação — Toda vez que Humilhador de Mortais ou outro encantamento entra no campo de batalha sob seu controle, as criaturas que você controla ganham atropelar até o final do turno.</t>
  </si>
  <si>
    <t>4GG</t>
  </si>
  <si>
    <t>Hundred-Handed One / Centomano</t>
  </si>
  <si>
    <t>Vigilance {3}{W}{W}{W}: Monstrosity 3. (If this creature isn't monstrous, put three +1/+1 counters on it and it becomes monstrous.) As long as this creature is monstrous, it has reach and can block an additional ninety-nine creatures each combat. / Vigilância {3}{W}{W}{W}: Monstruosidade 3. (Se esta criatura não for monstruosa, coloque três marcadores +1/+1 nela e ela se tornará monstruosa.) Enquanto Centomano for monstruoso, ele terá alcance e poderá bloquear noventa e nove criaturas adicionais em cada combate.</t>
  </si>
  <si>
    <t>Hungry Graffalon / Graffalon Faminto</t>
  </si>
  <si>
    <t>Creature — Giraffe / Criatura — Girafa</t>
  </si>
  <si>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</si>
  <si>
    <t>Hungry Spriggan / Spriggan Faminto</t>
  </si>
  <si>
    <t>Trample. Whenever Hungry Spriggan attacks, it gets +3/+3 until end of turn. / Atropelar. Toda vez que Spriggan Faminto ataca, ele recebe +3/+3 até o final do turno.</t>
  </si>
  <si>
    <t>Hunt the Weak / Caçar os Fracos</t>
  </si>
  <si>
    <t>Put a +1/+1 counter on target creature you control. Then that creature fights target creature you don't control. (Each deals damage equal to its power to the other.) / Coloque um marcador +1/+1 na criatura alvo que você controla. Depois, aquela criatura luta com a criatura alvo que você não controla. (Cada uma causa à outra uma quantidade de dano igual ao seu poder.)</t>
  </si>
  <si>
    <t>Hunter of Eyeblights / Caçador de Seca-Olhos</t>
  </si>
  <si>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</si>
  <si>
    <t>Hunter's Edge / Vantagem da Caçadora</t>
  </si>
  <si>
    <t>Put a +1/+1 counter on target creature you control. Then that creature deals damage equal to its power to target creature you don't control. / Coloque um marcador +1/+1 na criatura alvo que você controla. Em seguida, aquela criatura causa uma quantidade de dano igual ao próprio poder à criatura alvo que você não controla.</t>
  </si>
  <si>
    <t>Hunter's Insight / Percepção do Caçador</t>
  </si>
  <si>
    <t>Choose target creature you control. Whenever that creature deals combat damage to a player or planeswalker this turn, draw that many cards. / Escolha a criatura alvo que você controla. Toda vez que aquela criatura causar dano de combate a um jogador ou a um planeswalker neste turno, compre uma quantidade equivalente de cards.</t>
  </si>
  <si>
    <t>Hunter's Mark / Marca do Predador</t>
  </si>
  <si>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</si>
  <si>
    <t>Hurloon Battle Hymn / Hino de Batalha de Hurloon</t>
  </si>
  <si>
    <t>Kicker {W} (You may pay an additional {W} as you cast this spell.) Hurloon Battle Hymn deals 4 damage to target creature or planeswalker. If this spell was kicked, you gain 4 life. / Reforçar {W} (Você pode pagar um custo adicional de {W} ao conjurar esta mágica.) Hino de Batalha de Hurloon causa 4 pontos de dano à criatura ou ao planeswalker alvo. Se esta mágica foi reforçada, você ganha 4 pontos de vida.</t>
  </si>
  <si>
    <t>Hurloon Minotaur / Minotauro de Hurloon</t>
  </si>
  <si>
    <t>Creature — Minotaur</t>
  </si>
  <si>
    <t>Hussar Patrol / Patrulha Hússara</t>
  </si>
  <si>
    <t>Lampejo (Você poderá conjurar esta mágica a qualquer momento em que puder conjurar uma mágica instantânea.) Vigilância</t>
  </si>
  <si>
    <t>2WU</t>
  </si>
  <si>
    <t>Hyalopterous Lemure / Lêmure Hialóptero</t>
  </si>
  <si>
    <t>{0}: This creature gets -1/-0 and gains flying until end of turn. / {0}: Lêmure Hialóptero recebe -1/-0 e ganha voar até o final do turno.</t>
  </si>
  <si>
    <t>HYDRA Infiltration</t>
  </si>
  <si>
    <t>When this enchantment enters, target opponent discards two cards. Whenever a creature you control attacks alone, target opponent loses 1 life and you gain 1 life.</t>
  </si>
  <si>
    <t>Hydraulic Helper</t>
  </si>
  <si>
    <t>Defender {T}: Add {U}. This mana can't be spent to cast a nonartifact spell.</t>
  </si>
  <si>
    <t>Hydraulic Helper / Ajudante Hidráulico</t>
  </si>
  <si>
    <t>Defensor. {T}: Adicione {U}. Este mana não pode ser gasto para conjurar uma mágica que não seja de artefato.</t>
  </si>
  <si>
    <t>Hydro-Channeler / Canalizador Hidráulico</t>
  </si>
  <si>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</si>
  <si>
    <t>Hydroform / Hidroformar</t>
  </si>
  <si>
    <t>Target land becomes a 3/3 Elemental creature with flying until end of turn. It's still a land. / O terreno alvo torna-se uma criatura do tipo Elemental 3/3 com voar até o final do turno. Ela ainda conta como um terreno.</t>
  </si>
  <si>
    <t>Hydrolash / Açoite Hídrico</t>
  </si>
  <si>
    <t>Attacking creatures get -2/-0 until end of turn. Draw a card. / As criaturas atacantes recebem -2/-0 até o final do turno.Compre um card.</t>
  </si>
  <si>
    <t>Hyena Pack / Alcateia de Hienas</t>
  </si>
  <si>
    <t>Creature — Hyena / Criatura — Hiena</t>
  </si>
  <si>
    <t>Hymn of the Faller / Hino do Caído</t>
  </si>
  <si>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</si>
  <si>
    <t>Hypothesizzle / Hipótese Fulminante</t>
  </si>
  <si>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</si>
  <si>
    <t>Hyrax Tower Scout / Batedora da Torre de Hírax</t>
  </si>
  <si>
    <t>When this creature enters, untap target creature. / Quando Batedora da Torre de Hírax entrar no campo de batalha, desvire a criatura alvo.</t>
  </si>
  <si>
    <t>Hysterical Blindness / Cegueira Histérica</t>
  </si>
  <si>
    <t>Creatures your opponents control get -4/-0 until end of turn. / As criaturas controladas por seus oponentes recebem -4/-0 até o final do turno.</t>
  </si>
  <si>
    <t>I Am Iron Man / Eu Sou o Homem de Ferro</t>
  </si>
  <si>
    <t>Até o final do turno, o artefato ou criatura alvo torna-se uma criatura artefato com poder e resistência básicos 4/4 e ganha voar. Compre um card.</t>
  </si>
  <si>
    <t>Ib Halfheart, Goblin Tactician / Ib Meio-coração, Tático Goblin</t>
  </si>
  <si>
    <t>Legendary Creature — Goblin Advisor / Criatura Lendária — Goblin Conselheiro</t>
  </si>
  <si>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</si>
  <si>
    <t>Icatian Infantry</t>
  </si>
  <si>
    <t>Criatura — Soldados / Summon Soldiers</t>
  </si>
  <si>
    <t>{1}: Bands until end of turn. {1}: First strike until end of turn.</t>
  </si>
  <si>
    <t>Icatian Infantry / Infantaria Icatiana</t>
  </si>
  <si>
    <t>Creature — Soldiers / Criatura — Soldados</t>
  </si>
  <si>
    <t>{1}: Bands until end of turn. {1}: First strike until end of turn. / {1}: Forma bandos até o final do turno. {1}: Iniciativa até o final do turno.</t>
  </si>
  <si>
    <t>Icatian Moneychanger</t>
  </si>
  <si>
    <t>Criatura — Povo da Cidade / Summon Townsfolk</t>
  </si>
  <si>
    <t>Moneychanger deals 3 damage to you when summoned; put three credit counters on Moneychanger at that time. During your upkeep, put one credit counter on Moneychanger. {0}: Sacrifice Moneychanger to gain 1 life for each credit counter on it. Use this ability only during your upkeep.</t>
  </si>
  <si>
    <t>Icatian Phalanx / Falange Icatiana</t>
  </si>
  <si>
    <t>Banding (Any creatures with banding, and up to one without, can attack in a band. Bands are blocked as a group. If any creatures with banding you control are blocking or being blocked by a creature, you divide that creature's combat damage, not its controller, among any of the creatures it's being blocked by or is blocking.)</t>
  </si>
  <si>
    <t>Icatian Scout / Explorador Icatiano</t>
  </si>
  <si>
    <t>{1}, {T}: Target creature gains first strike until end of turn. / {1}, {T}: A criatura alvo ganha iniciativa até o final do turno.</t>
  </si>
  <si>
    <t>Icatian Skirmishers</t>
  </si>
  <si>
    <t>Bands, first strike. All creatures that band with Skirmishers to attack gain first strike until end of turn.</t>
  </si>
  <si>
    <t>Ice Cream Kitty</t>
  </si>
  <si>
    <t>Artifact Creature — Food Cat Mutant</t>
  </si>
  <si>
    <t>{2}, Sacrifice another creature or token: Draw a card. Activate only as a sorcery. {2}, {T}, Sacrifice this creature: You gain 3 life.</t>
  </si>
  <si>
    <t>{1}{B/G}</t>
  </si>
  <si>
    <t>Ice Flan / Pudim de Gelo</t>
  </si>
  <si>
    <t>Criatura — Elemental Geléia</t>
  </si>
  <si>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</si>
  <si>
    <t>Ice Magic / Magia de Gelo</t>
  </si>
  <si>
    <t>Em camadas (Escolha um custo adicional.) • Blizzard — {0} — Devolva a criatura alvo para a mão de seu dono. • Blizzara — {2} — O dono da criatura alvo a coloca no topo ou no fundo do grimório dele, à escolha dele. • Blizzaga — {5}{U} — O dono da criatura alvo a embaralha no grimório dele.</t>
  </si>
  <si>
    <t>Ichor Slick / Gosma Icorídia</t>
  </si>
  <si>
    <t>Target creature gets -3/-3 until end of turn. Cycling {2} ({2}, Discard this card: Draw a card.) Madness {3}{B} (If you discard this card, discard it into exile. When you do, cast it for its madness cost or put it into your graveyard.) / A criatura alvo recebe -3/-3 até o final do turno. Reciclar {2} ({2}, descarte este card: Compre um card.) Loucura {3}{B} (Se você descartar este card, descarte-o para o exílio. Quando fizer isso, conjure-o por seu custo de loucura ou coloque-o em seu cemitério.)</t>
  </si>
  <si>
    <t>Iconic Shield</t>
  </si>
  <si>
    <t>Equipped creature gets +1/+2 and has "Whenever this creature attacks, another target attacking creature gains indestructible until end of turn." (Damage and effects that say "destroy" don't destroy it.) Equip {3} ({3}: Attach to target creature you control. Equip only as a sorcery.)</t>
  </si>
  <si>
    <t>Icy Manipulator / Manipulador Gélido</t>
  </si>
  <si>
    <t>{1}, {T}: Tap target artifact, creature, or land. / {1}, {T}: Vire o artefato, a criatura ou o terreno alvo.</t>
  </si>
  <si>
    <t>Ignis Scientia / Ignis Scientia</t>
  </si>
  <si>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</si>
  <si>
    <t>1{G}{U}</t>
  </si>
  <si>
    <t>Verde/Azul</t>
  </si>
  <si>
    <t>Iguana Parrot</t>
  </si>
  <si>
    <t>Creature — Lizard Bird Pirate</t>
  </si>
  <si>
    <t>Flying, vigilance Prowess (Whenever you cast a noncreature spell, this creature gets +1/+1 until end of turn.)</t>
  </si>
  <si>
    <t>Ihsan's Shade / A Sombra de Ihsan</t>
  </si>
  <si>
    <t>Legendary Creature — Shade Knight</t>
  </si>
  <si>
    <t>Protection from white</t>
  </si>
  <si>
    <t>Il Mheg Pixie</t>
  </si>
  <si>
    <t>Creature — Faerie</t>
  </si>
  <si>
    <t>Flying Whenever this creature attacks, surveil 1. (Look at the top card of your library. You may put it into your graveyard.)</t>
  </si>
  <si>
    <t>Illegitimate Business</t>
  </si>
  <si>
    <t>This land enters tapped. When this land enters, you gain 1 life. {T}: Add {B} or {G}.</t>
  </si>
  <si>
    <t>Illness in the Ranks / Tropas Enfermas</t>
  </si>
  <si>
    <t>Creature tokens get -1/-1. / As fichas de criatura recebem -1/-1.</t>
  </si>
  <si>
    <t>Illusion Spinners</t>
  </si>
  <si>
    <t>You may cast this spell as though it had flash if you control a Faerie. Flying. This creature has hexproof as long as it's untapped. (It can't be the target of spells or abilities your opponents control.)</t>
  </si>
  <si>
    <t>Illusionary Servant / Servo Ilusório</t>
  </si>
  <si>
    <t>Flying When this creature becomes the target of a spell or ability, sacrifice it. / Voar Quando Servo Ilusório tornar-se alvo de uma mágica ou habilidade, sacrifique-o.</t>
  </si>
  <si>
    <t>Illusory Wrappings / Ataduras Ilusórias</t>
  </si>
  <si>
    <t>Enchant creature Enchanted creature has base power and toughness 0/2. / Encantar criatura A criatura encantada tem 0/2 de poder e resistência básicos.</t>
  </si>
  <si>
    <t>Illvoi Light Jammer / Bloqueador de Luz de Illvoi</t>
  </si>
  <si>
    <t>Lampejo. Quando este Equipamento entrar, anexe-o à criatura alvo que você controla. Aquela criatura ganha resistência a magia até o final do turno. (Ela não pode ser alvo de mágicas ou habilidades que seus oponentes controlam.) A criatura equipada recebe +1/+2. Equipar {3}</t>
  </si>
  <si>
    <t>Ilysian Caryatid / Cariátide Ilisiana</t>
  </si>
  <si>
    <t>{T}: Add one mana of any color. If you control a creature with power 4 or greater, add two mana of any one color instead. / {T}: Adicione um mana de qualquer cor. Se você controlar uma criatura com poder igual ou superior a 4, em vez disso, adicione dois manas de qualquer cor.</t>
  </si>
  <si>
    <t>Immolating Glare / Fulgor Imolante</t>
  </si>
  <si>
    <t>Destroy target attacking creature. / Destrua a criatura atacante alvo.</t>
  </si>
  <si>
    <t>Immolating Souleater / Devora-almas Imolador</t>
  </si>
  <si>
    <t>Artifact Creature — Phyrexian Dog / Criatura Artefato — Sabujo</t>
  </si>
  <si>
    <t>{R/P}: This creature gets +1/+0 until end of turn. ({R/P} can be paid with either {R} or 2 life.) / {R/P}: Devora-almas Imolador recebe +1/+0 até o final do turno. ({R/P} pode ser pago com {R} ou 2 pontos de vida.)</t>
  </si>
  <si>
    <t>Immolation / Imolação</t>
  </si>
  <si>
    <t>Enchant creature Enchanted creature gets +2/-2. / A criatura-alvo ganha +2/-2.</t>
  </si>
  <si>
    <t>Imodane, the Pyrohammer / Imodane, a Piromartelo</t>
  </si>
  <si>
    <t>Whenever an instant or sorcery spell you control that targets only a single creature deals damage to that creature, Imodane deals that much damage to each opponent. / Toda vez que uma mágica instantânea ou um feitiço que você controla que tenha como alvo uma única criatura causar dano àquela criatura, Imodane causará aquela quantidade de dano a cada oponente.</t>
  </si>
  <si>
    <t>Imodane's Recruiter // Train Troops / Recrutador de Imodane // Treinar Tropas</t>
  </si>
  <si>
    <t>Creature — Human Knight // Sorcery — Adventure / Criatura — Humano Cavaleiro</t>
  </si>
  <si>
    <t>Imodane's Recruiter: When this creature enters, creatures you control get +1/+0 and gain haste until end of turn. // Train Troops: Create two 2/2 white Knight creature tokens with vigilance. (Then exile this card. You may cast the creature later from exile.) / Quando Recrutador de Imodane entra no campo de batalha, as criaturas que você controla recebem +1/+0 e ganham ímpeto até o final do turno.</t>
  </si>
  <si>
    <t>{2}{R} // {4}{W}</t>
  </si>
  <si>
    <t>Impale / Empalar</t>
  </si>
  <si>
    <t>Destroy target creature. / Destrua a criatura alvo.</t>
  </si>
  <si>
    <t>Impassioned Orator / Orador Exaltado</t>
  </si>
  <si>
    <t>Whenever another creature you control enters, you gain 1 life. / Toda vez que outra criatura entra no campo de batalha sob o seu controle, você ganha 1 ponto de vida.</t>
  </si>
  <si>
    <t>Imperial Subduer / Subjugadora Imperial</t>
  </si>
  <si>
    <t>Creature — Human Samurai / Criatura — Humano Samurai</t>
  </si>
  <si>
    <t>Whenever a Samurai or Warrior you control attacks alone, tap target creature you don't control. / Toda vez que um Samurai ou Guerreiro que você controla atacar sozinho, vire a criatura alvo que você não controla.</t>
  </si>
  <si>
    <t>Imperious Inkmage / Mago da Tinta Imperioso</t>
  </si>
  <si>
    <t>Criatura — Orc Bruxo</t>
  </si>
  <si>
    <t>Vigilância. Quando esta criatura entrar, vigie 2. (Olhe os dois cards do topo de seu grimório, depois coloque qualquer número deles em seu cemitério e o restante no topo de seu grimório em qualquer ordem.)</t>
  </si>
  <si>
    <t>Imperious Oligarch / Oligarca Imperiosa</t>
  </si>
  <si>
    <t>Vigilance Afterlife 1 (When this creature dies, create a 1/1 white and black Spirit creature token with flying.) / Vigilância Pós-vida 1 (Quando esta criatura morrer, crie uma ficha de criatura branca e preta 1/1 do tipo Espírito com voar.)</t>
  </si>
  <si>
    <t>Imperious Perfect / Perfeita Imperiosa</t>
  </si>
  <si>
    <t>Other Elves you control get +1/+1. {G}, {T}: Create a 1/1 green Elf Warrior creature token. / As outras criaturas Elfo que você controla recebem +1/+1. {G}, {T}: Crie uma ficha de criatura Elfo Guerreiro verde 1/1.</t>
  </si>
  <si>
    <t>Impetuous Sunchaser / Perseguidor do Sol Impetuoso</t>
  </si>
  <si>
    <t>Flying, haste This creature attacks each combat if able. / Voar, ímpeto Perseguidor do Sol Impetuoso ataca a cada turno se estiver apto.</t>
  </si>
  <si>
    <t>Impolite Entrance</t>
  </si>
  <si>
    <t>Target creature gains trample and haste until end of turn. Draw a card.</t>
  </si>
  <si>
    <t>Imposing Visage / Aparência Imponente</t>
  </si>
  <si>
    <t>Enchant creature Enchanted creature has menace. (It can't be blocked except by two or more creatures.)</t>
  </si>
  <si>
    <t>Impossible Inferno</t>
  </si>
  <si>
    <t>Impossible Inferno deals 6 damage to target creature. Delirium — If there are four or more card types among cards in your graveyard, exile the top card of your library. You may play it until the end of your next turn.</t>
  </si>
  <si>
    <t>Imprisoned in the Moon / Aprisionados na Lua</t>
  </si>
  <si>
    <t>Enchant creature, land, or planeswalker Enchanted permanent is a colorless land with "{T}: Add {C}" and loses all other card types and abilities. / Encantar criatura, terreno ou planeswalker A permanente encantada é um terreno incolor com "{T}: Adicione {C} a sua reserva de mana" e perde todos os outros tipos de card e habilidades.</t>
  </si>
  <si>
    <t>Impulse / Impulso</t>
  </si>
  <si>
    <t>Olhe os quatro cards do topo de seu grimório. Coloque um deles em sua mão e o restante no fundo de seu grimório em qualquer ordem.</t>
  </si>
  <si>
    <t>Impulsive Pilferer / Gatuno Impulsivo</t>
  </si>
  <si>
    <t>When this creature dies, create a Treasure token. (It's an artifact with "{T}, Sacrifice this token: Add one mana of any color.") Encore {3}{R} ({3}{R}, Exile this card from your graveyard: For each opponent, create a token copy that attacks that opponent this turn if able. They gain haste. Sacrifice them at the beginning of the next end step. Activate only as a sorcery.) / Quando Gatuno Impulsivo morrer, crie uma ficha de Tesouro. (Ela é um artefato com "{T}, sacrifique este artefato: Adicione um mana de qualquer cor".) Bis {3}{R} ({3}{R}, exile este card de seu cemitério: Para cada oponente, crie uma ficha que é uma cópia que ataca aquele oponente neste turno se estiver apta. Elas ganham ímpeto. Sacrifique-as no início da próxima etapa final. Ative somente como um feitiço.)</t>
  </si>
  <si>
    <t>Incinerating Blast</t>
  </si>
  <si>
    <t>Incinerating Blast deals 6 damage to target creature. You may discard a card. If you do, draw a card.</t>
  </si>
  <si>
    <t>Incitar a Turba</t>
  </si>
  <si>
    <t>Esforço — Incitar a Turba custa 2R a mais para ser conjurado para cada alvo além do primeiro. Qualquer número de criaturas alvo recebe +2/+0 e ganha atropelar até o final do turno.</t>
  </si>
  <si>
    <t>Incongruência / Incongruity // Incubação / Incubation</t>
  </si>
  <si>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</si>
  <si>
    <t>{1}{G}{U} // {G/U}</t>
  </si>
  <si>
    <t>Increasing Devotion / Devoção Crescente</t>
  </si>
  <si>
    <t>Create five 1/1 white Human creature tokens. If this spell was cast from a graveyard, create ten of those tokens instead. Flashback {7}{W}{W} (You may cast this card from your graveyard for its flashback cost. Then exile it.) / Coloque no campo de batalha cinco fichas de criatura brancas 1/1 do tipo Humano. Se Devoção Crescente tiver sido conjurada de um cemitério, em vez disso, coloque dez dessas fichas no campo de batalha. Recapitular {7}{W}{W} (Você pode conjurar este card de seu cemitério pagando seu custo de recapitular. Depois, exile-o.)</t>
  </si>
  <si>
    <t>Incursão de Orcs / Orcish Medicine</t>
  </si>
  <si>
    <t>Arregimentar Orcs 2. Quando você faz isso, Incursão de Orcs causa X pontos de dano à criatura alvo que um oponente controla, sendo X o poder do Exército arregimentado.</t>
  </si>
  <si>
    <t>Indestructible Aura</t>
  </si>
  <si>
    <t>Prevent all damage that would be dealt to target creature this turn.</t>
  </si>
  <si>
    <t>Infantry Veteran / Veterano da Infantaria</t>
  </si>
  <si>
    <t>{T}: A criatura atacante alvo recebe +1/+1 até o final do turno.</t>
  </si>
  <si>
    <t>W</t>
  </si>
  <si>
    <t>{T}: Target attacking creature gets +1/+1 until end of turn. / {T}: A criatura alvo atacante recebe +1/+1 até o final do turno.</t>
  </si>
  <si>
    <t>Infectious Bloodlust / Sede de Sangue Infecciosa</t>
  </si>
  <si>
    <t>Enchant creature Enchanted creature gets +2/+1, has haste, and attacks each combat if able. When enchanted creature dies, you may search your library for a card named Infectious Bloodlust, reveal it, put it into your hand, then shuffle. / Encantar criaturaA criatura encantada recebe +2/+1, tem ímpeto e ataca a cada turno se estiver apta.Quando a criatura encantada morrer, você poderá procurar em seu grimório um card com o nome de Sede de Sangue Infecciosa, revelá-lo, colocá-lo em sua mão e, depois, embaralhar seu grimório.</t>
  </si>
  <si>
    <t>Infernal Denizen / Residente Infernal</t>
  </si>
  <si>
    <t>Creature — Demon</t>
  </si>
  <si>
    <t>At the beginning of your upkeep, sacrifice two Swamps. If you can't, tap this creature, and an opponent may gain control of a creature you control of their choice for as long as this creature remains on the battlefield. {T}: Gain control of target creature for as long as this creature remains on the battlefield.</t>
  </si>
  <si>
    <t>{7}{B}</t>
  </si>
  <si>
    <t>Infernal Scarring / Escarificação Infernal</t>
  </si>
  <si>
    <t>Enchant creature Enchanted creature gets +2/+0 and has "When this creature dies, draw a card." / Encantar criatura A criatura encantada recebe +2/+0 e tem "Quando esta criatura morrer, compre um card."</t>
  </si>
  <si>
    <t>Inferno</t>
  </si>
  <si>
    <t>Inferno deals 6 damage to each creature and each player. / Inferno causa 6 pontos de dano a cada criatura e cada jogador.</t>
  </si>
  <si>
    <t>Inferno Titan / Titã do Inferno</t>
  </si>
  <si>
    <t>{R}: This creature gets +1/+0 until end of turn. Whenever this creature enters or attacks, it deals 3 damage divided as you choose among one, two, or three targets. / {R}: Titã do Inferno recebe +1/+0 até o final do turno. Toda vez que Titã do Inferno entra no campo de batalha ou ataca, ele causa 3 pontos de dano divididos como você escolher entre uma, duas ou três criaturas e/ou jogadores alvo.</t>
  </si>
  <si>
    <t>Inferno Trap / Armadilha de Inferno</t>
  </si>
  <si>
    <t>Se tiver recebido dano de duas ou mais criaturas neste turno, você poderá pagar {R} em vez de pagar o custo de mana de Armadilha de Inferno. Armadilha de Inferno causa 4 de dano à criatura alvo.</t>
  </si>
  <si>
    <t>Infestation Sage</t>
  </si>
  <si>
    <t>When this creature dies, create a 1/1 black and green Insect creature token with flying.</t>
  </si>
  <si>
    <t>Infinite Guideline Station / Estação da Diretriz Infinita</t>
  </si>
  <si>
    <t>Artefato Lendário — Nave Espacial</t>
  </si>
  <si>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</si>
  <si>
    <t>{W}{U}{B}{R}{G}</t>
  </si>
  <si>
    <t>7/15</t>
  </si>
  <si>
    <t>Infuse with the Elements / Infundir com os Elementos</t>
  </si>
  <si>
    <t>Converge — Put X +1/+1 counters on target creature, where X is the number of colors of mana spent to cast this spell. That creature gains trample until end of turn. / Convergir — Coloque X marcadores +1/+1 na criatura alvo, sendo X o número de cores de mana gasto para conjurar Infundir com os Elementos. Aquela criatura ganha atropelar até o final do turno.</t>
  </si>
  <si>
    <t>Inga Rune-Eyes / Inga Olhos Rúnicos</t>
  </si>
  <si>
    <t>Legendary Creature — Human Wizard / Criatura Lendária — Humano Mago</t>
  </si>
  <si>
    <t>When Inga Rune-Eyes enters, scry 3. When Inga Rune-Eyes dies, draw three cards if three or more creatures died this turn. / Quando Inga Olhos Rúnicos entrar no campo de batalha, use vidência 3. Quando Inga Olhos Rúnicos morrer, compre três cards se três ou mais criaturas morreram neste turno.</t>
  </si>
  <si>
    <t>Ingenious Thief</t>
  </si>
  <si>
    <t>Flying When this creature enters, look at target player's hand.</t>
  </si>
  <si>
    <t>Portal (POR)</t>
  </si>
  <si>
    <t>Initiate's Companion / Companheiro do Iniciado</t>
  </si>
  <si>
    <t>Whenever this creature deals combat damage to a player, untap target creature or land. / Toda vez que Companheiro do Iniciado causar dano de combate a um jogador, desvire a criatura ou o terreno alvo.</t>
  </si>
  <si>
    <t>Inkfathom Infiltrator / Infiltrado Braçatinta</t>
  </si>
  <si>
    <t>This creature can't block and can't be blocked. / Infiltrado Braçatinta não pode bloquear e não pode ser bloqueado.</t>
  </si>
  <si>
    <t>{U/B}{U/B}</t>
  </si>
  <si>
    <t>Inkrise Infiltrator / Infiltradora Asas de Tinta</t>
  </si>
  <si>
    <t>Flying {3}{B}: This creature gets +2/+2 until end of turn. / Voar {3}{B}: Infiltradora Asas de Tinta recebe +2/+2 até o final do turno.</t>
  </si>
  <si>
    <t>Inordinate Rage / Fúria Desmedida</t>
  </si>
  <si>
    <t>Target creature gets +3/+2 until end of turn. Scry 1. / A criatura alvo recebe +3/+2 até o final do turno. Use vidência 1.</t>
  </si>
  <si>
    <t>Insectoid Exterminator</t>
  </si>
  <si>
    <t>Creature — Insect Mutant</t>
  </si>
  <si>
    <t>Flying Disappear — At the beginning of your end step, if a permanent left the battlefield under your control this turn, scry 1. (Look at the top card of your library. You may put that card on the bottom.)</t>
  </si>
  <si>
    <t>Insidious Bookworms / Traças de Livro Insidiosas</t>
  </si>
  <si>
    <t>Creature — Worm</t>
  </si>
  <si>
    <t>When this creature dies, you may pay {1}{B}. If you do, target player discards a card at random.</t>
  </si>
  <si>
    <t>Insomnia, Crown City / Insomnia, Cidade da Coroa</t>
  </si>
  <si>
    <t>Este terreno entra virado. {T}: Adicione {W} ou {B}.</t>
  </si>
  <si>
    <t>Inspiration / Inspiração</t>
  </si>
  <si>
    <t>Target player draws two cards. / O jogador alvo compra dois cards.</t>
  </si>
  <si>
    <t>Inspiration from Beyond</t>
  </si>
  <si>
    <t>Mill three cards, then return an instant or sorcery card from your graveyard to your hand. Flashback {5}{U}{U} (You may cast this card from your graveyard for its flashback cost. Then exile it.)</t>
  </si>
  <si>
    <t>Inspire Awe / Inspirar Temor</t>
  </si>
  <si>
    <t>Prevent all combat damage that would be dealt this turn except combat damage that would be dealt by enchanted creatures and enchantment creatures. Scry 2. / Previna todo dano de combate que seria causado este turno, exceto dano de combate que seria causado por criaturas encantadas e criaturas encantamento. Use vidência 2.</t>
  </si>
  <si>
    <t>Inspired Insurgent</t>
  </si>
  <si>
    <t>{1}, Sacrifice this creature: Destroy target artifact or enchantment.</t>
  </si>
  <si>
    <t>Inspired Inventor / Inventor Inspirado</t>
  </si>
  <si>
    <t>When this creature enters, choose one — • You get {E}{E}{E} (three energy counters). • Put a +1/+1 counter on target creature. • Create a 1/1 colorless Servo artifact creature token. / Quando Inventor Inspirado entrar no campo de batalha, escolha um — • Você recebe {E}{E}{E} (três marcadores de energia). • Coloque um marcador +1/+1 na criatura alvo. • Crie uma ficha de criatura artefato Servus incolor 1/1.</t>
  </si>
  <si>
    <t>Inspiring Bard / Bardo Inspirador</t>
  </si>
  <si>
    <t>Creature — Elf Bard / Criatura — Elfo Bardo</t>
  </si>
  <si>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</si>
  <si>
    <t>Inspiring Call / Chamado Inspirador</t>
  </si>
  <si>
    <t>Draw a card for each creature you control with a +1/+1 counter on it. Those creatures gain indestructible until end of turn. (Damage and effects that say "destroy" don't destroy them.) / Compre um card para cada criatura que você controla com um marcador +1/+1. Essas criaturas ganham indestrutível até o final do turno. (Nem dano nem efeitos que dizem "destrua" podem destruí-las.)</t>
  </si>
  <si>
    <t>Inspiring Overseer / Supervisor Inspirador</t>
  </si>
  <si>
    <t>Creature — Angel Cleric / Criatura — Anjo Clérigo</t>
  </si>
  <si>
    <t>Flying When this creature enters, you gain 1 life and draw a card. / Voar Quando Supervisor Inspirador entra no campo de batalha, você ganha 1 ponto de vida e compra um card.</t>
  </si>
  <si>
    <t>Inspiring Vantage / Vantagem Inspiradora</t>
  </si>
  <si>
    <t>This land enters tapped unless you control two or fewer other lands. {T}: Add {R} or {W}. / Vantagem Inspiradora entra no campo de batalha virado, a menos que você controle dois outros terrenos ou menos. {T}: Adicione {R} ou {W} à sua reserva de mana.</t>
  </si>
  <si>
    <t>Instant Ramen / Lámen Instantâneo</t>
  </si>
  <si>
    <t>Artefato — Comida</t>
  </si>
  <si>
    <t>Lampejo. Quando este artefato entrar, compre um card. {2}, {T}, Sacrifique este artefato: Você ganha 3 de vida.</t>
  </si>
  <si>
    <t>Instill Infection / Infundir Infecção</t>
  </si>
  <si>
    <t>Put a -1/-1 counter on target creature. Draw a card. / Coloque um marcador -1/-1 na criatura alvo. Compre um card.</t>
  </si>
  <si>
    <t>Intangible Virtue / Virtude Intangível</t>
  </si>
  <si>
    <t>Creature tokens you control get +1/+1 and have vigilance. / As fichas de criatura que você controla recebem +1/+1 e têm vigilância.</t>
  </si>
  <si>
    <t>Interceptor Mechan / Mecano-interceptador</t>
  </si>
  <si>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</si>
  <si>
    <t>2{B}{R}</t>
  </si>
  <si>
    <t>Intercessor's Arrest / Prisão do Intercessor</t>
  </si>
  <si>
    <t>Enchant permanent Enchanted permanent can't attack, block, or crew Vehicles. Its activated abilities can't be activated unless they're mana abilities. / Encantar permanente A permanente encantada não pode atacar, bloquear nem tripular Veículos. As habilidades ativadas dela não podem ser ativadas, a menos que sejam habilidades de mana.</t>
  </si>
  <si>
    <t>Interpret the Signs / Interpretar os Sinais</t>
  </si>
  <si>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</si>
  <si>
    <t>5U</t>
  </si>
  <si>
    <t>Into the Roil / Adentrar o Turbilhão</t>
  </si>
  <si>
    <t>Intrepid Tenderfoot / Pé-tenro Intrépido</t>
  </si>
  <si>
    <t>Criatura — Inseto Cidadão</t>
  </si>
  <si>
    <t>{3}: Coloque um marcador +1/+1 nesta criatura. Ative somente como um feitiço.</t>
  </si>
  <si>
    <t>Introdução à Profecia / Introduction to Prophecy</t>
  </si>
  <si>
    <t>Feitiço — Lição</t>
  </si>
  <si>
    <t>Use vidência 2 e depois compre um card.</t>
  </si>
  <si>
    <t>Strixhaven: School of Mages (STX)</t>
  </si>
  <si>
    <t>Intruding Soulrager</t>
  </si>
  <si>
    <t>Vigilance {T}, Sacrifice a Room: This creature deals 2 damage to each opponent. Draw a card.</t>
  </si>
  <si>
    <t>Intrusive Packbeast / Besta de Carga Invasiva</t>
  </si>
  <si>
    <t>Vigilance When this creature enters, tap up to two target creatures your opponents control. / Vigilância Quando Besta de Carga Invasiva entrar no campo de batalha, vire até duas criaturas alvo que seus oponentes controlam.</t>
  </si>
  <si>
    <t>Invasão de Eldraine / Invasion of Eldraine</t>
  </si>
  <si>
    <t>Batalha - Cerco / Battle - Siege</t>
  </si>
  <si>
    <t>(Conforme um Cerco entrar no campo de batalha, escolha um oponente para protegê-lo. Você e outros podem atacá-lo. Quando ele for derrotado, exile-o e depois o conjure transformado.) Quando Invasão de Eldraine entra no campo de batalha, o oponente alvo descarta dois cards.</t>
  </si>
  <si>
    <t>4 (Defesa)</t>
  </si>
  <si>
    <t>Invasão de Ulgrotha / Invasion of Ulgrotha</t>
  </si>
  <si>
    <t>(Conforme um Cerco entrar no campo de batalha, escolha um oponente para protegê-lo. Você e outros podem atacá-lo. Quando ele for derrotado, exile-o e depois o conjure transformado.) Quando Invasão de Ulgrotha entra no campo de batalha, ela causa 3 pontos de dano a qualquer alvo e você ganha 3 pontos de vida.</t>
  </si>
  <si>
    <t>5 (Defesa)</t>
  </si>
  <si>
    <t>Invasion of Muraganda / Invasão de Muraganda</t>
  </si>
  <si>
    <t>Battle — Siege / Batalha — Cerco</t>
  </si>
  <si>
    <t>(As a Siege enters, choose an opponent to protect it. You and others can attack it. When it's defeated, exile it, then cast it transformed.) When this Siege enters, put a +1/+1 counter on target creature you control. Then that creature fights up to one target creature you don't control. / (Conforme um Cerco entrar no campo de batalha, escolha um oponente para protegê-lo. Você e outros podem atacá-lo. Quando ele for derrotado, exile-o e depois o conjure transformado.) Quando Invasão de Muraganda entrar no campo de batalha, coloque um marcador +1/+1 na criatura alvo que você controla. Depois, ela luta contra até uma criatura alvo que você não controla.</t>
  </si>
  <si>
    <t>Invasion of Pyrulea / Invasão de Pyrulea</t>
  </si>
  <si>
    <t>(As a Siege enters, choose an opponent to protect it. You and others can attack it. When it's defeated, exile it, then cast it transformed.) When this Siege enters, scry 3, then reveal the top card of your library. If it's a land or double-faced card, draw a card. / (Conforme um Cerco entrar no campo de batalha, escolha um oponente para protegê-lo. Você e outros podem atacá-lo. Quando ele for derrotado, exile-o e depois o conjure transformado.) Quando Invasão de Pyrulea entrar no campo de batalha, use vidência 3, depois revele o card do topo de seu grimório. Se ele for um card dupla face ou de terreno, compre um card.</t>
  </si>
  <si>
    <t>Invasion of Xerex / Invasão de Xerex</t>
  </si>
  <si>
    <t>(As a Siege enters, choose an opponent to protect it. You and others can attack it. When it's defeated, exile it, then cast it transformed.) When this Siege enters, return up to one target creature to its owner's hand. / (Conforme um Cerco entrar no campo de batalha, escolha um oponente para protegê-lo. Você e outros podem atacá-lo. Quando ele for derrotado, exile-o e depois o conjure transformado.) Quando Invasão de Xerex entrar no campo de batalha, devolva até uma criatura alvo para a mão de seu dono.</t>
  </si>
  <si>
    <t>Invasion Reinforcements</t>
  </si>
  <si>
    <t>Flash When this creature enters, create a 1/1 white Ally creature token.</t>
  </si>
  <si>
    <t>Invasive Maneuvers / Manobras Invasivas</t>
  </si>
  <si>
    <t>Invasive Maneuvers causa 3 pontos de dano à criatura alvo. Ele causa 5 pontos de dano em vez disso se você controlar uma Nave Espacial.</t>
  </si>
  <si>
    <t>Invisible Woman, Sue Storm</t>
  </si>
  <si>
    <t>Lifelink Whenever you put one or more +1/+1 counters on one or more other Heroes you control, you may create a 0/4 colorless Wall creature token with defender.</t>
  </si>
  <si>
    <t>Marvel Super Heroes (MSH) SC</t>
  </si>
  <si>
    <t>Invisible Woman, Sue Storm / Mulher Invisível, Sue Storm</t>
  </si>
  <si>
    <t>Vínculo com a vida. Sempre que você colocar um ou mais marcadores +1/+1 em um ou mais outros Heróis que você controla, você pode criar uma ficha de criatura Barreira incolor 0/4 com defensor.</t>
  </si>
  <si>
    <t>Ionizar / Ionize</t>
  </si>
  <si>
    <t>Anule a mágica alvo. Ionizar causa 2 pontos de dano ao controlador daquela mágica. / Counter target spell. Ionize deals 2 damage to that spell's controller.</t>
  </si>
  <si>
    <t>Ioreth da Casa de Cura / Ioreth of the Healing House</t>
  </si>
  <si>
    <t>Criatura Lendária — Humano Clérigo</t>
  </si>
  <si>
    <t>{T}: Desvire outra permanente alvo. {T}: Desvire duas outras criaturas lendárias alvo.</t>
  </si>
  <si>
    <t>Iridescent Blademaster / Espadachim-mestre Iridescente</t>
  </si>
  <si>
    <t>{3}{G}: This creature gets +2/+2 until end of turn. / {3}{G}: Espadachim-mestre Iridescente recebe +2/+2 até o final do turno.</t>
  </si>
  <si>
    <t>Iroas's Blessing / Bênção de Iroas</t>
  </si>
  <si>
    <t>Enchant creature you control When this Aura enters, it deals 4 damage to target creature or planeswalker an opponent controls. Enchanted creature gets +1/+1. / Encantar criatura que você controla Quando Bênção de Iroas entra no campo de batalha, ela causa 4 pontos de dano à criatura ou ao planeswalker alvo que um oponente controla. A criatura encantada recebe +1/+1.</t>
  </si>
  <si>
    <t>Iroh, Grand Lotus</t>
  </si>
  <si>
    <t>Firebending 2 During your turn, each non-Lesson instant and sorcery card in your graveyard has flashback. The flashback cost is equal to that card's mana cost. (You may cast a card from your graveyard for its flashback cost. Then exile it.) During your turn, each Lesson card in your graveyard has flashback {1}.</t>
  </si>
  <si>
    <t>{3}{G}{U}{R}</t>
  </si>
  <si>
    <t>Verde, Vermelho, Azul</t>
  </si>
  <si>
    <t>Iron Bully / Valentão de Ferro</t>
  </si>
  <si>
    <t>Menace. When Iron Bully enters the battlefield, put a +1/+1 counter on target creature. / Ameaçar. Quando Valentão de Ferro entra no campo de batalha, coloque um marcador +1/+1 na criatura alvo.</t>
  </si>
  <si>
    <t>Double Masters (2XM)</t>
  </si>
  <si>
    <t>Iron Giant</t>
  </si>
  <si>
    <t>Artifact Creature — Demon</t>
  </si>
  <si>
    <t>Vigilance, reach, trample</t>
  </si>
  <si>
    <t>Iron League Steed / Corcel da Liga de Ferro</t>
  </si>
  <si>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</si>
  <si>
    <t>Iron Star / Estrela de Ferro</t>
  </si>
  <si>
    <t>Whenever a player casts a red spell, you may pay {1}. If you do, you gain 1 life. / Toda vez que um jogador jogar uma mágica vermelha, você pode pagar {1}. Se o fizer, você ganha 1 ponto de vida.</t>
  </si>
  <si>
    <t>Iron Verdict / Veredito de Ferro</t>
  </si>
  <si>
    <t>Iron Verdict deals 5 damage to target tapped creature. Foretell {W} (During your turn, you may pay {2} and exile this card from your hand face down. Cast it on a later turn for its foretell cost.) / Veredito de Ferro causa 5 pontos de dano à criatura virada alvo. Profetizar {W} (Durante o seu turno, você pode pagar {2} e exilar este card de sua mão voltado para baixo. Conjure-o em um turno posterior pagando seu custo de profetizar.)</t>
  </si>
  <si>
    <t>Ironclaw Orcs / Orcs da Garra de Ferro</t>
  </si>
  <si>
    <t>Ironhoof Boar / Javali Casco-de-ferro</t>
  </si>
  <si>
    <t>Artifact Creature — Boar / Criatura Artefato — Javali</t>
  </si>
  <si>
    <t>Trample, haste Channel — {1}{R}, Discard this card: Target creature gets +3/+1 and gains trample until end of turn. / Atropelar, ímpeto Canalizar — {1}{R}, descarte Javali Casco-de-ferro: A criatura alvo recebe +3/+1 e ganha atropelar até o final do turno.</t>
  </si>
  <si>
    <t>Irreverent Gremlin</t>
  </si>
  <si>
    <t>Creature — Gremlin</t>
  </si>
  <si>
    <t>Menace (This creature can't be blocked except by two or more creatures.) Whenever another creature you control with power 2 or less enters, you may discard a card. If you do, draw a card. Do this only once each turn.</t>
  </si>
  <si>
    <t>Island</t>
  </si>
  <si>
    <t>{T}: Add {U} to your mana pool.</t>
  </si>
  <si>
    <t>Azul / Blue</t>
  </si>
  <si>
    <t>Miragens</t>
  </si>
  <si>
    <t>Sexta Edição Clássica</t>
  </si>
  <si>
    <t>Island / Ilha</t>
  </si>
  <si>
    <t>Basic Land — Island / Terreno Básico — Ilha</t>
  </si>
  <si>
    <t>({T}: Add {U}.) / U</t>
  </si>
  <si>
    <t>Marvel Super Heroes (MSH) FA 279</t>
  </si>
  <si>
    <t>Marvel Super Heroes (MSH) FA 280</t>
  </si>
  <si>
    <t>Isolamento em Orthanc / Isolation at Orthanc</t>
  </si>
  <si>
    <t>Coloque a criatura alvo no topo do grimório do seu dono na segunda posição.</t>
  </si>
  <si>
    <t>Isolation Zone / Zona de Isolamento</t>
  </si>
  <si>
    <t>When this enchantment enters, exile target creature or enchantment an opponent controls until this enchantment leaves the battlefield. (That permanent returns under its owner's control.) / Quando Zona de Isolamento entrar no campo de batalha, exile a criatura ou o encantamento alvo que um oponente controla até que Zona de Isolamento deixe o campo de batalha. (Aquela permanente retorna sob o controle de seu dono.)</t>
  </si>
  <si>
    <t>Isperia's Skywatch / Vigia Celeste de Isperia</t>
  </si>
  <si>
    <t>Flying When this creature enters, detain target creature an opponent controls. (Until your next turn, that creature can't attack or block and its activated abilities can't be activated.) / Voar Quando Vigia Celeste de Isperia entrar no campo de batalha, detenha a criatura alvo que um oponente controla. (Até o seu próximo turno, aquela criatura não pode atacar nem bloquear e as habilidades ativadas dela não podem ser ativadas.)</t>
  </si>
  <si>
    <t>It'll Quench Ya!</t>
  </si>
  <si>
    <t>Counter target spell unless its controller pays {2}.</t>
  </si>
  <si>
    <t>Item Shopkeep / Balconista de Itens</t>
  </si>
  <si>
    <t>Sempre que você atacar, a criatura equipada atacante alvo ganha ameaça até o final do turno. (Ela não pode ser bloqueada a não ser por duas ou mais criaturas.)</t>
  </si>
  <si>
    <t>Ivory Charm / Medalhão de Marfim</t>
  </si>
  <si>
    <t>Choose one — • All creatures get -2/-0 until end of turn. • Tap target creature. • Prevent the next 1 damage that would be dealt to any target this turn.</t>
  </si>
  <si>
    <t>Ivory Cup / Cálice de Marfim</t>
  </si>
  <si>
    <t>Whenever a player casts a white spell, you may pay {1}. If you do, you gain 1 life. / Toda vez que um jogador jogar uma mágica branca, você pode pagar {1}. Se o fizer, você ganha 1 ponto de vida.</t>
  </si>
  <si>
    <t>Ixalli's Diviner / Adivinha de Ixalli</t>
  </si>
  <si>
    <t>When this creature enters, it explores. (Reveal the top card of your library. Put that card into your hand if it's a land. Otherwise, put a +1/+1 counter on this creature, then put the card back or put it into your graveyard.) / Quando Adivinha de Ixalli entra no campo de batalha, ela explora. (Revele o card do topo de seu grimório. Coloque aquele card em sua mão se ele for um terreno. Caso contrário, coloque um marcador +1/+1 nesta criatura e, em seguida, devolva o card ao grimório ou coloque-o em seu cemitério.)</t>
  </si>
  <si>
    <t>Izzet Charm / Amuleto Izzet</t>
  </si>
  <si>
    <t>Choose one — • Counter target noncreature spell unless its controller pays {2}. • Izzet Charm deals 2 damage to target creature. • Draw two cards, then discard two cards. / Escolha um — Anule a mágica alvo que não seja de criatura a menos que seu controlador pague {2}; ou Amuleto Izzet causa 2 pontos de dano à criatura alvo; ou compre dois cards e depois descarte dois cards.</t>
  </si>
  <si>
    <t>Izzet Chemister / Quimiomante Izzet</t>
  </si>
  <si>
    <t>Creature — Goblin Wizard / Criatura — Goblin Mago</t>
  </si>
  <si>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</si>
  <si>
    <t>Jace, Vryn's Prodigy // Jace, Telepath Unbound / Jace, Prodígio de Vryn // Jace, Telepata Ilimitado</t>
  </si>
  <si>
    <t>Legendary Creature — Human Wizard // Legendary Planeswalker — Jace / Criatura Lendária — Humano Mago</t>
  </si>
  <si>
    <t>Jace, Vryn's Prodigy: {T}: Draw a card, then discard a card. If there are five or more cards in your graveyard, exile Jace, then return him to the battlefield transformed under his owner's control. // Jace, Telepath Unbound: +1: Up to one target creature gets -2/-0 until your next turn. −3: You may cast target instant or sorcery card from your graveyard this turn. If that spell would be put into your graveyard, exile it instead. −9: You get an emblem with "Whenever you cast a spell, target opponent mills five cards." / {T}: Compre um card e depois descarte um card. Se houver cinco cards ou mais no seu cemitério, exile Jace, Prodígio de Vryn, e devolva-o ao campo de batalha transformado sob o controle de seu dono.</t>
  </si>
  <si>
    <t>Jace's Defeat / Derrota de Jace</t>
  </si>
  <si>
    <t>Counter target blue spell. If it was a Jace planeswalker spell, scry 2. / Anule a mágica azul alvo. Se ela era uma mágica de planeswalker Jace, use vidência 2.</t>
  </si>
  <si>
    <t>Jace's Mindseeker / Caça-mentes de Jace</t>
  </si>
  <si>
    <t>Creature — Fish Illusion / Criatura — Peixe Ilusão</t>
  </si>
  <si>
    <t>Flying When this creature enters, target opponent mills five cards. You may cast an instant or sorcery spell from among them without paying its mana cost. / VoarQuando Caça-mentes de Jace entra no campo de batalha, o oponente alvo coloca os cinco cards do topo do grimório dele no próprio cemitério. Você pode conjurar um card de mágica instantânea ou feitiço dentre eles sem pagar seu custo de mana.</t>
  </si>
  <si>
    <t>Jace's Triumph / Triunfo de Jace</t>
  </si>
  <si>
    <t>Draw two cards. If you control a Jace planeswalker, draw three cards instead. / Compre dois cards. Se você controlar um planeswalker Jace, em vez disso, compre três cards.</t>
  </si>
  <si>
    <t>Jaddi Offshoot</t>
  </si>
  <si>
    <t>Creature — Plant</t>
  </si>
  <si>
    <t>Defender. Landfall — Whenever a land enters the battlefield under your control, you gain 1 life.</t>
  </si>
  <si>
    <t>Jaddi Offshoot / Ramificação de Jaddi</t>
  </si>
  <si>
    <t>Defender Landfall — Whenever a land you control enters, you gain 1 life. / DefensorAterragem — Toda vez que um terreno entra no campo de batalha sob seu controle, você ganha 1 ponto de vida.</t>
  </si>
  <si>
    <t>Jade Bearer / Portadora do Jade</t>
  </si>
  <si>
    <t>When this creature enters, put a +1/+1 counter on another target Merfolk you control. / Quando Portadora do Jade entrar no campo de batalha, coloque um marcador +1/+1 em outro Tritão alvo que você controla.</t>
  </si>
  <si>
    <t>Jade Mage / Mago Jade</t>
  </si>
  <si>
    <t>{2}{G}: Create a 1/1 green Saproling creature token. / {2}{G}: Coloque no campo de batalha uma ficha de criatura verde 1/1 do tipo Saprófita.</t>
  </si>
  <si>
    <t>Jadecraft Artisan / Artesão Jadeiro</t>
  </si>
  <si>
    <t>When this creature enters, target creature gets +2/+2 until end of turn. / Quando Artesão Jadeiro entra no campo de batalha, a criatura alvo recebe +2/+2 até o final do turno.</t>
  </si>
  <si>
    <t>Jalum Tome</t>
  </si>
  <si>
    <t>{2}, {T}: Draw a card; then, choose and discard a card from your hand.</t>
  </si>
  <si>
    <t>Jandor's Saddlebags / Alforjes de Jandor</t>
  </si>
  <si>
    <t>{3}, {T}: Untap target creature.</t>
  </si>
  <si>
    <t>Janjeet Sentry / Vigia de Janjeet</t>
  </si>
  <si>
    <t>Creature — Vedalken Soldier / Criatura — Vedalkeano Soldado</t>
  </si>
  <si>
    <t>When this creature enters, you get {E}{E} (two energy counters). {T}, Pay {E}{E}: You may tap or untap target artifact or creature. / Quando Vigia de Janjeet entra no campo de batalha, você recebe {E}{E} (dois marcadores de energia). {T}, Pague {E}{E}: Você pode virar ou desvirar o artefato ou a criatura alvo.</t>
  </si>
  <si>
    <t>Javali Presa de Navalha</t>
  </si>
  <si>
    <t>Criatura — Javali</t>
  </si>
  <si>
    <t>Intimidar (Esta criatura só pode ser bloqueada por criaturas artefato e/ou criaturas que compartilhem uma cor com ela.)</t>
  </si>
  <si>
    <t>Jawbone Skulkin / Caveirano da Mandíbula</t>
  </si>
  <si>
    <t>{2}: Target red creature gains haste until end of turn. / {2}: A criatura alvo vermelha ganha ímpeto até o final do turno.</t>
  </si>
  <si>
    <t>Jaya's Immolating Inferno / Inferno Imolante de Jaya</t>
  </si>
  <si>
    <t>Legendary Sorcery / Feitiço Lendário</t>
  </si>
  <si>
    <t>(You may cast a legendary sorcery only if you control a legendary creature or planeswalker.) Jaya's Immolating Inferno deals X damage to each of up to three targets. / (Você só pode conjurar um feitiço lendário se controlar uma criatura lendária ou um planeswalker lendário.) Inferno Imolante de Jaya causa X pontos de dano a cada um de até três alvos.</t>
  </si>
  <si>
    <t>Jennika, Bad Apple Big Sister</t>
  </si>
  <si>
    <t>When Jennika enters, create a 2/2 red Mutant creature token. Plainscycling {2} ({2}, Discard this card: Search your library for a Plains card, reveal it, put it into your hand, then shuffle.)</t>
  </si>
  <si>
    <t>Jennika's Technique</t>
  </si>
  <si>
    <t>Sneak {R} (You may cast this spell for {R} if you also return an unblocked attacker you control to hand during the declare blockers step.) Jennika's Technique deals 2 damage to each creature.</t>
  </si>
  <si>
    <t>Jeong Jeong's Deserters</t>
  </si>
  <si>
    <t>When this creature enters, put a +1/+1 counter on target creature.</t>
  </si>
  <si>
    <t>Jeskai Elder / Ancião Jeskai</t>
  </si>
  <si>
    <t>Criatura — Humano Monge</t>
  </si>
  <si>
    <t>Destreza (Sempre que você conjurar uma mágica que não seja de criatura, esta criatura receberá +1/+1 até o final do turno.) Sempre que Ancião Jeskai causar dano de combate a um jogador, você poderá comprar um card. Se fizer isso, descarte um card.</t>
  </si>
  <si>
    <t>Jeskai Infiltrator / Infiltradora Jeskai</t>
  </si>
  <si>
    <t>This creature can't be blocked as long as you control no other creatures. When this creature deals combat damage to a player, exile it and the top card of your library in a face-down pile, shuffle that pile, then manifest those cards. (To manifest a card, put it onto the battlefield face down as a 2/2 creature. Turn it face up any time for its mana cost if it's a creature card.) / Infiltradora Jeskai não poderá ser bloqueada enquanto você não controlar outras criaturas. Quando Infiltradora Jeskai causar dano de combate a um jogador, exile-a junto com o card do topo de seu grimório em um monte voltado para baixo, embaralhe o monte e manifeste os dois cards. (Para manifestar um card, coloque-o no campo de batalha com a face voltada para baixo como uma criatura 2/2. Volte sua face para cima a qualquer momento pagando seu custo de mana se for um card de criatura.)</t>
  </si>
  <si>
    <t>Jeskai Student / Estudante Jeskai</t>
  </si>
  <si>
    <t>Jet, Freedom Fighter</t>
  </si>
  <si>
    <t>Legendary Creature — Human Rebel Ally</t>
  </si>
  <si>
    <t>When Jet enters, he deals damage equal to the number of creatures you control to target creature an opponent controls. When Jet dies, put a +1/+1 counter on each of up to two target creatures.</t>
  </si>
  <si>
    <t>{2}{R/W}{R/W}{R/W}</t>
  </si>
  <si>
    <t>Jet's Brainwashing</t>
  </si>
  <si>
    <t>Kicker {3} (You may pay an additional {3} as you cast this spell.) Target creature can't block this turn. If this spell was kicked, gain control of that creature until end of turn, untap it, and it gains haste until end of turn. Create a Clue token. (It's an artifact with "{2}, Sacrifice this token: Draw a card.")</t>
  </si>
  <si>
    <t>Jhessian Thief / Ladra Jhessiana</t>
  </si>
  <si>
    <t>Prowess (Whenever you cast a noncreature spell, this creature gets +1/+1 until end of turn.) Whenever this creature deals combat damage to a player, draw a card. / Destreza (Toda vez que você conjura uma mágica que não seja de criatura, esta criatura recebe +1/+1 até o final do turno.)Toda vez que Ladra Jhessiana causar dano de combate a um jogador, compre um card.</t>
  </si>
  <si>
    <t>Jilt / Fim do Compromisso</t>
  </si>
  <si>
    <t>Kicker {1}{R} (You may pay an additional {1}{R} as you cast this spell.) Return target creature to its owner's hand. If this spell was kicked, it deals 2 damage to another target creature.</t>
  </si>
  <si>
    <t>Jiwari, the Earth Aflame / Jiwari, a Terra em Chamas</t>
  </si>
  <si>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</si>
  <si>
    <t>Johann's Stopgap / Gambiarra de Johann</t>
  </si>
  <si>
    <t>Bargain (You may sacrifice an artifact, enchantment, or token as you cast this spell.) This spell costs {2} less to cast if it's bargained. Return target nonland permanent to its owner's hand. Draw a card. / Negociar (Você pode sacrificar um artefato, um encantamento ou uma ficha conforme conjura esta mágica.) Esta mágica custa {2} a menos para conjurar se tiver sido negociada. Devolva a permanente alvo não de terreno para a mão de seu dono. Compre um card.</t>
  </si>
  <si>
    <t>Join the Dance / Entrar na Dança</t>
  </si>
  <si>
    <t>Create two 1/1 white Human creature tokens. Flashback {3}{G}{W} (You may cast this card from your graveyard for its flashback cost. Then exile it.) / Crie duas fichas de criatura Humano branca 1/1. Recapitular {3}{G}{W} (Você pode conjurar este card de seu cemitério pagando seu custo de recapitular. Depois, exile-o.)</t>
  </si>
  <si>
    <t>Join the Ranks / Junte-se aos Bons</t>
  </si>
  <si>
    <t>Create two 1/1 white Soldier Ally creature tokens. / Coloque no campo de batalha duas fichas de criatura brancas 1/1 do tipo Soldado Aliado.</t>
  </si>
  <si>
    <t>Jolene, Plundering Pugilist / Jolene, Pugilista Saqueadora</t>
  </si>
  <si>
    <t>Legendary Creature — Human Mercenary / Criatura Lendária — Humano Mercenário</t>
  </si>
  <si>
    <t>Whenever you attack with one or more creatures with power 4 or greater, create a Treasure token. {1}{R}, Sacrifice a Treasure: Jolene deals 1 damage to any target. / Toda vez que você atacar com uma ou mais criaturas com poder igual ou superior a 4, crie uma ficha de Tesouro. {1}{R}, sacrifique um Tesouro: Jolene, Pugilista Saqueadora, causa 1 ponto de dano a qualquer alvo.</t>
  </si>
  <si>
    <t>Jolly Gerbils</t>
  </si>
  <si>
    <t>Creature — Hamster Citizen</t>
  </si>
  <si>
    <t>Whenever you give a gift, draw a card.</t>
  </si>
  <si>
    <t>Jolted Awake / Despertar Sacudido</t>
  </si>
  <si>
    <t>Choose up to one target artifact or creature card in your graveyard. You get {E}{E} (two energy counters). Then you may pay an amount of {E} equal to that card's mana value. If you do, return it from your graveyard to the battlefield. Cycling {2} ({2}, Discard this card: Draw a card.) / Escolha até um card de artefato ou criatura alvo em seu cemitério. Você recebe {E}{E} (dois marcadores de energia). Em seguida, você pode pagar uma quantidade de {E} igual ao valor de mana daquele card. Se fizer isso, devolva-o de seu cemitério ao campo de batalha. Reciclar {2} ({2}, descarte este card: Compre um card.)</t>
  </si>
  <si>
    <t>Joo Dee, One of Many</t>
  </si>
  <si>
    <t>{B}, {T}: Surveil 1. Create a token that's a copy of this creature, then sacrifice an artifact or creature. Activate only as a sorcery. (To surveil 1, look at the top card of your library. You may put it into your graveyard.)</t>
  </si>
  <si>
    <t>Joraga Auxiliary / Auxiliar Joraga</t>
  </si>
  <si>
    <t>Creature — Elf Soldier Ally / Criatura — Elfo Soldado Aliado</t>
  </si>
  <si>
    <t>{4}{G}{W}: Support 2. (Put a +1/+1 counter on each of up to two other target creatures.) / {4}{G}{W}: Suporte 2. (Coloque um marcador +1/+1 em cada uma de até duas outras criaturas alvo.)</t>
  </si>
  <si>
    <t>Joraga Invocation / Invocação de Joraga</t>
  </si>
  <si>
    <t>Each creature you control gets +3/+3 until end of turn and must be blocked this turn if able. / Cada criatura que você controla recebe +3/+3 até o final do turno e deve ser bloqueada neste turno se estiver apta.</t>
  </si>
  <si>
    <t>Joraga Treespeaker / Língua-Verde Joraga</t>
  </si>
  <si>
    <t>Level up {1}{G} ({1}{G}: Put a level counter on this. Level up only as a sorcery.) LEVEL 1-4 1/2 {T}: Add {G}{G}. LEVEL 5+ 1/4 Elves you control have "{T}: Add {G}{G}." / Subir de nível {1}{G} ({1}{G}: Coloque um marcador de nível nesta criatura. Suba de nível somente quando puder jogar um feitiço.) NÍVEL 1-4 1/2 {T}: Adicione {G}{G} à sua reserva de mana. NÍVEL 5+ 1/4 Os elfos que você controla têm: "{T}: Adicione {G}{G} à sua reserva de mana."</t>
  </si>
  <si>
    <t>Joven</t>
  </si>
  <si>
    <t>{R}{R}{R}, {T}: Destroy target non-creature artifact.</t>
  </si>
  <si>
    <t>Joven's Tools / Ferramentas de Joven</t>
  </si>
  <si>
    <t>{4}, {T}: Target creature cannot be blocked this turn except by Walls. / {4}, {T}: A criatura alvo não pode ser bloqueada neste turno, exceto por Paredes.</t>
  </si>
  <si>
    <t>Joyful Stormsculptor / Escultora de Tempestade Alegre</t>
  </si>
  <si>
    <t>When this creature enters, create two 1/1 blue and red Elemental creature tokens. Whenever you cast a spell that has convoke, this creature deals 1 damage to each opponent and each battle they protect. / Quando Escultora de Tempestade Alegre entrar no campo de batalha, crie duas fichas de criatura Elemental azul e vermelha 1/1. Toda vez que você conjura uma mágica que tem convocar, Escultora de Tempestade Alegre causa 1 ponto de dano a cada oponente e cada batalha que ele protege.</t>
  </si>
  <si>
    <t>Joyous Respite / Adiamento Jubiloso</t>
  </si>
  <si>
    <t>Sorcery — Arcane / Feitiço - Arcana</t>
  </si>
  <si>
    <t>You gain 1 life for each land you control. / Você ganha 1 ponto de vida para cada terreno que controla.</t>
  </si>
  <si>
    <t>Judge Magister Gabranth / Juiz Magistrado Gabranth</t>
  </si>
  <si>
    <t>Criatura Lendária — Humano Conselheiro Cavaleiro</t>
  </si>
  <si>
    <t>Ameaçar (Esta criatura só pode ser bloqueada por duas ou mais criaturas.) Sempre que outra criatura ou artefato que você controla morrer, coloque um marcador +1/+1 em Judge Magister Gabranth.</t>
  </si>
  <si>
    <t>Branco/Preto</t>
  </si>
  <si>
    <t>Judge's Familiar / Familiar do Juiz</t>
  </si>
  <si>
    <t>Flying Sacrifice this creature: Counter target instant or sorcery spell unless its controller pays {1}. / Voar Sacrifique Familiar do Juiz: Anule a mágica instantânea ou feitiço alvo a menos que seu controlador pague {1}.</t>
  </si>
  <si>
    <t>{W/U}</t>
  </si>
  <si>
    <t>Juggernaut</t>
  </si>
  <si>
    <t>Must attack each turn if possible. Can't be blocked by walls.</t>
  </si>
  <si>
    <t>Jukai Preserver / Preservadora Jukai</t>
  </si>
  <si>
    <t>Enchantment Creature — Human Druid / Criatura Encantamento — Humano Druida</t>
  </si>
  <si>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</si>
  <si>
    <t>Jukai Trainee / Aprendiz Jukai</t>
  </si>
  <si>
    <t>Whenever this creature blocks or becomes blocked, it gets +1/+1 until end of turn. / Toda vez que Aprendiz Jukai bloqueia ou se torna bloqueada, ela recebe +1/+1 até o final do turno.</t>
  </si>
  <si>
    <t>Jump Scare</t>
  </si>
  <si>
    <t>Until end of turn, target creature gets +2/+2, gains flying, and becomes a Horror enchantment creature in addition to its other types.</t>
  </si>
  <si>
    <t>Jund Hackblade / Lâmina Golpeadora de Jund</t>
  </si>
  <si>
    <t>As long as you control another multicolored permanent, this creature gets +1/+1 and has haste. / Enquanto você controlar outra permanente multicolorida, Lâmina Golpeadora de Jund receberá +1/+1 e terá ímpeto.</t>
  </si>
  <si>
    <t>{B/G}{R}</t>
  </si>
  <si>
    <t>Preto, Verde, Vermelho</t>
  </si>
  <si>
    <t>June, Bounty Hunter</t>
  </si>
  <si>
    <t>Legendary Creature — Human Mercenary</t>
  </si>
  <si>
    <t>June can't be blocked as long as you've drawn two or more cards this turn. {1}, Sacrifice another creature: Create a Clue token. Activate only during your turn. (It's an artifact with "{2}, Sacrifice this token: Draw a card.")</t>
  </si>
  <si>
    <t>Jungle Creeper / Rastejador da Selva</t>
  </si>
  <si>
    <t>{3}{B}{G}: Return this card from your graveyard to your hand. / {3}{B}{G}: Devolva Rastejador da Selva de seu cemitério para sua mão.</t>
  </si>
  <si>
    <t>Jungle Delver / Incursor das Selvas</t>
  </si>
  <si>
    <t>{3}{G}: Put a +1/+1 counter on this creature. / {3}{G}: Coloque um marcador +1/+1 em Incursor das Selvas.</t>
  </si>
  <si>
    <t>Jungle Hollow / Clareira na Selva</t>
  </si>
  <si>
    <t>This land enters tapped. When this land enters, you gain 1 life. {T}: Add {B} or {G}. / Clareira na Selva entra no campo de batalha virado. Quando Clareira na Selva entra no campo de batalha, você ganha 1 ponto de vida. {T}: Adicione {B} ou {G} à sua reserva de mana.</t>
  </si>
  <si>
    <t>Jungle Weaver / Tecelã da Selva</t>
  </si>
  <si>
    <t>Reach (This creature can block creatures with flying.) Cycling {2} ({2}, Discard this card: Draw a card.) / Alcance (Esta criatura pode bloquear criaturas com a habilidade de voar.) Reciclar {2} ({2}, Descarte este card: Compre um card.)</t>
  </si>
  <si>
    <t>Junkblade Bruiser</t>
  </si>
  <si>
    <t>Creature — Raccoon Berserker</t>
  </si>
  <si>
    <t>Trample Whenever you expend 4, this creature gets +2/+1 until end of turn. (You expend 4 as you spend your fourth total mana to cast spells during a turn.)</t>
  </si>
  <si>
    <t>{3}{R/G}{R/G}</t>
  </si>
  <si>
    <t>Junún Efreet / Efrite Junún</t>
  </si>
  <si>
    <t>Creature — Efreet</t>
  </si>
  <si>
    <t>Flying At the beginning of your upkeep, sacrifice this creature unless you pay {B}{B}.</t>
  </si>
  <si>
    <t>Juramento da Hoste Cinzenta / Oath of the Grey Host</t>
  </si>
  <si>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</si>
  <si>
    <t>Justice</t>
  </si>
  <si>
    <t>During your upkeep, pay {W}{W} or destroy Justice. Whenever a red creature or spell deals damage, Justice deals an equal amount of damage to the controller of that creature or spell. If another spell or effect reduces the amount of damage a red creature or spell deals, it does not reduce the amount of damage dealt by Justice.</t>
  </si>
  <si>
    <t>Justiciar's Portal / Portal do Justiciar</t>
  </si>
  <si>
    <t>Exile target creature you control, then return that card to the battlefield under its owner's control. It gains first strike until end of turn. / Exile a criatura alvo que você controla e, depois, devolva aquele card ao campo de batalha sob o controle de seu dono. Ele ganha iniciativa até o final do turno.</t>
  </si>
  <si>
    <t>Jwar Isle Avenger / Vingadora da Ilha de Jwar</t>
  </si>
  <si>
    <t>Creature — Sphinx / Criatura — Esfinge</t>
  </si>
  <si>
    <t>Surge {2}{U} (You may cast this spell for its surge cost if you or a teammate has cast another spell this turn.) Flying / Surto {2}{U} (Você pode conjurar esta mágica por seu custo de surto se você ou um colega de equipe tiver conjurado outra mágica neste turno.) Voar</t>
  </si>
  <si>
    <t>Kaervek's Torch / Tocha de Kaervek</t>
  </si>
  <si>
    <t>As long as Kaervek's Torch is on the stack, spells that target it cost {2} more to cast. Kaervek's Torch deals X damage to any target.</t>
  </si>
  <si>
    <t>Kaho, Minamo Historian / Kaho, Historiadora de Minamo</t>
  </si>
  <si>
    <t>Legendary Creature — Human Wizard / Criatura Lendária - Mago Humano</t>
  </si>
  <si>
    <t>When Kaho enters, search your library for up to three instant cards, exile them, then shuffle. {X}, {T}: You may cast a spell with mana value X from among cards exiled with Kaho without paying its mana cost. / Quando Kaho, Historiadora de Minamo entra em jogo, procure em seu grimório por até três cards de mágicas instantâneas e remova-os de jogo. Depois, embaralhe seu grimório. {X}, {T}: Você pode jogar um card com custo de mana convertido X removido de jogo com Kaho sem pagar o seu custo de mana.</t>
  </si>
  <si>
    <t>Kain, Traitorous Dragoon / Kain, Dragão Traidor</t>
  </si>
  <si>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</si>
  <si>
    <t>Kaito's Pursuit / Perseguição de Kaito</t>
  </si>
  <si>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</si>
  <si>
    <t>Kalastria Healer / Curandeiro Kalastria</t>
  </si>
  <si>
    <t>Rally — Whenever this creature or another Ally you control enters, each opponent loses 1 life and you gain 1 life. / Reunir — Toda vez que Curandeiro Kalastria ou outro Aliado entra no campo de batalha sob o seu controle, cada oponente perde 1 ponto de vida e você ganha 1 ponto de vida.</t>
  </si>
  <si>
    <t>Kami of Industry / Kami da Diligência</t>
  </si>
  <si>
    <t>When this creature enters, return target artifact card with mana value 3 or less from your graveyard to the battlefield. It gains haste. Sacrifice it at the beginning of the next end step. / Quando Kami da Diligência entrar no campo de batalha, devolva o card de artefato alvo com valor de mana igual ou inferior a 3 de seu cemitério para o campo de batalha. Ele ganha ímpeto. Sacrifique-o no início da próxima etapa final.</t>
  </si>
  <si>
    <t>Kami of Restless Shadows / Kami das Sombras Inquietas</t>
  </si>
  <si>
    <t>When this creature enters, choose one — • Return up to one target Ninja or Rogue creature card from your graveyard to your hand. • Put target creature card from your graveyard on top of your library. / Quando Kami das Sombras Inquietas entrar no campo de batalha, escolha um — • Devolva até um card de criatura Ninja ou Ladino alvo de seu cemitério para sua mão. • Coloque o card de criatura alvo de seu cemitério no topo de seu grimório.</t>
  </si>
  <si>
    <t>Kami of Terrible Secrets / Kami dos Segredos Terríveis</t>
  </si>
  <si>
    <t>When this creature enters, if you control an artifact and an enchantment, you draw a card and you gain 1 life. / Quando Kami dos Segredos Terríveis entra no campo de batalha, se você controla um artefato e um encantamento, você compra um card e ganha 1 ponto de vida.</t>
  </si>
  <si>
    <t>Kami's Flare / Labareda do Kami</t>
  </si>
  <si>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</si>
  <si>
    <t>Karai's Technique</t>
  </si>
  <si>
    <t>Sneak {W}{B} (You may cast this spell for {W}{B} if you also return an unblocked attacker you control to hand during the declare blockers step.) Choose one or both — • Target creature gets +3/+3 until end of turn. • Target creature gets -3/-3 until end of turn.</t>
  </si>
  <si>
    <t>Karametra's Blessing / Bênção de Carametra</t>
  </si>
  <si>
    <t>Target creature gets +2/+2 until end of turn. If it's an enchanted creature or enchantment creature, it also gains hexproof and indestructible until end of turn. (It can't be the target of spells or abilities your opponents control. Damage and effects that say "destroy" don't destroy it.) / A criatura alvo recebe +2/+2 até o final do turno. Se ela for uma criatura encantada ou uma criatura encantamento, ela também ganha resistência a magia e indestrutível até o final do turno. (Ela não pode ser alvo de mágicas nem de habilidades que seus oponentes controlam. O dano e os efeitos que dizem "destrua" não a destroem.)</t>
  </si>
  <si>
    <t>Karplusan Forest</t>
  </si>
  <si>
    <t>{T}: Add one colorless mana to your mana pool. {T}: Add {R} or {G} to your mana pool. Karplusan Forest deals 1 damage to you.</t>
  </si>
  <si>
    <t>None</t>
  </si>
  <si>
    <t>Red/Green</t>
  </si>
  <si>
    <t>Karplusan Giant / Gigante Karplusano</t>
  </si>
  <si>
    <t>Creature — Giant</t>
  </si>
  <si>
    <t>Tap an untapped snow land you control: This creature gets +1/+1 until end of turn.</t>
  </si>
  <si>
    <t>{6}{R}</t>
  </si>
  <si>
    <t>Kaslem's Stonetree / Árvore Pétrea de Kaslem</t>
  </si>
  <si>
    <t>When this artifact enters, look at the top six cards of your library. You may put a land card from among them onto the battlefield tapped. Put the rest on the bottom in a random order. Craft with Cave {5}{G} ({5}{G}, Exile this artifact, Exile a Cave you control or a Cave card from your graveyard: Return this card transformed under its owner's control. Craft only as a sorcery.) / Quando Árvore Pétrea de Kaslem entrar no campo de batalha, olhe os seis cards do topo de seu grimório. Você pode colocar um card de terreno dentre eles no campo de batalha virado. Coloque o restante no fundo de seu grimório em ordem aleatória. Construir com Caverna {5}{G} ({5}{G}, exile este artefato, exile uma Caverna que você controla ou um card de Caverna de seu cemitério: Devolva este card ao campo de batalha transformado sob o controle de seu dono. Construa somente como um feitiço.)</t>
  </si>
  <si>
    <t>Katara, Bending Prodigy</t>
  </si>
  <si>
    <t>Legendary Creature — Human Warrior Ally</t>
  </si>
  <si>
    <t>At the beginning of your end step, if Katara is tapped, put a +1/+1 counter on her. Waterbend {6}: Draw a card. (While paying a waterbend cost, you can tap your artifacts and creatures to help. Each one pays for {1}.)</t>
  </si>
  <si>
    <t>Katara, the Fearless</t>
  </si>
  <si>
    <t>If a triggered ability of an Ally you control triggers, that ability triggers an additional time.</t>
  </si>
  <si>
    <t>{G}{W}{U}</t>
  </si>
  <si>
    <t>Kavaron Harrier / Predador de Kavaron</t>
  </si>
  <si>
    <t>Criatura Artefato — Robô Soldado</t>
  </si>
  <si>
    <t>Sempre que esta criatura atacar, você pode pagar {2}. Se fizer isso, crie uma ficha de criatura artefato Robô incolor 2/2 virada e atacando. Sacrifique aquela ficha no final do combate.</t>
  </si>
  <si>
    <t>Kavaron Skywarden / Guarda dos Céus de Kavaron</t>
  </si>
  <si>
    <t>Criatura — Kavu Soldado</t>
  </si>
  <si>
    <t>Alcance. Vazio — No início de sua etapa final, se uma permanente não de terreno tiver deixado o campo de batalha neste turno ou se uma mágica tiver sido dobrada neste turno, coloque um marcador +1/+1 nesta criatura.</t>
  </si>
  <si>
    <t>Kaya's Wrath / Ira de Kaya</t>
  </si>
  <si>
    <t>Destroy all creatures. You gain life equal to the number of creatures you controlled that were destroyed this way. / Destrua todas as criaturas. Você ganha uma quantidade de pontos de vida igual ao número de criaturas que você controlava que foram destruídas dessa forma.</t>
  </si>
  <si>
    <t>{W}{W}{B}{B}</t>
  </si>
  <si>
    <t>Kazandu Blademaster / Espadachim-Mestre de Kazandu</t>
  </si>
  <si>
    <t>First strike, vigilance Whenever this creature or another Ally you control enters, you may put a +1/+1 counter on this creature. / Iniciativa, vigilância Toda vez que Espadachim-Mestre de Kazandu ou outro Aliado entra no campo de batalha sob o seu controle, você pode colocar um marcador +1/+1 em Espadachim-Mestre de Kazandu.</t>
  </si>
  <si>
    <t>Kazandu Refuge / Refúgio de Kazandu</t>
  </si>
  <si>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</si>
  <si>
    <t>Kazuul Warlord / Comandante Kazuul</t>
  </si>
  <si>
    <t>Creature — Minotaur Warrior Ally / Criatura — Minotauro Guerreiro Aliado</t>
  </si>
  <si>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</si>
  <si>
    <t>Kazuul, Tyrant of the Cliffs / Kazuul, Tirano dos Penhascos</t>
  </si>
  <si>
    <t>Legendary Creature — Ogre Warrior / Criatura Lendária — Ogro Guerreiro</t>
  </si>
  <si>
    <t>Whenever a creature an opponent controls attacks, if you're the defending player, create a 3/3 red Ogre creature token unless that creature's controller pays {3}. / Toda vez que uma criatura que um oponente controla ataca, se você for o jogador defensor, crie uma ficha de criatura Ogro vermelha 3/3, a menos que o controlador daquela criatura pague {3}.</t>
  </si>
  <si>
    <t>Keep Out</t>
  </si>
  <si>
    <t>Choose one — • Keep Out deals 4 damage to target tapped creature. • Destroy target enchantment.</t>
  </si>
  <si>
    <t>Keepers of the Faith</t>
  </si>
  <si>
    <t>Keepers of the Faith / Guardiões da Fé</t>
  </si>
  <si>
    <t>Summon Keepers / Invocação (Guardiões)</t>
  </si>
  <si>
    <t>Keepsake Gorgon / Górgona das Recordações</t>
  </si>
  <si>
    <t>Creature — Gorgon / Criatura — Górgona</t>
  </si>
  <si>
    <t>Deathtouch {5}{B}{B}: Monstrosity 1. (If this creature isn't monstrous, put a +1/+1 counter on it and it becomes monstrous.) When this creature becomes monstrous, destroy target non-Gorgon creature an opponent controls. / Toque mortífero {5}{B}{B}: Monstruosidade 1. (Se esta criatura não for monstruosa, coloque um marcador +1/+1 nela e ela se tornará monstruosa.) Quando Górgona das Recordações se tornar monstruosa, destrua a criatura alvo que não seja do tipo Górgona que um oponente controla.</t>
  </si>
  <si>
    <t>Kei Takahashi</t>
  </si>
  <si>
    <t>{T}: Prevent up to 2 damage to any creature.</t>
  </si>
  <si>
    <t>{2}{W}{G}</t>
  </si>
  <si>
    <t>Branco e Verde</t>
  </si>
  <si>
    <t>Keldon Halberdier / Alabardeiro Keldoniano</t>
  </si>
  <si>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</si>
  <si>
    <t>Keldon Megaliths / Megálitos Keldonianos</t>
  </si>
  <si>
    <t>This land enters tapped. {T}: Add {R}. Hellbent — {1}{R}, {T}: This land deals 1 damage to any target. Activate only if you have no cards in hand. / Megálitos Keldonianos entra em jogo virado. {T}: Adicione {R} à sua reserva de mana. Determinação {1}{R}, {T}: Megálitos Keldonianos causa 1 ponto de dano à criatura alvo ou jogador alvo. Use esta habilidade apenas se você não tiver nenhum card em sua mão.</t>
  </si>
  <si>
    <t>Keldon Raider / Saqueadora Keldoniana</t>
  </si>
  <si>
    <t>When this creature enters, you may discard a card. If you do, draw a card. / Quando Saqueadora Keldoniana entra no campo de batalha, você pode descartar um card. Se fizer isso, compre um card.</t>
  </si>
  <si>
    <t>Keldon Warlord / Senhor da Guerra de Keldon</t>
  </si>
  <si>
    <t>Keldon Warlord's power and toughness are each equal to the number of non-Wall creatures you control.</t>
  </si>
  <si>
    <t>Kelsinko Ranger</t>
  </si>
  <si>
    <t>Criatura — Guardião / Summon Ranger</t>
  </si>
  <si>
    <t>{1}{W}: Target green creature gains first strike until end of turn.</t>
  </si>
  <si>
    <t>Kessig Flamebreather / Sopra-fogo de Kessig</t>
  </si>
  <si>
    <t>Whenever you cast a noncreature spell, this creature deals 1 damage to each opponent. / Toda vez que você conjura uma mágica não de criatura, Sopra-fogo de Kessig causa 1 ponto de dano a cada oponente.</t>
  </si>
  <si>
    <t>Keys to the House</t>
  </si>
  <si>
    <t>{1}, {T}, Sacrifice this artifact: Search your library for a basic land card, reveal it, put it into your hand, then shuffle. {3}, {T}, Sacrifice this artifact: Lock or unlock a door of target Room you control. Activate only as a sorcery.</t>
  </si>
  <si>
    <t>Kill Shot / Tiro Mortal</t>
  </si>
  <si>
    <t>Tarkir Khans</t>
  </si>
  <si>
    <t>Kill Switch</t>
  </si>
  <si>
    <t>{2}, {T}: Tap all other artifacts. They don't untap during their controllers' untap steps as long as Kill Switch remains tapped.</t>
  </si>
  <si>
    <t>Killian, Ink Duelist / Killian, Duelista do Nanquim</t>
  </si>
  <si>
    <t>Legendary Creature — Human Warlock / Criatura Lendária — Humano Bruxo</t>
  </si>
  <si>
    <t>Lifelink Menace (This creature can't be blocked except by two or more creatures.) Spells you cast that target a creature cost {2} less to cast. / Vínculo com a vida Ameaçar (Esta criatura só pode ser bloqueada por duas ou mais criaturas.) As mágicas que você conjura com uma criatura como alvo custam {2} a menos para serem conjuradas.</t>
  </si>
  <si>
    <t>Killian's Confidence / Confiança de Killian</t>
  </si>
  <si>
    <t>A criatura alvo recebe +1/+1 até o final do turno. Compre um card. Sempre que uma ou mais criaturas que você controla causarem dano de combate a um jogador, você pode pagar {W/B}. Se fizer isso, devolva este card de seu cemitério para sua mão.</t>
  </si>
  <si>
    <t>Kin-Tree Invocation / Invocação da Árvore de Família</t>
  </si>
  <si>
    <t>Create an X/X black and green Spirit Warrior creature token, where X is the greatest toughness among creatures you control. / Coloque no campo de batalha uma ficha de criatura preta e verde X/X do tipo Espírito Guerreiro, sendo X a maior resistência entre as criaturas que você controla.</t>
  </si>
  <si>
    <t>Kindled Fury / Fúria Inflamada</t>
  </si>
  <si>
    <t>Target creature gets +1/+0 and gains first strike until end of turn. (It deals combat damage before creatures without first strike.) / A criatura alvo recebe +1/+0 e ganha iniciativa até o final do turno.</t>
  </si>
  <si>
    <t>King Macar, the Gold-Cursed / Macar, Rei do Toque Maldito</t>
  </si>
  <si>
    <t>Legendary Creature — Human Noble / Criatura Lendária — Humano</t>
  </si>
  <si>
    <t>Inspired — Whenever King Macar becomes untapped, you may exile target creature. If you do, create a Gold token. (It's an artifact with "Sacrifice this token: Add one mana of any color.") / Inspirado — Toda vez que Macar, Rei do Toque Maldito, é desvirado, você pode exilar a criatura alvo. Se fizer isso, coloque uma ficha de artefato incolor com o nome Ouro no campo de batalha. Ela tem "Sacrifique este artefato: Adicione um mana de qualquer cor a sua reserva de mana."</t>
  </si>
  <si>
    <t>Kingpin's Pet / Animal de Estimação do Dirigente</t>
  </si>
  <si>
    <t>Kinsbaile Aspirant</t>
  </si>
  <si>
    <t>Creature — Kithkin Citizen</t>
  </si>
  <si>
    <t>As an additional cost to cast this spell, behold a Kithkin or pay {2}. (To behold a Kithkin, choose a Kithkin you control or reveal a Kithkin card from your hand.) Whenever another creature you control enters, this creature gets +1/+1 until end of turn.</t>
  </si>
  <si>
    <t>Kinscaer Harpoonist / Arpoeiro de Kinscaer</t>
  </si>
  <si>
    <t>Creature — Kithkin Soldier / Criatura — Kithkin Soldado</t>
  </si>
  <si>
    <t>Flying Whenever this creature attacks, you may have target creature lose flying until end of turn. / Voar Toda vez que Arpoeiro de Kinscaer ataca, você pode fazer com que a criatura alvo perca voar até o final do turno.</t>
  </si>
  <si>
    <t>Kiora's Dismissal / Exoneração de Kiora</t>
  </si>
  <si>
    <t>Esforço — Exoneração de Kiora custa U a mais para ser conjurado para cada alvo além do primeiro. Devolva qualquer número de encantamentos alvo para as mãos de seus donos.</t>
  </si>
  <si>
    <t>Kiora's Follower / Seguidor de Kiora</t>
  </si>
  <si>
    <t>{T}: Untap another target permanent. / {T}: Desvire outra permanente alvo.</t>
  </si>
  <si>
    <t>Kirtar's Wrath / Ira de Kirtar</t>
  </si>
  <si>
    <t>Destroy all creatures. They can't be regenerated. Threshold — If there are seven or more cards in your graveyard, instead destroy all creatures, then create two 1/1 white Spirit creature tokens with flying. Creatures destroyed this way can't be regenerated. / Destrua todas as criaturas. Elas não podem ser regeneradas. Limiar — Se houver sete ou mais cards em seu cemitério, em vez disso, destrua todas as criaturas e crie duas fichas de criatura Espírito branca 1/1 com voar. As criaturas destruídas dessa forma não podem ser regeneradas.</t>
  </si>
  <si>
    <t>Crimson Vow Commander (VOC)</t>
  </si>
  <si>
    <t>Kismet</t>
  </si>
  <si>
    <t>All of target player's creatures, lands, and artifacts come into play tapped.</t>
  </si>
  <si>
    <t>Quarta Edição (4ED)</t>
  </si>
  <si>
    <t>Kitesail / Velepipa</t>
  </si>
  <si>
    <t>Equipped creature gets +1/+0 and has flying. Equip {2} (2: Attach to target creature you control. Equip only as a sorcery.) / A criatura equipada recebe +1/+0 e tem voar. Equipar {2} (2: Anexe à criatura alvo que você controla. Equipe apenas como um feitiço.)</t>
  </si>
  <si>
    <t>Kitesail Scout / Batedor Aerovelista</t>
  </si>
  <si>
    <t>Creature — Kor Scout / Criatura — Kor Batedor</t>
  </si>
  <si>
    <t>Kitsune, Dragon's Daughter</t>
  </si>
  <si>
    <t>Legendary Creature — Fox Warlock Avatar</t>
  </si>
  <si>
    <t>Vigilance Whenever Kitsune enters or deals combat damage to a player, you may exchange control of two other target creatures controlled by different players.</t>
  </si>
  <si>
    <t>Kjeldoran Dead / Mortos Kjeldoranos</t>
  </si>
  <si>
    <t>Creature — Skeleton</t>
  </si>
  <si>
    <t>When this creature enters, sacrifice a creature. {B}: Regenerate this creature.</t>
  </si>
  <si>
    <t>Kjeldoran Escort</t>
  </si>
  <si>
    <t>Criatura — Soldado / Summon Soldier</t>
  </si>
  <si>
    <t>Banding</t>
  </si>
  <si>
    <t>Kjeldoran Frostbeast / Criatura do Gelo Kjeldorana</t>
  </si>
  <si>
    <t>Creature — Elemental Beast</t>
  </si>
  <si>
    <t>At end of combat, destroy all creatures blocking or blocked by this creature.</t>
  </si>
  <si>
    <t>Klaw, Sonic Subjugator / Garra, Subjugador Sônico</t>
  </si>
  <si>
    <t>Ataque Sônico — Quando Garra entrar, o jogador alvo revela uma quantidade de cards de sua própria mão igual a um mais a quantidade de cards de criatura no seu cemitério. Você escolhe um deles. Aquele jogador descarta aquele card.</t>
  </si>
  <si>
    <t>Knight of Dawn's Light / Cavaleira da Luz do Alvorecer</t>
  </si>
  <si>
    <t>First strike If you would gain life, you gain that much life plus 1 instead. {1}{W}: This creature gets +1/+1 until end of turn. / Iniciativa Se você ganharia pontos de vida, em vez disso, você ganha aquela quantidade de pontos de vida mais 1. {1}{W}: Cavaleira da Luz do Alvorecer recebe +1/+1 até o final do turno.</t>
  </si>
  <si>
    <t>Knight of Dusk's Shadow / Cavaleira da Sombra do Ocaso</t>
  </si>
  <si>
    <t>Menace (This creature can't be blocked except by two or more creatures.) Your opponents can't gain life. {1}{B}: This creature gets +1/+1 until end of turn. / Ameaçar (Esta criatura só pode ser bloqueada por duas ou mais criaturas.) Seus oponentes não podem ganhar pontos de vida. {1}{B}: Cavaleira da Sombra do Ocaso recebe +1/+1 até o final do turno.</t>
  </si>
  <si>
    <t>Knight of Sorrows / Cavaleira dos Pesares</t>
  </si>
  <si>
    <t>This creature can block an additional creature each combat. Afterlife 1 (When this creature dies, create a 1/1 white and black Spirit creature token with flying.) / Cavaleira dos Pesares pode bloquear uma criatura adicional a cada combate. Pós-vida 1 (Quando esta criatura morrer, crie uma ficha de criatura branca e preta 1/1 do tipo Espírito com voar.)</t>
  </si>
  <si>
    <t>Knight of the Hokey Pokey</t>
  </si>
  <si>
    <t>Summon Knight</t>
  </si>
  <si>
    <t>First strike. {1}{W}, Do the Hokey Pokey (Stand up, wiggle your butt, raise your hands above your head, and shake them wildly as you rotate 360 degrees): Prevent all damage to Knight of the Hokey Pokey from any one source.</t>
  </si>
  <si>
    <t>Knight of the Kitchen Sink</t>
  </si>
  <si>
    <t>Artifact Creature — Cyborg Knight</t>
  </si>
  <si>
    <t>First strike, protection from black borders (Nothing with a black border can block, target, deal damage to, or attach to this creature.)</t>
  </si>
  <si>
    <t>Unstable (UST)</t>
  </si>
  <si>
    <t>Knight of the Last Breath / Cavaleiro do Último Suspiro</t>
  </si>
  <si>
    <t>Creature — Giant Knight / Criatura — Gigante Cavaleiro</t>
  </si>
  <si>
    <t>{3}, Sacrifice another nontoken creature: Create a 1/1 white and black Spirit creature token with flying. Afterlife 3 (When this creature dies, create three 1/1 white and black Spirit creature tokens with flying.) / {3}, sacrifique outra criatura que não seja uma ficha: Crie uma ficha de criatura branca e preta 1/1 do tipo Espírito com voar. Pós-vida 3 (Quando esta criatura morrer, crie três fichas de criatura branca e preta 1/1 do tipo Espírito com voar.)</t>
  </si>
  <si>
    <t>{5}{W}{B}</t>
  </si>
  <si>
    <t>Knight of the Pilgrim's Road / Cavaleiro da Estrada dos Peregrinos</t>
  </si>
  <si>
    <t>Renown 1 (When this creature deals combat damage to a player, if it isn't renowned, put a +1/+1 counter on it and it becomes renowned.) / Renome 1 (Quando esta criatura causar dano de combate a um jogador, se ela não for renomada, coloque um marcador +1/+1 nela e ela se tornará renomada.)</t>
  </si>
  <si>
    <t>Knight Watch / Vigilância de Cavaleiros</t>
  </si>
  <si>
    <t>Create two 2/2 white Knight creature tokens with vigilance. / Coloque no campo de batalha duas fichas de criatura brancas 2/2 do tipo Cavaleiro com vigilância.</t>
  </si>
  <si>
    <t>Knightly Valor / Heroísmo Cavaleiroso</t>
  </si>
  <si>
    <t>Enchant creature When this Aura enters, create a 2/2 white Knight creature token with vigilance. (Attacking doesn't cause it to tap.) Enchanted creature gets +2/+2 and has vigilance. / Encantar criaturaQuando Heroísmo Cavaleiroso entrar no campo de batalha, coloque no campo de batalha uma ficha de criatura branca 2/2 do tipo Cavaleiro com vigilância. (Esta criatura não é virada para atacar.)A criatura encantada recebe +2/+2 e tem vigilância.</t>
  </si>
  <si>
    <t>Knot-Knotted Effigy / Efigie Nodosa</t>
  </si>
  <si>
    <t>{4}, {T}: Put a -1/-1 counter on target creature.</t>
  </si>
  <si>
    <t>Knowledge Seeker</t>
  </si>
  <si>
    <t>Creature — Fox Spirit</t>
  </si>
  <si>
    <t>Vigilance Whenever you draw your second card each turn, put a +1/+1 counter on this creature. When this creature dies, create a Clue token. (It's an artifact with "{2}, Sacrifice this token: Draw a card.")</t>
  </si>
  <si>
    <t>Koala-Sheep</t>
  </si>
  <si>
    <t>Creature — Bear Sheep</t>
  </si>
  <si>
    <t>When this creature enters, you gain 3 life.</t>
  </si>
  <si>
    <t>Kor Castigator / Castigador Kor</t>
  </si>
  <si>
    <t>Creature — Kor Wizard Ally / Criatura — Kor Mago Aliado</t>
  </si>
  <si>
    <t>This creature can't be blocked by Eldrazi Scions. / Castigador Kor não pode ser bloqueado por Rebentos Eldrazi.</t>
  </si>
  <si>
    <t>Kor Hookmaster / Mestre dos Ganchos Kor</t>
  </si>
  <si>
    <t>Criatura — Kor Soldado</t>
  </si>
  <si>
    <t>Quando Mestre dos Ganchos Kor entra no campo de batalha, vire a criatura alvo que um oponente controla. Aquela criatura não é desvirada durante a próxima etapa de desvirar de seu controlador.</t>
  </si>
  <si>
    <t>Kor Scythemaster / Mestre das Foice Kor</t>
  </si>
  <si>
    <t>Creature — Kor Soldier Ally / Criatura — Kor Soldado Aliado</t>
  </si>
  <si>
    <t>This creature has first strike as long as it's attacking. / Mestre das Foice Kor tem iniciativa enquanto estiver atacando.</t>
  </si>
  <si>
    <t>Kor Sky Climber / Alpinista Celeste Kor</t>
  </si>
  <si>
    <t>{1}{W}: This creature gains flying until end of turn. / {1}{W}: Alpinista Celeste Kor ganha voar até o final do turno.</t>
  </si>
  <si>
    <t>Korrigan do Lago / Lake Paladin</t>
  </si>
  <si>
    <t>{U}: Korrigan do Lago recebe +1/+1 até o final do turno. / {U}: Lake Paladin gets +1/+1 until end of turn.</t>
  </si>
  <si>
    <t>Kothophed, Soul Hoarder / Kothophed, Acumulador de Almas</t>
  </si>
  <si>
    <t>Legendary Creature — Demon / Criatura Lendária — Demônio</t>
  </si>
  <si>
    <t>Flying Whenever a permanent owned by another player is put into a graveyard from the battlefield, you draw a card and you lose 1 life. / VoarToda vez que uma permanente que pertence a outro jogador é colocada no cemitério vinda do campo de batalha, você compra um card e perde 1 ponto de vida.</t>
  </si>
  <si>
    <t>Koya, Death from Above</t>
  </si>
  <si>
    <t>Legendary Creature — Mutant Ninja Bird</t>
  </si>
  <si>
    <t>Flying When Koya enters, exile up to one other target creature. At the beginning of the next end step, you may pay {3}{B}. If you don't, return that card to the battlefield under its owner's control.</t>
  </si>
  <si>
    <t>Kozilek's Sentinel / Sentinela de Kozilek</t>
  </si>
  <si>
    <t>Devoid (This card has no color.) Whenever you cast a colorless spell, Kozilek's Sentinel gets +1/+0 until end of turn. / Desprovido (Este card não tem cor.) Toda vez que você conjura uma mágica incolor, Sentinela de Kozilek recebe +1/+0 até o final do turno.</t>
  </si>
  <si>
    <t>Kraken of the Straits / Kraken do Estreito</t>
  </si>
  <si>
    <t>Creature — Kraken / Criatura — Kraken</t>
  </si>
  <si>
    <t>Creatures with power less than the number of Islands you control can't block this creature. / As criaturas com poder menor que o número de Ilhas que você controla não podem bloquear Kraken do Estreito.</t>
  </si>
  <si>
    <t>Krang &amp; Shredder</t>
  </si>
  <si>
    <t>Legendary Creature — Utrom Human Ninja</t>
  </si>
  <si>
    <t>Whenever Krang &amp; Shredder enter or attack, each opponent exiles cards from the top of their library until they exile a nonland card. Disappear — At the beginning of your end step, if a permanent left the battlefield under your control this turn, you may cast a card exiled with Krang &amp; Shredder without paying its mana cost.</t>
  </si>
  <si>
    <t>Krang, Master Mind</t>
  </si>
  <si>
    <t>Legendary Artifact Creature — Utrom Warrior</t>
  </si>
  <si>
    <t>Affinity for artifacts (This spell costs {1} less to cast for each artifact you control.) When Krang enters, if you have fewer than four cards in hand, draw cards equal to the difference. Krang gets +1/+0 for each other artifact you control.</t>
  </si>
  <si>
    <t>Krark-Clan Engineers / Engenheiros do Clã-de-Krark</t>
  </si>
  <si>
    <t>{R}, Sacrifice two artifacts: Destroy target artifact. / {R}, Sacrifique dois artefatos: Destrói o artefato alvo.</t>
  </si>
  <si>
    <t>Krark-Clan Grunt / Recruta do Clã de Krark</t>
  </si>
  <si>
    <t>Sacrifice an artifact: This creature gets +1/+0 and gains first strike until end of turn. / Sacrifique um artefato: Recruta do Clã de Krark recebe +1/+0 e ganha iniciativa até o final do turno.</t>
  </si>
  <si>
    <t>Krark-Clan Shaman / Xamã do Clã de Krark</t>
  </si>
  <si>
    <t>Creature — Goblin Shaman / Criatura — Xamã Goblin</t>
  </si>
  <si>
    <t>Sacrifice an artifact: This creature deals 1 damage to each creature without flying. / Sacrifique um artefato: Xamã do Clã de Krark causa 1 ponto de dano a cada criatura sem a habilidade de voar.</t>
  </si>
  <si>
    <t>Krark-Clan Stoker / Foguista do Clã de Krark</t>
  </si>
  <si>
    <t>{T}, Sacrifice an artifact: Add {R}{R}. / {T}, Sacrifique um artefato: Adiciona {R}{R} à sua reserva de mana.</t>
  </si>
  <si>
    <t>Kraul Stinger / Aguilhoador Kraul</t>
  </si>
  <si>
    <t>Creature — Insect Assassin / Criatura — Inseto Assassino</t>
  </si>
  <si>
    <t>Deathtouch / Toque mortífero</t>
  </si>
  <si>
    <t>Kraul Swarm / Enxame Kraul</t>
  </si>
  <si>
    <t>Creature — Insect Warrior / Criatura — Inseto Guerreiro</t>
  </si>
  <si>
    <t>Flying {2}{B}, Discard a creature card: Return this card from your graveyard to your hand. / Voar {2}{B}, descarte um card de criatura: Devolva Enxame Kraul de seu cemitério para sua mão.</t>
  </si>
  <si>
    <t>Krenko, Baron of Tin Street / Krenko, Barão da Rua do Estanho</t>
  </si>
  <si>
    <t>Legendary Creature — Goblin / Criatura Lendária — Goblin</t>
  </si>
  <si>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</si>
  <si>
    <t>Krenko, Mob Boss / Krenko, Chefe da Turba</t>
  </si>
  <si>
    <t>Criatura Lendária — Goblino Guerreiro</t>
  </si>
  <si>
    <t>{T}: Coloque no campo de batalha X fichas de criatura 1/1 vermelhas do tipo Goblino, sendo X o número de Goblinos que você controla.</t>
  </si>
  <si>
    <t>Krenko's Command / Comando de Krenko</t>
  </si>
  <si>
    <t>Create two 1/1 red Goblin creature tokens. / Coloque no campo de batalha duas fichas de criatura vermelhas 1/1 do tipo Goblin.</t>
  </si>
  <si>
    <t>Krosan Druid / Druida Krosana</t>
  </si>
  <si>
    <t>Creature — Centaur Druid / Criatura — Centauro Druida</t>
  </si>
  <si>
    <t>Kicker {4}{G} (You may pay an additional {4}{G} as you cast this spell.) When this creature enters, if it was kicked, you gain 10 life. / Reforçar {4}{G} (Você pode pagar um custo adicional de {4}{G} ao conjurar esta mágica.) Quando Druida Krosana entra no campo de batalha, se ela foi reforçada, você ganha 10 pontos de vida.</t>
  </si>
  <si>
    <t>Krosan Tusker / Javali Krosano</t>
  </si>
  <si>
    <t>Creature — Boar Beast / Criatura — Javali Besta</t>
  </si>
  <si>
    <t>Cycling {2}{G} ({2}{G}, Discard this card: Draw a card.) When you cycle this card, you may search your library for a basic land card, reveal that card, put it into your hand, then shuffle. (Do this before you draw.) / Reciclar {2}{G} ({2}{G}, descarte este card: Compre um card.) Quando você recicla Javali Krosano, você pode procurar um card de terreno básico em seu grimório, revelá-lo, colocá-lo em sua mão e depois embaralhar seu grimório. (Faça isso antes de comprar.)</t>
  </si>
  <si>
    <t>Krovikan Elementalist / Elementalista Krovikano</t>
  </si>
  <si>
    <t>Creature — Human Wizard</t>
  </si>
  <si>
    <t>{2}{R}: Target creature gets +1/+0 until end of turn. {U}{U}: Target creature you control gains flying until end of turn. Sacrifice it at the beginning of the next end step.</t>
  </si>
  <si>
    <t>Krovikan Fetish / Fetiche Krovikano</t>
  </si>
  <si>
    <t>Enchant creature When this Aura enters, draw a card at the beginning of the next turn's upkeep. Enchanted creature gets +1/+1.</t>
  </si>
  <si>
    <t>Krovikan Plague / Peste Krovikana</t>
  </si>
  <si>
    <t>Enchant non-Wall creature you control When this Aura enters, draw a card at the beginning of the next turn's upkeep. Tap enchanted creature: This Aura deals 1 damage to any target. Put a -0/-1 counter on enchanted creature. Activate only if enchanted creature is untapped.</t>
  </si>
  <si>
    <t>Kruphix, God of Horizons / Crufix, Deus dos Horizontes</t>
  </si>
  <si>
    <t>Indestrutível Enquanto sua devoção ao verde e ao azul for menor que sete, Crufix não será uma criatura. Não há limite para o número máximo de cards em sua mão. Se o mana não usado for ser esvaziado da sua reserva de mana, em vez disso, aquele mana se tornará incolor.</t>
  </si>
  <si>
    <t>3GU</t>
  </si>
  <si>
    <t>Kruphix's Insight / Visão de Crufix</t>
  </si>
  <si>
    <t>Reveal the top six cards of your library. Put up to three enchantment cards from among them into your hand and the rest of the revealed cards into your graveyard. / Revele os seis cards do topo de seu grimório. Coloque até três cards de encantamento dentre eles na sua mão e o restante dos cards revelados no seu cemitério.</t>
  </si>
  <si>
    <t>Kulrath Zealot</t>
  </si>
  <si>
    <t>When this creature enters, exile the top card of your library. Until the end of your next turn, you may play that card. Basic landcycling {1}{R} ({1}{R}, Discard this card: Search your library for a basic land card, reveal it, put it into your hand, then shuffle.)</t>
  </si>
  <si>
    <t>Kwende, Pride of Femeref / Kwende, Orgulho de Femeref</t>
  </si>
  <si>
    <t>Double strike Creatures you control with first strike have double strike. / Golpe duplo As criaturas que você controla com iniciativa têm golpe duplo.</t>
  </si>
  <si>
    <t>Kyoshi Battle Fan</t>
  </si>
  <si>
    <t>When this Equipment enters, create a 1/1 white Ally creature token, then attach this Equipment to it. Equipped creature gets +1/+0. Equip {2} ({2}: Attach to target creature you control. Equip only as a sorcery.)</t>
  </si>
  <si>
    <t>Kyoshi Island Plaza</t>
  </si>
  <si>
    <t>Legendary Enchantment — Shrine</t>
  </si>
  <si>
    <t>When Kyoshi Island Plaza enters, search your library for up to X basic land cards, where X is the number of Shrines you control. Put those cards onto the battlefield tapped, then shuffle. Whenever another Shrine you control enters, search your library for a basic land card, put it onto the battlefield tapped, then shuffle.</t>
  </si>
  <si>
    <t>Kyoshi Village</t>
  </si>
  <si>
    <t>This land enters tapped. {T}: Add {G} or {W}. {4}, {T}, Sacrifice this land: Draw a card.</t>
  </si>
  <si>
    <t>Kyoshi Warriors</t>
  </si>
  <si>
    <t>When this creature enters, create a 1/1 white Ally creature token.</t>
  </si>
  <si>
    <t>Kytheon's Irregulars / Subversivos de Quiteon</t>
  </si>
  <si>
    <t>Renown 1 (When this creature deals combat damage to a player, if it isn't renowned, put a +1/+1 counter on it and it becomes renowned.) {W}{W}: Tap target creature. / Renome 1 (Quando esta criatura causar dano de combate a um jogador, se ela não for renomada, coloque um marcador +1/+1 nela e ela se tornará renomada.){W}{W}: Vire a criatura alvo.</t>
  </si>
  <si>
    <t>Kytheon's Tactics / Táticas de Quiteon</t>
  </si>
  <si>
    <t>Creatures you control get +2/+1 until end of turn. Spell mastery — If there are two or more instant and/or sorcery cards in your graveyard, those creatures also gain vigilance until end of turn. (Attacking doesn't cause them to tap.) / As criaturas que você controla recebem +2/+1 até o final do turno.Maestria em magia — Se houver dois ou mais cards de mágica instantânea ou feitiço no seu cemitério, aquelas criaturas também ganharão vigilância até o final do turno. (Elas não são viradas para atacar.)</t>
  </si>
  <si>
    <t>Ladrão Ousado</t>
  </si>
  <si>
    <t>Criatura — Humano Ladino</t>
  </si>
  <si>
    <t>Inspirado — Toda vez que Ladrão Ousado é desvirado, você pode permutar o controle de uma permanente alvo que não seja terreno sob seu controle por uma permanente alvo sob o controle de um oponente que tenha o mesmo tipo de card.</t>
  </si>
  <si>
    <t>Lagarto Rúnico</t>
  </si>
  <si>
    <t>Criatura — Lagarto</t>
  </si>
  <si>
    <t>Toda vez que Lagarto Rúnico atacar, use vidência 1. (Olhe o card do topo de seu grimório. Você pode colocar aquele card no fundo de seu grimório.)</t>
  </si>
  <si>
    <t>Lagomos, Hand of Hatred / Lagomos, Mão do Ódio</t>
  </si>
  <si>
    <t>Legendary Creature — Human Shaman / Criatura Lendária — Humano Xamã</t>
  </si>
  <si>
    <t>At the beginning of combat on your turn, create a 2/1 red Elemental creature token with trample and haste. Sacrifice it at the beginning of the next end step. {T}: Search your library for a card, put it into your hand, then shuffle. Activate only if five or more creatures died this turn. / No início do combate no seu turno, crie uma ficha de criatura Elemental vermelha 2/1 com atropelar e ímpeto. Sacrifique-a no início da próxima etapa final. {T}: Procure um card em seu grimório, coloque-o em sua mão e depois embaralhe. Ative somente se cinco ou mais criaturas tiverem morrido neste turno.</t>
  </si>
  <si>
    <t>{1}{B}{R}</t>
  </si>
  <si>
    <t>Lagonna-Band Trailblazer / Pioneira do Bando de Lagonna</t>
  </si>
  <si>
    <t>Creature — Centaur Scout / Criatura — Centauro Batedor</t>
  </si>
  <si>
    <t>Heroic — Whenever you cast a spell that targets this creature, put a +1/+1 counter on it. / Heroico — Toda vez que você conjurar uma mágica que tenha como alvo Pioneira do Bando de Lagonna, coloque um marcador +1/+1 em Pioneira do Bando de Lagonna.</t>
  </si>
  <si>
    <t>Lampad of Death's Vigil / Lâmpade da Vigília da Morte</t>
  </si>
  <si>
    <t>{1}, Sacrifice a creature: Each opponent loses 1 life and you gain 1 life. / {1}, sacrifique uma criatura: Cada oponente perde 1 ponto de vida e você ganha 1 ponto de vida.</t>
  </si>
  <si>
    <t>Lance</t>
  </si>
  <si>
    <t>Enchant creature Enchanted creature has first strike.</t>
  </si>
  <si>
    <t>Landroval, Horizon Witness / Landroval, Testemunha do Horizonte</t>
  </si>
  <si>
    <t>Legendary Creature — Bird Noble / Criatura Lendária — Ave Nobre</t>
  </si>
  <si>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</si>
  <si>
    <t>Landscape Painter / Pintor de Paisagens</t>
  </si>
  <si>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</si>
  <si>
    <t>Larval Scoutlander / Sonda-larval Terrestre</t>
  </si>
  <si>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</si>
  <si>
    <t>Lash of the Whip / Estalar do Chicote</t>
  </si>
  <si>
    <t>Lashknife / Faca de Chicote</t>
  </si>
  <si>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</si>
  <si>
    <t>Lashweed Lurker / Espreitador Erva-de-açoite</t>
  </si>
  <si>
    <t>Creature — Eldrazi Horror / Criatura — Eldrazi Horror</t>
  </si>
  <si>
    <t>Emerge {5}{G}{U} (You may cast this spell by sacrificing a creature and paying the emerge cost reduced by that creature's mana value.) When you cast this spell, you may put target nonland permanent on top of its owner's library. / Emergir {5}{G}{U} (Você pode conjurar esta mágica sacrificando uma criatura e pagando o custo de emergir menos o custo de mana convertido daquela criatura.) Quando conjura Espreitador Erva-de-açoite, você pode colocar a permanente alvo que não seja um terreno no topo do grimório de seu dono.</t>
  </si>
  <si>
    <t>Last Breath / Último Fôlego</t>
  </si>
  <si>
    <t>Exile target creature with power 2 or less. Its controller gains 4 life. / Exile a criatura alvo com poder menor ou igual a 2. Seu controlador ganha 4 pontos de vida.</t>
  </si>
  <si>
    <t>Lasting Tarfire</t>
  </si>
  <si>
    <t>At the beginning of each end step, if you put a counter on a creature this turn, this enchantment deals 2 damage to each opponent.</t>
  </si>
  <si>
    <t>Lathnu Sailback / Dorsoveleiro de Lathnu</t>
  </si>
  <si>
    <t>Laughing Mad / Loucura Risonha</t>
  </si>
  <si>
    <t>Como custo adicional para conjurar esta mágica, descarte um card. Compre dois cards. Recapitular {3}{R} (Você pode conjurar este card de seu cemitério pagando seu custo de recapitular e quaisquer custos adicionais. Depois, exile-o.)</t>
  </si>
  <si>
    <t>Launch the Fleet / Lançar a Frota</t>
  </si>
  <si>
    <t>Strive — This spell costs {1} more to cast for each target beyond the first. Until end of turn, any number of target creatures each gain "Whenever this creature attacks, create a 1/1 white Soldier creature token that's tapped and attacking." / Esforço — Lançar a Frota custa {1} a mais para ser conjurado para cada alvo além do primeiro. Até o final do turno, qualquer número de criaturas alvo ganha "Toda vez que esta criatura atacar, coloque no campo de batalha uma ficha de criatura 1/1 branca do tipo Soldado virada e atacando."</t>
  </si>
  <si>
    <t>Lava Axe / Machado de Lava</t>
  </si>
  <si>
    <t>Lava Axe deals 5 damage to target player or planeswalker. / Machado de Lava causa 5 pontos de dano ao jogador ou planeswalker alvo.</t>
  </si>
  <si>
    <t>Portal</t>
  </si>
  <si>
    <t>Lava Burst / Explosão de Lava</t>
  </si>
  <si>
    <t>Lava Burst deals X damage to any target. If Lava Burst would deal damage to a creature, that damage can't be prevented or dealt instead to another permanent or player.</t>
  </si>
  <si>
    <t>Lava Coil / Hélice de Lava</t>
  </si>
  <si>
    <t>Hélice de Lava causa 4 pontos de dano à criatura alvo. Se aquela criatura for morrer neste turno, em vez disso, exile-a.</t>
  </si>
  <si>
    <t>Lavagem Cerebral / Brainwash</t>
  </si>
  <si>
    <t>A criatura-alvo não poderá atacar a menos que o jogador que a controla pague {3} adicionais. / Enchanted creature can't attack unless its controller pays {3}.</t>
  </si>
  <si>
    <t>A criatura-alvo não poderá atacar a menos que o jogador que a controla pague {3} adicionais.</t>
  </si>
  <si>
    <t>Lawmage's Binding / Selamento do Mago Legista</t>
  </si>
  <si>
    <t>Flash Enchant creature Enchanted creature can't attack or block, and its activated abilities can't be activated. / Lampejo Encantar criatura A criatura encantada não pode atacar nem bloquear e suas habilidades ativadas não podem ser ativadas.</t>
  </si>
  <si>
    <t>Lay of the Land / Configuração do Terreno</t>
  </si>
  <si>
    <t>Search your library for a basic land card, reveal it, put it into your hand, then shuffle. / Procure um card de terreno básico em seu grimório, revele-o, coloque-o em sua mão e, depois, embaralhe seu grimório.</t>
  </si>
  <si>
    <t>Lazotep Reaver / Despojador de Lazotep</t>
  </si>
  <si>
    <t>Creature — Zombie Beast / Criatura — Zumbi Besta</t>
  </si>
  <si>
    <t>When this creature enters, amass Zombies 1. (Put a +1/+1 counter on an Army you control. It's also a Zombie. If you don't control an Army, create a 0/0 black Zombie Army creature token first.) / Quando Despojador de Lazotep entrar no campo de batalha, arregimente 1. (Coloque um marcador +1/+1 em um Exército que você controla. Se você não controlar um, crie antes uma ficha de criatura preta 0/0 do tipo Zumbi Exército.)</t>
  </si>
  <si>
    <t>Leaden Myr / Myr de Chumbo</t>
  </si>
  <si>
    <t>{T}: Add {B}. / {T}: Adicione {B} à sua reserva de mana.</t>
  </si>
  <si>
    <t>League Guildmage / Maga da Guilda da Liga</t>
  </si>
  <si>
    <t>{3}{U}, {T}: Draw a card. {X}{R}, {T}: Copy target instant or sorcery spell you control with mana value X. You may choose new targets for the copy. / {3}{U}, {T}: Compre um card. {X}{R}, {T}: Copie a mágica instantânea ou o feitiço alvo que você controla com custo de mana convertido X. Você pode escolher novos alvos para a cópia.</t>
  </si>
  <si>
    <t>Leapfrog / Sapo-saltador</t>
  </si>
  <si>
    <t>Creature — Frog / Criatura — Sapo</t>
  </si>
  <si>
    <t>This creature has flying as long as you've cast an instant or sorcery spell this turn. / Sapo-saltador tem voar contanto que você tenha conjurado uma mágica instantânea ou feitiço neste turno.</t>
  </si>
  <si>
    <t>Learn from the Past / Aprender com o Passado</t>
  </si>
  <si>
    <t>Target player shuffles their graveyard into their library. Draw a card. / O jogador alvo embaralha seu próprio cemitério em seu próprio grimório. Compre um card.</t>
  </si>
  <si>
    <t>Leatherhead, Swamp Stalker</t>
  </si>
  <si>
    <t>Legendary Creature — Crocodile Mutant Rogue</t>
  </si>
  <si>
    <t>Trample Leatherhead enters with a hexproof counter on her. Whenever Leatherhead deals combat damage to a player, you may remove a counter from her. When you do, destroy target artifact or enchantment that player controls.</t>
  </si>
  <si>
    <t>Leave // Chance / Deixar // Acaso</t>
  </si>
  <si>
    <t>Leave: Return any number of target permanents you own to your hand. // Chance: Aftermath (Cast this spell only from your graveyard. Then exile it.) Discard any number of cards, then draw that many cards. / Devolva qualquer número de permanentes alvo que você possui para sua mão.</t>
  </si>
  <si>
    <t>{1}{W} // {3}{R}</t>
  </si>
  <si>
    <t>Leave in the Dust / Dar Poeira</t>
  </si>
  <si>
    <t>Return target nonland permanent to its owner's hand. Draw a card. / Devolva a permanente alvo que não seja um terreno para a mão de seu dono. Compre um card.</t>
  </si>
  <si>
    <t>Leave No Trace / Sem vestígios</t>
  </si>
  <si>
    <t>Radiance — Destroy target enchantment and each other enchantment that shares a color with it. / Radiação Destrói o encantamento alvo e cada outro encantamento que compartilhe uma cor com ele.</t>
  </si>
  <si>
    <t>Leaves from the Vine</t>
  </si>
  <si>
    <t>Enchantment — Saga</t>
  </si>
  <si>
    <t>(As this Saga enters and after your draw step, add a lore counter. Sacrifice after III.) I — Mill three cards, then create a Food token. (It's an artifact with "{2}, {T}, Sacrifice this token: You gain 3 life.") II — Put a +1/+1 counter on each of up to two target creatures you control. III — Draw a card if there's a creature or Lesson card in your graveyard.</t>
  </si>
  <si>
    <t>Ledev Champion / Campeão Ledev</t>
  </si>
  <si>
    <t>Creature — Elf Knight / Criatura — Elfo Cavaleiro</t>
  </si>
  <si>
    <t>Whenever this creature attacks, you may tap any number of untapped creatures you control. This creature gets +1/+1 until end of turn for each creature tapped this way. {3}{G}{W}: Create a 1/1 white Soldier creature token with lifelink. / Toda vez que Campeão Ledev ataca, você pode virar qualquer número de criaturas desviradas que você controla. Campeão Ledev recebe +1/+1 até o final do turno para cada criatura virada dessa forma. {3}{G}{W}: Crie uma ficha de criatura branca 1/1 do tipo Soldado com vínculo com a vida.</t>
  </si>
  <si>
    <t>Leech Bonder / Aplicador de Sanguessuga</t>
  </si>
  <si>
    <t>This creature enters with two -1/-1 counters on it. {U}, {Q}: Move a counter from target creature onto a second target creature. ({Q} is the untap symbol.) / Aplicador de Sanguessuga entra em jogo com dois marcadores -1/-1. {U}, {Q}: Mova um marcador da criatura alvo para outra criatura alvo. ({Q} é o símbolo de desvirar.)</t>
  </si>
  <si>
    <t>Leeches / Sanguessugas</t>
  </si>
  <si>
    <t>Target player loses all poison counters. Leeches deals that much damage to that player.</t>
  </si>
  <si>
    <t>Legion Conquistador / Conquistador da Legião</t>
  </si>
  <si>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</si>
  <si>
    <t>Legions of Lim-Dûl / Legiões de Lim-Dûl</t>
  </si>
  <si>
    <t>Snow swampwalk (This creature can't be blocked as long as defending player controls a snow Swamp.)</t>
  </si>
  <si>
    <t>Legolas, Contador de Abates / Legolas, Counter of Kills</t>
  </si>
  <si>
    <t>Criatura Lendária — Elfo Arqueiro</t>
  </si>
  <si>
    <t>Alcance. Toda vez que você usa vidência, se Legolas, Contador de Abates, estiver virado, você poderá desvirá-lo. Faça issoNormally I can help with things like this, but I don't seem to have access to that content. You can try again or ask me for something else.</t>
  </si>
  <si>
    <t>Leia os Ossos / Read the Bones</t>
  </si>
  <si>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</si>
  <si>
    <t>Lens Flare / Reflexo da Lente</t>
  </si>
  <si>
    <t>Affinity for artifacts (This spell costs {1} less to cast for each artifact you control.) Lens Flare deals 5 damage to target attacking or blocking creature. / Afinidade por artefatos Reflexo da Lente causa 5 pontos de dano à criatura atacante ou bloqueadora alvo.</t>
  </si>
  <si>
    <t>Lente de Aumento / Magnifying Glass</t>
  </si>
  <si>
    <t>{T}: Add {C}. {4}, {T}: Investigate. (Create a Clue token. It's an artifact with “{2}, Sacrifice this artifact: Draw a card.”) / {T}: Adicione {C}. {4}, {T}: Investigue. (Crie uma ficha de Pista. Ela é um artefato com “{2}, Sacrifique este artefato: Compre um card”.)</t>
  </si>
  <si>
    <t>Leo's Guidance / Orientação de Leo</t>
  </si>
  <si>
    <t>Coloque um marcador +1/+1 em cada uma de até três criaturas alvo. Desvire-as.</t>
  </si>
  <si>
    <t>Leonardo, Big Brother</t>
  </si>
  <si>
    <t>Sneak {W} (You may cast this spell for {W} if you also return an unblocked attacker you control to hand during the declare blockers step. He enters tapped and attacking.) Leonardo gets +1/+0 for each other creature you control.</t>
  </si>
  <si>
    <t>Leonardo, Leader in Blue</t>
  </si>
  <si>
    <t>Sneak {3}{W}{W} (You may cast this spell for {3}{W}{W} if you also return an unblocked attacker you control to hand during the declare blockers step. He enters tapped and attacking.) When Leonardo enters, if his sneak cost was paid, creatures you control get +2/+0 until end of turn. {1}{W}: Leonardo gains first strike until end of turn.</t>
  </si>
  <si>
    <t>Leonin Bola / Boleadeiras dos Leoninos</t>
  </si>
  <si>
    <t>Equipped creature has "{T}, Unattach Leonin Bola: Tap target creature." Equip {1} ({1}: Attach to target creature you control. Equip only as a sorcery.) / A criatura equipada tem "{T}, Solte Boleadeiras dos Leoninos: Vira a criatura alvo." Equipar {1} ({1}: Anexe a uma criatura alvo que você controla. Equipe somente qundo pudesse jogar um feitiço. Este card entra em jogo solto e permanece em jogo se a criatura sair de jogo.)</t>
  </si>
  <si>
    <t>Leonin Snarecaster / Lançador de Redes Leonino</t>
  </si>
  <si>
    <t>Criatura — Gato Soldado</t>
  </si>
  <si>
    <t>Quando Lançador de Redes Leonino entra no campo de batalha, você pode virar a criatura alvo.</t>
  </si>
  <si>
    <t>Lethal Exploit / Façanha Letal</t>
  </si>
  <si>
    <t>Target creature gets -2/-2 until end of turn. It gets an additional -1/-1 until end of turn for each modified creature you controlled as you cast this spell. (Equipment, Auras you control, and counters are modifications.) / A criatura alvo recebe -2/-2 até o final do turno. Ela recebe -1/-1 adicional até o final do turno para cada criatura modificada que você controlava conforme conjurou a mágica. (Os Equipamentos, as Auras que você controla e os marcadores são modificações.)</t>
  </si>
  <si>
    <t>Levitation / Levitação</t>
  </si>
  <si>
    <t>Creatures you control have flying. / As criaturas que você controla têm voar.</t>
  </si>
  <si>
    <t>Lhurgoyf</t>
  </si>
  <si>
    <t>Criatura — Lhurgoyf / Creature — Lhurgoyf</t>
  </si>
  <si>
    <t>Lhurgoyf's power is equal to the number of creature cards in all graveyards and its toughness is equal to that number plus 1.</t>
  </si>
  <si>
    <t>Lich's Caress / Carícia do Lich</t>
  </si>
  <si>
    <t>Destroy target creature. You gain 3 life. / Destrua a criatura alvo. Você ganha 3 pontos de vida.</t>
  </si>
  <si>
    <t>Lich's Mastery / Maestria do Lich</t>
  </si>
  <si>
    <t>Legendary Enchantment / Encantamento Lendário</t>
  </si>
  <si>
    <t>Hexproof You can't lose the game. Whenever you gain life, draw that many cards. Whenever you lose life, for each 1 life you lost, exile a permanent you control or a card from your hand or graveyard. When Lich's Mastery leaves the battlefield, you lose the game. / Resistência a magia Você não pode perder o jogo. Toda vez que ganhar pontos de vida, compre a mesma quantidade de cards. Toda vez que você perder pontos de vida, para cada 1 ponto de vida perdido, exile uma permanente que você controla ou um card de sua mão ou de seu cemitério. Quando Maestria do Lich deixa o campo de batalha, você perde o jogo.</t>
  </si>
  <si>
    <t>Life Goes On / A Vida Continua</t>
  </si>
  <si>
    <t>You gain 4 life. If a creature died this turn, you gain 8 life instead. / Você ganha 4 pontos de vida. Se uma criatura morreu neste turno, em vez disso, você ganha 8 pontos de vida.</t>
  </si>
  <si>
    <t>Lifecraft Cavalry / Cavalaria Vivideira</t>
  </si>
  <si>
    <t>Trample Revolt — This creature enters with two +1/+1 counters on it if a permanent left the battlefield under your control this turn. / Atropelar Revolta — Cavalaria Vivideira entra no campo de batalha com dois marcadores +1/+1 se uma permanente que você controlava deixou o campo de batalha neste turno.</t>
  </si>
  <si>
    <t>Lifecreed Duo</t>
  </si>
  <si>
    <t>Creature — Bat Bird</t>
  </si>
  <si>
    <t>Flying Whenever another creature you control enters, you gain 1 life.</t>
  </si>
  <si>
    <t>Lifelink / Vínculo com a Vida</t>
  </si>
  <si>
    <t>Enchant creature Enchanted creature has lifelink. (Damage dealt by the creature also causes its controller to gain that much life.) / Encantar criatura A criatura encantada tem vínculo com a vida. (O dano causado pela criatura também faz com que seu controlador ganhe uma quantidade equivalente de pontos de vida.)</t>
  </si>
  <si>
    <t>Light of Judgment / Luz do Julgamento</t>
  </si>
  <si>
    <t>Luz do Julgamento causa 6 de dano à criatura alvo. Destrua até um Equipamento anexado àquela criatura.</t>
  </si>
  <si>
    <t>Lightning Angel / Anjo de Relâmpagos</t>
  </si>
  <si>
    <t>Criatura — Anjo</t>
  </si>
  <si>
    <t>Voar, vigilância, ímpeto</t>
  </si>
  <si>
    <t>1RWU</t>
  </si>
  <si>
    <t>Lightning Helix / Hélice de Raios</t>
  </si>
  <si>
    <t>Hélice de Raios causa 3 de dano à criatura ou ao jogador alvo e você ganha 3 de vida.</t>
  </si>
  <si>
    <t>Lightning Javelin / Azagaia de Raio</t>
  </si>
  <si>
    <t>Lightning Javelin deals 3 damage to any target. Scry 1. (Look at the top card of your library. You may put that card on the bottom.) / Azagaia de Raio causa 3 pontos de dano à criatura ou ao jogador alvo. Vidência 1. (Olhe o card do topo de seu grimório. Você pode colocar aquele card no fundo de seu grimório.)</t>
  </si>
  <si>
    <t>Lightning Mauler / Esmagador dos Relâmpagos</t>
  </si>
  <si>
    <t>Creature — Human Berserker / Criatura — Humano Amoque</t>
  </si>
  <si>
    <t>Soulbond (You may pair this creature with another unpaired creature when either enters. They remain paired for as long as you control both of them.) As long as this creature is paired with another creature, both creatures have haste. / Elo espiritual (Você pode emparelhar esta criatura com outra criatura não emparelhada quando uma delas entrar no campo de batalha. Elas permanecem emparelhadas enquanto você controlar ambas.) Enquanto Esmagador dos Relâmpagos estiver emparelhado com outra criatura, ambas as criaturas terão ímpeto.</t>
  </si>
  <si>
    <t>Lightning Strike / Golpe Relampejante</t>
  </si>
  <si>
    <t>Lightning Strike deals 3 damage to any target. / Golpe Relampejante causa 3 pontos de dano à criatura ou ao jogador alvo.</t>
  </si>
  <si>
    <t>Lightning Strike / Raio de Solavanco</t>
  </si>
  <si>
    <t>Raio de Solavanco causa 3 de pontos de dano a qualquer alvo.</t>
  </si>
  <si>
    <t>Liliana's Specter</t>
  </si>
  <si>
    <t>Creature — Specter</t>
  </si>
  <si>
    <t>Flying. When Liliana's Specter enters the battlefield, each opponent discards a card.</t>
  </si>
  <si>
    <t>Liliana's Triumph / Triunfo de Liliana</t>
  </si>
  <si>
    <t>Each opponent sacrifices a creature of their choice. If you control a Liliana planeswalker, each opponent also discards a card. / Cada oponente sacrifica uma criatura. Se você controla uma planeswalker Liliana, cada oponente também descarta um card.</t>
  </si>
  <si>
    <t>Lim-Dûl's Cohort / Coorte de Lim-Dûl</t>
  </si>
  <si>
    <t>Whenever this creature blocks or becomes blocked by a creature, that creature can't be regenerated this turn.</t>
  </si>
  <si>
    <t>Lion Heart / Coração de Leão</t>
  </si>
  <si>
    <t>Quando este Equipamento entrar, ele causará 2 de dano a qualquer alvo. A criatura equipada recebe +2/+1. Equipar {2}</t>
  </si>
  <si>
    <t>Lita, Little Orphan Amphibian</t>
  </si>
  <si>
    <t>Alliance — Whenever another creature you control enters, choose one that hasn't been chosen this turn. • Put a +1/+1 counter on Lita. • Create a Food token. (It's an artifact with "{2}, {T}, Sacrifice this token: You gain 3 life.") • Scry 1.</t>
  </si>
  <si>
    <t>Liturgy of Blood / Liturgia de Sangue</t>
  </si>
  <si>
    <t>Destroy target creature. Add {B}{B}{B}. / Destrua a criatura alvo. Adicione {B}{B}{B} à sua reserva de mana.</t>
  </si>
  <si>
    <t>Living Armor</t>
  </si>
  <si>
    <t>{T}, Sacrifice this artifact: Put X +0/+1 counters on target creature, where X is that creature's mana value.</t>
  </si>
  <si>
    <t>Living History / História Viva</t>
  </si>
  <si>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</si>
  <si>
    <t>Living Lightning / Relâmpago Vivo</t>
  </si>
  <si>
    <t>When this creature dies, return target instant or sorcery card from your graveyard to your hand. / Quando Relâmpago Vivo morrer, devolva o card de mágica instantânea ou de feitiço alvo de seu cemitério para sua mão.</t>
  </si>
  <si>
    <t>Living Phone</t>
  </si>
  <si>
    <t>Artifact Creature — Toy</t>
  </si>
  <si>
    <t>When this creature dies, look at the top five cards of your library. You may reveal a creature card with power 2 or less from among them and put it into your hand. Put the rest on the bottom of your library in a random order.</t>
  </si>
  <si>
    <t>Living Wall</t>
  </si>
  <si>
    <t>Defender (This creature can't attack.) {1}: Regenerate this creature.</t>
  </si>
  <si>
    <t>0/6</t>
  </si>
  <si>
    <t>Livro de Mazarbul / Book of Mazarbul</t>
  </si>
  <si>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</si>
  <si>
    <t>Llanowar Elves / Elfos de Llanowar</t>
  </si>
  <si>
    <t>{T}: Add {G}. / {T}: Adicione {G}.</t>
  </si>
  <si>
    <t>Llanowar Empath / Telepata de Llanowar</t>
  </si>
  <si>
    <t>When this creature enters, scry 2, then reveal the top card of your library. If it's a creature card, put it into your hand. (To scry 2, look at the top two cards of your library, then put any number of them on the bottom and the rest on top in any order.) / Quando Telepata de Llanowar entrar no campo de batalha, use vidência 2, depois revele o card do topo de seu grimório. Se este for um card de criatura, coloque-o em sua mão. (Para usar vidência 2, olhe os dois cards do topo do seu grimório. Depois, coloque qualquer número deles no fundo do seu grimório e o restante no topo em qualquer ordem.)</t>
  </si>
  <si>
    <t>Llanowar Ranger / Guarda-florestal de Llanowar</t>
  </si>
  <si>
    <t>{1}{G}, {T}: Search your library for a basic land card, put it onto the battlefield tapped, then shuffle. / {1}{G}, {T}: Procure um card de terreno básico em seu grimório, coloque-o no campo de batalha virado e depois embaralhe seu grimório.</t>
  </si>
  <si>
    <t>Llewen, Imperfect Naturalist</t>
  </si>
  <si>
    <t>Legendary Creature — Elf Druid</t>
  </si>
  <si>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</si>
  <si>
    <t>{G/B}{G/B}</t>
  </si>
  <si>
    <t>Lorwin Lorwyn Eclipsed (ECL)ipsed</t>
  </si>
  <si>
    <t>Loathsome Catoblepas / Catoblepas Repugnante</t>
  </si>
  <si>
    <t>{2}{G}: This creature must be blocked this turn if able. When this creature dies, target creature an opponent controls gets -3/-3 until end of turn. / {2}{G}: Catoblepas Repugnante deve ser bloqueado neste turno se estiver apto. Quando Catoblepas Repugnante morre, a criatura alvo que um oponente controla recebe -3/-3 até o final do turno.</t>
  </si>
  <si>
    <t>Loathsome Troll / Trol Odioso</t>
  </si>
  <si>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</si>
  <si>
    <t>Lobber Crew / Equipe de Arremesso</t>
  </si>
  <si>
    <t>Defender {T}: This creature deals 1 damage to each opponent. Whenever you cast a multicolored spell, untap this creature. / Defensor {T}: Equipe de Arremesso causa 1 ponto de dano a cada oponente. Toda vez que você conjurar uma mágica multicolorida, desvire Equipe de Arremesso.</t>
  </si>
  <si>
    <t>Locke Cole / Locke Cole</t>
  </si>
  <si>
    <t>Toque mortífero, vínculo com a vida. Sempre que Locke Cole causar dano de combate a um jogador, compre um card e depois descarte um card.</t>
  </si>
  <si>
    <t>1UB</t>
  </si>
  <si>
    <t>Lodestone Myr / Myr de Magnetita</t>
  </si>
  <si>
    <t>Trample Tap an untapped artifact you control: This creature gets +1/+1 until end of turn. / Atropelar Vire um artefato desvirado que você controla: Myr de Magnetita recebe +1/+1 até o final do turno.</t>
  </si>
  <si>
    <t>Lone Missionary / Missionário Solitário</t>
  </si>
  <si>
    <t>Criatura — Kor Monge</t>
  </si>
  <si>
    <t>Quando Missionário Solitário entra no campo de batalha, você ganha 4 de vida.</t>
  </si>
  <si>
    <t>Long Feng, Grand Secretariat</t>
  </si>
  <si>
    <t>Legendary Creature — Human Advisor</t>
  </si>
  <si>
    <t>Whenever another creature you control or a land you control is put into a graveyard from the battlefield, put a +1/+1 counter on target creature you control.</t>
  </si>
  <si>
    <t>Long Goodbye / Longo Adeus</t>
  </si>
  <si>
    <t>This spell can't be countered. (This includes by the ward ability.) Destroy target creature or planeswalker with mana value 3 or less. / Esta mágica não pode ser anulada. (Isto inclui a habilidade salvaguarda.) Destrua a criatura ou o planeswalker alvo com valor de mana igual ou inferior a 3.</t>
  </si>
  <si>
    <t>Long Road Home / Longo Caminho para Casa</t>
  </si>
  <si>
    <t>Exile target creature. At the beginning of the next end step, return that card to the battlefield under its owner's control with a +1/+1 counter on it. / Exile a criatura alvo. No início da próxima etapa final, devolva aquele card ao campo de batalha sob o controle de seu dono com um marcador +1/+1.</t>
  </si>
  <si>
    <t>Longa Lista dos Ents / Long List of the Ents</t>
  </si>
  <si>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</si>
  <si>
    <t>Look at Me, I'm the DCI</t>
  </si>
  <si>
    <t>Ban one card, other than a basic land, for the remainder of the match. (For the remainder of the match, each player removes from the game all copies of that card in play or in any graveyard, hand, library, or sideboard.)</t>
  </si>
  <si>
    <t>{5}{W}{W}</t>
  </si>
  <si>
    <t>Looming Altisaur / Altissauro Assomador</t>
  </si>
  <si>
    <t>Looming Spires / Pináculos Indistintos</t>
  </si>
  <si>
    <t>This land enters tapped. When this land enters, target creature gets +1/+1 and gains first strike until end of turn. {T}: Add {R}. / Pináculos Indistintos entra no campo de batalha virado.Quando Pináculos Indistintos entra no campo de batalha, a criatura alvo recebe +1/+1 e ganha iniciativa até o final do turno.{T}: Adicione {R} à sua reserva de mana.</t>
  </si>
  <si>
    <t>Loporrit Scout / Batedor Loporrit</t>
  </si>
  <si>
    <t>Criatura — Coelho Batedor</t>
  </si>
  <si>
    <t>Sempre que outra criatura que você controla entrar, esta criatura recebe +1/+1 até o final do turno.</t>
  </si>
  <si>
    <t>Lord Dregg, Insect Invader</t>
  </si>
  <si>
    <t>Legendary Creature — Insect Warrior</t>
  </si>
  <si>
    <t>Flying Disappear — At the beginning of your end step, if a permanent left the battlefield under your control this turn, create a 1/1 black Insect Warrior creature token with flying. {3}{G}, Sacrifice a token: Draw a card.</t>
  </si>
  <si>
    <t>Lord of the Pit / Senhor das Profundezas</t>
  </si>
  <si>
    <t>Flying, trample At the beginning of your upkeep, sacrifice a creature other than this creature. If you can't, this creature deals 7 damage to you. / Voar, atropelar (Esta criatura só pode ser bloqueada por criaturas com a habilidade de voar ou alcance. Se esta criatura fosse causar dano de combate suficiente para destruir seus bloqueadores, você pode fazer com que ela cause o resto de seu dano ao jogador defensor.) No início de sua manutenção, sacrifique uma criatura que não seja Senhor das Profundezas. Se não puder, Senhor das Profundezas causará 7 pontos de dano a você.</t>
  </si>
  <si>
    <t>{4}{B}{B}{B}</t>
  </si>
  <si>
    <t>Lord of Tresserhorn / Senhor de Tresserhorn</t>
  </si>
  <si>
    <t>Legendary Creature — Zombie</t>
  </si>
  <si>
    <t>When Lord of Tresserhorn enters, you lose 2 life, you sacrifice two creatures, and target opponent draws two cards. {B}: Regenerate Lord of Tresserhorn.</t>
  </si>
  <si>
    <t>{1}{U}{B}{R}</t>
  </si>
  <si>
    <t>Preto, Vermelho, Azul</t>
  </si>
  <si>
    <t>Losheel, Clockwork Scholar / Losheel, Erudita da Mecânica</t>
  </si>
  <si>
    <t>Legendary Creature — Elephant Artificer / Criatura Lendária — Elefante Artesão</t>
  </si>
  <si>
    <t>Prevent all combat damage that would be dealt to attacking artifact creatures you control. Whenever one or more artifact creatures you control enter, draw a card. This ability triggers only once each turn. / Previna todo dano de combate que seria causado a criaturas artefato atacantes que você controla. Toda vez que uma ou mais criaturas artefato entrarem no campo de batalha sob seu controle, compre um card. Esta habilidade é desencadeada apenas uma vez a cada turno.</t>
  </si>
  <si>
    <t>Lost Days</t>
  </si>
  <si>
    <t>The owner of target creature or enchantment puts it into their library second from the top or on the bottom. You create a Clue token. (It's an artifact with "{2}, Sacrifice this token: Draw a card.")</t>
  </si>
  <si>
    <t>Lost in Space</t>
  </si>
  <si>
    <t>Target artifact or creature's owner puts it on their choice of the top or bottom of their library. Surveil 1. (Look at the top card of your library. You may put it into your graveyard.)</t>
  </si>
  <si>
    <t>Lost Legion / Legião Perdida</t>
  </si>
  <si>
    <t>Creature — Spirit Knight / Criatura — Espírito Cavaleiro</t>
  </si>
  <si>
    <t>When this creature enters, scry 2. (Look at the top two cards of your library, then put any number of them on the bottom and the rest on top in any order.) / Quando Legião Perdida entrar no campo de batalha, use vidência 2. (Olhe os dois cards do topo do seu grimório. Depois, coloque qualquer número deles no fundo do seu grimório e o restante no topo em qualquer ordem.)</t>
  </si>
  <si>
    <t>Lost Soul / Alma Desgarrada</t>
  </si>
  <si>
    <t>Creature — Spirit Minion</t>
  </si>
  <si>
    <t>Swampwalk (This creature can't be blocked as long as defending player controls a Swamp.)</t>
  </si>
  <si>
    <t>Lotusguard Disciple</t>
  </si>
  <si>
    <t>Creature — Bird Cleric</t>
  </si>
  <si>
    <t>Flying When this creature enters, target creature or Vehicle gains lifelink and indestructible until end of turn.</t>
  </si>
  <si>
    <t>Loxodon Restorer / Loxodonte Restaurador</t>
  </si>
  <si>
    <t>Creature — Elephant Cleric / Criatura — Elefante Clérigo</t>
  </si>
  <si>
    <t>Convoke (Your creatures can help cast this spell. Each creature you tap while casting this spell pays for {1} or one mana of that creature's color.) When this creature enters, you gain 4 life. / Convocar (Suas criaturas podem ajudar a conjurar esta mágica. Cada criatura que você vira ao conjurar esta mágica paga {1} ou um mana da cor daquela criatura.) Quando Loxodonte Restaurador entra no campo de batalha, você ganha 4 pontos de vida.</t>
  </si>
  <si>
    <t>Loxodon Sergeant / Sargento Loxodonte</t>
  </si>
  <si>
    <t>Vigilance When this creature enters, other creatures you control gain vigilance until end of turn. / Vigilância Quando Sargento Loxodonte entra no campo de batalha, as outras criaturas que você controla ganham vigilância até o final do turno.</t>
  </si>
  <si>
    <t>Loyal Guardian / Guardião Leal</t>
  </si>
  <si>
    <t>Trample Lieutenant — At the beginning of combat on your turn, if you control your commander, put a +1/+1 counter on each creature you control. / Atropelar Tenente — No início do combate no seu turno, se você controlar seu comandante, coloque um marcador +1/+1 em cada criatura que você controla.</t>
  </si>
  <si>
    <t>Luka Stadium // Strixhaven Stadium / Estádio de Luka // Estádio de Strixhaven</t>
  </si>
  <si>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</si>
  <si>
    <t>Luke Cage, Power Man / Luke Cage, Poderoso</t>
  </si>
  <si>
    <t>Pele Inquebrável — Sempre que Luke Cage atacar sozinho, ele recebe +2/+0 e ganha indestrutível até o final do turno. (Dano e efeitos que dizem "destrua" não o destroem.)</t>
  </si>
  <si>
    <t>Lull / Calmaria</t>
  </si>
  <si>
    <t>Prevent all combat damage that would be dealt this turn. Cycling {2} ({2}, Discard this card: Draw a card.) / Previna todo o dano de combate que seria causado neste turno. Reciclar {2} ({2}, descarte este card: Compre um card.)</t>
  </si>
  <si>
    <t>Lumengrid Drake / Dragonete de Lumengrid</t>
  </si>
  <si>
    <t>Flying Metalcraft — When this creature enters, if you control three or more artifacts, return target creature to its owner's hand. / Voar Maestria com Metais — Quando Dragonete de Lumengrid entrar no campo de batalha, se você controlar três ou mais artefatos, devolva a criatura alvo para a mão de seu dono.</t>
  </si>
  <si>
    <t>Luminous Bonds / Amarras Luminosas</t>
  </si>
  <si>
    <t>Luminous Rebuke</t>
  </si>
  <si>
    <t>Lunar Force / Força Lunar</t>
  </si>
  <si>
    <t>When an opponent casts a spell, sacrifice this enchantment and counter that spell. / Quando um oponente conjurar uma mágica, sacrifique Força Lunar e anule aquela mágica.</t>
  </si>
  <si>
    <t>Lunar Frenzy / Frenesi Lunar</t>
  </si>
  <si>
    <t>Target creature you control gets +X/+0 and gains first strike and trample until end of turn. / A criatura alvo que você controla recebe +X/+0 e ganha iniciativa e atropelar até o final do turno.</t>
  </si>
  <si>
    <t>Lunar Mystic / Místico Lunar</t>
  </si>
  <si>
    <t>Whenever you cast an instant spell, you may pay {1}. If you do, draw a card. / Toda vez que conjura uma mágica instantânea, você pode pagar {1}. Se fizer isso, compre um card.</t>
  </si>
  <si>
    <t>Lunatic Pandora / Pandora Lunática</t>
  </si>
  <si>
    <t>Artefato Lendário</t>
  </si>
  <si>
    <t>{2}, {T}: Vigie 1. (Olhe o card do topo de seu grimório. Você pode colocá-lo em seu cemitério.) {6}, {T}, Sacrifique Pandora Lunática: Destrua a permanente alvo que não seja um terreno.</t>
  </si>
  <si>
    <t>Lurching Rotbeast / Putrifera Trôpega</t>
  </si>
  <si>
    <t>Cycling {B} ({B}, Discard this card: Draw a card.) / Reciclar {B} ({B}, descarte este card: Compre um card.)</t>
  </si>
  <si>
    <t>Lurking Roper / Estrangulador à Espreita</t>
  </si>
  <si>
    <t>This creature doesn't untap during your untap step. Whenever you gain life, untap this creature. / Estrangulador à Espreita não é desvirado durante sua etapa de desvirar. Toda vez que você ganhar pontos de vida, desvire Estrangulador à Espreita.</t>
  </si>
  <si>
    <t>Luxurious Locomotive / Locomotiva Luxuosa</t>
  </si>
  <si>
    <t>Whenever this Vehicle attacks, create a Treasure token for each creature that crewed it this turn. (They're artifacts with "{T}, Sacrifice this token: Add one mana of any color.") Crew 1. Activate only once each turn. (Tap any number of creatures you control with total power 1 or more: This Vehicle becomes an artifact creature until end of turn.) / Toda vez que Locomotiva Luxuosa atacar, crie uma ficha de Tesouro por cada criatura que a tripulou neste turno. (Elas são artefatos com "{T}, sacrifique este artefato: Adicione um mana de qualquer cor".) Tripular 1. Ative apenas uma vez a cada turno. (Vire qualquer número de criaturas que você controla com total de poder igual ou superior a 1: Este Veículo torna-se uma criatura artefato até o final do turno.)</t>
  </si>
  <si>
    <t>Lys Alana Bowmaster / Arqueiro-Mor de Lys Alana</t>
  </si>
  <si>
    <t>Creature — Elf Archer / Criatura — Elfo Arqueiro</t>
  </si>
  <si>
    <t>Reach Whenever you cast an Elf spell, you may have this creature deal 2 damage to target creature with flying. / Alcance (Esta criatura pode bloquear criaturas com a habilidade de voar.) Toda vez que você joga uma mágica de Elfo, você pode fazer com que Arqueiro-Mor de Lys Alana cause 2 pontos de dano à criatura alvo com a habilidade de voar.</t>
  </si>
  <si>
    <t>Lys Alana Informant</t>
  </si>
  <si>
    <t>Creature — Elf Scout</t>
  </si>
  <si>
    <t>When this creature enters or dies, surveil 1. (Look at the top card of your library. You may put it into your graveyard.)</t>
  </si>
  <si>
    <t>Aetherclash (Lorwyn Eclipsed (ECL))</t>
  </si>
  <si>
    <t>Macabre Mockery / Escárnio Macabro</t>
  </si>
  <si>
    <t>Put target creature card from an opponent's graveyard onto the battlefield under your control. It gets +2/+0 and gains haste until end of turn. Sacrifice it at the beginning of the next end step. / Coloque no campo de batalha sob seu controle o card de criatura alvo do cemitério de um oponente. Ele recebe +2/+0 e ganha ímpeto até o final do turno. Sacrifique-o no início da próxima etapa final.</t>
  </si>
  <si>
    <t>Macabre Waltz / Valsa Macabra</t>
  </si>
  <si>
    <t>Return up to two target creature cards from your graveyard to your hand, then discard a card. / Devolva até dois cards de criatura alvo de seu cemitério para sua mão e depois descarte um card.</t>
  </si>
  <si>
    <t>Machine Over Matter / Máquina Sobre Matéria</t>
  </si>
  <si>
    <t>This spell costs {1} less to cast if you control an artifact creature. Return target nonland permanent to its owner's hand. / Esta mágica custa {1} a menos para ser conjurada se você controla uma criatura artefato. Devolva a permanente alvo não de terreno para a mão de seu dono.</t>
  </si>
  <si>
    <t>Machinist's Arsenal / Arsenal do Maquinista</t>
  </si>
  <si>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</si>
  <si>
    <t>Madcap Skills / Habilidades do Inconsequente</t>
  </si>
  <si>
    <t>Enchant creature Enchanted creature gets +3/+0 and has menace. / Encantar criaturaA criatura encantada ganha +3/+0 e só pode ser bloqueada por duas ou mais criaturas.</t>
  </si>
  <si>
    <t>Maestros Theater / Teatro dos Maestros</t>
  </si>
  <si>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</si>
  <si>
    <t>Mage Hunters' Onslaught / Investida dos Caça-magos</t>
  </si>
  <si>
    <t>Destroy target creature or planeswalker. Whenever a creature blocks this turn, its controller loses 1 life. / Destrua a criatura ou o planeswalker alvo. Toda vez que uma criatura bloqueia neste turno, seu controlador perde 1 ponto de vida.</t>
  </si>
  <si>
    <t>Mage-Ring Bully / Rufião do Anel de Mago</t>
  </si>
  <si>
    <t>Prowess (Whenever you cast a noncreature spell, this creature gets +1/+1 until end of turn.) This creature attacks each combat if able. / Destreza (Toda vez que você conjura uma mágica que não seja de criatura, esta criatura recebe +1/+1 até o final do turno.)Rufião do Anel de Mago ataca a cada turno se estiver apto.</t>
  </si>
  <si>
    <t>Mage-Ring Network / Rede dos Anéis de Mago</t>
  </si>
  <si>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</si>
  <si>
    <t>Magic Damper</t>
  </si>
  <si>
    <t>Target creature you control gets +1/+1 and gains hexproof until end of turn. Untap it.</t>
  </si>
  <si>
    <t>Final Fantasy (FFXIII)</t>
  </si>
  <si>
    <t>Magic Missile / Mísseis Mágicos</t>
  </si>
  <si>
    <t>This spell can't be countered. Magic Missile deals 3 damage divided as you choose among one, two, or three targets. / Esta mágica não pode ser anulada. Mísseis Mágicos causa 3 pontos de dano divididos à sua escolha entre um, dois ou três alvos.</t>
  </si>
  <si>
    <t>Magic Pot / Pote Mágico</t>
  </si>
  <si>
    <t>Criatura Artefato — Golem Goblin</t>
  </si>
  <si>
    <t>Quando esta criatura morrer, crie uma ficha de Tesouro. (Ela é um artefato com "{T}, Sacrifique esta ficha: Adicione um mana de qualquer cor.") {2}, {T}: Exile o card alvo de um cemitério.</t>
  </si>
  <si>
    <t>Magitek Armor / Armadura Magitek</t>
  </si>
  <si>
    <t>Quando este Veículo entrar, crie uma ficha de criatura Herói incolor 1/1. Tripular 1 (Vire qualquer número de criaturas que você controla com poder total igual ou superior a 1: Este Veículo se torna uma criatura artefato até o final do turno.)</t>
  </si>
  <si>
    <t>Magitek Infantry / Infantaria Magitek</t>
  </si>
  <si>
    <t>Esta criatura recebe +1/+0 enquanto você controlar outro artefato. {2}{W}: Procure em seu grimório por um card chamado Infantaria Magitek, coloque-o no campo de batalha virado e depois embaralhe.</t>
  </si>
  <si>
    <t>Magma Jet</t>
  </si>
  <si>
    <t>Magma Jet deals 2 damage to target creature or player. Scry 2. (To scry 2, look at the top two cards of your library, then put any number of them on the bottom of your library and the rest on top in any order.)</t>
  </si>
  <si>
    <t xml:space="preserve">Duel Decks: Jace vs. Chandra </t>
  </si>
  <si>
    <t>Magma Jet / Jato de Magma</t>
  </si>
  <si>
    <t>Magma Jet deals 2 damage to any target. Scry 2. / Jato de Magma causa 2 pontos de dano à criatura ou jogador alvo. Vidência 2. (Olhe os dois cards do topo do seu grimório. Depois, coloque qualquer número deles no fundo do seu grimório e o restante no topo em qualquer ordem.)</t>
  </si>
  <si>
    <t>Magma Mine / Mina de Magma</t>
  </si>
  <si>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</si>
  <si>
    <t>Magma Spray / Esguicho de Magma</t>
  </si>
  <si>
    <t>Magma Spray deals 2 damage to target creature. If that creature would die this turn, exile it instead. / Esguicho de Magma causa 2 pontos de dano à criatura alvo. Se aquela criatura for morrer neste turno, em vez disso, exile-a.</t>
  </si>
  <si>
    <t>Magmatic Sprinter / Corredor Magmático</t>
  </si>
  <si>
    <t>Haste When this creature enters, put two oil counters on target artifact or creature you control. At the beginning of your end step, return this creature to its owner's hand unless you remove two oil counters from it. / Ímpeto Quando Corredor Magmático entrar no campo de batalha, coloque dois marcadores de óleo no artefato ou na criatura alvo que você controla. No início de sua etapa final, devolva Corredor Magmático para a mão de seu dono, a menos que você remova dois marcadores de óleo de Corredor Magmático.</t>
  </si>
  <si>
    <t>Magnetic Mountain / Montanha Magnética</t>
  </si>
  <si>
    <t>Blue creatures don't untap during their controllers' untap steps. At the beginning of each player's upkeep, that player may choose any number of tapped blue creatures they control and pay {4} for each creature chosen this way. If the player does, untap those creatures.</t>
  </si>
  <si>
    <t>Magnifying Glass / Lente de Aumento</t>
  </si>
  <si>
    <t>{T}: Add {C}. {4}, {T}: Investigate. (Create a Clue token. It's an artifact with "{2}, Sacrifice this token: Draw a card.") / {T}: Adicione {C} à sua reserva de mana. {4}, {T}: Investigue. (Coloque no campo de batalha uma ficha de artefato incolor do tipo Pista com "{2}, Sacrifique este artefato: Compre um card.")</t>
  </si>
  <si>
    <t>Mago Besouriforme / Beetleform Mage</t>
  </si>
  <si>
    <t>Criatura — Humano Inseto Mago / Creature — Human Insect Wizard</t>
  </si>
  <si>
    <t>{G}{U}: Mago Besouriforme recebe +2/+2 e ganha voar até o final do turno. Ative esta habilidade apenas uma vez a cada turno.</t>
  </si>
  <si>
    <t>Labirinto do Dragão (DGM)</t>
  </si>
  <si>
    <t>Mai, Jaded Edge</t>
  </si>
  <si>
    <t>Legendary Creature — Human Noble</t>
  </si>
  <si>
    <t>Prowess (Whenever you cast a noncreature spell, this creature gets +1/+1 until end of turn.) Exhaust — {3}: Put a double strike counter on Mai. (Activate each exhaust ability only once.)</t>
  </si>
  <si>
    <t>Make Disappear / Fazer Desaparecer</t>
  </si>
  <si>
    <t>Casualty 1 (As you cast this spell, you may sacrifice a creature with power 1 or greater. When you do, copy this spell and you may choose a new target for the copy.) Counter target spell unless its controller pays {2}. / Baixa 1 (Conforme você conjura esta mágica, você pode sacrificar uma criatura com poder igual ou superior a 1. Quando fizer isso, copie esta mágica e você pode escolher um novo alvo para a cópia.) Anule a mágica alvo, a menos que seu controlador pague {2}.</t>
  </si>
  <si>
    <t>Make Your Move / Faça Sua Jogada</t>
  </si>
  <si>
    <t>Destroy target artifact, enchantment, or creature with power 4 or greater. / Destrua o artefato, o encantamento ou a criatura com poder igual ou superior a 4 alvo.</t>
  </si>
  <si>
    <t>Makeshift Battalion / Batalhão Improvisado</t>
  </si>
  <si>
    <t>Battalion — Whenever this creature and at least two other creatures attack, put a +1/+1 counter on this creature. / Toda vez que Batalhão Improvisado e ao menos duas outras criaturas atacarem, coloque um marcador +1/+1 em Batalhão Improvisado.</t>
  </si>
  <si>
    <t>Makeshift Munitions / Munições Improvisadas</t>
  </si>
  <si>
    <t>{1}, Sacrifice an artifact or creature: This enchantment deals 1 damage to any target. / {1}, sacrifique um artefato ou uma criatura: Munições Improvisadas causa 1 ponto de dano à criatura ou ao jogador alvo.</t>
  </si>
  <si>
    <t>Mal Imortal / Undying Evil</t>
  </si>
  <si>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</si>
  <si>
    <t>Malakir Cullblade / Lâmina de Abate de Malakir</t>
  </si>
  <si>
    <t>Whenever a creature an opponent controls dies, put a +1/+1 counter on this creature. / Toda vez que uma criatura que um oponente controla morrer, coloque um marcador +1/+1 em Lâmina de Abate de Malakir.</t>
  </si>
  <si>
    <t>Malakir Soothsayer / Adivinha de Malakir</t>
  </si>
  <si>
    <t>Creature — Vampire Shaman Ally / Criatura — Vampiro Xamã Aliado</t>
  </si>
  <si>
    <t>Cohort — {T}, Tap an untapped Ally you control: You draw a card and you lose 1 life. / Companheiro — {T}, Vire um Aliado desvirado que você controla: Você compra um card e perde 1 ponto de vida.</t>
  </si>
  <si>
    <t>Malboro / Malboro</t>
  </si>
  <si>
    <t>Criatura — Planta Horror</t>
  </si>
  <si>
    <t>Mau Hálito — Quando esta criatura entrar, cada oponente descarta um card, perde 2 de vida e exile os três cards do topo de seu grimório. Reciclar Pântano {2} ({2}, Descarte este card: Procure em seu grimório por um card de Pântano, revele-o, coloque-o em sua mão e depois embaralhe.)</t>
  </si>
  <si>
    <t>Maldição da Sede / Curse of Thirst</t>
  </si>
  <si>
    <t>Encantamento — Aura Maldição / Enchantment — Aura Curse</t>
  </si>
  <si>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</si>
  <si>
    <t>Malevolent Chandelier</t>
  </si>
  <si>
    <t>Flying {2}: Put target card from a graveyard on the bottom of its owner's library. Activate only as a sorcery.</t>
  </si>
  <si>
    <t>Malfunction / Mau Funcionamento</t>
  </si>
  <si>
    <t>Enchant artifact or creature When this Aura enters, tap enchanted permanent. Enchanted permanent doesn't untap during its controller's untap step. / Encantar artefato ou criatura Quando Mau Funcionamento entrar no campo de batalha, vire a permanente encantada. A permanente encantada não desvira durante a etapa de desvirar de seu controlador.</t>
  </si>
  <si>
    <t>Malicious Malfunction / Anomalia Maligna</t>
  </si>
  <si>
    <t>All creatures get -2/-2 until end of turn. If a creature would die this turn, exile it instead. / Todas as criaturas recebem -2/-2 até o final do turno. Se uma criatura morreria neste turno, em vez disso, exile-a.</t>
  </si>
  <si>
    <t>Mammoth Growth / Crescimento Mastodôntico</t>
  </si>
  <si>
    <t>Target creature gets +4/+4 until end of turn. Foretell {G} (During your turn, you may pay {2} and exile this card from your hand face down. Cast it on a later turn for its foretell cost.) / A criatura alvo recebe +4/+4 até o final do turno. Profetizar {G} (Durante o seu turno, você pode pagar {2} e exilar este card de sua mão voltado para baixo. Conjure-o em um turno posterior pagando seu custo de profetizar.)</t>
  </si>
  <si>
    <t>Mammoth Spider / Aranha Mamute</t>
  </si>
  <si>
    <t>Reach (This creature can block creatures with flying.) / Alcance</t>
  </si>
  <si>
    <t>Mana Leak / Fuga de Mana</t>
  </si>
  <si>
    <t>Anule a mágica alvo, a menos que seu controlador pague {3}.</t>
  </si>
  <si>
    <t>Counter target spell unless its controller pays {3}. / Anule a mágica alvo, a menos que seu controlador pague {3}.</t>
  </si>
  <si>
    <t>Manacles of Decay / Algemas da Decadência</t>
  </si>
  <si>
    <t>Enchanted creature can't attack. {B}: Enchanted creature gets -1/-1 until end of turn. {R}: Enchanted creature can't block this turn. / A criatura encantada não pode atacar. {B}: A criatura encantada recebe -1/-1 até o final do turno. {R}: A criatura encantada não pode bloquear neste turno.</t>
  </si>
  <si>
    <t>Mandibular Kite / Dragão Mandibular</t>
  </si>
  <si>
    <t>Living weapon (When this Equipment enters, create a 0/0 black Phyrexian Germ creature token, then attach this to it.) Equipped creature gets +1/+1 and has flying. Equip {3}{W} / Arma viva (Quando este Equipamento entrar no campo de batalha, crie uma ficha de criatura Phyrexiano Germe preta 0/0 e anexe-o a ela.) A criatura equipada recebe +1/+1 e tem voar. Equipar {3}{W}</t>
  </si>
  <si>
    <t>Mandroid Squadron</t>
  </si>
  <si>
    <t>Artifact Creature — Human Soldier</t>
  </si>
  <si>
    <t>When this creature enters, you gain 2 life.</t>
  </si>
  <si>
    <t>Manhole Cover / Tampa de Bueiro</t>
  </si>
  <si>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</si>
  <si>
    <t>Manhole Missile</t>
  </si>
  <si>
    <t>Manhole Missile deals 3 damage to target creature. You may put a card from your hand on the bottom of your library. If you do, draw a card.</t>
  </si>
  <si>
    <t>Manifest Dread</t>
  </si>
  <si>
    <t>Manifest dread. (Look at the top two cards of your library. Put one onto the battlefield face down as a 2/2 creature and the other into your graveyard. Turn it face up any time for its mana cost if it's a creature card.)</t>
  </si>
  <si>
    <t>Mantle of Webs / Manto de Teias</t>
  </si>
  <si>
    <t>Enchant creature Enchanted creature gets +1/+3 and has reach. (It can block creatures with flying.) / Encantar criaturaA criatura encantada recebe +1/+3 e tem alcance. (Ela pode bloquear criaturas com voar.)</t>
  </si>
  <si>
    <t>Máquina do Tirano / Tyrant's Machine</t>
  </si>
  <si>
    <t>{4}, {T}: Tap target creature. / {4}, {T}: Vire a criatura alvo.</t>
  </si>
  <si>
    <t>Marauder's Axe / Machado do Saqueador</t>
  </si>
  <si>
    <t>Equipped creature gets +2/+0. Equip {2} ({2}: Attach to target creature you control. Equip only as a sorcery.) / A criatura equipada recebe +2/+0. Equipar {2} ({2}: Anexe este equipamento à criatura alvo que você controla. Equipe somente como um feitiço.)</t>
  </si>
  <si>
    <t>Marauding Boneslasher / Talha-ossos Saqueador</t>
  </si>
  <si>
    <t>Creature — Zombie Minotaur / Criatura — Zumbi Minotauro</t>
  </si>
  <si>
    <t>This creature can't block unless you control another Zombie. / Talha-ossos Saqueador não pode bloquear, a menos que você controle outro Zumbi.</t>
  </si>
  <si>
    <t>Marauding Looter / Saqueador Errante</t>
  </si>
  <si>
    <t>Raid — At the beginning of your end step, if you attacked this turn, you may draw a card. If you do, discard a card. / Raide — No início de sua etapa final, se você atacou com uma criatura neste turno, você pode comprar um card. Se fizer isso, descarte um card.</t>
  </si>
  <si>
    <t>{2}{U}{R}</t>
  </si>
  <si>
    <t>March of the Returned / Marcha dos Ressurgidos</t>
  </si>
  <si>
    <t>Return up to two target creature cards from your graveyard to your hand. / Devolva até dois cards de criatura alvo de seu cemitério para sua mão.</t>
  </si>
  <si>
    <t>Marchesa's Infiltrator</t>
  </si>
  <si>
    <t>Dethrone (Whenever this creature attacks the player with the most life or tied for most life, put a +1/+1 counter on it.) Whenever this creature deals combat damage to a player, draw a card.</t>
  </si>
  <si>
    <t>Mardu Banner / Estandarte Mardu</t>
  </si>
  <si>
    <t>{T}: Add {R}, {W}, or {B}. {R}{W}{B}, {T}, Sacrifice this artifact: Draw a card. / {T}: Adicione {R}, {W} ou {B} à sua reserva de mana. {R}{W}{B}, {T}, Sacrifique Estandarte Mardu: Compre um card.</t>
  </si>
  <si>
    <t>Preto, Vermelho, Branco</t>
  </si>
  <si>
    <t>Mardu Blazebringer / Arauto da Chama Mardu</t>
  </si>
  <si>
    <t>When this creature attacks or blocks, sacrifice it at end of combat. / Quando Arauto da Chama Mardu atacar ou bloquear, sacrifique-o no final do combate.</t>
  </si>
  <si>
    <t>Mardu Heart-Piercer / Perfurador de Corações Mardu</t>
  </si>
  <si>
    <t>Criatura — Humano Arqueiro</t>
  </si>
  <si>
    <t>Incursão — Quando Perfurador de Corações Mardu entra no campo de batalha, se você atacou com uma criatura neste turno, Perfurador de Corações Mardu causa 2 de dano à criatura ou ao jogador alvo.</t>
  </si>
  <si>
    <t>Mardu Hordechief / Chefe da Horda Mardu</t>
  </si>
  <si>
    <t>Raid — When this creature enters, if you attacked this turn, create a 1/1 white Warrior creature token. / Raide — Quando Chefe da Horda Mardu entrar no campo de batalha, se você atacou com uma criatura neste turno, coloque no campo de batalha uma ficha de criatura branca 1/1 do tipo Guerreiro.</t>
  </si>
  <si>
    <t>Mardu Skullhunter / Caçador de Crânios Mardu</t>
  </si>
  <si>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</si>
  <si>
    <t>Mardu Warshrieker / Bradador de Guerra Mardu</t>
  </si>
  <si>
    <t>Creature — Orc Shaman / Criatura — Orc Xamã</t>
  </si>
  <si>
    <t>Raid — When this creature enters, if you attacked this turn, add {R}{W}{B}. / Raide — Quando Bradador de Guerra Mardu entra no campo de batalha, se você atacou com uma criatura neste turno, adicione {R}{W}{B} à sua reserva de mana.</t>
  </si>
  <si>
    <t>Maritime Guard / Guarda Marinha</t>
  </si>
  <si>
    <t>Mark of the Vampire</t>
  </si>
  <si>
    <t>Enchant creature. Enchanted creature gets +2/+2 and has lifelink.</t>
  </si>
  <si>
    <t>Market Festival / Festival do Mercado</t>
  </si>
  <si>
    <t>Encantar terreno Toda vez que o terreno encantado é virado para gerar mana, seu controlador adiciona dois manas de qualquer combinação de cores à sua reserva de mana (além do mana que o terreno gera).</t>
  </si>
  <si>
    <t>Marsh Gas / Gás do Pântano</t>
  </si>
  <si>
    <t>All creatures get -2/-0 until end of turn.</t>
  </si>
  <si>
    <t>Marsh Threader / Atravessador de Palude</t>
  </si>
  <si>
    <t>Swampwalk (This creature can't be blocked as long as defending player controls a Swamp.) / Travessia de pântano</t>
  </si>
  <si>
    <t>Marshal of Zhalfir / Marechal de Zhalfir</t>
  </si>
  <si>
    <t>Other Knights you control get +1/+1. {W}{U}, {T}: Tap another target creature. / Os outros Cavaleiros que você controla recebem +1/+1. {W}{U}, {T}: Vire outra criatura alvo.</t>
  </si>
  <si>
    <t>Marshals' Pathcruiser</t>
  </si>
  <si>
    <t>When this Vehicle enters, search your library for a basic land card, reveal it, put it into your hand, then shuffle. Exhaust — {W}{U}{B}{R}{G}: This Vehicle becomes an artifact creature. Put two +1/+1 counters on it. (Activate each exhaust ability only once.) Crew 5</t>
  </si>
  <si>
    <t>Marshmist Titan / Titã Bruma de Pântano</t>
  </si>
  <si>
    <t>This spell costs {X} less to cast, where X is your devotion to black. (Each {B} in the mana costs of permanents you control counts toward your devotion to black.) / Titã Bruma de Pântano custa {X} a menos para ser conjurado, sendo X sua devoção ao preto. (Cada {B} nos custos de mana de permanentes que você controla conta para sua devoção ao preto.)</t>
  </si>
  <si>
    <t>Martyr for the Cause / Mártir da Causa</t>
  </si>
  <si>
    <t>When this creature dies, proliferate. (Choose any number of permanents and/or players, then give each another counter of each kind already there.) / Quando Mártir da Causa morrer, prolifere. (Escolha qualquer número de permanentes e/ou jogadores. Em seguida, dê a cada um deles outro marcador de cada tipo que eles já tenham.)</t>
  </si>
  <si>
    <t>Martyr of Frost / Mártir da Geada</t>
  </si>
  <si>
    <t>Creature — Human Wizard / Criatura — Mago Humano</t>
  </si>
  <si>
    <t>{2}, Reveal X blue cards from your hand, Sacrifice this creature: Counter target spell unless its controller pays {X}. / {2}, Revele X cards azuis de sua mão, Sacrifique Mártir da Geada: Anule a mágica alvo, a menos que seu controlador pague {X}.</t>
  </si>
  <si>
    <t>Massacre Horrendo / Gruesome Slaughter</t>
  </si>
  <si>
    <t>Até o final do turno, as criaturas incolores que você controla ganham “{T}: Esta criatura causa dano igual a seu poder à criatura alvo.” / Until end of turn, colorless creatures you control gain “{T}: This creature deals damage equal to its power to target creature.”</t>
  </si>
  <si>
    <t>Until end of turn, colorless creatures you control gain “{T}: This creature deals damage equal to its power to target creature.” / Até o final do turno, as criaturas incolores que você controla ganham “{T}: Esta criatura causa dano igual a seu poder à criatura alvo.”</t>
  </si>
  <si>
    <t>Massive Might / Força Possante</t>
  </si>
  <si>
    <t>Target creature gets +2/+2 and gains trample until end of turn. / A criatura alvo recebe +2/+2 e ganha atropelar até o final do turno.</t>
  </si>
  <si>
    <t>Master Decoy / Mestre de Iscas</t>
  </si>
  <si>
    <t>{W}, {T}: Vire a criatura alvo.</t>
  </si>
  <si>
    <t>Master of the Feast / Mestre do Banquete</t>
  </si>
  <si>
    <t>Enchantment Creature — Demon / Criatura Encantamento — Demônio</t>
  </si>
  <si>
    <t>Flying At the beginning of your upkeep, each opponent draws a card. / Voar No início da sua manutenção, cada oponente compra um card.</t>
  </si>
  <si>
    <t>Master Pakku</t>
  </si>
  <si>
    <t>Legendary Creature — Human Advisor Ally</t>
  </si>
  <si>
    <t>Prowess (Whenever you cast a noncreature spell, this creature gets +1/+1 until end of turn.) Whenever Master Pakku becomes tapped, target player mills X cards, where X is the number of Lesson cards in your graveyard. (They put the top X cards of their library into their graveyard.)</t>
  </si>
  <si>
    <t>Master Piandao</t>
  </si>
  <si>
    <t>First strike Whenever Master Piandao attacks, look at the top four cards of your library. You may reveal an Ally, Equipment, or Lesson card from among them and put it into your hand. Put the rest on the bottom of your library in a random order.</t>
  </si>
  <si>
    <t>Master's Guide-Mural // Master's Manufactory / Mural-guia do Mestre // Manufatura do Mestre</t>
  </si>
  <si>
    <t>Artifact // Artifact / Artefato</t>
  </si>
  <si>
    <t>Master's Guide-Mural: When this artifact enters, create a 4/4 white and blue Golem artifact creature token. Craft with artifact {4}{W}{W}{U} ({4}{W}{W}{U}, Exile this artifact, Exile another artifact you control or an artifact card from your graveyard: Return this card transformed under its owner's control. Craft only as a sorcery.) // Master's Manufactory: {T}: Create a 4/4 white and blue Golem artifact creature token. Activate only if this artifact or another artifact entered the battlefield under your control this turn. / Quando Mural-guia do Mestre entrar no campo de batalha, crie uma ficha de criatura artefato Golem branca e azul 4/4. Construir com artefato {4}{W}{W}{U} ({4}{W}{W}{U}, exile este artefato, exile outro artefato que você controla ou um card de artefato de seu cemitério: Devolva este card ao campo de batalha transformado sob o controle de seu dono. Construa somente como um feitiço.)</t>
  </si>
  <si>
    <t>{3}{W}{U}</t>
  </si>
  <si>
    <t>Master's Rebuke / Repreensão da Mestra</t>
  </si>
  <si>
    <t>Masterful Flourish / Floreio Magistral</t>
  </si>
  <si>
    <t>Target creature you control gets +1/+0 and gains indestructible until end of turn. (Damage and effects that say “destroy” don't destroy it.) / A criatura alvo que você controla recebe +1/+0 e ganha indestrutível até o final do turno. (Dano e efeitos que dizem “destruir” não a destroem.)</t>
  </si>
  <si>
    <t>Matterbending Mage / Mago da Modelagem da Matéria</t>
  </si>
  <si>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</si>
  <si>
    <t>Mauhúr, Capitão Uruk-hai / Mauhúr, Uruk-hai Captain</t>
  </si>
  <si>
    <t>Ameaçar. Se um ou mais marcadores +1/+1 seriam colocados em um Exército, Goblin ou Orc que você controla, em vez disso, serão colocados aquele número mais um de marcadores +1/+1.</t>
  </si>
  <si>
    <t>Maw of Kozilek / Gorja de Kozilek</t>
  </si>
  <si>
    <t>Devoid (This card has no color.) {C}: This creature gets +2/-2 until end of turn. ({C} represents colorless mana.) / Desprovido (Este card não tem cor.) {C}: Gorja de Kozilek recebe +2/-2 até o final do turno. ({C} representa mana incolor.)</t>
  </si>
  <si>
    <t>Maximum Overdrive</t>
  </si>
  <si>
    <t>Put a +1/+1 counter on target creature. It gains deathtouch and indestructible until end of turn.</t>
  </si>
  <si>
    <t>Maze Glider / Planador do Labirinto</t>
  </si>
  <si>
    <t>Flying Multicolored creatures you control have flying. / Voar As criaturas multicoloridas que você controla têm voar.</t>
  </si>
  <si>
    <t>Meat Locker // Drowned Diner</t>
  </si>
  <si>
    <t>Meat Locker: When you unlock this door, tap up to one target creature and put two stun counters on it. (If a permanent with a stun counter would become untapped, remove one from it instead.) (You may cast either half. That door unlocks on the battlefield. As a sorcery, you may pay the mana cost of a locked door to unlock it.) // Drowned Diner: When you unlock this door, draw three cards, then discard a card. (You may cast either half. That door unlocks on the battlefield. As a sorcery, you may pay the mana cost of a locked door to unlock it.)</t>
  </si>
  <si>
    <t>{2}{U} // {3}{U}{U}</t>
  </si>
  <si>
    <t>Mechan Assembler / Montador Mecano</t>
  </si>
  <si>
    <t>Criatura Artefato — Robô Artífice</t>
  </si>
  <si>
    <t>Sempre que outro artefato que você controla entrar, crie uma ficha de criatura artefato Robô incolor 2/2. Esta habilidade é desencadeada apenas uma vez a cada turno.</t>
  </si>
  <si>
    <t>Mechanical Mobster / Mafioso Mecânico</t>
  </si>
  <si>
    <t>Criatura Artefato — Humano Robô Vilão</t>
  </si>
  <si>
    <t>Quando esta criatura entrar, exile até um card alvo de um cemitério. A criatura alvo que você controla conspira. (Compre um card, depois descarte um card. Se você descartou um card não de terreno, coloque um marcador +1/+1 naquela criatura.)</t>
  </si>
  <si>
    <t>Mechanized Ninja Cavalry</t>
  </si>
  <si>
    <t>Artifact Creature — Robot Ninja</t>
  </si>
  <si>
    <t>When this creature enters, create a 1/1 colorless Robot artifact creature token.</t>
  </si>
  <si>
    <t>Mechanozoa / Mecanozoário</t>
  </si>
  <si>
    <t>Criatura Artefato — Robô Água-viva</t>
  </si>
  <si>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</si>
  <si>
    <t>Medalhão Azorius / Azorius Locket</t>
  </si>
  <si>
    <t>{T}: Adicione {W} ou {U}. {W/U}{W/U}{W/U}{W/U}, {T}, sacrifique Medalhão Azorius: Compre dois cards.</t>
  </si>
  <si>
    <t>Medalhão Gruul / Gruul Locket</t>
  </si>
  <si>
    <t>{T}: Adicione {R} ou {G}. {R/G}{R/G}{R/G}{R/G}, {T}, sacrifique Medalhão Gruul: Compre dois cards.</t>
  </si>
  <si>
    <t>Medalhão Orzhov / Orzhov Locket</t>
  </si>
  <si>
    <t>{T}: Adicione {W} ou {B}. {W/B}{W/B}{W/B}{W/B}, {T}, sacrifique Amuleto Orzhov: Compre dois cards.</t>
  </si>
  <si>
    <t>Medalhão Rakdos / Rakdos Locket</t>
  </si>
  <si>
    <t>{T}: Adicione {B} ou {R}. {B/R}{B/R}{B/R}{B/R}, {T}, sacrifique Medalhão Rakdos: Compre dois cards.</t>
  </si>
  <si>
    <t>Medalhão Simic / Simic Locket</t>
  </si>
  <si>
    <t>{T}: Adicione {G} ou {U}. {G/U}{G/U}{G/U}{G/U}, {T}, sacrifique Medalhão Simic: Compre dois cards.</t>
  </si>
  <si>
    <t>Melancholic Poet</t>
  </si>
  <si>
    <t>Creature — Elf Bard</t>
  </si>
  <si>
    <t>Repartee — Whenever you cast an instant or sorcery spell that targets a creature, each opponent loses 1 life and you gain 1 life.</t>
  </si>
  <si>
    <t>Melek, Izzet Paragon / Melek, Paradigma dos Izzet</t>
  </si>
  <si>
    <t>Legendary Creature — Weird Wizard / Criatura Lendária — Bizarro Mago</t>
  </si>
  <si>
    <t>Play with the top card of your library revealed. You may cast instant and sorcery spells from the top of your library. Whenever you cast an instant or sorcery spell from your library, copy it. You may choose new targets for the copy. / Jogue com o card do topo de seu grimório revelado. Você pode conjurar mágicas instantâneas e feitiços do topo de seu grimório. Toda vez que você conjurar uma mágica instantânea ou um feitiço de seu grimório, faça uma cópia deste. Você pode escolher novos alvos para a cópia.</t>
  </si>
  <si>
    <t>Meletis Charlatan / Charlatão de Meletis</t>
  </si>
  <si>
    <t>{2}{U}, {T}: The controller of target instant or sorcery spell copies it. That player may choose new targets for the copy. / {2}{U}, {T}: O controlador da mágica instantânea ou de feitiço alvo a copia. Aquele jogador pode escolher novos alvos para a cópia.</t>
  </si>
  <si>
    <t>Melting / Degelo</t>
  </si>
  <si>
    <t>All lands are no longer snow.</t>
  </si>
  <si>
    <t>Meltstrider's Gear / Equipamento do熔passo</t>
  </si>
  <si>
    <t>Quando este Equipamento entrar, anexe-o à criatura alvo que você controla. A criatura equipada recebe +2/+1 e tem alcance. Equipar {5} ({5}: Anexe à criatura alvo que você controla. Equipe somente como um feitiço.)</t>
  </si>
  <si>
    <t>Memnite / Memnito</t>
  </si>
  <si>
    <t>Memoricídio / Memoricide</t>
  </si>
  <si>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</si>
  <si>
    <t>Meneldor, Salvador Célere / Meneldor, Swift Savior</t>
  </si>
  <si>
    <t>Criatura Lendária — Ave Soldado</t>
  </si>
  <si>
    <t>Voar Toda vez que Meneldor, Salvador Célere, causar dano de combate a um jogador, exile até uma criatura alvo que você possui e depois devolva-a ao campo de batalha sob seu controle.</t>
  </si>
  <si>
    <t>Mental Modulation / Modulação Mental</t>
  </si>
  <si>
    <t>Esta mágica custa {1} a menos para ser conjurada durante o seu turno. Vire o artefato ou a criatura alvo. Compre um card.</t>
  </si>
  <si>
    <t>Mercenary Informer / Informante Mercenário</t>
  </si>
  <si>
    <t>Creature — Rebel Mercenary / Criatura — Rebelde Mercenário</t>
  </si>
  <si>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</si>
  <si>
    <t>Merchant of Many Hats</t>
  </si>
  <si>
    <t>{2}{B}: Return this card from your graveyard to your hand.</t>
  </si>
  <si>
    <t>Merciless Eternal / Eterno Impiedoso</t>
  </si>
  <si>
    <t>Afflict 2 (Whenever this creature becomes blocked, defending player loses 2 life.) {2}{B}, Discard a card: This creature gets +2/+2 until end of turn. / Afligir 2 (Toda vez que esta criatura se torna bloqueada, o jogador defensor perde 2 pontos de vida.) {2}{B}, descarte um card: Eterno Impiedoso recebe +2/+2 até o final do turno.</t>
  </si>
  <si>
    <t>Mercy Killing / Assassinato por Misericórdia</t>
  </si>
  <si>
    <t>Target creature's controller sacrifices it, then creates X 1/1 green and white Elf Warrior creature tokens, where X is that creature's power. / O controlador da criatura alvo sacrifica-a e coloca em jogo X fichas de criatura verde e branca 1/1 do tipo Elfo Guerreiro, sendo X igual ao poder daquela criatura.</t>
  </si>
  <si>
    <t>{2}{G/W}</t>
  </si>
  <si>
    <t>Merfolk Observer / Observador Tritão</t>
  </si>
  <si>
    <t>When this creature enters, look at the top card of target player's library. / Quando Observador Tritão entrar no campo de batalha, olhe o card do topo do grimório do jogador alvo.</t>
  </si>
  <si>
    <t>Merfolk of the Pearl Trident / Tritões do Tridente Perolado</t>
  </si>
  <si>
    <t>Merfolk Raiders / Tritões Salteadores</t>
  </si>
  <si>
    <t>Islandwalk (This creature can't be blocked as long as defending player controls an Island.) Phasing (This phases in or out before you untap during each of your untap steps. While it's phased out, it's treated as though it doesn't exist.)</t>
  </si>
  <si>
    <t>Merfolk Spy / Espião Tritão</t>
  </si>
  <si>
    <t>Islandwalk (This creature can't be blocked as long as defending player controls an Island.) Whenever this creature deals combat damage to a player, that player reveals a card at random from their hand. / Travessia de ilha (Esta criatura não poderá ser bloqueada enquanto o jogador defensor controlar uma Ilha.)Toda vez que Espião Tritão causa dano de combate a um jogador, aquele jogador revela aleatoriamente um card da própria mão.</t>
  </si>
  <si>
    <t>Meriadoc Brandebuque / Meriadoc Brandybuck</t>
  </si>
  <si>
    <t>Criatura Lendária — Pequenino Cidadão</t>
  </si>
  <si>
    <t>Toda vez que um ou mais Pequeninos que você controla atacarem um jogador, crie uma ficha de Comida. (Ela é um artefato com "2, {T}, sacrifique este artefato: Você ganha 3 pontos de vida".)</t>
  </si>
  <si>
    <t>Merrow Grimeblotter / Sirenídeo Espirra-Gosma</t>
  </si>
  <si>
    <t>{1}{U/B}, {Q}: Target creature gets -2/-0 until end of turn. ({Q} is the untap symbol.) / {1}{U/B}, {Q}: A criatura alvo recebe -2/-0 até o final do turno. ({Q} é o símbolo de desvirar.)</t>
  </si>
  <si>
    <t>Merrow Skyswimmer</t>
  </si>
  <si>
    <t>Convoke (Your creatures can help cast this spell. Each creature you tap while casting this spell pays for {1} or one mana of that creature's color.) Flying, vigilance When this creature enters, create a 1/1 white and blue Merfolk creature token.</t>
  </si>
  <si>
    <t>{3}{W/U}{W/U}</t>
  </si>
  <si>
    <t>Merrow Wavebreakers / Sirenídeos Saltadores</t>
  </si>
  <si>
    <t>{1}{U}, {Q}: This creature gains flying until end of turn. ({Q} is the untap symbol.) / {1}{U}, {Q}: Sirenídeos Saltadores ganha voar até o final do turno. ({Q} é o símbolo de desvirar.)</t>
  </si>
  <si>
    <t>Mesa Chicken</t>
  </si>
  <si>
    <t>Summon Chicken</t>
  </si>
  <si>
    <t>Stand up, Flap your arms, Cluck like a chicken: Mesa Chicken gains flying until end of turn.</t>
  </si>
  <si>
    <t>Mesa Falcon / Falcão de Meseta</t>
  </si>
  <si>
    <t>Flying {1}{W}: This creature gets +0/+1 until end of turn.</t>
  </si>
  <si>
    <t>Mesa Lynx / Lince da Meseta</t>
  </si>
  <si>
    <t>During turns other than yours, this creature gets +0/+2. / Enquanto não for o seu turno, Lince da Meseta receberá +0/+2.</t>
  </si>
  <si>
    <t>Mesa Pegasus / Pégaso da Mesa</t>
  </si>
  <si>
    <t>Creature — Pegasus / Criatura — Pégaso</t>
  </si>
  <si>
    <t>Flying, banding. / Voar, banding.</t>
  </si>
  <si>
    <t>Mesa Pegasus / Pégasso de Meseta</t>
  </si>
  <si>
    <t>Creature — Pegasus</t>
  </si>
  <si>
    <t>Flying; banding (Any creatures with banding, and up to one without, can attack in a band. Bands are blocked as a group. If any creatures with banding you control are blocking or being blocked by a creature, you divide that creature's combat damage, not its controller, among any of the creatures it's being blocked by or is blocking.)</t>
  </si>
  <si>
    <t>Mesmerizing Benthid / Bentídeo Hipnotizante</t>
  </si>
  <si>
    <t>Creature — Octopus / Criatura — Polvo</t>
  </si>
  <si>
    <t>When this creature enters, create two 0/2 blue Illusion creature tokens with "Whenever this token blocks a creature, that creature doesn't untap during its controller's next untap step." This creature has hexproof as long as you control an Illusion. / Quando Bentídeo Hipnotizante entrar no campo de batalha, crie duas fichas de criatura azul 0/2 do tipo Ilusão com "Toda vez que esta criatura bloqueia uma criatura, aquela criatura não é desvirada durante a próxima etapa de desvirar de seu controlador." Bentídeo Hipnotizante terá resistência a magia enquanto você controlar uma Ilusão.</t>
  </si>
  <si>
    <t>Messenger Hawk</t>
  </si>
  <si>
    <t>Creature — Bird Scout</t>
  </si>
  <si>
    <t>Flying When this creature enters, create a Clue token. (It's an artifact with "{2}, Sacrifice this token: Draw a card.") This creature gets +2/+0 as long as you've drawn two or more cards this turn.</t>
  </si>
  <si>
    <t>{2}{U/B}</t>
  </si>
  <si>
    <t>Metal Fatigue / Fadiga do Metal</t>
  </si>
  <si>
    <t>Tap all artifacts. / Vira todos os artefatos.</t>
  </si>
  <si>
    <t>Metalhead</t>
  </si>
  <si>
    <t>Legendary Artifact Creature — Robot Turtle</t>
  </si>
  <si>
    <t>When Metalhead enters, return up to one other target artifact or creature to its owner's hand. {R}, Sacrifice another artifact: Put a +1/+1 counter on Metalhead. He gains menace and haste until end of turn.</t>
  </si>
  <si>
    <t>Metalspinner's Puzzleknot / Quebra-cabeça do Metalofiador</t>
  </si>
  <si>
    <t>When this artifact enters, you draw a card and you lose 1 life. {2}{B}, Sacrifice this artifact: You draw a card and you lose 1 life. / Quando Quebra-cabeça do Metalofiador entra no campo de batalha, você compra um card e perde 1 ponto de vida. {2}{B}, Sacrifique Quebra-cabeça do Metalofiador: Você compra um card e perde 1 ponto de vida.</t>
  </si>
  <si>
    <t>Metamorfo / Shapeshifter</t>
  </si>
  <si>
    <t>Artifact Creature / Criatura Artefato</t>
  </si>
  <si>
    <t>A soma do poder e da resistência do Metamorfo é igual 7. Você define estes valores no momento em que o Metamorfo entra em jogo. Você pode alterá-los durante sua fase de manutenção.</t>
  </si>
  <si>
    <t>*/(7-*)</t>
  </si>
  <si>
    <t>A soma do poder e da resistência do Metamorfo é igual 7. Você define estes valores no momento em que o Metamorfo entra em jogo. Você pode alterá-los durante sua fase de manutenção. / The sum of Shapeshifter's power and toughness is 7. You choose these values as Shapeshifter comes into play. You may change these values during your upkeep.</t>
  </si>
  <si>
    <t>Metamorphic Blast / Jato Metamórfico</t>
  </si>
  <si>
    <t>Spree (Choose one or more additional costs.) + {1} — Until end of turn, target creature becomes a white Rabbit with base power and toughness 0/1. + {3} — Target player draws two cards. / Série (Escolha um ou mais custos adicionais.) + {1} — Até o final do turno, a criatura alvo torna-se um Coelho branco com poder e resistência básicos 0/1. + {3} — O jogador alvo compra dois cards.</t>
  </si>
  <si>
    <t>Metamorphose / Metamorfosear</t>
  </si>
  <si>
    <t>Put target permanent an opponent controls on top of its owner's library. That opponent may put an artifact, creature, enchantment, or land card from their hand onto the battlefield. / Coloque a permanente alvo que um oponente controla no topo do grimório de seu dono. Aquele oponente pode colocar em jogo um card de artefato, criatura, encantamento ou terreno de sua própria mão.</t>
  </si>
  <si>
    <t>Meteor Golem / Golem Meteórico</t>
  </si>
  <si>
    <t>When this creature enters, destroy target nonland permanent an opponent controls. / Quando Golem Meteórico entrar no campo de batalha, destrua a permanente alvo que um oponente controla que não seja um terreno.</t>
  </si>
  <si>
    <t>Meteor Mace / Maça Meteórica</t>
  </si>
  <si>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</si>
  <si>
    <t>Meteor Sword</t>
  </si>
  <si>
    <t>When this Equipment enters, destroy target permanent. Equipped creature gets +3/+3. Equip {3} ({3}: Attach to target creature you control. Equip only as a sorcery.)</t>
  </si>
  <si>
    <t>Miasmic Mummy / Múmia Miasmática</t>
  </si>
  <si>
    <t>Creature — Zombie Jackal / Criatura — Zumbi Chacal</t>
  </si>
  <si>
    <t>When this creature enters, each player discards a card. / Quando Múmia Miasmática entra no campo de batalha, cada jogador descarta um card.</t>
  </si>
  <si>
    <t>Michelangelo, Game Master</t>
  </si>
  <si>
    <t>Disappear — At the beginning of your end step, if a permanent left the battlefield under your control this turn, put a +1/+1 counter on Michelangelo.</t>
  </si>
  <si>
    <t>Michelangelo, Mutant BFF</t>
  </si>
  <si>
    <t>Each creature you control with a counter on it can't be blocked by more than one creature. Whenever Michelangelo enters or attacks, create a Mutagen token. (It's an artifact with "{1}, {T}, Sacrifice this token: Put a +1/+1 counter on target creature. Activate only as a sorcery.")</t>
  </si>
  <si>
    <t>Micromancer / Micromante</t>
  </si>
  <si>
    <t>When this creature enters, you may search your library for an instant or sorcery card with mana value 1, reveal it, put it into your hand, then shuffle. / Quando Micromante entra no campo de batalha, você pode procurar em seu grimório um card de mágica instantânea ou de feitiço com valor de mana 1, revelá-lo, colocá-lo em sua mão e depois embaralhar.</t>
  </si>
  <si>
    <t>Midlife Upgrade</t>
  </si>
  <si>
    <t>As an additional cost to cast this spell, sacrifice X Contraptions. Assemble X plus one Contraptions. (To assemble a Contraption, put the top card of your Contraption deck face up onto one of your sprockets.)</t>
  </si>
  <si>
    <t>Midnight Mangler</t>
  </si>
  <si>
    <t>During turns other than yours, this Vehicle is an artifact creature. Crew 2 (Tap any number of creatures you control with total power 2 or more: This Vehicle becomes an artifact creature until end of turn.)</t>
  </si>
  <si>
    <t>Midnight Mayhem</t>
  </si>
  <si>
    <t>Create three 1/1 red Gremlin creature tokens. Gremlins you control gain menace, lifelink, and haste until end of turn. (A creature with menace can't be blocked except by two or more creatures.)</t>
  </si>
  <si>
    <t>Midnight Scavengers</t>
  </si>
  <si>
    <t>When this creature enters, you may return target creature card with mana value 3 or less from your graveyard to your hand. (Melds with Graf Rats.)</t>
  </si>
  <si>
    <t>Might of Old Krosa / Bravura da Antiga Krosa</t>
  </si>
  <si>
    <t>Target creature gets +2/+2 until end of turn. If you cast this spell during your main phase, that creature gets +4/+4 until end of turn instead. / A criatura alvo recebe +2/+2 até o final do turno. Se você conjurou esta mágica durante sua fase principal, em vez disso, aquela criatura recebe +4/+4 até o final do turno.</t>
  </si>
  <si>
    <t>Might of the Masses / Força das Massas</t>
  </si>
  <si>
    <t>Target creature gets +1/+1 until end of turn for each creature you control. / A criatura alvo recebe +1/+1 até o final do turno para cada criatura que você controla.</t>
  </si>
  <si>
    <t>Might of the Meek</t>
  </si>
  <si>
    <t>Target creature gains trample until end of turn. It also gets +1/+0 until end of turn if you control a Mouse. Draw a card.</t>
  </si>
  <si>
    <t>Mighty Leap / Salto Poderoso</t>
  </si>
  <si>
    <t>Target creature gets +2/+2 and gains flying until end of turn. / A criatura alvo recebe +2/+2 e ganha voar até o final do turno. (Ela só pode ser bloqueada por criaturas com voar ou alcance.)</t>
  </si>
  <si>
    <t>Mighty Mutanimals</t>
  </si>
  <si>
    <t>Creature — Mutant Rebel</t>
  </si>
  <si>
    <t>When this creature enters, create a 2/2 red Mutant creature token. Alliance — Whenever another creature you control enters, put a +1/+1 counter on target creature you control.</t>
  </si>
  <si>
    <t>Migrating Ketradon</t>
  </si>
  <si>
    <t>Reach When this creature enters, you gain 4 life. Cycling {2} ({2}, Discard this card: Draw a card.)</t>
  </si>
  <si>
    <t>Mikey &amp; Don, Party Planners</t>
  </si>
  <si>
    <t>Ward {2} You may look at the top card of your library any time. You may play lands and cast Mutant, Ninja, or Turtle spells from the top of your library. If you cast a creature spell this way, that creature enters with an additional +1/+1 counter on it.</t>
  </si>
  <si>
    <t>{2}{G/U}{G/U}</t>
  </si>
  <si>
    <t>Militia Bugler / Corneteiro da Milícia</t>
  </si>
  <si>
    <t>Vigilance (Attacking doesn't cause this creature to tap.) When this creature enters, look at the top four cards of your library. You may reveal a creature card with power 2 or less from among them and put it into your hand. Put the rest on the bottom of your library in a random order. / Vigilância (Esta criatura não é virada para atacar.) Quando Corneteiro da Milícia entrar no campo de batalha, olhe os quatro cards do topo de seu grimório. Você pode revelar um card de criatura com poder igual ou inferior a 2 dentre eles e colocá-lo em sua mão. Coloque o restante no fundo de seu grimório em ordem aleatória.</t>
  </si>
  <si>
    <t>Mímico da Noite / Nightshade Schemer</t>
  </si>
  <si>
    <t>Criatura — Metamorfo / Creature — Shapeshifter</t>
  </si>
  <si>
    <t>Toda vez que você joga uma mágica que é branca e preta, Mímico da Noite torna-se 4/4 e ganha voar até o final do turno. / Whenever you cast a white and black spell, Nightshade Schemer becomes 4/4 and gains flying until end of turn.</t>
  </si>
  <si>
    <t>{1}{W/B}</t>
  </si>
  <si>
    <t>Minamo Scrollkeeper / Guarda-Pergaminhos de Minamo</t>
  </si>
  <si>
    <t>Creature — Human Wizard / Criatura - Mago Humano</t>
  </si>
  <si>
    <t>Defender Your maximum hand size is increased by one. / Defensor (Esta criatura não pode atacar.) O número máximo permitido de cards na sua mão aumenta em um.</t>
  </si>
  <si>
    <t>Mind Extraction / Extração Mental</t>
  </si>
  <si>
    <t>As an additional cost to cast this spell, sacrifice a creature. Target player reveals their hand and discards all cards of each of the sacrificed creature's colors.</t>
  </si>
  <si>
    <t>Mind Ravel / Emaranhado Mental</t>
  </si>
  <si>
    <t>Target player discards a card. Draw a card at the beginning of the next turn's upkeep.</t>
  </si>
  <si>
    <t>Mind Rot / Estiolar a Mente</t>
  </si>
  <si>
    <t>Target player discards two cards. / O jogador alvo descarta dois cards.</t>
  </si>
  <si>
    <t>Mind Shatter / Despedaça-Mente</t>
  </si>
  <si>
    <t>Target player discards X cards at random. / O jogador alvo descarta X cards aleatoriamente.</t>
  </si>
  <si>
    <t>Mind Stone / Pedra da Mente</t>
  </si>
  <si>
    <t>{T}: Add {C}. {1}, {T}, Sacrifice this artifact: Draw a card. / {T}: Adicione {C}. {1}, {T}, sacrifique Pedra da Mente: Compre um card.</t>
  </si>
  <si>
    <t>Duel Decks: Jace vs. Chandra (DD2)</t>
  </si>
  <si>
    <t>Mind Transfer Protocol</t>
  </si>
  <si>
    <t>Until end of turn, target artifact or creature becomes an artifact creature with base power and toughness 4/5. Draw a card.</t>
  </si>
  <si>
    <t>Mind Warp / Distorção Mental</t>
  </si>
  <si>
    <t>Look at target player's hand and choose X cards from it. That player discards those cards.</t>
  </si>
  <si>
    <t>{X}{3}{B}</t>
  </si>
  <si>
    <t>Mindmelter / Funde-mentes</t>
  </si>
  <si>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</si>
  <si>
    <t>Mindreaver / Despojador de Mentes</t>
  </si>
  <si>
    <t>Heroic — Whenever you cast a spell that targets this creature, exile the top three cards of target player's library. {U}{U}, Sacrifice this creature: Counter target spell with the same name as a card exiled with this creature. / Heroico — Toda vez que você conjurar uma mágica cujo alvo seja Despojador de Mentes, exile os três cards do topo do grimório do jogador alvo. {U}{U}, Sacrifique Despojador de Mentes: Anule a mágica alvo com o mesmo nome de um card exilado com Despojador de Mentes.</t>
  </si>
  <si>
    <t>Mindstab / Apunhala-mentes</t>
  </si>
  <si>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</si>
  <si>
    <t>Mindstab Thrull / Thrull Apunhala-Mentes</t>
  </si>
  <si>
    <t>Whenever this creature attacks and isn't blocked, you may sacrifice it. If you do, defending player discards three cards.</t>
  </si>
  <si>
    <t>Mindwhisker</t>
  </si>
  <si>
    <t>Creature — Rat Wizard</t>
  </si>
  <si>
    <t>At the beginning of your upkeep, surveil 1. (Look at the top card of your library. You may put it into your graveyard.) Threshold — As long as there are seven or more cards in your graveyard, creatures your opponents control get -1/-0.</t>
  </si>
  <si>
    <t>Mine Bearer / Portador de Minas</t>
  </si>
  <si>
    <t>Creature — Soldier</t>
  </si>
  <si>
    <t>{T}, Sacrifice Mine Bearer: Destroy target attacking creature.</t>
  </si>
  <si>
    <t>Minion of Tevesh Szat / Assecla de Tevesh Szat</t>
  </si>
  <si>
    <t>Creature — Demon Minion</t>
  </si>
  <si>
    <t>At the beginning of your upkeep, this creature deals 2 damage to you unless you pay {B}{B}. {T}: Target creature gets +3/-2 until end of turn.</t>
  </si>
  <si>
    <t>Ministrant of Obligation / Ministrante da Obrigação</t>
  </si>
  <si>
    <t>Minotaur, Roxxon CEO</t>
  </si>
  <si>
    <t>Legendary Creature — Minotaur Villain</t>
  </si>
  <si>
    <t>Whenever Minotaur, Roxxon CEO or another nontoken creature dies, you create a 2/1 black Villain creature token with menace. (It can't be blocked except by two or more creatures.)</t>
  </si>
  <si>
    <t>Minotauro Pensativo</t>
  </si>
  <si>
    <t>Criatura — Minotauro Guerreiro</t>
  </si>
  <si>
    <t>A Campeã e seus companheiros marcharam durante a noite, mas a batalha terminou antes que chegassem. Em meio à carnificina, estava sentado um solitário minotauro, perdido no que pareciam ser pensamentos para a Campeã. — A Teríada</t>
  </si>
  <si>
    <t>Minwu, White Mage / Minwu, Mago Branco</t>
  </si>
  <si>
    <t>Vigilância, vínculo com a vida. Sempre que você ganhar vida, coloque um marcador +1/+1 em cada Clérigo que você controla.</t>
  </si>
  <si>
    <t>Mire Triton / Talassida do Lodaçal</t>
  </si>
  <si>
    <t>Creature — Zombie Merfolk / Criatura — Zumbi Tritão</t>
  </si>
  <si>
    <t>Deathtouch When this creature enters, mill two cards and you gain 2 life. (To mill a card, put the top card of your library into your graveyard.) / Toque mortífero Quando Talassida do Lodaçal entrar no campo de batalha, coloque os dois cards do topo de seu grimório em seu cemitério e você ganha 2 pontos de vida.</t>
  </si>
  <si>
    <t>Mire's Grasp / Garras do Lodaçal</t>
  </si>
  <si>
    <t>Enchant creature Enchanted creature gets -3/-3. / Encantar criatura A criatura encantada recebe -3/-3.</t>
  </si>
  <si>
    <t>Miriam, Herd Whisperer / Miriam, Encantadora de Rebanhos</t>
  </si>
  <si>
    <t>Legendary Creature — Human Druid / Criatura Lendária — Humano Druida</t>
  </si>
  <si>
    <t>During your turn, Mounts and Vehicles you control have hexproof. Whenever a Mount or Vehicle you control attacks, put a +1/+1 counter on it. / Enquanto for o seu turno, as Montarias e os Veículos que você controla terão resistência a magia. Toda vez que uma Montaria ou um Veículo que você controla atacar, coloque um marcador +1/+1 nele.</t>
  </si>
  <si>
    <t>Mirror Golem / Golem Espelhado</t>
  </si>
  <si>
    <t>Imprint — When this creature enters, you may exile target card from a graveyard. This creature has protection from each of the exiled card's card types. (Artifact, battle, creature, enchantment, instant, kindred, land, planeswalker, and sorcery are card types.) / Estampar Quando Golem Espelhado entra em jogo, você pode remover de jogo o artefato alvo que estiver num cemitério. (O card removido fica estampado neste artefato.) Golem Espelhado tem proteção contra cada um dos tipos de card do card estampado. (Os tipos de cards são artefato, criatura, encantamento, mágica instantânea, terreno e feitiço.)</t>
  </si>
  <si>
    <t>Mirror of Galadriel / Espelho de Galadriel</t>
  </si>
  <si>
    <t>Legendary Artifact / Artefato Lendário</t>
  </si>
  <si>
    <t>{5}, {T}: Scry 1, then draw a card. This ability costs {1} less to activate for each legendary creature you control. / {5}, {T}: Use vidência 1, depois compre um card. Esta habilidade custa {1} a menos para ser ativada para cada criatura lendária que você controla.</t>
  </si>
  <si>
    <t>Mishra, Artificer Prodigy / Mishra, Prodígio Artífice</t>
  </si>
  <si>
    <t>Legendary Creature — Human Artificer / Criatura Lendária — Artesão Humano</t>
  </si>
  <si>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</si>
  <si>
    <t>Mishra's Groundbreaker / Perfuratriz de Mishra</t>
  </si>
  <si>
    <t>{T}, Sacrifice this artifact: Target land becomes a 3/3 artifact creature that's still a land. (This effect lasts indefinitely.)</t>
  </si>
  <si>
    <t>Mishra's War Machine / Máquina de Guerra de Mishra</t>
  </si>
  <si>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</si>
  <si>
    <t>Miss Demeanor</t>
  </si>
  <si>
    <t>Summon Lady of Proper Etiquette</t>
  </si>
  <si>
    <t>Flying, first strike. During each other player's turn, compliment that player on his or her game play or sacrifice Miss Demeanor.</t>
  </si>
  <si>
    <t>Mister Hyde, Monster Within / Senhor Hyde, O Monstro Interior</t>
  </si>
  <si>
    <t>No início de sua manutenção, escolha um — • Coloque um marcador +1/+1 em Senhor Hyde. • Remova um marcador de uma criatura que você controla. Se fizer isso, compre um card.</t>
  </si>
  <si>
    <t>Mistform Mask / Máscara Nebuliforme</t>
  </si>
  <si>
    <t>Enchant creature {1}: Enchanted creature becomes the creature type of your choice until end of turn. / {1}: A criatura encantada torna-se do tipo de criatura de sua escolha até o final do turno.</t>
  </si>
  <si>
    <t>Mistform Wall / Barreira Nebuliforme</t>
  </si>
  <si>
    <t>Creature — Illusion Wall / Criatura — Barreira Ilusão</t>
  </si>
  <si>
    <t>This creature has defender as long as it's a Wall. {1}: This creature becomes the creature type of your choice until end of turn. / (As Barreiras não podem atacar.) {1}: Barreira Nebuliforme torna-se do tipo de criatura de sua escolha até o final do turno.</t>
  </si>
  <si>
    <t>Misthoof Kirin / Kirin Casconévoa</t>
  </si>
  <si>
    <t>Flying, vigilance Megamorph {1}{W} (You may cast this card face down as a 2/2 creature for {3}. Turn it face up any time for its megamorph cost and put a +1/+1 counter on it.) / Voar, vigilância Megamorfose {1}{W} (Você pode conjurar este card com a face voltada para baixo como uma criatura 2/2 por {3}. Volte sua face para cima a qualquer momento pagando seu custo de megamorfose e coloque um marcador +1/+1 nele.)</t>
  </si>
  <si>
    <t>Mistmeadow Council</t>
  </si>
  <si>
    <t>Creature — Kithkin Advisor</t>
  </si>
  <si>
    <t>This spell costs {1} less to cast if you control a Kithkin. When this creature enters, draw a card.</t>
  </si>
  <si>
    <t>Mnemonic Wall / Barreira Mnemônica</t>
  </si>
  <si>
    <t>Defender When this creature enters, you may return target instant or sorcery card from your graveyard to your hand. / Defensor Quando Barreira Mnemônica entra no campo de batalha, você pode devolver o card de mágica instantânea ou feitiço alvo de seu cemitério para sua mão.</t>
  </si>
  <si>
    <t>Mocking Sprite / Sílfide Zombeteira</t>
  </si>
  <si>
    <t>Flying Instant and sorcery spells you cast cost {1} less to cast. / Voar As mágicas instantâneas e os feitiços que você conjura custam {1} a menos para conjurar.</t>
  </si>
  <si>
    <t>Mockingbird, Bobbi Morse</t>
  </si>
  <si>
    <t>Whenever Mockingbird is dealt damage, put a +1/+1 counter on her. (She must survive the damage to get the counter.)</t>
  </si>
  <si>
    <t>Mogg Flunkies / Moggs Confusos</t>
  </si>
  <si>
    <t>This creature can't attack or block alone. / Moggs Confusos não pode atacar nem bloquear sozinho.</t>
  </si>
  <si>
    <t>Mogis's Favor / Proteção de Mogis</t>
  </si>
  <si>
    <t>Enchant creature Enchanted creature gets +2/-1. Escape—{2}{B}, Exile two other cards from your graveyard. (You may cast this card from your graveyard for its escape cost.) / Encantar criatura A criatura encantada recebe +2/-1. Escapatória — {2}{B}, exile dois outros cards de seu cemitério. (Você pode conjurar este card de seu cemitério pagando seu custo de escapatória.)</t>
  </si>
  <si>
    <t>Mogis's Warhound / Rancor de Mogis</t>
  </si>
  <si>
    <t>Rancor de Mogis causa à criatura alvo uma quantidade de dano igual ao número de cards de mágica instantânea e feitiço no seu cemitério. Vidência 1. (Olhe o card do topo de seu grimório. Você pode colocar aquele card no fundo de seu grimório.)</t>
  </si>
  <si>
    <t>Moldervine Reclamation / Recuperação das Gavinhas Bolorentas</t>
  </si>
  <si>
    <t>Whenever a creature you control dies, you gain 1 life and draw a card. / Toda vez que uma criatura que você controla morre, você ganha 1 ponto de vida e compra um card.</t>
  </si>
  <si>
    <t>Commander 2021 (C21)</t>
  </si>
  <si>
    <t>Moldgraf Millipede / Milípede do Cemitério Bolorento</t>
  </si>
  <si>
    <t>Creature — Insect Horror / Criatura — Inseto Horror</t>
  </si>
  <si>
    <t>When this creature enters, mill three cards, then put a +1/+1 counter on this creature for each creature card in your graveyard. (To mill three cards, put the top three cards of your library into your graveyard.) / Quando Milípede do Cemitério Bolorento entrar no campo de batalha, triture três cards e depois coloque um marcador +1/+1 em Milípede do Cemitério Bolorento para cada card de criatura em seu cemitério. (Para triturar um card, coloque o card do topo de seu grimório em seu cemitério.)</t>
  </si>
  <si>
    <t>Molten Gatekeeper / Porteiro Fundente</t>
  </si>
  <si>
    <t>Whenever another creature you control enters, this creature deals 1 damage to each opponent. Unearth {R} ({R}: Return this card from your graveyard to the battlefield. It gains haste. Exile it at the beginning of the next end step or if it would leave the battlefield. Unearth only as a sorcery.) / Toda vez que outra criatura entra no campo de batalha sob seu controle, Porteiro Fundente causa 1 ponto de dano a cada oponente. Desenterrar {R} ({R}: Devolva este card de seu cemitério ao campo de batalha. Ele ganha ímpeto. Exile-o no início da próxima etapa final ou se ele for deixar o campo de batalha. Use desenterrar somente como um feitiço.)</t>
  </si>
  <si>
    <t>Moment of Silence / Momento de Silêncio</t>
  </si>
  <si>
    <t>Target player skips their next combat phase this turn.</t>
  </si>
  <si>
    <t>Moment of Triumph / Momento do Triunfo</t>
  </si>
  <si>
    <t>Target creature gets +2/+2 until end of turn. You gain 2 life. / A criatura alvo recebe +2/+2 até o final do turno. Você ganha 2 pontos de vida.</t>
  </si>
  <si>
    <t>Moment of Truth / Hora da Verdade</t>
  </si>
  <si>
    <t>Look at the top three cards of your library. Put one of those cards into your hand, one into your graveyard, and one on the bottom of your library. / Olhe os três cards do topo de seu grimório. Coloque um daqueles cards em sua mão, um em seu cemitério e um no fundo de seu grimório.</t>
  </si>
  <si>
    <t>Momo, Friendly Flier</t>
  </si>
  <si>
    <t>Legendary Creature — Lemur Bat Ally</t>
  </si>
  <si>
    <t>Flying The first non-Lemur creature spell with flying you cast during each of your turns costs {1} less to cast. Whenever another creature you control with flying enters, Momo gets +1/+1 until end of turn.</t>
  </si>
  <si>
    <t>Avatar: The Last Airbender (TLA) PR</t>
  </si>
  <si>
    <t>Mona Lisa, Science Geek</t>
  </si>
  <si>
    <t>Legendary Creature — Lizard Mutant</t>
  </si>
  <si>
    <t>Reach {T}: Add X mana of any one color, where X is Mona Lisa's power.</t>
  </si>
  <si>
    <t>Monastery Loremaster / Sapiente do Monastério</t>
  </si>
  <si>
    <t>Creature — Djinn Wizard / Criatura — Gênio Mago</t>
  </si>
  <si>
    <t>Megamorph {5}{U} (You may cast this card face down as a 2/2 creature for {3}. Turn it face up any time for its megamorph cost and put a +1/+1 counter on it.) When this creature is turned face up, return target noncreature, nonland card from your graveyard to your hand. / Megamorfose {5}{U} (Você pode conjurar este card com a face voltada para baixo como uma criatura 2/2 por {3}. Volte sua face para cima a qualquer momento pagando seu custo de megamorfose e coloque um marcador +1/+1 nele.) Quando Sapiente do Monastério for voltado para cima, devolva o card alvo que não seja terreno nem criatura de seu cemitério para sua mão.</t>
  </si>
  <si>
    <t>Mongoose Lizard</t>
  </si>
  <si>
    <t>Creature — Mongoose Lizard</t>
  </si>
  <si>
    <t>Menace (This creature can't be blocked except by two or more creatures.) When this creature enters, it deals 1 damage to any target. Mountaincycling {2} ({2}, Discard this card: Search your library for a Mountain card, reveal it, put it into your hand, then shuffle.)</t>
  </si>
  <si>
    <t>Monk's Fist / Punho do Monge</t>
  </si>
  <si>
    <t>Seleção de classe (Quando este Equipamento entrar, crie uma ficha de criatura Herói incolor 1/1 e depois anexe isto a ela.) A criatura equipada recebe +1/+0 e é um Monge além de seus outros tipos. Equipar {2}</t>
  </si>
  <si>
    <t>Monoist Sentry / Sentinela Monoísta</t>
  </si>
  <si>
    <t>Defensor</t>
  </si>
  <si>
    <t>Monoscele / Monoskelion</t>
  </si>
  <si>
    <t>Monoskelion enters the battlefield with a +1/+1 counter on it. {1}, Remove a +1/+1 counter from Monoskelion: It deals 1 damage to any target. / Monoscele entra no campo de batalha com um marcador +1/+1. {1}, remova um marcador +1/+1 de Monoscele: Ele causa 1 ponto de dano a qualquer alvo.</t>
  </si>
  <si>
    <t>Mons's Goblin Raiders / Goblins Salteadores do Mons</t>
  </si>
  <si>
    <t>Monster Mashup / Mistureba de Monstros</t>
  </si>
  <si>
    <t>Criatura — Lobisomem Peixe Zumbi Vampiro</t>
  </si>
  <si>
    <t>Alcance (Esta criatura pode bloquear criaturas com voar.) Ameaça (Esta criatura não pode ser bloqueada a não ser por duas ou mais criaturas.)</t>
  </si>
  <si>
    <t>Monstrous Emergence</t>
  </si>
  <si>
    <t>As an additional cost to cast this spell, choose a creature you control or reveal a creature card from your hand. Monstrous Emergence deals damage equal to the power of the creature you chose or the card you revealed to target creature.</t>
  </si>
  <si>
    <t>Monstrous Onslaught / Investida Monstruosa</t>
  </si>
  <si>
    <t>Monstrous Onslaught deals X damage divided as you choose among any number of target creatures, where X is the greatest power among creatures you control as you cast this spell. / Investida Monstruosa causa X pontos de dano divididos à sua escolha a qualquer número de criaturas alvo, sendo X o maior poder entre as criaturas que você controla conforme conjura Investida Monstruosa.</t>
  </si>
  <si>
    <t>Moonglove Extract / Extrato de Luvalua</t>
  </si>
  <si>
    <t>Sacrifice this artifact: It deals 2 damage to any target. / Sacrifique Extrato de Luvalua: Extrato de Luvalua causa 2 pontos de dano à criatura ou ao jogador alvo.</t>
  </si>
  <si>
    <t>Moonglove Extractor</t>
  </si>
  <si>
    <t>Whenever this creature attacks, you draw a card and lose 1 life.</t>
  </si>
  <si>
    <t>Moonlit Lamenter</t>
  </si>
  <si>
    <t>Creature — Treefolk Cleric</t>
  </si>
  <si>
    <t>This creature enters with a -1/-1 counter on it. {1}{W}, Remove a counter from this creature: Draw a card. Activate only as a sorcery.</t>
  </si>
  <si>
    <t>Moonrise Cleric</t>
  </si>
  <si>
    <t>Creature — Bat Cleric</t>
  </si>
  <si>
    <t>Flying Whenever this creature attacks, you gain 1 life.</t>
  </si>
  <si>
    <t>{1}{W/B}{W/B}</t>
  </si>
  <si>
    <t>Moonsnare Specialist / Especialista em Lunilaço</t>
  </si>
  <si>
    <t>Ninjutsu {2}{U}. Quando Especialista em Lunilaço entrar no campo de batalha, devolva até uma criatura alvo para a mão de seu dono. / Ninjutsu {2}{U}. When Moon-Circuit Hacker enters the battlefield, return up to one target creature to its owner's hand.</t>
  </si>
  <si>
    <t>Moor Fiend / Capeta da Charneca</t>
  </si>
  <si>
    <t>Moorland Drifter / Errante da Charneca</t>
  </si>
  <si>
    <t>Delirium — This creature has flying as long as there are four or more card types among cards in your graveyard. / Delírio — Errante da Charneca terá voar enquanto houver quatro ou mais tipos de card entre os cards de seu cemitério.</t>
  </si>
  <si>
    <t>Moral</t>
  </si>
  <si>
    <t>Todas as criaturas que estiverem atacando ganharão +1/+1 até o final do turno.</t>
  </si>
  <si>
    <t>Morale / Moral</t>
  </si>
  <si>
    <t>Attacking creatures get +1/+1 until end of turn.</t>
  </si>
  <si>
    <t>Morcant's Loyalist</t>
  </si>
  <si>
    <t>Other Elves you control get +1/+1. When this creature dies, return another target Elf card from your graveyard to your hand.</t>
  </si>
  <si>
    <t>Morcegos da Floresta das Trevas / Mirkwood Bats</t>
  </si>
  <si>
    <t>Criatura — Morcego</t>
  </si>
  <si>
    <t>Voar. Toda vez que você cria ou sacrifica uma ficha, cada oponente perde 1 ponto de vida.</t>
  </si>
  <si>
    <t>Moriok Replica / Réplica de Murioque</t>
  </si>
  <si>
    <t>Artifact Creature — Warrior / Criatura Artefato — Guerreiro</t>
  </si>
  <si>
    <t>{1}{B}, Sacrifice this creature: You draw two cards and you lose 2 life. / {1}{B}, Sacrifique Réplica de Murioque: Você compra dois cards e perde 2 pontos de vida.</t>
  </si>
  <si>
    <t>Morselhoarder / Abocanhador</t>
  </si>
  <si>
    <t>This creature enters with two -1/-1 counters on it. Remove a -1/-1 counter from this creature: Add one mana of any color. / Abocanhador entra em jogo com dois marcadores -1/-1. Remova um marcador -1/-1 de Abocanhador: Adicione um mana de qualquer cor à sua reserva de mana.</t>
  </si>
  <si>
    <t>{4}{R/G}{R/G}</t>
  </si>
  <si>
    <t>Mortal Obstinacy / Obstinação dos Mortais</t>
  </si>
  <si>
    <t>Enchant creature you control Enchanted creature gets +1/+1. Whenever enchanted creature deals combat damage to a player, you may sacrifice this Aura. If you do, destroy target enchantment. / Encantar criatura que você controla A criatura encantada recebe +1/+1. Toda vez que a criatura encantada causa dano de combate a um jogador, você pode sacrificar Obstinação dos Mortais. Se fizer isso, destrua o encantamento alvo.</t>
  </si>
  <si>
    <t>Mortality Spear / Lança da Mortalidade</t>
  </si>
  <si>
    <t>This spell costs {2} less to cast if you gained life this turn. Destroy target nonland permanent. / Esta mágica custa {2} a menos para ser conjurada se você tiver ganho pontos de vida neste turno. Destrua a permanente alvo não de terreno.</t>
  </si>
  <si>
    <t>Mortivore / Mortívoro</t>
  </si>
  <si>
    <t>Creature — Lhurgoyf / Criatura — Lhurgoyf</t>
  </si>
  <si>
    <t>Mortivore's power and toughness are each equal to the number of creature cards in all graveyards. {B}: Regenerate this creature. (The next time this creature would be destroyed this turn, instead tap it, remove it from combat, and heal all damage on it.) / O poder e a resistência de Mortívoro são ambos iguais ao número de cards de criatura em todos os cemitérios. {B}: Regenera Mortívoro. (Na próxima vez em que esta criatura seria destruída neste turno, ela não o é Em vez disso, vire-a, remova todo o dano dela e remova-a do combate.)</t>
  </si>
  <si>
    <t>Mortuary Mire / Lodaçal Mortuário</t>
  </si>
  <si>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</si>
  <si>
    <t>Moss Diamond / Diamante de Musgo</t>
  </si>
  <si>
    <t>Moss Diamond comes into play tapped. {T}: Add {G} to your mana pool. Play this ability as a mana source. / Diamante de Musgo entra em jogo virado. {T}: Adicione {G} à sua reserva de mana. Jogue esta habilidade como uma fonte de mana.</t>
  </si>
  <si>
    <t>Moss Viper / Víbora do Musgo</t>
  </si>
  <si>
    <t>Creature — Snake / Criatura — Cobra</t>
  </si>
  <si>
    <t>Moss-Pit Skeleton / Esqueleto do Poço de Musgo</t>
  </si>
  <si>
    <t>Creature — Plant Skeleton / Criatura — Planta Esqueleto</t>
  </si>
  <si>
    <t>Kicker {3} (You may pay an additional {3} as you cast this spell.) If this creature was kicked, it enters with three +1/+1 counters on it. Whenever one or more +1/+1 counters are put on a creature you control, if this card is in your graveyard, you may put this card on top of your library. / Reforçar {3} (Você pode pagar um custo adicional de {3} ao conjurar esta mágica.) Se Esqueleto do Poço de Musgo foi reforçado, ele entra no campo de batalha com três marcadores +1/+1. Toda vez que um ou mais marcadores +1/+1 são colocados em uma criatura que você controla, se Esqueleto do Poço de Musgo está em seu cemitério, você pode colocar Esqueleto do Poço de Musgo no topo de seu grimório.</t>
  </si>
  <si>
    <t>Mossbeard Ancient / Barbamusgo Ancestral</t>
  </si>
  <si>
    <t>Creature — Treefolk / Criatura — Ent</t>
  </si>
  <si>
    <t>Trample When this creature enters, you gain 5 life. / Atropelar Quando Barbamusgo Ancestral entra no campo de batalha, você ganha 5 pontos de vida.</t>
  </si>
  <si>
    <t>Mothrider Patrol / Patrulheira Ginete de Mariposa</t>
  </si>
  <si>
    <t>Creature — Fox Warrior / Criatura — Raposa Guerreiro</t>
  </si>
  <si>
    <t>Flying {3}{W}, {T}: Tap target creature. / Voar {3}{W}, {T}: Vire a criatura alvo.</t>
  </si>
  <si>
    <t>Mountain / Montanha</t>
  </si>
  <si>
    <t>Basic Land — Mountain / Terreno Básico — Montanha</t>
  </si>
  <si>
    <t>({T}: Add {R}.) / R</t>
  </si>
  <si>
    <t xml:space="preserve">Cicatrizes de Mirrodin </t>
  </si>
  <si>
    <t xml:space="preserve">Duels of the Planeswalkers </t>
  </si>
  <si>
    <t xml:space="preserve">Fragmentos de Alara </t>
  </si>
  <si>
    <t xml:space="preserve">Retorno a Ravnica </t>
  </si>
  <si>
    <t>Tempestade</t>
  </si>
  <si>
    <t>Mountain Goat / Cabrito Montês</t>
  </si>
  <si>
    <t>Creature — Goat</t>
  </si>
  <si>
    <t>Mountainwalk (This creature can't be blocked as long as defending player controls a Mountain.)</t>
  </si>
  <si>
    <t>Mounted Dreadknight / Cavaleiro do Pavor Montado</t>
  </si>
  <si>
    <t>Creature — Vampire Knight / Criatura — Vampiro Cavaleiro</t>
  </si>
  <si>
    <t>Trample This creature enters with a +1/+1 counter on it if an opponent lost life this turn. / Atropelar Cavaleiro do Pavor Montado entra no campo de batalha com um marcador +1/+1 se um oponente perdeu pontos de vida neste turno.</t>
  </si>
  <si>
    <t>Mourning Thrull</t>
  </si>
  <si>
    <t>Flying. Whenever Mourning Thrull deals damage, you gain that much life.</t>
  </si>
  <si>
    <t>Mourning Thrull / Thrull Fúnebre</t>
  </si>
  <si>
    <t>({W/B} can be paid with either {W} or {B}.) Flying Whenever this creature deals damage, you gain that much life. / ({W/B} pode ser pago com {W} ou {B}.) Voar Toda vez que Thrull Fúnebre causa dano, você ganha aquela quantidade em pontos de vida.</t>
  </si>
  <si>
    <t>Mouser Attack!</t>
  </si>
  <si>
    <t>Choose one — • Create a 1/1 colorless Robot artifact creature token. • Target creature gets +3/+0 and gains first strike until end of turn.</t>
  </si>
  <si>
    <t>Mouser Foundry</t>
  </si>
  <si>
    <t>When this artifact enters or leaves the battlefield, create a 1/1 colorless Robot artifact creature token. {4}{R}, Sacrifice this artifact: It deals 3 damage to target creature.</t>
  </si>
  <si>
    <t>Mouser Mark III</t>
  </si>
  <si>
    <t>This creature can't attack unless you control another artifact.</t>
  </si>
  <si>
    <t>Mtenda Herder</t>
  </si>
  <si>
    <t>Criatura — Escoteiro / Summon Scout</t>
  </si>
  <si>
    <t>Flanking (Whenever a creature without flanking is assigned to block this creature, the blocking creature gets -1/-1 until end of turn.)</t>
  </si>
  <si>
    <t>Mudbrawler Raiders / Salteadores de Rixalama</t>
  </si>
  <si>
    <t>This creature can't be blocked by blue creatures. / Salteadores de Rixalama não pode ser bloqueado por criaturas azuis.</t>
  </si>
  <si>
    <t>{2}{R/G}{R/G}</t>
  </si>
  <si>
    <t>Mugging / Assaltar</t>
  </si>
  <si>
    <t>Mugging deals 2 damage to target creature. That creature can't block this turn. / Assaltar causa 2 pontos de dano à criatura alvo. Aquela criatura não pode bloquear neste turno.</t>
  </si>
  <si>
    <t>Mukotai Ambusher / Emboscador Mukotai</t>
  </si>
  <si>
    <t>Artifact Creature - Rat Ninja</t>
  </si>
  <si>
    <t>Ninjutso 1{B} vinculo com a vida</t>
  </si>
  <si>
    <t>Mulch / Palha</t>
  </si>
  <si>
    <t>Reveal the top four cards of your library. Put all land cards revealed this way into your hand and the rest into your graveyard. / Revele os quatro cards do topo de seu grimório. Coloque todos os cards de terreno revelados desta maneira na sua mão e o restante no seu cemitério.</t>
  </si>
  <si>
    <t>Mummy Paramount / Múmia Suprema</t>
  </si>
  <si>
    <t>Whenever another Zombie you control enters, this creature gets +1/+1 until end of turn. / Toda vez que outro Zumbi entra no campo de batalha sob seu controle, Múmia Suprema recebe +1/+1 até o final do turno.</t>
  </si>
  <si>
    <t>Munitions Expert / Especialista em Municiamento</t>
  </si>
  <si>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</si>
  <si>
    <t>Murder</t>
  </si>
  <si>
    <t>Destroy target creature.</t>
  </si>
  <si>
    <t>Murder / Homicídio</t>
  </si>
  <si>
    <t>Murder of Crows / Revoada de Corvos</t>
  </si>
  <si>
    <t>Flying Whenever another creature dies, you may draw a card. If you do, discard a card. / Voar Toda vez que outra criatura morre, você pode comprar um card. Se fizer isso, descarte um card.</t>
  </si>
  <si>
    <t>Murderer's Axe / Machado do Assassino</t>
  </si>
  <si>
    <t>Equipped creature gets +2/+2. Equip—Discard a card. / A criatura equipada recebe +2/+2. Equipar — Descarte um card.</t>
  </si>
  <si>
    <t>Murdock's Crusade / Cruzada de Murdock</t>
  </si>
  <si>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</si>
  <si>
    <t>Murk Dwellers / Habitantes das Trevas</t>
  </si>
  <si>
    <t>Whenever this creature attacks and isn't blocked, it gets +2/+0 until end of combat.</t>
  </si>
  <si>
    <t>Murk Strider / Andarilho do Lodo</t>
  </si>
  <si>
    <t>Creature — Eldrazi Processor / Criatura — Eldrazi Processador</t>
  </si>
  <si>
    <t>Devoid (This card has no color.) When this creature enters, you may put a card an opponent owns from exile into that player's graveyard. If you do, return target creature to its owner's hand. / Desprovido (Este card não tem cor.)Quando Andarilho do Lodo entra no campo de batalha, você pode colocar um card exilado de um oponente no cemitério dele. Se fizer isso, devolva a criatura alvo para a mão de seu dono.</t>
  </si>
  <si>
    <t>Murmuring Phantasm / Fantasma Murmurante</t>
  </si>
  <si>
    <t>Defender / Defensor</t>
  </si>
  <si>
    <t>Muse Drake / Dragonete Inspirador</t>
  </si>
  <si>
    <t>Flying When this creature enters, draw a card. / Voar Quando Dragonete Inspirador entrar no campo de batalha, compre um card.</t>
  </si>
  <si>
    <t>Muse's Encouragement / Incentivo da Musa</t>
  </si>
  <si>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</si>
  <si>
    <t>Mutant Chain Reaction</t>
  </si>
  <si>
    <t>Destroy up to one target artifact, enchantment, or creature with flying. Create a Mutagen token. (It's an artifact with "{1}, {T}, Sacrifice this token: Put a +1/+1 counter on target creature. Activate only as a sorcery.")</t>
  </si>
  <si>
    <t>Mutant Town</t>
  </si>
  <si>
    <t>This land enters tapped. When this land enters, you gain 1 life. {T}: Add {G} or {U}.</t>
  </si>
  <si>
    <t>Mutant Town Musicians</t>
  </si>
  <si>
    <t>Creature — Mutant Bard Performer</t>
  </si>
  <si>
    <t>Trample Alliance — Whenever another creature you control enters, this creature gets +1/+0 until end of turn.</t>
  </si>
  <si>
    <t>Mwonvuli Acid-Moss / Limo Ácido de Mwonvuli</t>
  </si>
  <si>
    <t>Destroy target land. Search your library for a Forest card, put that card onto the battlefield tapped, then shuffle. / Destrua o terreno alvo. Procure em seu grimório por um card de Floresta e coloque-o em jogo virado. Depois, embaralhe seu grimório.</t>
  </si>
  <si>
    <t>Mycosynth Wellspring / Fonte do Micossintetizador</t>
  </si>
  <si>
    <t>When this artifact enters or is put into a graveyard from the battlefield, you may search your library for a basic land card, reveal it, put it into your hand, then shuffle. / Quando Fonte do Micossintetizador entra no campo de batalha ou é colocado num cemitério vindo do campo de batalha, você pode procurar um card de terreno básico em seu grimório, revelá-lo, colocá-lo em sua mão e depois embaralhar.</t>
  </si>
  <si>
    <t>Myr de Ferro / Iron Myr</t>
  </si>
  <si>
    <t>Criatura Artefato — Myr / Artifact Creature — Myr</t>
  </si>
  <si>
    <t>{T}: Adicione {R} à sua reserva de mana.</t>
  </si>
  <si>
    <t>Myr de Ouro / Gold Myr</t>
  </si>
  <si>
    <t>{T}: Adicione {W} à sua reserva de mana.</t>
  </si>
  <si>
    <t>Myr Mindservant / Myr Ataca-Mentes</t>
  </si>
  <si>
    <t>{2}, {T}: Shuffle your library. / {2}, {T}: Embaralhe seu grimório.</t>
  </si>
  <si>
    <t>Myr Retriever / Resgatador Myr</t>
  </si>
  <si>
    <t>When Myr Retriever dies, return another target artifact card from your graveyard to your hand. / Quando Resgatador Myr morrer, devolva outro card de artefato alvo de seu cemitério para sua mão.</t>
  </si>
  <si>
    <t>Myr Sire / Senhor Myr</t>
  </si>
  <si>
    <t>Artifact Creature — Phyrexian Myr / Criatura Artefato — Myr</t>
  </si>
  <si>
    <t>When this creature dies, create a 1/1 colorless Phyrexian Myr artifact creature token. / Quando Senhor Myr é colocado num cemitério vindo do campo de batalha, coloque no campo de batalha uma ficha de criatura artefato incolor 1/1 do tipo Myr.</t>
  </si>
  <si>
    <t>Mysidian Elder / Ancião de Mysidia</t>
  </si>
  <si>
    <t>Quando esta criatura entrar, crie uma ficha de criatura Mago preta 0/1 com "Sempre que você conjurar uma mágica que não seja de criatura, esta ficha causará 1 de dano a cada oponente."</t>
  </si>
  <si>
    <t>Mysterious Pathlighter / Alumiador de Trilhas Misterioso</t>
  </si>
  <si>
    <t>Flying Each creature you control that has an Adventure enters with an additional +1/+1 counter on it. (It doesn't need to have gone on the adventure first.) / Voar Cada criatura que você controla com uma Aventura entra no campo de batalha com um marcador +1/+1 adicional. (Ela não precisa ter se aventurado primeiro.)</t>
  </si>
  <si>
    <t>Mystic Meditation / Meditação Mística</t>
  </si>
  <si>
    <t>Draw three cards. Then discard two cards unless you discard a creature card. / Compre três cards. Depois, descarte dois cards, a menos que você descarte um card de criatura.</t>
  </si>
  <si>
    <t>Mystic Monastery / Monastério Místico</t>
  </si>
  <si>
    <t>Monastério Místico entra no campo de batalha virado. {T}: Adicione {U}, {R} ou {W} à sua reserva de mana.</t>
  </si>
  <si>
    <t>Mystic Skull / Crânio Místico</t>
  </si>
  <si>
    <t>{1}, {T}: Add one mana of any color. {5}, {T}: Transform Mystic Skull.</t>
  </si>
  <si>
    <t>Mystical Teachings / Ensinamentos Místicos</t>
  </si>
  <si>
    <t>Search your library for an instant card or a card with flash, reveal it, put it into your hand, then shuffle. Flashback {5}{B} (You may cast this card from your graveyard for its flashback cost. Then exile it.) / Procure em seu grimório um card de mágica instantânea ou um card com lampejo, revele-o, coloque-o em sua mão e depois embaralhe seu grimório. Recapitular {5}{B} (Você pode conjurar este card de seu cemitério pagando seu custo de recapitular. Depois, exile-o.)</t>
  </si>
  <si>
    <t>Mythic Proportions / Proporções Míticas</t>
  </si>
  <si>
    <t>Enchant creature Enchanted creature gets +8/+8 and has trample. / A criatura encantada recebe+8/+8 e tem a habilidade de atropelar.</t>
  </si>
  <si>
    <t>{4}{G}{G}{G}</t>
  </si>
  <si>
    <t>Nacre Talisman / Talismã de Nácar</t>
  </si>
  <si>
    <t>Whenever a player casts a white spell, you may pay {3}. If you do, untap target permanent.</t>
  </si>
  <si>
    <t>Naga Eternal / Eterna Naga</t>
  </si>
  <si>
    <t>Creature — Zombie Snake / Criatura — Zumbi Naga</t>
  </si>
  <si>
    <t>Nahiri's Stoneblades / Litolâminas de Nahiri</t>
  </si>
  <si>
    <t>Up to two target creatures each get +2/+0 until end of turn. / Até duas criaturas alvo recebem +2/+0 cada uma até o final do turno.</t>
  </si>
  <si>
    <t>Namazu Trader / Comerciante Namazu</t>
  </si>
  <si>
    <t>Criatura — Peixe Cidadão</t>
  </si>
  <si>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</si>
  <si>
    <t>Nameless Inversion / Inversão Anônima</t>
  </si>
  <si>
    <t>Changeling (This card is every creature type.) Target creature gets +3/-3 and loses all creature types until end of turn. / Morfolóide (Este card é de todos os tipos de criatura sempre.) A criatura alvo recebe +3/-3 e perde todos os tipos de criatura até o final do turno.</t>
  </si>
  <si>
    <t>Nanoform Sentinel / Sentinela Nanoforma</t>
  </si>
  <si>
    <t>Sempre que esta criatura torna-se virada, desvire outra permanente alvo. Esta habilidade é desencadeada apenas uma vez a cada turno.</t>
  </si>
  <si>
    <t>Nantuko Husk / Folhelho Nantuko</t>
  </si>
  <si>
    <t>Creature — Zombie Insect / Criatura — Zumbi Inseto</t>
  </si>
  <si>
    <t>Sacrifice a creature: This creature gets +2/+2 until end of turn. / Sacrifique uma criatura: Folhelho Nantuko recebe +2/+2 até o final do turno.</t>
  </si>
  <si>
    <t>Natural End / Fim Natural</t>
  </si>
  <si>
    <t>Destroy target artifact or enchantment. You gain 3 life. / Destrua o artefato ou encantamento alvo. Você ganha 3 pontos de vida.</t>
  </si>
  <si>
    <t>Naturalize / Naturalizar</t>
  </si>
  <si>
    <t>Destroy target artifact or enchantment. / Destrua o artefato ou o encantamento alvo.</t>
  </si>
  <si>
    <t>Nature's Chant / Canto da Natureza</t>
  </si>
  <si>
    <t>Destroy target artifact or enchantment. / Destrua o artefato ou encantamento alvo.</t>
  </si>
  <si>
    <t>{1}{G/W}</t>
  </si>
  <si>
    <t>Nature's Claim / Reivindicação de Natureza</t>
  </si>
  <si>
    <t>Destroy target artifact or enchantment. Its controller gains 4 life. / Destrua o artefato ou encantamento alvo. O controlador dele ganha 4 pontos de vida.</t>
  </si>
  <si>
    <t>Nature's Panoply / Panóplia da Natureza</t>
  </si>
  <si>
    <t>Esforço — Panóplia da Natureza custa 2G a mais para ser conjurado para cada alvo além do primeiro. Escolha qualquer número de criaturas alvo. Coloque um marcador +1/+1 em cada uma delas.</t>
  </si>
  <si>
    <t>Nav Squad Commandos / Comandos do Esquadrão de Navegação</t>
  </si>
  <si>
    <t>Battalion — Whenever this creature and at least two other creatures attack, this creature gets +1/+1 until end of turn. Untap it. / Batalhão — Toda vez que Comandos do Esquadrão de Navegação e pelo menos duas outras criaturas atacarem, Comandos do Esquadrão de Navegação receberá +1/+1 até o final do turno. Desvire-o.</t>
  </si>
  <si>
    <t>Naya Charm / Medalhão de Naya</t>
  </si>
  <si>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</si>
  <si>
    <t>{R}{G}{W}</t>
  </si>
  <si>
    <t>Verde, Vermelho, Branco</t>
  </si>
  <si>
    <t>Naya Hushblade / Lâmina Silenciosa de Naya</t>
  </si>
  <si>
    <t>Creature — Elf Rogue / Criatura — Elfo Ladino</t>
  </si>
  <si>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</si>
  <si>
    <t>{R/W}{G}</t>
  </si>
  <si>
    <t>Nebelgast Beguiler / Ludibriadora do Nebelgast</t>
  </si>
  <si>
    <t>Nebelgast Herald / Arauto do Nebelgast</t>
  </si>
  <si>
    <t>Flash Flying Whenever this creature or another Spirit you control enters, tap target creature an opponent controls. / Lampejo (Você poderá conjurar esta mágica a qualquer momento em que puder conjurar uma mágica instantânea.) Voar Toda vez que Arauto do Nebelgast ou outro Espírito entrar no campo de batalha sob o seu controle, vire a criatura alvo que um oponente controla.</t>
  </si>
  <si>
    <t>Necromantic Summons / Invocações Necromânticas</t>
  </si>
  <si>
    <t>Put target creature card from a graveyard onto the battlefield under your control. Spell mastery — If there are two or more instant and/or sorcery cards in your graveyard, that creature enters with two additional +1/+1 counters on it. / Coloque o card de criatura alvo de um cemitério no campo de batalha sob o seu controle.Maestria em magia — Se houver dois ou mais cards de mágica instantânea ou feitiço no seu cemitério, aquela criatura entrará no campo de batalha com dois marcadores +1/+1 adicionais.</t>
  </si>
  <si>
    <t>Nectar Faerie / Fada Nectárea</t>
  </si>
  <si>
    <t>Creature — Faerie Wizard / Criatura — Fada Mago</t>
  </si>
  <si>
    <t>Flying {B}, {T}: Target Faerie or Elf gains lifelink until end of turn. (Damage dealt by the creature also causes its controller to gain that much life.) / Voar {B}, {T}: A Fada ou Elfo alvo ganha vínculo com a vida até o final do turno. (Toda vez que causa dano, seu controlador ganha uma quantidade correspondente de pontos de vida.)</t>
  </si>
  <si>
    <t>Needletooth Pack</t>
  </si>
  <si>
    <t>Morbid — At the beginning of your end step, if a creature died this turn, put two +1/+1 counters on target creature you control.</t>
  </si>
  <si>
    <t>Negate / Negar</t>
  </si>
  <si>
    <t>Counter target noncreature spell. / Anule a mágica alvo que não seja de criatura.</t>
  </si>
  <si>
    <t>Nemata, Grove Guardian / Nemata, A Guardiã do Bosque</t>
  </si>
  <si>
    <t>Legendary Creature — Treefolk / Criatura Lendária — Ent</t>
  </si>
  <si>
    <t>{2}{G}: Create a 1/1 green Saproling creature token. Sacrifice a Saproling: Saproling creatures get +1/+1 until end of turn. / {2}{G}: Crie uma ficha de criatura Saprófita verde 1/1. Sacrifique uma Saprófita: As criaturas Saprófitas recebem +1/+1 até o final do turno.</t>
  </si>
  <si>
    <t>Nephalia Seakite / Gavião Marinho de Nefália</t>
  </si>
  <si>
    <t>Flash (You may cast this spell any time you could cast an instant.) Flying / Lampejo (Você poderá conjurar esta mágica a qualquer momento em que puder conjurar uma mágica instantânea.)Voar</t>
  </si>
  <si>
    <t>Nessian Hornbeetle / Serra-pau Nessiano</t>
  </si>
  <si>
    <t>At the beginning of combat on your turn, if you control another creature with power 4 or greater, put a +1/+1 counter on this creature. / No início do combate no seu turno, se você controlar outra criatura com poder igual ou superior a 4, coloque um marcador +1/+1 em Serra-pau Nessiano.</t>
  </si>
  <si>
    <t>Nest Invader / Invasor do Ninho</t>
  </si>
  <si>
    <t>Creature — Eldrazi Drone / Criatura — Zangão Eldrazi</t>
  </si>
  <si>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</si>
  <si>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</si>
  <si>
    <t>Planechase Anthology (PCA)</t>
  </si>
  <si>
    <t>Netcaster Spider / Aranha Lançadora de Rede</t>
  </si>
  <si>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</si>
  <si>
    <t>Nettle Swine / Suíno da Urtiga</t>
  </si>
  <si>
    <t>Nettling Imp</t>
  </si>
  <si>
    <t>Creature — Imp</t>
  </si>
  <si>
    <t>{T}: Choose target non-Wall creature the active player has controlled continuously since the beginning of the turn. That creature attacks this turn if able. Destroy it at the beginning of the next end step if it didn't attack this turn. Activate only during an opponent's turn, before attackers are declared.</t>
  </si>
  <si>
    <t>New Generation's Technique</t>
  </si>
  <si>
    <t>Sneak {2}{G} (You may cast this spell for {2}{G} if you also return an unblocked attacker you control to hand during the declare blockers step.) Search your library for up to two basic land cards, put them onto the battlefield tapped, then shuffle.</t>
  </si>
  <si>
    <t>New Horizons / Novos Horizontes</t>
  </si>
  <si>
    <t>Enchant land When this Aura enters, put a +1/+1 counter on target creature you control. Enchanted land has "{T}: Add two mana of any one color." / Encantar terreno Quando Novos Horizontes entrar no campo de batalha, coloque um marcador +1/+1 na criatura alvo que você controla. O terreno encantando tem "{T}: Adicione dois manas de uma cor à sua escolha."</t>
  </si>
  <si>
    <t>New Perspectives / Novas Perspectivas</t>
  </si>
  <si>
    <t>When this enchantment enters, draw three cards. As long as you have seven or more cards in hand, you may pay {0} rather than pay cycling costs. / Quando Novas Perspectivas entrar no campo de batalha, compre três cards. Enquanto tiver sete ou mais cards em sua mão, você pode pagar {0} em vez de pagar custos de reciclagem.</t>
  </si>
  <si>
    <t>Nexus Wardens / Guardiões do Nexo</t>
  </si>
  <si>
    <t>Creature — Satyr Archer / Criatura — Sátiro Arqueiro</t>
  </si>
  <si>
    <t>Reach Constellation — Whenever an enchantment you control enters, you gain 2 life. / Alcance Constelação — Toda vez que um encantamento entra no campo de batalha sob seu controle, você ganha 2 pontos de vida.</t>
  </si>
  <si>
    <t>Nezumi Bladeblesser / Benze-espada Nezumi</t>
  </si>
  <si>
    <t>Creature — Rat Samurai / Criatura — Rato Samurai</t>
  </si>
  <si>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</si>
  <si>
    <t>Night Market</t>
  </si>
  <si>
    <t>This land enters tapped. As it enters, choose a color. {T}: Add one mana of the chosen color. Cycling {3} ({3}, Discard this card: Draw a card.)</t>
  </si>
  <si>
    <t>Night Market Aeronaut / Aeronauta do Mercado Noturno</t>
  </si>
  <si>
    <t>Creature — Aetherborn Warrior / Criatura — Etergênito Guerreiro</t>
  </si>
  <si>
    <t>Flying Revolt — This creature enters with a +1/+1 counter on it if a permanent left the battlefield under your control this turn. / Voar Revolta — Aeronauta do Mercado Noturno entra no campo de batalha com um marcador +1/+1 se uma permanente que você controlava deixou o campo de batalha neste turno.</t>
  </si>
  <si>
    <t>Night of the Sweets' Revenge / Noite da Vingança dos Doces</t>
  </si>
  <si>
    <t>When this enchantment enters, create a Food token. (It's an artifact with "{2}, {T}, Sacrifice this token: You gain 3 life.") Foods you control have "{T}: Add {G}." {5}{G}{G}, Sacrifice this enchantment: Creatures you control get +X/+X until end of turn, where X is the number of Foods you control. Activate only as a sorcery. / Quando Noite da Vingança dos Doces entrar no campo de batalha, crie uma ficha de Comida. (Ela é um artefato com "{2}, {T}, sacrifique este artefato: Você ganha 3 pontos de vida".) As Comidas que você controla têm "{T}: Adicione {G}". {5}{G}{G}, sacrifique Noite da Vingança dos Doces: As criaturas que você controla recebem +X/+X até o final do turno, sendo X o número de Comidas que você controla. Ative somente como um feitiço.</t>
  </si>
  <si>
    <t>Nightmare / Pesadelo</t>
  </si>
  <si>
    <t>Creature — Nightmare Horse / Criatura — Pesadelo Cavalo</t>
  </si>
  <si>
    <t>Flying (This creature can't be blocked except by creatures with flying or reach.) Nightmare's power and toughness are each equal to the number of Swamps you control. / Voar (Esta criatura só pode ser bloqueada por criaturas com voar ou alcance.) O poder e a resistência de Pesadelo são ambos iguais ao número de Pântanos que você controla.</t>
  </si>
  <si>
    <t>Nightmarish End / Fim Aterrador</t>
  </si>
  <si>
    <t>Target creature gets -X/-X until end of turn, where X is the number of cards in your hand. / A criatura alvo recebe -X/-X até o final do turno, sendo X o número de cards na sua mão.</t>
  </si>
  <si>
    <t>Nightsnare / Armadilha Noturna</t>
  </si>
  <si>
    <t>Target opponent reveals their hand. You may choose a nonland card from it. If you do, that player discards that card. If you don't, that player discards two cards. / O oponente alvo revela a própria mão. Você pode escolher um card que não seja um terreno da mão dele. Se fizer isso, aquele jogador descarta aquele card. Se não fizer isso, aquele jogador descarta dois cards.</t>
  </si>
  <si>
    <t>Nightveil Predator / Predador do Véu da Noite</t>
  </si>
  <si>
    <t>Flying, deathtouch Hexproof (This creature can't be the target of spells or abilities your opponents control.) / Voar, toque mortífero Resistência a magia (Esta criatura não pode ser alvo de mágicas ou habilidades controladas por seus oponentes.)</t>
  </si>
  <si>
    <t>{U}{U}{B}{B}</t>
  </si>
  <si>
    <t>Nightwing Shade / Sombra da Asa Noturna</t>
  </si>
  <si>
    <t>Flying {1}{B}: This creature gets +1/+1 until end of turn. / Voar{1}{B}: Sombra da Asa Noturna recebe +1/+1 até o final do turno.</t>
  </si>
  <si>
    <t>Nimana Sell-Sword / Mercenário de Nimana</t>
  </si>
  <si>
    <t>Whenever this creature or another Ally you control enters, you may put a +1/+1 counter on this creature. / Toda vez que Mercenário de Nimana ou outro Aliado entra no campo de batalha sob o seu controle, você pode colocar um marcador +1/+1 em Mercenário de Nimana.</t>
  </si>
  <si>
    <t>Nimble Hobbit / Hobbit Ágil</t>
  </si>
  <si>
    <t>Whenever Nimble Hobbit attacks, you may sacrifice a Food or pay {2}{W}. When you do, tap target creature an opponent controls. / Toda vez que Hobbit Ágil ataca, você pode sacrificar uma Comida ou pagar {2}{W}. Quando fizer isso, vire a criatura alvo que um oponente controla.</t>
  </si>
  <si>
    <t>Nimble Innovator / Inovadora Ágil</t>
  </si>
  <si>
    <t>When this creature enters, draw a card. / Quando Inovadora Ágil entrar no campo de batalha, compre um card.</t>
  </si>
  <si>
    <t>Nimble Thopterist</t>
  </si>
  <si>
    <t>Creature — Vedalken Artificer</t>
  </si>
  <si>
    <t>When this creature enters, create a 1/1 colorless Thopter artifact creature token with flying.</t>
  </si>
  <si>
    <t>Nimbleclaw Adept / Adepto Garraveloz</t>
  </si>
  <si>
    <t>Creature — Dragon Wizard / Criatura — Dragão Mago</t>
  </si>
  <si>
    <t>Bigby's Hand — {T}: Untap two other target permanents. Activate only as a sorcery and only once each turn. / Mão de Bigby — {T}: Desvire duas outras permanentes alvo. Ative somente como um feitiço e uma única vez a cada turno.</t>
  </si>
  <si>
    <t>Ninja of the Hand</t>
  </si>
  <si>
    <t>Creature — Human Ninja Villain</t>
  </si>
  <si>
    <t>Deathtouch Power-up — {4}{B}: Each opponent discards a card. Put a +1/+1 counter on this creature. (Activate each power-up ability only once. Reduce the cost by its mana cost if it entered this turn.)</t>
  </si>
  <si>
    <t>Ninth Bridge Patrol / Patrulheiro da Nona Ponte</t>
  </si>
  <si>
    <t>Whenever another creature you control leaves the battlefield, put a +1/+1 counter on this creature. / Toda vez que outra criatura que você controla deixar o campo de batalha, coloque um marcador +1/+1 em Patrulheiro da Nona Ponte.</t>
  </si>
  <si>
    <t>Nip Gwyllion / Gwyllion da Mordidela</t>
  </si>
  <si>
    <t>Creature — Hag / Criatura — Bruxa</t>
  </si>
  <si>
    <t>Lifelink (Damage dealt by this creature also causes you to gain that much life.) / Vínculo com a vida (Toda vez que esta criatura causa dano, você ganha aquela quantidade em pontos de vida.)</t>
  </si>
  <si>
    <t>Nissa Revane</t>
  </si>
  <si>
    <t>Legendary Planeswalker — Nissa / Planeswalker — Nissa</t>
  </si>
  <si>
    <t>Duels of the Planeswalkers 2010 Promos (PDP10)</t>
  </si>
  <si>
    <t>Nissa, Genesis Mage / Nissa, Maga da Gênese</t>
  </si>
  <si>
    <t>Nissa's Encouragement / Encorajamento de Nissa</t>
  </si>
  <si>
    <t>Search your library and graveyard for a card named Forest, a card named Brambleweft Behemoth, and a card named Nissa, Genesis Mage. Reveal those cards, put them into your hand, then shuffle. / Procure em seu grimório e cemitério um card com o nome Floresta, um card com o nome Behemoth Espinheiro e um card com o nome Nissa, Maga da Gênese. Revele aqueles cards, coloque-os em sua mão e, em seguida, embaralhe seu grimório.</t>
  </si>
  <si>
    <t>Nissa's Pilgrimage / Peregrinação de Nissa</t>
  </si>
  <si>
    <t>Search your library for up to two basic Forest cards, reveal those cards, and put one onto the battlefield tapped and the rest into your hand. Then shuffle. Spell mastery — If there are two or more instant and/or sorcery cards in your graveyard, search your library for up to three basic Forest cards instead of two. / Procure até dois cards básicos de Floresta em seu grimório, revele-os e coloque um deles no campo de batalha virado e o restante na sua mão. Depois, embaralhe seu grimório.Maestria em magia — Se houver dois ou mais cards de mágica instantânea ou feitiço no seu cemitério, procure até três cards básicos de Floresta, em vez de dois.</t>
  </si>
  <si>
    <t>Nivix Barrier / Barreira de Nivix</t>
  </si>
  <si>
    <t>Creature — Illusion Wall / Criatura — Ilusão Barreira</t>
  </si>
  <si>
    <t>Flash (You may cast this spell any time you could cast an instant.) Defender (This creature can't attack.) When this creature enters, target attacking creature gets -4/-0 until end of turn. / Lampejo (Você poderá conjurar esta mágica a qualquer momento em que puder conjurar uma mágica instantânea.)Defensor (Esta criatura não pode atacar.)Quando Barreira de Nivix entra no campo de batalha, a criatura alvo atacante recebe -4/-0 até o final do turno.</t>
  </si>
  <si>
    <t>Nobody</t>
  </si>
  <si>
    <t>Artifact Creature — Human Hero</t>
  </si>
  <si>
    <t>When this creature enters, return up to one other target artifact you control to its owner's hand. Scry 1. (Look at the top card of your library. You may put that card on the bottom.)</t>
  </si>
  <si>
    <t>Noctis, Prince of Lucis / Noctis, Príncipe de Lucis</t>
  </si>
  <si>
    <t>Vínculo com a vida. Você pode conjurar mágicas de artefato de seu cemitério pagando 3 de vida além de pagar seus outros custos. Se você conjurar uma mágica deste modo, aquele artefato entra com um marcador de finalidade.</t>
  </si>
  <si>
    <t>1WUB</t>
  </si>
  <si>
    <t>Branco, Azul e Preto</t>
  </si>
  <si>
    <t>Nocturnal Feeder</t>
  </si>
  <si>
    <t>Creature — Vampire Rogue</t>
  </si>
  <si>
    <t>Flying When this creature dies, each opponent loses 2 life and you gain 2 life.</t>
  </si>
  <si>
    <t>Nomad Outpost / Posto Avançado Nômade</t>
  </si>
  <si>
    <t>Nomad Outpost entra no campo de batalha virado. T: Adicione R, W ou B à sua reserva de mana.</t>
  </si>
  <si>
    <t>Noose Constrictor / Constritor da Forca</t>
  </si>
  <si>
    <t>Reach Discard a card: This creature gets +1/+1 until end of turn. / Alcance Descarte um card: Constritor da Forca recebe +1/+1 até o final do turno.</t>
  </si>
  <si>
    <t>Norritt</t>
  </si>
  <si>
    <t>{T}: Untap target blue creature. {T}: Choose target non-Wall creature the active player has controlled continuously since the beginning of the turn. That creature attacks this turn if able. Destroy it at the beginning of the next end step if it didn't attack this turn. Activate only before attackers are declared.</t>
  </si>
  <si>
    <t>North Pole Gates</t>
  </si>
  <si>
    <t>This land enters tapped. {T}: Add {W} or {U}. {4}, {T}, Sacrifice this land: Draw a card.</t>
  </si>
  <si>
    <t>North Pole Patrol</t>
  </si>
  <si>
    <t>{T}: Untap another target permanent you control. Waterbend {3}, {T}: Tap target creature an opponent controls. (While paying a waterbend cost, you can tap your artifacts and creatures to help. Each one pays for {1}.)</t>
  </si>
  <si>
    <t>Nós de Hithlain / Hithlain Knots</t>
  </si>
  <si>
    <t>Vire a criatura alvo. Use vidência 1. Compre um card.</t>
  </si>
  <si>
    <t>Nosy Goblin / Goblin Intrometido</t>
  </si>
  <si>
    <t>{T}, Sacrifice this creature: Destroy target face-down creature. / {T}, Sacrifique Goblin Intrometido: Destrói a criatura alvo com a face voltada para baixo.</t>
  </si>
  <si>
    <t>Novel Nunchaku</t>
  </si>
  <si>
    <t>When this Equipment enters, attach it to target creature you control. When you do, equipped creature fights up to one target creature an opponent controls. (Each deals damage equal to its power to the other.) Equipped creature gets +1/+1 and has trample. Equip {3} ({3}: Attach to target creature you control. Equip only as a sorcery.)</t>
  </si>
  <si>
    <t>Noxious Assault / Assalto Nóxio</t>
  </si>
  <si>
    <t>Creatures you control get +2/+2 until end of turn. Whenever a creature blocks this turn, its controller gets a poison counter. / As criaturas que você controla recebem +2/+2 até o final do turno. Toda vez que uma criatura bloqueia neste turno, seu controlador recebe um marcador de veneno.</t>
  </si>
  <si>
    <t>Noxious Grasp / Garras Nóxias</t>
  </si>
  <si>
    <t>Destroy target creature or planeswalker that's green or white. You gain 1 life. / Destrua a criatura ou o planeswalker alvo que seja verde ou branco. Você ganha 1 ponto de vida.</t>
  </si>
  <si>
    <t>Noxious Groodion / Groodion Nocivo</t>
  </si>
  <si>
    <t>Noxious Newt / Tritão Nocivo</t>
  </si>
  <si>
    <t>Deathtouch. {T}: Add {G}. / Toque mortífero. {T}: Adicione {G}.</t>
  </si>
  <si>
    <t>Null Caller / Invocador de Nulos</t>
  </si>
  <si>
    <t>Creature — Vampire Shaman / Criatura — Vampiro Xamã</t>
  </si>
  <si>
    <t>{3}{B}, Exile a creature card from your graveyard: Create a tapped 2/2 black Zombie creature token. / {3}{B}, Exile um card de criatura de seu cemitério: Coloque no campo de batalha uma ficha de criatura preta 2/2 do tipo Zumbi virada.</t>
  </si>
  <si>
    <t>Null Group Biological Assets</t>
  </si>
  <si>
    <t>Creature — Mutant Mercenary</t>
  </si>
  <si>
    <t>During your turn, this creature has first strike. Whenever this creature attacks, you may discard a card. If you do, draw a card.</t>
  </si>
  <si>
    <t>Nullify / Nulificar</t>
  </si>
  <si>
    <t>Counter target creature or Aura spell. / Anule a mágica de criatura ou de Aura alvo.</t>
  </si>
  <si>
    <t>Número da Broca / Drill Bit</t>
  </si>
  <si>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</si>
  <si>
    <t>Nutrient Block</t>
  </si>
  <si>
    <t>Indestructible (Effects that say "destroy" don't destroy this artifact.) {2}, {T}, Sacrifice this artifact: You gain 3 life. When this artifact is put into a graveyard from the battlefield, draw a card.</t>
  </si>
  <si>
    <t>Nylea's Forerunner / Pioneiro de Nileia</t>
  </si>
  <si>
    <t>Enchantment Creature — Beast / Criatura Encantamento — Besta</t>
  </si>
  <si>
    <t>Trample Other creatures you control have trample. / Atropelar As outras criaturas que você controla têm atropelar.</t>
  </si>
  <si>
    <t>Nyx Infusion / Infusão de Nyx</t>
  </si>
  <si>
    <t>Enchant creature Enchanted creature gets +2/+2 as long as it's an enchantment. Otherwise, it gets -2/-2. / Encantar criatura A criatura encantada recebe +2/+2 enquanto for um encantamento. Do contrário, ela recebe -2/-2.</t>
  </si>
  <si>
    <t>Nyx-Fleece Ram / Carneiro Velocino-de-Nyx</t>
  </si>
  <si>
    <t>Enchantment Creature — Sheep / Criatura Encantamento — Ovelha</t>
  </si>
  <si>
    <t>At the beginning of your upkeep, you gain 1 life. / No início de sua manutenção, você ganha 1 ponto de vida.</t>
  </si>
  <si>
    <t>Historic Anthology 2 (HA2)</t>
  </si>
  <si>
    <t>Nyxborn Brute / Bruto Nyxnato</t>
  </si>
  <si>
    <t>Enchantment Creature — Cyclops / Criatura Encantamento — Ciclope</t>
  </si>
  <si>
    <t>Nyxborn Hydra / Hidra Nyxnata</t>
  </si>
  <si>
    <t>Enchantment Creature — Hydra / Criatura Encantamento — Hidra</t>
  </si>
  <si>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</si>
  <si>
    <t>{X}{G}</t>
  </si>
  <si>
    <t>Bestow {X}{G}{G} (If you cast this card for its bestow cost, it's an Aura spell with enchant creature. It becomes a creature again if it's not attached.) Reach, trample This permanent enters with X +1/+1 counters on it. Enchanted creature gets +1/+1 for each +1/+1 counter on this Aura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</si>
  <si>
    <t>Nyxborn Marauder / Saqueadora Nyxnata</t>
  </si>
  <si>
    <t>Nyxborn Shieldmate / Escudeiro Nyxnato</t>
  </si>
  <si>
    <t>Enchantment Creature — Human Soldier / Criatura Encantamento — Humano Soldado</t>
  </si>
  <si>
    <t>Bestow {2}{W} (If you cast this card for its bestow cost, it's an Aura spell with enchant creature. It becomes a creature again if it's not attached.) Enchanted creature gets +1/+2. / Agraciar {2}{W} (Se você conjurar este card pagando seu custo de agraciar, ele será uma mágica de Aura com encantar criatura. Ele se tornará novamente uma criatura se não estiver anexado a uma criatura.) A criatura encantada recebe +1/+2.</t>
  </si>
  <si>
    <t>Nyxborn Triton / Talassido Nyxnato</t>
  </si>
  <si>
    <t>Enchantment Creature — Merfolk / Criatura Encantamento — Tritão</t>
  </si>
  <si>
    <t>Bestow {4}{U} (If you cast this card for its bestow cost, it's an Aura spell with enchant creature. It becomes a creature again if it's not attached.) Enchanted creature gets +2/+3. / Agraciar {4}{U} (Se você conjurar este card pagando seu custo de agraciar, ele será uma mágica de Aura com encantar criatura. Ele se tornará novamente uma criatura se não estiver anexado a uma criatura.) A criatura encantada recebe +2/+3.</t>
  </si>
  <si>
    <t>O Boca de Sauron / Mouth of Sauron</t>
  </si>
  <si>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</si>
  <si>
    <t>3{G}{R}</t>
  </si>
  <si>
    <t>O Tormento de Gollum / Gollum's Bite</t>
  </si>
  <si>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</si>
  <si>
    <t>Oakheart Dryads / Dríades Coração-de-carvalho</t>
  </si>
  <si>
    <t>Enchantment Creature — Nymph Dryad / Criatura Encantamento — Ninfa Dríade</t>
  </si>
  <si>
    <t>Constellation — Whenever this creature or another enchantment you control enters, target creature gets +1/+1 until end of turn. / Constelação — Toda vez que Dríades Coração-de-carvalho ou outro encantamento entra no campo de batalha sob seu controle, a criatura alvo recebe +1/+1 até o final do turno.</t>
  </si>
  <si>
    <t>Oashra Cultivator / Cultivadora de Oashra</t>
  </si>
  <si>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</si>
  <si>
    <t>{2}{G}, {T}, Sacrifice this creature: Search your library for a basic land card, put it onto the battlefield tapped, then shuffle. / {2}{G}, {T}, Sacrifique Cultivadora de Oashra: Procure um card de terreno básico em seu grimório, coloque-o no campo de batalha virado e depois embaralhe seu grimório.</t>
  </si>
  <si>
    <t>Oasis</t>
  </si>
  <si>
    <t>{T}: Prevent the next 1 damage that would be dealt to target creature this turn.</t>
  </si>
  <si>
    <t>Oasis Ritualist / Ritualista do Oásis</t>
  </si>
  <si>
    <t>Creature — Snake Druid / Criatura — Naga Druida</t>
  </si>
  <si>
    <t>{T}: Add one mana of any color. {T}, Exert this creature: Add two mana of any one color. (An exerted creature won't untap during your next untap step.) / {T}: Adicione um mana de qualquer cor à sua reserva de mana. {T}, exaura Ritualista do Oásis: Adicione dois manas de qualquer cor à sua reserva de mana. (Uma criatura exaurida não será desvirada durante sua próxima etapa de desvirar.)</t>
  </si>
  <si>
    <t>Oath of Lim-Dûl / Juramento de Lim-Dûl</t>
  </si>
  <si>
    <t>Whenever you lose life, for each 1 life you lost, sacrifice a permanent other than this enchantment unless you discard a card. (Damage dealt to you causes you to lose life.) {B}{B}: Draw a card.</t>
  </si>
  <si>
    <t>Obelisco de Naya / Obelisk of Naya</t>
  </si>
  <si>
    <t>{T}: Adicione {R}, {G} ou {W} à sua reserva de mana.</t>
  </si>
  <si>
    <t>Obsianus Golem / Golem Obsianus</t>
  </si>
  <si>
    <t>Obsidian Acolyte</t>
  </si>
  <si>
    <t>Protection from Preto, {W}: Target creature gains protection from Preto until end of turn.</t>
  </si>
  <si>
    <t>Octopus Form</t>
  </si>
  <si>
    <t>Target creature you control gets +1/+1 and gains hexproof until end of turn. Untap it. (It can't be the target of spells or abilities your opponents control.)</t>
  </si>
  <si>
    <t>Oculus</t>
  </si>
  <si>
    <t>Creature — Phyrexian Homunculus / Criatura — Homúnculo</t>
  </si>
  <si>
    <t>When this creature dies, you may draw a card. / Quando Oculus é colocado num cemitério vindo do campo de batalha, você pode comprar um card.</t>
  </si>
  <si>
    <t>Ogre Battledriver / Condutor de Guerra Ogro</t>
  </si>
  <si>
    <t>Criatura — Ogro Guerreiro</t>
  </si>
  <si>
    <t>Toda vez que outra criatura entrar no campo de batalha sob o seu controle, aquela criatura receberá +2/+0 e ganhará ímpeto até o final do turno.</t>
  </si>
  <si>
    <t>Ohran Yeti / Yeti de Ohran</t>
  </si>
  <si>
    <t>Snow Creature — Yeti / Criatura da Neve — Yeti</t>
  </si>
  <si>
    <t>{2}{S}: Target snow creature gains first strike until end of turn. ({S} can be paid with one mana from a snow source.) / {2}{S}: A criatura da neve alvo ganha iniciativa até o final do turno. ({S} pode ser pago com um mana de uma permanente da neve.)</t>
  </si>
  <si>
    <t>Ojutai's Breath / Sopro de Ojutai</t>
  </si>
  <si>
    <t>Tap target creature. It doesn't untap during its controller's next untap step. Rebound (If you cast this spell from your hand, exile it as it resolves. At the beginning of your next upkeep, you may cast this card from exile without paying its mana cost.) / Vire a criatura alvo. Ela não desvira durante a próxima etapa de desvirar de seu controlador. Rebote (Se você conjurar esta mágica da sua mão, exile-a conforme ela for resolvida. No início de sua próxima manutenção, você poderá conjurar este card a partir do exílio sem pagar seu custo de mana.)</t>
  </si>
  <si>
    <t>Ojutai's Command / Comando de Ojutai</t>
  </si>
  <si>
    <t>Choose two — • Return target creature card with mana value 2 or less from your graveyard to the battlefield. • You gain 4 life. • Counter target creature spell. • Draw a card. / Escolha dois — • Devolva o card de criatura alvo com custo de mana convertido igual ou inferior a 2 do seu cemitério para o campo de batalha. • Você ganha 4 pontos de vida. • Anule a mágica de criatura alvo. • Compre um card.</t>
  </si>
  <si>
    <t>Ojutai's Summons / Convocados de Ojutai</t>
  </si>
  <si>
    <t>Create a 2/2 blue Djinn Monk creature token with flying. Rebound (If you cast this spell from your hand, exile it as it resolves. At the beginning of your next upkeep, you may cast this card from exile without paying its mana cost.) / Coloque no campo de batalha uma ficha de criatura azul 2/2 do tipo Gênio Monge com voar. Rebote (Se você conjurar esta mágica da sua mão, exile-a conforme ela for resolvida. No início de sua próxima manutenção, você poderá conjurar este card a partir do exílio sem pagar seu custo de mana.)</t>
  </si>
  <si>
    <t>&lt;&lt;&lt;&lt;&lt;&lt;&lt;&lt;&lt;</t>
  </si>
  <si>
    <t>Oko's Hospitality / Hospitalidade de Oko</t>
  </si>
  <si>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</si>
  <si>
    <t>Okoye, Dora Milaje Leader</t>
  </si>
  <si>
    <t>Legendary Creature — Human Warrior Hero</t>
  </si>
  <si>
    <t>When Okoye enters, create two 1/1 white Soldier creature tokens. Attacking creature tokens you control have first strike.</t>
  </si>
  <si>
    <t>Old Ghastbark / Tronco-Pálido Ancião</t>
  </si>
  <si>
    <t>Creature — Treefolk Warrior / Criatura — Ent Guerreiro</t>
  </si>
  <si>
    <t>{3}{G/W}{G/W}</t>
  </si>
  <si>
    <t>Old Hob, Alleycat Blues</t>
  </si>
  <si>
    <t>Legendary Creature — Cat Mutant Rebel</t>
  </si>
  <si>
    <t>At the beginning of combat on your turn, create a 2/2 red Mutant creature token. It gains haste until end of turn. Destroy it at the beginning of the next end step. {1}{W}: Target attacking creature token gains indestructible until end of turn.</t>
  </si>
  <si>
    <t>Old Rutstein / Velho Rutstein</t>
  </si>
  <si>
    <t>Legendary Creature — Human Peasant / Criatura Lendária — Humano Plebeu</t>
  </si>
  <si>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</si>
  <si>
    <t>Olho do Peregrino / Pilgrim's Eye</t>
  </si>
  <si>
    <t>Criatura Artefato — Tóptero / Artifact Creature — Thopter</t>
  </si>
  <si>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</si>
  <si>
    <t>Olifante / Oliphaunt</t>
  </si>
  <si>
    <t>Criatura — Elefante</t>
  </si>
  <si>
    <t>Atropelar. Toda vez que Olifante ataca, outra criatura alvo que você controla recebe +2/+0 e ganha atropelar até o final do turno. Reciclar Montanha {1}</t>
  </si>
  <si>
    <t>Omen of the Dead / Augúrio dos Mortos</t>
  </si>
  <si>
    <t>Flash When this enchantment enters, return target creature card from your graveyard to your hand. {2}{B}, Sacrifice this enchantment: Scry 2. / Lampejo Quando Augúrio dos Mortos entrar no campo de batalha, devolva o card de criatura alvo de seu cemitério para sua mão. {2}{B}, sacrifique Augúrio dos Mortos: Use vidência 2.</t>
  </si>
  <si>
    <t>Omen of the Hunt / Augúrio da Caça</t>
  </si>
  <si>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</si>
  <si>
    <t>Omenspeaker / Sibila</t>
  </si>
  <si>
    <t>When this creature enters, scry 2. (Look at the top two cards of your library, then put any number of them on the bottom and the rest on top in any order.) / Quando Sibila entrar no campo de batalha, use vidência 2. (Olhe os dois cards do topo do seu grimório. Depois, coloque qualquer número deles no fundo do seu grimório e o resto no topo em qualquer ordem.)</t>
  </si>
  <si>
    <t>Ominous Sphinx / Esfinge Nefasta</t>
  </si>
  <si>
    <t>Flying Whenever you cycle or discard a card, target creature an opponent controls gets -2/-0 until end of turn. / Voar Toda vez que você recicla ou descarta um card, a criatura alvo que um oponente controla recebe -2/-0 até o final do turno.</t>
  </si>
  <si>
    <t>Omni-Changeling</t>
  </si>
  <si>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</si>
  <si>
    <t>Omni-Cheese Pizza</t>
  </si>
  <si>
    <t>When this artifact enters, draw a card. {1}, {T}, Sacrifice this artifact: Add one mana of any color. {2}, {T}, Sacrifice this artifact: You gain 3 life.</t>
  </si>
  <si>
    <t>On the Job / Ao Trabalho</t>
  </si>
  <si>
    <t>Creatures you control get +2/+1 until end of turn. Investigate. (Create a Clue token. It's an artifact with "{2}, Sacrifice this token: Draw a card.") / As criaturas que você controla recebem +2/+1 até o final do turno. Investigue.</t>
  </si>
  <si>
    <t>Ondu War Cleric / Clérigo da Guerra de Ondu</t>
  </si>
  <si>
    <t>Creature — Human Cleric Ally / Criatura — Humano Clérigo Aliado</t>
  </si>
  <si>
    <t>Cohort — {T}, Tap an untapped Ally you control: You gain 2 life. / Companheiro — {T}, Vire um Aliado desvirado que você controla: Você ganha 2 pontos de vida.</t>
  </si>
  <si>
    <t>Ongoing Investigation / Investigação em Andamento</t>
  </si>
  <si>
    <t>Whenever one or more creatures you control deal combat damage to a player, investigate. (Create a Clue token. It's an artifact with "{2}, Sacrifice this token: Draw a card.") {1}{G}, Exile a creature card from your graveyard: Investigate. You gain 2 life. / Toda vez que uma ou mais criaturas que você controla causarem dano de combate a um jogador, investigue. (Coloque no campo de batalha uma ficha de artefato incolor do tipo Pista com "{2}, Sacrifique este artefato: Compre um card.") {1}{G}, Exile um card de criatura de seu cemitério: Investigue. Você ganha 2 pontos de vida.</t>
  </si>
  <si>
    <t>Oni of Wild Places / Oni de Lugares Selvagens</t>
  </si>
  <si>
    <t>Criatura — Demônio Espírito</t>
  </si>
  <si>
    <t>Ímpeto. No início da sua manutenção, devolva uma criatura vermelha que você controla para a mão de seu dono.</t>
  </si>
  <si>
    <t>Onslaught / Investida Violenta</t>
  </si>
  <si>
    <t>Whenever you cast a creature spell, tap target creature.</t>
  </si>
  <si>
    <t>Exodus (EXO)</t>
  </si>
  <si>
    <t>Onulet / Onuleto</t>
  </si>
  <si>
    <t>When this creature dies, you gain 2 life.</t>
  </si>
  <si>
    <t>Onyx Talisman / Talismã de Ônix</t>
  </si>
  <si>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</si>
  <si>
    <t>Oona's Gatewarden / Guardião dos Portões de Oona</t>
  </si>
  <si>
    <t>Creature — Faerie Soldier / Criatura — Fada Soldado</t>
  </si>
  <si>
    <t>Defender, flying Wither (This deals damage to creatures in the form of -1/-1 counters.) / Voar, defensor Murchar (Esta fonte causa dano a criaturas na forma de marcadores -1/-1.)</t>
  </si>
  <si>
    <t>{U/B}</t>
  </si>
  <si>
    <t>Oona's Grace / Graça de Oona</t>
  </si>
  <si>
    <t>Target player draws a card. Retrace (You may cast this card from your graveyard by discarding a land card in addition to paying its other costs.) / O jogador alvo compra um card. Retraçar (Você pode jogar este card de seu cemitério descartando um card de terreno, além de pagar seus outros custos.)</t>
  </si>
  <si>
    <t>Ooze Spill</t>
  </si>
  <si>
    <t>Counter target spell. Create a Mutagen token. (It's an artifact with "{1}, {T}, Sacrifice this token: Put a +1/+1 counter on target creature. Activate only as a sorcery.")</t>
  </si>
  <si>
    <t>Opal Lake Gatekeepers / Porteiros do Lago de Opala</t>
  </si>
  <si>
    <t>When this creature enters, if you control two or more Gates, you may draw a card. / Quando Porteiros do Lago de Opala entrar no campo de batalha, se você controlar dois ou mais Portões, poderá comprar um card.</t>
  </si>
  <si>
    <t>Opaline Unicorn / Unicórnio Opalino</t>
  </si>
  <si>
    <t>Artifact Creature — Unicorn / Criatura Artefato — Unicórnio</t>
  </si>
  <si>
    <t>{T}: Add one mana of any color. / {T}: Adicione um mana de qualquer cor à sua reserva de mana.</t>
  </si>
  <si>
    <t>Open into Wonder / Passagem para a Maravilha</t>
  </si>
  <si>
    <t>X target creatures can't be blocked this turn. Until end of turn, those creatures gain "Whenever this creature deals combat damage to a player, draw a card." / X criaturas alvo não podem ser bloqueadas neste turno. Até o final do turno, aquelas criaturas ganham "Toda vez que esta criatura causar dano de combate a um jogador, compre um card."</t>
  </si>
  <si>
    <t>Ophidian / Ofídio</t>
  </si>
  <si>
    <t>Creature — Snake</t>
  </si>
  <si>
    <t>Whenever this creature attacks and isn't blocked, you may draw a card. If you do, this creature assigns no combat damage this turn.</t>
  </si>
  <si>
    <t>Oppressive Rays / Raios Opressores</t>
  </si>
  <si>
    <t>Enchant creature Enchanted creature can't attack or block unless its controller pays {3}. Activated abilities of enchanted creature cost {3} more to activate. / Encantar criatura A criatura encantada não pode atacar ou bloquear a menos que seu controlador pague {3}. As habilidades ativadas da criatura encantada custam {3} a mais para serem ativadas.</t>
  </si>
  <si>
    <t>Opulent Palace / Palácio Opulento</t>
  </si>
  <si>
    <t>This land enters tapped. {T}: Add {B}, {G}, or {U}. / Palácio Opulento entra no campo de batalha virado. {T}: Adicione {B}, {G} ou {U} à sua reserva de mana.</t>
  </si>
  <si>
    <t>Oracle's Attendants / Ajudantes do Oráculo</t>
  </si>
  <si>
    <t>Creature — Human Soldier / Criatura — Soldado Humano</t>
  </si>
  <si>
    <t>{T}: All damage that would be dealt to target creature this turn by a source of your choice is dealt to this creature instead. / {T}: Todo o dano que seria causado à criatura alvo neste turno por uma fonte a sua escolha, em vez disso, é causado a Ajudantes do Oráculo.</t>
  </si>
  <si>
    <t>Oráculo Naga</t>
  </si>
  <si>
    <t>Criatura — Naga Clérigo / Creature — Naga Cleric</t>
  </si>
  <si>
    <t>Quando Oráculo Naga entrar no campo de batalha, olhe os três cards do topo de seu grimório. Coloque qualquer quantidade deles no seu cemitério e o restante no topo do seu grimório em qualquer ordem.</t>
  </si>
  <si>
    <t>Oran-Rief Recluse / Eremita de Oran-Rief</t>
  </si>
  <si>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</si>
  <si>
    <t>Orazca Frillback / Dorso-frisado de Orazca</t>
  </si>
  <si>
    <t>Orchard Spirit / Espírito do Pomar</t>
  </si>
  <si>
    <t>This creature can't be blocked except by creatures with flying or reach. / Espírito do Pomar só pode ser bloqueado por criaturas com voar ou alcance.</t>
  </si>
  <si>
    <t>Orcish Artillery / Artilharia Órquica</t>
  </si>
  <si>
    <t>{T}: This creature deals 2 damage to any target and 3 damage to you. / {T}: Artilharia Órquica causa 2 pontos de dano à criatura ou ao jogador alvo e 3 pontos de dano a você.</t>
  </si>
  <si>
    <t>Orcish Cannonade / Canoneio Orc</t>
  </si>
  <si>
    <t>Canoneio Orc causa 2 de dano à criatura ou ao jogador alvo e 3 de dano a você. Compre um card.</t>
  </si>
  <si>
    <t>Orcish Conscripts / Recrutas Orcs</t>
  </si>
  <si>
    <t>This creature can't attack unless at least two other creatures attack. This creature can't block unless at least two other creatures block.</t>
  </si>
  <si>
    <t>Orcish Farmer / Fazendeiro Orc</t>
  </si>
  <si>
    <t>{T}: Target land becomes a Swamp until its controller's next untap step.</t>
  </si>
  <si>
    <t>Orcish Librarian / Bibliotecário Orc</t>
  </si>
  <si>
    <t>Creature — Orc / Criatura — Orc</t>
  </si>
  <si>
    <t>{R}, {T}: Look at the top eight cards of your library. Exile four of them at random, then put the rest on top of your library in any order. / {R}, {T}: Olhe os oito cards do topo de seu grimório. Remova do jogo quatro deles aleatoriamente e coloque o restante no topo de seu grimório em qualquer ordem.</t>
  </si>
  <si>
    <t>Orcish Veteran</t>
  </si>
  <si>
    <t>This creature can't block white creatures with power 2 or greater. {R}: This creature gains first strike until end of turn.</t>
  </si>
  <si>
    <t>Ordeal of Erebos / Provação de Érebo</t>
  </si>
  <si>
    <t>Enchant creature Whenever enchanted creature attacks, put a +1/+1 counter on it. Then if it has three or more +1/+1 counters on it, sacrifice this Aura. When you sacrifice this Aura, target player discards two cards. / Encantar criatura Toda vez que a criatura encantada atacar, coloque um marcador +1/+1 nela. Depois, se ela tiver três ou mais marcadores +1/+1, sacrifique Provação de Érebo. Quando você sacrifica Provação de Érebo, o jogador alvo descarta dois cards.</t>
  </si>
  <si>
    <t>Oread of Mountain's Blaze / Oréade da Labareda Montanhesca</t>
  </si>
  <si>
    <t>{2}{R}, Discard a card: Draw a card. / {2}{R}, descarte um card: Compre um card.</t>
  </si>
  <si>
    <t>Oreplate Pangolin / Pangolim das Placas de Minério</t>
  </si>
  <si>
    <t>Criatura Artefato — Robô Pangolim</t>
  </si>
  <si>
    <t>Sempre que um outro artefato que você controla entrar, você pode pagar {1}. Se fizer isso, coloque um marcador +1/+1 nesta criatura.</t>
  </si>
  <si>
    <t>Oreskos Swiftclaw / Garra-veloz de Oreskos</t>
  </si>
  <si>
    <t>Creature — Cat Warrior / Criatura — Felino Guerreiro</t>
  </si>
  <si>
    <t>Organ Grinder / Moedor de Órgãos</t>
  </si>
  <si>
    <t>{T}, Exile three cards from your graveyard: Target player loses 3 life. / {T}, Remova de jogo três cards de seu cemitério: O jogador alvo perde 3 pontos de vida.</t>
  </si>
  <si>
    <t>Torment (TOR)</t>
  </si>
  <si>
    <t>Origin Spellbomb / Magibomba da Origem</t>
  </si>
  <si>
    <t>{1}, {T}, Sacrifice this artifact: Create a 1/1 colorless Myr artifact creature token. When this artifact is put into a graveyard from the battlefield, you may pay {W}. If you do, draw a card. / {1}, {T}, Sacrifique Magibomba da Origem: Coloque no campo de batalha uma ficha de criatura artefato incolor 1/1 do tipo Myr. Quando Magibomba da Origem é colocado num cemitério vindo do campo de batalha, você pode pagar {W}. Se fizer isso, compre um card.</t>
  </si>
  <si>
    <t>Orim's Cure / Cura de Orim</t>
  </si>
  <si>
    <t>If you control a Plains, you may tap an untapped creature you control rather than pay this spell's mana cost. Prevent the next 4 damage that would be dealt to any target this turn.</t>
  </si>
  <si>
    <t>Ornery Kudu / Kudu Turrão</t>
  </si>
  <si>
    <t>When this creature enters, put a -1/-1 counter on target creature you control. / Quando Kudu Turrão entrar no campo de batalha, coloque um marcador -1/-1 na criatura alvo que você controla.</t>
  </si>
  <si>
    <t>Ornithopter</t>
  </si>
  <si>
    <t>Ornithopter / Ornitóptero</t>
  </si>
  <si>
    <t>Artifact Creature — Thopter / Criatura Artefato — Tóptero</t>
  </si>
  <si>
    <t>Flying / Voar (Esta criatura só pode ser bloqueada por criaturas com voar ou alcance.)</t>
  </si>
  <si>
    <t>Ninth Edition (9ED)</t>
  </si>
  <si>
    <t>Orochi Leafcaller / Invocador de Folhas Orochi</t>
  </si>
  <si>
    <t>Creature — Snake Shaman / Criatura — Cobra Xamã</t>
  </si>
  <si>
    <t>{G}: Add one mana of any color to your mana pool. / {G}: Adicione um mana de qualquer cor à sua reserva de mana.</t>
  </si>
  <si>
    <t>Orochi Ranger</t>
  </si>
  <si>
    <t>Creature — Snake Warrior</t>
  </si>
  <si>
    <t>Whenever Orochi Ranger deals combat damage to a creature, tap that creature and it doesn't untap during its controller's next untap step.</t>
  </si>
  <si>
    <t>Orochi Sustainer / Orochi Chama-Folhas</t>
  </si>
  <si>
    <t>Creature — Snake Shaman</t>
  </si>
  <si>
    <t>{T}: Add {G} to your mana pool.</t>
  </si>
  <si>
    <t>Oroku Saki, Shredder Rising</t>
  </si>
  <si>
    <t>Sneak {1}{B} (You may cast this spell for {1}{B} if you also return an unblocked attacker you control to hand during the declare blockers step. He enters tapped and attacking.) Whenever Oroku Saki deals combat damage to a player, you draw a card and lose 1 life.</t>
  </si>
  <si>
    <t>Orphans of the Wheat</t>
  </si>
  <si>
    <t>Whenever this creature attacks, tap any number of untapped creatures you control. This creature gets +1/+1 until end of turn for each creature tapped this way.</t>
  </si>
  <si>
    <t>Orzhov Cluestone / Pedra dos Indícios Orzhov</t>
  </si>
  <si>
    <t>{T}: Add {W} or {B}. {W}{B}, {T}, Sacrifice this artifact: Draw a card. / {T}: Adicione {W} ou {B}. {W}{B}, {T}, Sacrifique Pedra dos Indícios Orzhov: Compre um card.</t>
  </si>
  <si>
    <t>Orzhov Guildgate / Portão da Guilda Orzhov</t>
  </si>
  <si>
    <t>This land enters tapped. {T}: Add {W} or {B}. / Portão da Guilda Orzhov entra no campo de batalha virado. {T}: Adicione {W} ou {B}.</t>
  </si>
  <si>
    <t>Orzhov Pontiff / Pontífice Orzhov</t>
  </si>
  <si>
    <t>Haunt (When this creature dies, exile it haunting target creature.) When this creature enters or the creature it haunts dies, choose one — • Creatures you control get +1/+1 until end of turn. • Creatures you don't control get -1/-1 until end of turn. / Assombrar (Quando este card for colocado no cemitério vindo do jogo, remova-o do jogo assombrando a criatura alvo.) Quando Pontífice Orzhov entra em jogo ou a criatura que ele assombra é colocada num cemitério, escolha um as criaturas que você controla recebem +1/+1 até o final do turno; ou as criaturas que você não controla recebem -1/-1 até o final do turno.</t>
  </si>
  <si>
    <t>Os Portos Cinzentos / The Grey Havens</t>
  </si>
  <si>
    <t>Terreno Lendário</t>
  </si>
  <si>
    <t>Quando Os Portos Cinzentos entrar no campo de batalha, use vidência 1. {T}: Adicione {C}. {T}: Adicione um mana de qualquer cor entre as dos cards de criatura lendários em seu cemitério.</t>
  </si>
  <si>
    <t>Osso-marreta / Bone-Scythe</t>
  </si>
  <si>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</si>
  <si>
    <t>Ostrich-Horse</t>
  </si>
  <si>
    <t>Creature — Bird Horse</t>
  </si>
  <si>
    <t>When this creature enters, mill three cards. You may put a land card from among them into your hand. If you don't, put a +1/+1 counter on this creature. (To mill three cards, put the top three cards of your library into your graveyard.)</t>
  </si>
  <si>
    <t>Otter-Penguin</t>
  </si>
  <si>
    <t>Creature — Otter Bird</t>
  </si>
  <si>
    <t>Whenever you draw your second card each turn, this creature gets +1/+2 until end of turn and can't be blocked this turn.</t>
  </si>
  <si>
    <t>Out Cold / Inconsciente</t>
  </si>
  <si>
    <t>This spell can't be countered. (This includes by the ward ability.) Tap up to two target creatures and put a stun counter on each of them. Investigate. (If a permanent with a stun counter would become untapped, remove one from it instead.) / Esta mágica não pode ser anulada. (Isto inclui a habilidade salvaguarda.) Vire até duas criaturas alvo e coloque um marcador de atordoamento em cada uma delas. Investigue. (Se uma permanente com um marcador de atordoamento se tornaria desvirada, em vez disso, remova um marcador de atordoamento dela.)</t>
  </si>
  <si>
    <t>Outcaster Greenblade / Laminaverde Renegado</t>
  </si>
  <si>
    <t>When this creature enters, search your library for a basic land card or a Desert card, reveal it, put it into your hand, then shuffle. This creature gets +1/+1 for each Desert you control. / Quando Laminaverde Renegado entrar no campo de batalha, procure em seu grimório um card de terreno básico ou um card de Deserto, revele-o, coloque-o em sua mão e depois embaralhe. Laminaverde Renegado recebe +1/+1 por cada Deserto que você controla.</t>
  </si>
  <si>
    <t>Overgrown Armasaur / Armassauro Superdesenvolvido</t>
  </si>
  <si>
    <t>Enrage — Whenever this creature is dealt damage, create a 1/1 green Saproling creature token. / Enfurecer — Toda vez que Armassauro Superdesenvolvido sofrer dano, crie uma ficha de criatura verde 1/1 do tipo Saprófita.</t>
  </si>
  <si>
    <t>Overkill</t>
  </si>
  <si>
    <t>Target creature gets -0/-9999 until end of turn.</t>
  </si>
  <si>
    <t>Final Fantasy (FFX)</t>
  </si>
  <si>
    <t>Overrun / Ultrapassar</t>
  </si>
  <si>
    <t>Creatures you control get +3/+3 and gain trample until end of turn. (Each of those creatures can deal excess combat damage to the player or planeswalker it's attacking.) / As criaturas que você controla recebem +3/+3 e ganham atropelar até o final do turno. (Se uma criatura que você controla fosse atribuir dano suficiente para destruir seus bloqueadores, você pode fazer com que ela atribua o resto de seu dano ao planeswalker ou jogador defensor.)</t>
  </si>
  <si>
    <t>{2}{G}{G}{G}</t>
  </si>
  <si>
    <t>Overwhelming Stampede / Estouro Avassalador</t>
  </si>
  <si>
    <t>Until end of turn, creatures you control gain trample and get +X/+X, where X is the greatest power among creatures you control. / Até o final do turno, as criaturas que você controla ganham atropelar e recebem +X/+X, onde X é o maior poder entre as criaturas que você controla.</t>
  </si>
  <si>
    <t>Oviya Pashiri, Sage Lifecrafter / Oviya Pashiri, Sábia Vivideira</t>
  </si>
  <si>
    <t>Legendary Creature — Human Artificer / Criatura Lendária — Humano Artesão</t>
  </si>
  <si>
    <t>{2}{G}, {T}: Create a 1/1 colorless Servo artifact creature token. {4}{G}, {T}: Create an X/X colorless Construct artifact creature token, where X is the number of creatures you control. / {2}{G}, {T}: Crie uma ficha de criatura artefato incolor 1/1 do tipo Servus. {4}{G}, {T}: Crie uma ficha de criatura artefato incolor X/X do tipo Construto, sendo X o número de criaturas que você controla.</t>
  </si>
  <si>
    <t>Ovo de Ouro / Golden Egg</t>
  </si>
  <si>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</si>
  <si>
    <t>Owlin Historian</t>
  </si>
  <si>
    <t>Flying When this creature enters, surveil 1. (Look at the top card of your library. You may put it into your graveyard.) Whenever one or more cards leave your graveyard, this creature gets +1/+1 until end of turn.</t>
  </si>
  <si>
    <t>Owlin Shieldmage / Escudomante Corujim</t>
  </si>
  <si>
    <t>Creature — Bird Warlock / Criatura — Ave Bruxo</t>
  </si>
  <si>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</si>
  <si>
    <t>Pacification Array / Matriz de Pacificação</t>
  </si>
  <si>
    <t>{2}, {T}: Tap target artifact or creature. / {2}, {T}: Vire o artefato ou a criatura alvo.</t>
  </si>
  <si>
    <t>Pacifism / Pacifismo</t>
  </si>
  <si>
    <t>Pack Guardian / Alfas Reunidos</t>
  </si>
  <si>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</si>
  <si>
    <t>Pack's Disdain / Desprezo do Grupo</t>
  </si>
  <si>
    <t>Choose a creature type. Target creature gets -1/-1 until end of turn for each permanent of the chosen type you control. / Escolha um tipo de criatura. A criatura alvo recebe -1/-1 até o final do turno para cada permanente do tipo escolhido que você controla.</t>
  </si>
  <si>
    <t>Pain for All / Dor para Todos</t>
  </si>
  <si>
    <t>Encantar criatura que você controla. Quando esta Aura entrar, a criatura encantada causa dano igual ao seu poder a qualquer outro alvo. Sempre que causar dano à criatura encantada, ela causa aquela mesma quantidade de dano a cada oponente.</t>
  </si>
  <si>
    <t>Painsmith / Forjador de Dor</t>
  </si>
  <si>
    <t>Whenever you cast an artifact spell, you may have target creature get +2/+0 and gain deathtouch until end of turn. / Toda vez que conjura uma mágica de artefato, você pode fazer com que a criatura alvo receba +2/+0 e ganhe toque mortífero até o final do turno.</t>
  </si>
  <si>
    <t>Painter's Studio // Defaced Gallery</t>
  </si>
  <si>
    <t>Painter's Studio: When you unlock this door, exile the top two cards of your library. You may play them until the end of your next turn. (You may cast either half. That door unlocks on the battlefield. As a sorcery, you may pay the mana cost of a locked door to unlock it.) // Defaced Gallery: Whenever you attack, attacking creatures you control get +1/+0 until end of turn. (You may cast either half. That door unlocks on the battlefield. As a sorcery, you may pay the mana cost of a locked door to unlock it.)</t>
  </si>
  <si>
    <t>{2}{R} // {1}{R}</t>
  </si>
  <si>
    <t>Palace Familiar / Familiar do Palácio</t>
  </si>
  <si>
    <t>Flying When this creature dies, draw a card. / Voar Quando Familiar do Palácio morrer, compre um card.</t>
  </si>
  <si>
    <t>Paladin of the Bloodstained / Paladina da Mancha-de-Sangue</t>
  </si>
  <si>
    <t>When this creature enters, create a 1/1 white Vampire creature token with lifelink. / Quando Paladina da Mancha-de-Sangue entrar no campo de batalha, crie uma ficha de criatura branca 1/1 do tipo Vampiro com vínculo com a vida.</t>
  </si>
  <si>
    <t>Paladin's Arms</t>
  </si>
  <si>
    <t>Job select (When this Equipment enters, create a 1/1 colorless Hero creature token, then attach this to it.) Equipped creature gets +2/+1, has ward 1, and is a Knight in addition to its other types. Lightbringer and Hero's Shield — Equip 4</t>
  </si>
  <si>
    <t xml:space="preserve">Não </t>
  </si>
  <si>
    <t>Panic / Pânico</t>
  </si>
  <si>
    <t>Cast this spell only during combat before blockers are declared. Target creature can't block this turn. Draw a card at the beginning of the next turn's upkeep.</t>
  </si>
  <si>
    <t>Panic Spellbomb / Magibomba do Pânico</t>
  </si>
  <si>
    <t>{T}, Sacrifice this artifact: Target creature can't block this turn. When this artifact is put into a graveyard from the battlefield, you may pay {R}. If you do, draw a card. / {T}: Sacrifique Magibomba do Pânico: A criatura alvo não pode bloquear neste turno. Quando Magibomba do Pânico é colocado num cemitério vindo do campo de batalha, você pode pagar {R}. Se fizer isso, compre um card.</t>
  </si>
  <si>
    <t>Pantheon's Altar / Altar do Panteão</t>
  </si>
  <si>
    <t>Your devotion to each color and each color combination is increased by one. {T}: Add one mana of any color. If you control a God, Demigod, or legendary enchantment, you gain 1 life.</t>
  </si>
  <si>
    <t>Paralyze / Paralizar</t>
  </si>
  <si>
    <t>Enchant creature When this Aura enters, tap enchanted creature. Enchanted creature doesn't untap during its controller's untap step. At the beginning of the upkeep of enchanted creature's controller, that player may pay {4}. If the player does, untap the creature.</t>
  </si>
  <si>
    <t>Paralyzing Grasp / Abraço Paralisante</t>
  </si>
  <si>
    <t>Enchant creature Enchanted creature doesn't untap during its controller's untap step. / Encantar criatura A criatura encantada não é desvirada durante a etapa de desvirar de seu controlador.</t>
  </si>
  <si>
    <t>Paramecia Coloniex</t>
  </si>
  <si>
    <t>Creature — Zombie Worm</t>
  </si>
  <si>
    <t>When this creature enters, mill three cards. (Put the top three cards of your library into your graveyard.) When this creature dies, you may exile it. When you do, put target creature card from your graveyard on top of your library.</t>
  </si>
  <si>
    <t>Parish-Blade Trainee / Recruta Lâmina Paroquial</t>
  </si>
  <si>
    <t>Training (Whenever this creature attacks with another creature with greater power, put a +1/+1 counter on this creature.) When this creature dies, put its counters on target creature you control. / Treinamento (Toda vez que esta criatura atacar com outra criatura de poder superior, coloque um marcador +1/+1 nesta criatura.) Quando Recruta Lâmina Paroquial morrer, coloque seus marcadores na criatura alvo que você controla.</t>
  </si>
  <si>
    <t>Passageway Seer / Vidente da Passagem</t>
  </si>
  <si>
    <t>Creature — Tiefling Warlock / Criatura — Tiferino Bruxo</t>
  </si>
  <si>
    <t>Lifelink When this creature enters, you take the initiative. At the beginning of your end step, if you have the initiative, put a +1/+1 counter on this creature. / Vínculo com a vida Quando Vidente da Passagem entra no campo de batalha, você assume a dianteira. No início de sua etapa final, se você estiver na dianteira, coloque um marcador +1/+1 em Vidente da Passagem.</t>
  </si>
  <si>
    <t>Passwall Adept / Adepto de Criptoparede</t>
  </si>
  <si>
    <t>{2}{U}: Target creature can't be blocked this turn. / {2}{U}: A criatura alvo não pode ser bloqueada neste turno.</t>
  </si>
  <si>
    <t>Path to Redemption</t>
  </si>
  <si>
    <t>Enchant creature Enchanted creature can't attack or block. {5}, Sacrifice this Aura: Exile enchanted creature. Create a 1/1 white Ally creature token. Activate only during your turn.</t>
  </si>
  <si>
    <t>Patrician's Scorn / Desprezo de Compatrício</t>
  </si>
  <si>
    <t>If you've cast another white spell this turn, you may cast this spell without paying its mana cost. Destroy all enchantments. / Se você jogou outra mágica branca neste turno, poderá jogar Desprezo de Compatrício sem pagar seu custo de mana. Destrua todos os encantamentos.</t>
  </si>
  <si>
    <t>Pay No Heed / Desconsiderar</t>
  </si>
  <si>
    <t>Prevent all damage a source of your choice would deal this turn. / Previna todo o dano que uma fonte à sua escolha causaria neste turno.</t>
  </si>
  <si>
    <t>Peace of Mind / Paz de Espírito</t>
  </si>
  <si>
    <t>{W}, Discard a card: You gain 3 life. / {W}, Descarte um card: Você ganha 3 pontos de vida.</t>
  </si>
  <si>
    <t>Peace Strider / Andarilho Pacificador</t>
  </si>
  <si>
    <t>When this creature enters, you gain 3 life. / Quando Andarilho Pacificador entra no campo de batalha, você ganha 3 pontos de vida.</t>
  </si>
  <si>
    <t>Pearled Unicorn / Unicórnio Perolado</t>
  </si>
  <si>
    <t>None. / Nenhuma.</t>
  </si>
  <si>
    <t>Pedregulho Fugitivo / Runaway Boulder</t>
  </si>
  <si>
    <t>Flash. When Runaway Boulder enters the battlefield, it deals 6 damage to target creature an opponent controls. Cycling {2}. / Lampejo. Quando Pedregulho Fugitivo entra no campo de batalha, ele causa 6 pontos de dano à criatura alvo que um oponente controla. Reciclar {2}.</t>
  </si>
  <si>
    <t>Peema Aether-Seer / Eteromante de Peema</t>
  </si>
  <si>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</si>
  <si>
    <t>Peema Outrider / Vanguardeiro de Peema</t>
  </si>
  <si>
    <t>Trample Fabricate 1 (When this creature enters, put a +1/+1 counter on it or create a 1/1 colorless Servo artifact creature token.) / Atropelar Fabricar 1 (Quando esta criatura entrar no campo de batalha, coloque um marcador +1/+1 nela ou crie uma ficha de criatura artefato incolor 1/1 do tipo Servus.)</t>
  </si>
  <si>
    <t>Pégaso de Meseta / Mesa Pegasus</t>
  </si>
  <si>
    <t>Invocação de Pégaso / Summon Pegasus</t>
  </si>
  <si>
    <t>Voador, Forma Bando</t>
  </si>
  <si>
    <t>Peggy Carter, Secret Agent</t>
  </si>
  <si>
    <t>Legendary Creature — Human Spy Hero</t>
  </si>
  <si>
    <t>Whenever a creature you control attacks alone, it gains indestructible until end of turn. (Damage and effects that say "destroy" don't destroy it.)</t>
  </si>
  <si>
    <t>Pentagram of the Ages / Pentagrama das Eras</t>
  </si>
  <si>
    <t>{4}, {T}: The next time a source of your choice would deal damage to you this turn, prevent that damage.</t>
  </si>
  <si>
    <t>Perda / Down // Lucro / Dirty</t>
  </si>
  <si>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</si>
  <si>
    <t>{2}{B} // {1}{W}</t>
  </si>
  <si>
    <t>Preto e Branco</t>
  </si>
  <si>
    <t>Peregrin Tûk / Peregrin Took</t>
  </si>
  <si>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</si>
  <si>
    <t>Perfect Intimidation</t>
  </si>
  <si>
    <t>Choose one or both — Target opponent exiles two cards from their hand. Remove all counters from target creature.</t>
  </si>
  <si>
    <t>Perilous Myr / Myr Temerário</t>
  </si>
  <si>
    <t>When this creature dies, it deals 2 damage to any target. / Quando Myr Temerário é colocado num cemitério vindo do campo de batalha, ele causa 2 pontos de dano à criatura ou ao jogador alvo.</t>
  </si>
  <si>
    <t>Perilous Predicament / Dilema Perigoso</t>
  </si>
  <si>
    <t>Each opponent sacrifices an artifact creature and a nonartifact creature of their choice. / Cada oponente sacrifica uma criatura artefato e uma criatura que não seja um artefato.</t>
  </si>
  <si>
    <t>Perplexing Chimera / Quimera Desconcertante</t>
  </si>
  <si>
    <t>Enchantment Creature — Chimera / Criatura Encantamento — Quimera</t>
  </si>
  <si>
    <t>Whenever an opponent casts a spell, you may exchange control of this creature and that spell. If you do, you may choose new targets for the spell. (If the spell becomes a permanent, you control that permanent.) / Toda vez que um oponente conjura uma mágica, você pode permutar o controle de Quimera Desconcertante e daquela mágica. Se fizer isso, você poderá escolher novos alvos para a mágica. (Se a mágica se tornar uma permanente, você controlará aquela permanente.)</t>
  </si>
  <si>
    <t>Persistent Marshstalker</t>
  </si>
  <si>
    <t>Creature — Rat Berserker</t>
  </si>
  <si>
    <t>This creature gets +1/+0 for each other Rat you control. Threshold — Whenever you attack with one or more Rats, if there are seven or more cards in your graveyard, you may pay {2}{B}. If you do, return this card from your graveyard to the battlefield tapped and attacking.</t>
  </si>
  <si>
    <t>Persistent Petitioners / Peticionários Persistentes</t>
  </si>
  <si>
    <t>{1}, {T}: Target player mills a card. (They put the top card of their library into their graveyard.) Tap four untapped Advisors you control: Target player mills twelve cards. A deck can have any number of cards named Persistent Petitioners. / {1}, {T}: O jogador alvo coloca o card do topo do próprio grimório no próprio cemitério. Vire quatro Conselheiros desvirados que você controla: O jogador alvo coloca os doze cards do topo do próprio grimório no próprio cemitério. Um deck pode conter um número qualquer de cards com o nome Peticionários Persistentes.</t>
  </si>
  <si>
    <t>Persistent Specimen / Espécime Persistente</t>
  </si>
  <si>
    <t>{2}{B}: Return this card from your graveyard to the battlefield tapped. / {2}{B}: Devolva Espécime Persistente de seu cemitério para o campo de batalha virado.</t>
  </si>
  <si>
    <t>Personal Incarnation / Encarnação Pessoal</t>
  </si>
  <si>
    <t>Creature — Avatar Incarnation</t>
  </si>
  <si>
    <t>{0}: The next 1 damage that would be dealt to this creature this turn is dealt to its owner instead. Only this creatures owner may activate this ability. When this creature dies, its owner loses half their life, rounded up.</t>
  </si>
  <si>
    <t>{3}{W}{W}{W}</t>
  </si>
  <si>
    <t>Personify</t>
  </si>
  <si>
    <t>Exile target creature you control, then return that card to the battlefield under its owner's control. Create a 1/1 colorless Shapeshifter creature token with changeling. (It's every creature type.)</t>
  </si>
  <si>
    <t>Perturbador de Redes / Network Disruptor</t>
  </si>
  <si>
    <t>Criatura Artefato — Cidadão-da-lua Ladino / Artifact Creature — Moonfolk Rogue</t>
  </si>
  <si>
    <t>Voar. Quando Perturbador de Redes entrar no campo de batalha, vire a permanente alvo. / Flying. When Network Disruptor enters the battlefield, tap target permanent.</t>
  </si>
  <si>
    <t>Pestbrood Sloth / Preguiça da Ninhada de Pragas</t>
  </si>
  <si>
    <t>Creature — Plant Sloth / Criatura — Planta Preguiça</t>
  </si>
  <si>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</si>
  <si>
    <t>Pestilence / Pestilência</t>
  </si>
  <si>
    <t>{B}: Do 1 damage to each creature and to both players. If there are no creatures in play at the end of any turn, Pestilence must be discarded.</t>
  </si>
  <si>
    <t>At the beginning of the end step, if no creatures are on the battlefield, sacrifice this enchantment. {B}: This enchantment deals 1 damage to each creature and each player.</t>
  </si>
  <si>
    <t>Quarta edição</t>
  </si>
  <si>
    <t>Pestilence Rats / Ratos da Peste</t>
  </si>
  <si>
    <t>Pestilence Rats's power is equal to the number of other Rats on the battlefield. (For example, as long as there are two other Rats on the battlefield, Pestilence Rats's power and toughness are 2/3.)</t>
  </si>
  <si>
    <t>Pests of Honor / Pragas de Honra</t>
  </si>
  <si>
    <t>Creature — Mouse / Criatura — Camundongo</t>
  </si>
  <si>
    <t>Celebration — At the beginning of combat on your turn, if two or more nonland permanents entered the battlefield under your control this turn, put a +1/+1 counter on this creature. / Celebração — No início do combate no seu turno, se duas ou mais permanentes não de terreno tiverem entrado no campo de batalha sob seu controle neste turno, coloque um marcador +1/+1 em Pragas de Honra.</t>
  </si>
  <si>
    <t>Phalanx Formation / Formação de Falange</t>
  </si>
  <si>
    <t>Strive — This spell costs {1}{W} more to cast for each target beyond the first. Any number of target creatures each gain double strike until end of turn. (They deal both first-strike and regular combat damage.) / Esforço — Formação de Falange custa {1}{W} a mais para ser conjurado para cada alvo além do primeiro. Qualquer número de criaturas alvo ganha golpe duplo até o final do turno. (Elas causam tanto o dano de iniciativa quanto o dano de combate normal.)</t>
  </si>
  <si>
    <t>Phantom Train / Trem Fantasma</t>
  </si>
  <si>
    <t>Atropelar. Sacrifique outro artefato ou criatura: Coloque um marcador +1/+1 neste Veículo. Ele se torna uma criatura artefato Espírito além de seus outros tipos até o final do turno.</t>
  </si>
  <si>
    <t>Phantom Warrior / Guerreiro Fantasma</t>
  </si>
  <si>
    <t>Creature — Illusion Warrior / Criatura — Ilusão Guerreiro</t>
  </si>
  <si>
    <t>This creature can't be blocked. / Guerreiro Fantasma não pode ser bloqueado.</t>
  </si>
  <si>
    <t>Pharagax Giant / Gigante de Faragax</t>
  </si>
  <si>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</si>
  <si>
    <t>Pharika, God of Affliction / Fárica, Deusa do Padecimento</t>
  </si>
  <si>
    <t>Legendary Enchantment Creature — God / Criatura Encantamento Lendária — Deus</t>
  </si>
  <si>
    <t>Indestructible As long as your devotion to black and green is less than seven, Pharika isn't a creature. {B}{G}: Exile target creature card from a graveyard. Its owner creates a 1/1 black and green Snake enchantment creature token with deathtouch. / 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</si>
  <si>
    <t>Pharika's Chosen / Escolhida de Fárica</t>
  </si>
  <si>
    <t>Deathtouch (Any amount of damage this deals to a creature is enough to destroy it.) / Toque mortífero (Qualquer quantidade de dano que esta criatura cause a uma criatura é suficiente para destruí-la.)</t>
  </si>
  <si>
    <t>Pharika's Disciple / Discípula de Fárica</t>
  </si>
  <si>
    <t>Deathtouch (Any amount of damage this deals to a creature is enough to destroy it.) Renown 1 (When this creature deals combat damage to a player, if it isn't renowned, put a +1/+1 counter on it and it becomes renowned.) / Toque mortífero (Qualquer quantidade de dano que esta criatura cause a uma criatura é suficiente para destruí-la.)Renome 1 (Quando esta criatura causar dano de combate a um jogador, se ela não for renomada, coloque um marcador +1/+1 nela e ela se tornará renomada.)</t>
  </si>
  <si>
    <t>Pheres-Band Thunderhoof / Casco-de-trovão do Bando Feres</t>
  </si>
  <si>
    <t>Heroic — Whenever you cast a spell that targets this creature, put two +1/+1 counters on this creature. / Heroico — Toda vez que você conjurar uma mágica cujo alvo seja Casco-de-trovão do Bando Feres, coloque dois marcadores +1/+1 em Casco-de-trovão do Bando Feres.</t>
  </si>
  <si>
    <t>Phoenix Down / Pluma de Fênix</t>
  </si>
  <si>
    <t>{1}{W}, {T}, Exile este artefato: Escolha um — • Devolva o card de criatura alvo com valor de mana igual ou inferior a 4 de seu cemitério para o campo de batalha virado. • Exile o Esqueleto, Espírito ou Zumbi alvo.</t>
  </si>
  <si>
    <t>Phyrexian Debaser / Degradador Phyrexiano</t>
  </si>
  <si>
    <t>Creature — Phyrexian Carrier / Criatura — Phyrexiano Portador</t>
  </si>
  <si>
    <t>Flying {T}, Sacrifice this creature: Target creature gets -2/-2 until end of turn. / Voar {T}, sacrifique Degradador Phyrexiano: A criatura alvo recebe -2/-2 até o final do turno.</t>
  </si>
  <si>
    <t>Phyrexian Rager / Raivoso Phyrexiano</t>
  </si>
  <si>
    <t>Creature — Phyrexian Horror / Criatura — Phyrexiano Horror</t>
  </si>
  <si>
    <t>When this creature enters, you draw a card and you lose 1 life. / Quando Raivoso Phyrexiano entra no campo de batalha, você compra um card e perde 1 ponto de vida.</t>
  </si>
  <si>
    <t>Phyrexian Revoker / Revogador Phyrexiano</t>
  </si>
  <si>
    <t>As this creature enters, choose a nonland card name. Activated abilities of sources with the chosen name can't be activated. / Conforme Revogador Phyrexiano entra no campo de batalha, nomeie um card que não seja um terreno. As habilidades ativadas de fontes com o nome escolhido não podem ser ativadas.</t>
  </si>
  <si>
    <t>Pia and Kiran Nalaar / Pia e Kiran Nalaar</t>
  </si>
  <si>
    <t>When Pia and Kiran Nalaar enters, create two 1/1 colorless Thopter artifact creature tokens with flying. {2}{R}, Sacrifice an artifact: Pia and Kiran Nalaar deals 2 damage to any target. / Quando Pia e Kiran Nalaar entrar no campo de batalha, coloque no campo de batalha duas fichas de criatura artefato incolor 1/1 do tipo Tóptero com voar. {2}{R}, Sacrifique um artefato: Pia e Kiran Nalaar causa 2 pontos de dano à criatura ou ao jogador alvo.</t>
  </si>
  <si>
    <t>Pianna, Nomad Captain / Pianna, Capitã Nômade</t>
  </si>
  <si>
    <t>Legendary Creature — Human Nomad / Criatura Lendária — Humano Nômade</t>
  </si>
  <si>
    <t>Whenever Pianna attacks, attacking creatures get +1/+1 until end of turn. / Toda vez que Pianna, Capitã Nômade ataca, as criaturas atacantes recebem +1/+1 até o final do turno.</t>
  </si>
  <si>
    <t>Picklock Prankster // Free the Fae / Traquinas Arrombador // Libertar as Fadinas</t>
  </si>
  <si>
    <t>Creature — Faerie Rogue // Instant — Adventure / Criatura — Fada Ladino</t>
  </si>
  <si>
    <t>Picklock Prankster: Flying, vigilance // Free the Fae: Mill four cards. Then put an instant, sorcery, or Faerie card from among the milled cards into your hand. / Voar, vigilância</t>
  </si>
  <si>
    <t>{1}{U} // {1}{U}</t>
  </si>
  <si>
    <t>Pieces of the Puzzle / Peças do Quebra-cabeça</t>
  </si>
  <si>
    <t>Reveal the top five cards of your library. Put up to two instant and/or sorcery cards from among them into your hand and the rest into your graveyard. / Revele os cinco cards do topo de seu grimório. Coloque até dois cards de mágica instantânea e/ou feitiço dentre eles em sua mão e o restante em seu cemitério.</t>
  </si>
  <si>
    <t>Piedade / Mercy</t>
  </si>
  <si>
    <t>Todas as criaturas que estiverem bloqueando ganharão +0/+3 até o final do turno.</t>
  </si>
  <si>
    <t>Piedade / Piety</t>
  </si>
  <si>
    <t>Todas as criaturas que estiverem bloqueando ganharão +0/+3 até o final do turno. / All creatures currently blocking get +0/+3 until end of turn.</t>
  </si>
  <si>
    <t>Piggy Bank</t>
  </si>
  <si>
    <t>Artifact Creature — Boar Toy</t>
  </si>
  <si>
    <t>When this creature dies, create a Treasure token. (It's an artifact with "{T}, Sacrifice this token: Add one mana of any color.")</t>
  </si>
  <si>
    <t>Pigment Storm / Tempestade Pigmentar</t>
  </si>
  <si>
    <t>Pigment Storm deals 5 damage to target creature. Excess damage is dealt to that creature's controller instead. / Tempestade Pigmentar causa 5 pontos de dano à criatura alvo. O dano excedente será causado, em vez disso, ao controlador daquela criatura.</t>
  </si>
  <si>
    <t>Pilfering Imp / Diabrete Afanador</t>
  </si>
  <si>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</si>
  <si>
    <t>Pilgrim of Virtue / Peregrino da Virtude</t>
  </si>
  <si>
    <t>Creature — Human Cleric / Criatura — Clérigo</t>
  </si>
  <si>
    <t>Protection from black {W}, Sacrifice this creature: The next time a black source of your choice would deal damage this turn, prevent that damage. / Proteção contra o preto {W}, Sacrifique Peregrino da Virtude: Na próxima vez que uma fonte preta a sua escolha fosse causar dano neste turno, previne aquele dano.</t>
  </si>
  <si>
    <t>Pili-Pala</t>
  </si>
  <si>
    <t>Flying {2}, {Q}: Add one mana of any color. ({Q} is the untap symbol.) / Voar {2}, {Q}: Adicione um mana de qualquer cor à sua reserva de mana. ({Q} é o símbolo de desvirar.)</t>
  </si>
  <si>
    <t>Pillar Launch</t>
  </si>
  <si>
    <t>Target creature gets +2/+2 and gains reach until end of turn. Untap it.</t>
  </si>
  <si>
    <t>Pillar of Flame / Pilar de Chamas</t>
  </si>
  <si>
    <t>Pilar de Chamas causa 2 de dano à criatura ou ao jogador alvo. Se uma criatura que sofreu dano desta forma fosse morrer neste turno, em vez disso, exile-a.</t>
  </si>
  <si>
    <t>Avacyn Restored</t>
  </si>
  <si>
    <t>Pillar of War / Pilar de Guerra</t>
  </si>
  <si>
    <t>Defender As long as this creature is enchanted, it can attack as though it didn't have defender. / Defensor Enquanto Pilar de Guerra estiver encantado, ele poderá atacar como se não tivesse defensor.</t>
  </si>
  <si>
    <t>Piqueiros / Pikemen</t>
  </si>
  <si>
    <t>Invocação de Piqueiros / Summon Pikemen</t>
  </si>
  <si>
    <t>Formar Bando, Iniciativa / Banding, First Strike</t>
  </si>
  <si>
    <t>Pit Scorpion / Escorpião das Profundezas</t>
  </si>
  <si>
    <t>Creature — Scorpion</t>
  </si>
  <si>
    <t>Whenever this creature deals damage to a player, that player gets a poison counter. (A player with ten or more poison counters loses the game.)</t>
  </si>
  <si>
    <t>Pitiless Pontiff / Pontífice Impiedosa</t>
  </si>
  <si>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</si>
  <si>
    <t>Pitiless Vizier / Vizir Impiedosa</t>
  </si>
  <si>
    <t>Creature — Minotaur Cleric / Criatura — Minotauro Clérigo</t>
  </si>
  <si>
    <t>Whenever you cycle or discard a card, this creature gains indestructible until end of turn. (Damage and effects that say "destroy" don't destroy it. If its toughness is 0 or less, it still dies.) / Toda vez que você recicla ou descarta um card, Vizir Impiedosa ganha indestrutível até o final do turno. (Dano e efeitos que dizem "destrua" não a destroem. Se a sua resistência for igual ou inferior a 0, ela ainda será colocada no cemitério de seu dono.)</t>
  </si>
  <si>
    <t>Pizza Face, Gastromancer</t>
  </si>
  <si>
    <t>Legendary Artifact Creature — Food Mutant</t>
  </si>
  <si>
    <t>When Pizza Face enters, create a Food token. Disappear — At the beginning of your end step, if a permanent left the battlefield under your control this turn, put three +1/+1 counters on up to one other target artifact or creature. If it isn't a creature, it becomes a 0/0 Mutant creature in addition to its other types. {10}, {T}, Sacrifice Pizza Face: You gain 15 life.</t>
  </si>
  <si>
    <t>Plague Beetle / Besouro Pestilento</t>
  </si>
  <si>
    <t>Swampwalk (This creature can't be blocked as long as defending player controls a Swamp.) / Travessia de Pântano (Esta criatura não pode ser bloqueada desde que o jogador defensor controle um Pântano.)</t>
  </si>
  <si>
    <t>Plague Rats / Ratos Pestilentos</t>
  </si>
  <si>
    <t>Plague Rats's power and toughness are each equal to the number of creatures named Plague Rats on the battlefield.</t>
  </si>
  <si>
    <t>Plagued Rusalka / Rusalka Atormentada</t>
  </si>
  <si>
    <t>{B}, Sacrifice a creature: Target creature gets -1/-1 until end of turn. / {B}, Sacrifique uma criatura: A criatura alvo recebe -1/-1 até o final do turno.</t>
  </si>
  <si>
    <t>Plains / Planície</t>
  </si>
  <si>
    <t>Basic Land — Plains / Terreno Básico — Planície</t>
  </si>
  <si>
    <t>({T}: Add {W}.) / W</t>
  </si>
  <si>
    <t>Arena New Player Experience (ANA)</t>
  </si>
  <si>
    <t>Core Set 2021</t>
  </si>
  <si>
    <t>Invasão</t>
  </si>
  <si>
    <t>Marvel Super Heroes (MSH) FA 278</t>
  </si>
  <si>
    <t>Plasma Bolt / Raio de Plasma</t>
  </si>
  <si>
    <t>Plasma Bolt causa 2 pontos de dano a qualquer alvo. Vazio — Plasma Bolt causa 3 pontos de dano em vez disso se uma permanente não de terreno tiver deixado o campo de batalha neste turno ou se uma mágica tiver sido dobrada neste turno.</t>
  </si>
  <si>
    <t>Plated Crusher / Esmagador Blindado</t>
  </si>
  <si>
    <t>Trample Hexproof (This creature can't be the target of spells or abilities your opponents control.) / Atropelar, resistência a magia</t>
  </si>
  <si>
    <t>Plated Seastrider / Andarilho Marinho Blindado</t>
  </si>
  <si>
    <t>Platypus-Bear</t>
  </si>
  <si>
    <t>Creature — Platypus Bear</t>
  </si>
  <si>
    <t>Defender When this creature enters, mill two cards. (Put the top two cards of your library into your graveyard.) As long as there is a Lesson card in your graveyard, this creature can attack as though it didn't have defender.</t>
  </si>
  <si>
    <t>Plummet / Tombar</t>
  </si>
  <si>
    <t>Destroy target creature with flying. / Destrua a criatura alvo com voar.</t>
  </si>
  <si>
    <t>Plundering Pirate / Pirata a Pilhar</t>
  </si>
  <si>
    <t>When this creature enters, create a Treasure token. (It's an artifact with "{T}, Sacrifice this token: Add one mana of any color.") / Quando Pirata a Pilhar entrar no campo de batalha, crie uma ficha de Tesouro. (Ela é um artefato com "{T}, sacrifique este artefato: Adicione um mana de qualquer cor".)</t>
  </si>
  <si>
    <t>Poção Alabastrina / Alabaster Potion</t>
  </si>
  <si>
    <t>Dá X pontos de vida ao jogador-alvo ou evita X pontos de dano em qualquer jogador ou criatura.</t>
  </si>
  <si>
    <t>{X}{W}{W}</t>
  </si>
  <si>
    <t>Pódio dos Heróis / Heroes' Podium</t>
  </si>
  <si>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</si>
  <si>
    <t>Poison the Waters / Envenenar as Águas</t>
  </si>
  <si>
    <t>Escolha um — • Todas as criaturas recebem -1/-1 até o final do turno. • O jogador alvo revela a própria mão. Você escolhe um card de criatura ou de artefato dela. Aquele jogador descarta aquele card.</t>
  </si>
  <si>
    <t>Poison-Tip Archer / Arqueiro da Ponta Envenenada</t>
  </si>
  <si>
    <t>Reach (This creature can block creatures with flying.) Deathtouch (Any amount of damage this deals to a creature is enough to destroy it.) Whenever another creature dies, each opponent loses 1 life. / Alcance (Esta criatura pode bloquear criaturas com voar.) Toque mortífero (Qualquer quantidade de dano que esta criatura cause a uma criatura é suficiente para destruí-la.) Toda vez que outra criatura morre, cada oponente perde 1 ponto de vida.</t>
  </si>
  <si>
    <t>Pollenbright Druid / Druida do Pólen Brilhante</t>
  </si>
  <si>
    <t>When this creature enters, choose one —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</si>
  <si>
    <t>Polvo Caçador de Deuses</t>
  </si>
  <si>
    <t>Criatura — Polvo</t>
  </si>
  <si>
    <t>Polvo Caçador de Deuses não pode atacar a menos que o jogador defensor controle um encantamento ou uma permanente encantada.</t>
  </si>
  <si>
    <t>Popular Entertainer / Artista Popular</t>
  </si>
  <si>
    <t>Commander creatures you own have "Whenever one or more creatures you control deal combat damage to a player, goad target creature that player controls." (Until your next turn, that creature attacks each combat if able and attacks a player other than you if able.) / As criaturas comandantes que você possui têm "Toda vez que uma ou mais criaturas que você controla causarem dano de combate a um jogador, atice a criatura alvo que aquele jogador controla". (Até seu próximo turno, aquela criatura ataca a cada combate, se estiver apta, e ataca um jogador que não seja você, se estiver apta.)</t>
  </si>
  <si>
    <t>Porcelain Zealot / Zelote de Porcelana</t>
  </si>
  <si>
    <t>Creature — Phyrexian Soldier / Criatura — Phyrexiano Soldado</t>
  </si>
  <si>
    <t>At the beginning of combat on your turn, target creature you control gets +1/+1 until end of turn. If that creature has toxic, instead it gets +2/+2 until end of turn. / No início do combate no seu turno, a criatura alvo que você controla recebe +1/+1 até o final do turno. Se aquela criatura tem tóxico, em vez disso, ela recebe +2/+2 até o final do turno.</t>
  </si>
  <si>
    <t>Porrete Improvisado / Improvised Club</t>
  </si>
  <si>
    <t>Como custo adicional para conjurar esta mágica, sacrifique um artefato ou uma criatura. Porrete Improvisado causa 4 pontos de dano a qualquer alvo.</t>
  </si>
  <si>
    <t>Portal Mage / Maga do Portal</t>
  </si>
  <si>
    <t>Flash When this creature enters during the declare attackers step, you may reselect which player or permanent target attacking creature is attacking. (It can't attack its controller or their permanents.) / Lampejo Quando Maga do Portal entra no campo de batalha durante a etapa de declaração de atacantes, você pode resselecionar qual jogador ou planeswalker a criatura atacante alvo está atacando. (Ela não pode atacar seu controlador nem os planeswalkers de seu controlador.)</t>
  </si>
  <si>
    <t>Portão da Guilda Rakdos</t>
  </si>
  <si>
    <t>Blossoming Sands enters the battlefield tapped. When Blossoming Sands enters the battlefield, you gain 1 life. {T}: Add {G} or {W}. / Arenas Florescentes entra no campo de batalha virado. Quando Arenas Florescentes entra no campo de batalha, você ganha 1 ponto de vida. {T}: Adicione {G} ou {W}.</t>
  </si>
  <si>
    <t>Portão da Guilda Simic</t>
  </si>
  <si>
    <t>Portent of Betrayal / Presságio de Traição</t>
  </si>
  <si>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</si>
  <si>
    <t>Possessed Goat</t>
  </si>
  <si>
    <t>{3}, Discard a card: Put three +1/+1 counters on this creature and it becomes a black Demon in addition to its other colors and types. Activate only once.</t>
  </si>
  <si>
    <t>Pothole Mole</t>
  </si>
  <si>
    <t>Creature — Mole</t>
  </si>
  <si>
    <t>When this creature enters, mill three cards, then you may return a land card from your graveyard to your hand. (To mill three cards, put the top three cards of your library into your graveyard.)</t>
  </si>
  <si>
    <t>Poultrygeist</t>
  </si>
  <si>
    <t>Flying. Whenever a creature is put into any graveyard from play, you may roll a six-sided die. On a 1, sacrifice Poultrygeist. Otherwise, put a +1/+1 counter on Poultrygeist.</t>
  </si>
  <si>
    <t>Pounce / Dar o Bote</t>
  </si>
  <si>
    <t>Target creature you control fights target creature you don't control. (Each deals damage equal to its power to the other.) / A criatura alvo que você controla luta com a criatura alvo que você não controla. (Cada uma causa à outra uma quantidade de dano igual ao seu poder.)</t>
  </si>
  <si>
    <t>Pouncing Cheetah / Guepardo Saltador</t>
  </si>
  <si>
    <t>Flash / Lampejo</t>
  </si>
  <si>
    <t>Power Armor / Armadura do Poder</t>
  </si>
  <si>
    <t>Domain — {3}, {T}: Target creature gets +1/+1 until end of turn for each basic land type among lands you control.</t>
  </si>
  <si>
    <t>Powerful Broker / Corretor Poderoso</t>
  </si>
  <si>
    <t>Criatura — Humano Vilão</t>
  </si>
  <si>
    <t>{T}: Para cada tipo de marcador na permanente ou jogador alvo, dê àquela permanente ou jogador outro marcador daquele tipo. Ative apenas como um feitiço.</t>
  </si>
  <si>
    <t>Precise Strike / Golpe Preciso</t>
  </si>
  <si>
    <t>Target creature gets +1/+0 and gains first strike until end of turn. / A criatura alvo recebe +1/+0 e ganha iniciativa até o final do turno.</t>
  </si>
  <si>
    <t>Precognition Field / Campo de Precognição</t>
  </si>
  <si>
    <t>You may look at the top card of your library any time. You may cast instant and sorcery spells from the top of your library. {3}: Exile the top card of your library. / Você pode olhar o card do topo de seu grimório. (Você pode fazer isso a qualquer momento.) Você pode conjurar o card do topo de seu grimório se for um card de mágica instantânea ou feitiço. {3}: Exile o card do topo de seu grimório.</t>
  </si>
  <si>
    <t>Predator, Flagship / Predador, Nau Capitânia</t>
  </si>
  <si>
    <t>Legendary Artifact</t>
  </si>
  <si>
    <t>{2}: Target creature gains flying until end of turn. {5}, {T}: Destroy target creature with flying.</t>
  </si>
  <si>
    <t>Commander 2014 (C14)</t>
  </si>
  <si>
    <t>Predator's Rapport / Afinidade do Predador</t>
  </si>
  <si>
    <t>Choose target creature you control. You gain life equal to that creature's power plus its toughness. / Escolha uma criatura alvo que você controla. Você ganha uma quantidade de pontos de vida igual à soma do poder e da resistência daquela criatura.</t>
  </si>
  <si>
    <t>Predatory Sliver / Fractius Predatório</t>
  </si>
  <si>
    <t>Sliver creatures you control get +1/+1. / As criaturas do tipo Fractius que você controla recebem +1/+1.</t>
  </si>
  <si>
    <t>Prehistoric Turtlesaurus / Tartarugassauro Pré-histórico</t>
  </si>
  <si>
    <t>Criatura — Mutante Ninja Tartaruga Dinossauro</t>
  </si>
  <si>
    <t>Esta mágica custa {1} a menos para ser conjurada se você controlar uma criatura com um marcador +1/+1 nela. Vigilância (Atacar não faz esta criatura ser virada.)</t>
  </si>
  <si>
    <t>4{G}</t>
  </si>
  <si>
    <t>Prescient Chimera / Quimera Presciente</t>
  </si>
  <si>
    <t>Flying Whenever you cast an instant or sorcery spell, scry 1. (Look at the top card of your library. You may put that card on the bottom.) / Voar Toda vez que conjurar uma mágica instantânea ou feitiço, use vidência 1. (Olhe o card do topo de seu grimório. Você pode colocar aquele card no fundo de seu grimório.)</t>
  </si>
  <si>
    <t>Pressure Point / Ponto de Pressão</t>
  </si>
  <si>
    <t>Tap target creature. Draw a card. / Vire a criatura alvo. Compre um card.</t>
  </si>
  <si>
    <t>Pretending Poxbearers</t>
  </si>
  <si>
    <t>When this creature dies, create a 1/1 white Ally creature token.</t>
  </si>
  <si>
    <t>Preto Chocobo / Chocobo Preto</t>
  </si>
  <si>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</si>
  <si>
    <t>Preto Mage's Rod / Bastão do Mago Negro</t>
  </si>
  <si>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</si>
  <si>
    <t>Preto Waltz No. 3 / Valsa Negra N.º 3</t>
  </si>
  <si>
    <t>Voar, toque mortífero. Sempre que você conjurar uma mágica que não seja de criatura, Valsa Negra N.º 3 causa 2 de dano a cada oponente.</t>
  </si>
  <si>
    <t>2BR</t>
  </si>
  <si>
    <t>Prey Upon / Apresar</t>
  </si>
  <si>
    <t>Target creature you control fights target creature you don't control. (Each deals damage equal to its power to the other.) / A criatura alvo que você controla luta com a criatura alvo que você não controla. (Cada uma causa à outra uma quantidade de dano igual ao próprio poder.)</t>
  </si>
  <si>
    <t>Price of Freedom</t>
  </si>
  <si>
    <t>Destroy target artifact or land an opponent controls. Its controller may search their library for a basic land card, put it onto the battlefield tapped, then shuffle. Draw a card.</t>
  </si>
  <si>
    <t>Prickleboar / Javali Espinhento</t>
  </si>
  <si>
    <t>During your turn, this creature gets +2/+0 and has first strike. (It deals combat damage before creatures without first strike.) / Enquanto for o seu turno, Javali Espinhento receberá +2/+0 e terá iniciativa. (Ele causa dano de combate antes das criaturas sem iniciativa.)</t>
  </si>
  <si>
    <t>Prickly Boggart / Papão Espinhoso</t>
  </si>
  <si>
    <t>Fear (This creature can't be blocked except by artifact creatures and/or black creatures.) / Amedrontar</t>
  </si>
  <si>
    <t>Prideful Feastling</t>
  </si>
  <si>
    <t>Changeling (This card is every creature type.) Lifelink</t>
  </si>
  <si>
    <t>Priest of the Blood Rite / Sacerdote do Ritual de Sangue</t>
  </si>
  <si>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</si>
  <si>
    <t>Priest of the Haunted Edge / Sacerdote da Fronteira Assombrada</t>
  </si>
  <si>
    <t>Snow Creature — Zombie Cleric / Criatura da Neve — Zumbi Clérigo</t>
  </si>
  <si>
    <t>{T}, Sacrifice this creature: Target creature gets -X/-X until end of turn, where X is the number of snow lands you control. Activate only as a sorcery. / {T}, sacrifique Sacerdote da Fronteira Assombrada: A criatura alvo recebe -X/-X até o final do turno, sendo X o número de terrenos da neve que você controla. Ative esta habilidade somente nos momentos em que poderia conjurar um feitiço.</t>
  </si>
  <si>
    <t>Primal Bellow / Urro Primordial</t>
  </si>
  <si>
    <t>Target creature gets +1/+1 until end of turn for each Forest you control. / A criatura alvo recebe +1/+1 até o final do turno para cada Floresta que você controla.</t>
  </si>
  <si>
    <t>Primal Clay / Argila Primal</t>
  </si>
  <si>
    <t>Artifact Creature — Shapeshifter / Criatura Artefato — Metamorfo</t>
  </si>
  <si>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</si>
  <si>
    <t>Primal Huntbeast / Fera de Caça Primal</t>
  </si>
  <si>
    <t>Hexproof (This creature can't be the target of spells or abilities your opponents control.) / Resistência à magia (Esta criatura não pode ser alvo de mágicas nem de habilidades que seus oponentes controlam.)</t>
  </si>
  <si>
    <t>Primary Research / Pesquisa Primária</t>
  </si>
  <si>
    <t>Quando este encantamento entrar, devolva o card de permanente não de terreno alvo com valor de mana 3 ou menos de seu cemitério para o campo de batalha. No início de sua etapa final, se um card tiver deixado o seu cemitério neste turno, compre um card.</t>
  </si>
  <si>
    <t>Primordial Pachyderm</t>
  </si>
  <si>
    <t>Creature — Elephant Avatar</t>
  </si>
  <si>
    <t>Reach, trample When this creature enters, you gain 2 life.</t>
  </si>
  <si>
    <t>Primordial Wurm / Vorme Primordial</t>
  </si>
  <si>
    <t>Prince Imrahil the Fair / Príncipe Imrahil, o Belo</t>
  </si>
  <si>
    <t>Whenever you draw your second card each turn, create a 1/1 white Human Soldier creature token. / Toda vez que você comprar seu segundo card a cada turno, crie uma ficha de criatura Humano Soldado branca 1/1.</t>
  </si>
  <si>
    <t>Príncipe Imrahil, o Belo / Prince Imrahil the Fair</t>
  </si>
  <si>
    <t>Toda vez que você comprar seu segundo card a cada turno, crie uma ficha de criatura Humano Soldado branca 1/1.</t>
  </si>
  <si>
    <t>Prishe's Wanderings</t>
  </si>
  <si>
    <t>Search your library for a basic land card or Town card, put it onto the battlefield tapped, then shuffle. When you search your library this way, put a +1/+1 counter on target creature you control.</t>
  </si>
  <si>
    <t>Prism Ring / Anel de Prisma</t>
  </si>
  <si>
    <t>As this artifact enters, choose a color. Whenever you cast a spell of the chosen color, you gain 1 life. / Conforme Anel de Prisma entra no campo de batalha, escolha uma cor.Toda vez que você conjura uma mágica da cor escolhida, você ganha 1 ponto de vida.</t>
  </si>
  <si>
    <t>Prisma Profético / Prophetic Prism</t>
  </si>
  <si>
    <t>When Prophetic Prism enters the battlefield, draw a card. {1}, {T}: Add one mana of any color. / Quando Prisma Profético entrar no campo de batalha, compre um card. {1}, {T}: Adicione um mana de qualquer cor.</t>
  </si>
  <si>
    <t>Quando Prisma Profético entrar no campo de batalha, compre um card. {1}, {T}: Adicione um mana de qualquer cor à sua reserva de mana.</t>
  </si>
  <si>
    <t>Prismatic Wardrobe</t>
  </si>
  <si>
    <t>Destroy target card that does not share a color with clothing worn by its controller. You cannot choose an artifact or land card. / Destrua o card alvo que não compartilhe uma cor com a roupa vestida por seu controlador. Você não pode escolher um card de artefato ou terreno.</t>
  </si>
  <si>
    <t>Prison Realm / Reino de Aprisionamento</t>
  </si>
  <si>
    <t>When this enchantment enters, exile target creature or planeswalker an opponent controls until this enchantment leaves the battlefield. When this enchantment enters, scry 1. / Quando Reino de Aprisionamento entrar no campo de batalha, exile a criatura ou planeswalker alvo que um oponente controla até que Reino de Aprisionamento deixe o campo de batalha. Quando Reino de Aprisionamento entrar no campo de batalha, use vidência 1.</t>
  </si>
  <si>
    <t>Pristine Talisman / Talismã Imaculado</t>
  </si>
  <si>
    <t>{T}: Add {C}. You gain 1 life. / {T}: Adicione {1} à sua reserva de mana. Você ganha 1 ponto de vida.</t>
  </si>
  <si>
    <t>The Brothers' War Retro Artifacts (BRR)</t>
  </si>
  <si>
    <t>Private Eye / Olheiro Particular</t>
  </si>
  <si>
    <t>Creature — Homunculus Detective / Criatura — Homúnculo Detetive</t>
  </si>
  <si>
    <t>Other Detectives you control get +1/+1. Whenever you draw your second card each turn, target Detective can't be blocked this turn. / Os outros Detetives que você controla recebem +1/+1. Toda vez que você compra seu segundo card a cada turno, o Detetive alvo não pode ser bloqueado neste turno.</t>
  </si>
  <si>
    <t>Prized Elephant / Elefante Valioso</t>
  </si>
  <si>
    <t>Creature — Elephant / Criatura — Elefante</t>
  </si>
  <si>
    <t>This creature gets +1/+1 as long as you control a Forest. {G}: This creature gains trample until end of turn. (It can deal excess combat damage to the player or planeswalker it's attacking.) / Elefante Valioso recebe +1/+1 enquanto você controlar uma Floresta. {G}: Elefante Valioso ganha atropelar até o final do turno. (Se esta criatura fosse atribuir dano suficiente para destruir seus bloqueadores, você pode fazer com que ela atribua o resto de seu dano ao planeswalker ou jogador defensor.)</t>
  </si>
  <si>
    <t>Prized Statue / Estátua Cobiçada</t>
  </si>
  <si>
    <t>When this artifact enters or is put into a graveyard from the battlefield, create a Treasure token. (It's an artifact with "{T}, Sacrifice this token: Add one mana of any color.") / Quando Estátua Cobiçada entrar no campo de batalha ou for colocada num cemitério vinda do campo de batalha, crie uma ficha de Tesouro. (Ela é um artefato com "{T}, sacrifique este artefato: Adicione um mana de qualquer cor".)</t>
  </si>
  <si>
    <t>Processor Assault / Assalto do Processador</t>
  </si>
  <si>
    <t>Devoid (This card has no color.) As an additional cost to cast this spell, put a card an opponent owns from exile into that player's graveyard. Processor Assault deals 5 damage to target creature. / Desprovido (Este card não tem cor.)Como custo adicional para conjurar Assalto do Processador, coloque um card exilado de um oponente no cemitério dele.Assalto do Processador causa 5 pontos de dano à criatura alvo.</t>
  </si>
  <si>
    <t>Professor Zei, Anthropologist</t>
  </si>
  <si>
    <t>{T}, Discard a card: Draw a card. {1}, {T}, Sacrifice Professor Zei: Return target instant or sorcery card from your graveyard to your hand. Activate only during your turn.</t>
  </si>
  <si>
    <t>{U/R}{U/R}</t>
  </si>
  <si>
    <t>Profeta do Pico / Cragflame Prophet</t>
  </si>
  <si>
    <t>Criatura Artefato — Felino</t>
  </si>
  <si>
    <t>Quando Profeta do Pico entrar no campo de batalha, use vidência 2. (Olhe os dois cards do topo do seu grimório. Depois, coloque qualquer número deles no fundo do seu grimório e o restante no topo em qualquer ordem.)</t>
  </si>
  <si>
    <t>Promise of Bunrei / Promessa de Bunrei</t>
  </si>
  <si>
    <t>When a creature you control dies, sacrifice this enchantment. If you do, create four 1/1 colorless Spirit creature tokens. / Quando uma criatura que você controla morrer, sacrifique Promessa de Bunrei. Se fizer isso, crie quatro fichas de criatura Espírito incolor 1/1.</t>
  </si>
  <si>
    <t>Promised Kannushi / Kannushi Prometido</t>
  </si>
  <si>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</si>
  <si>
    <t>Prompto Argentum / Prompto Argentum</t>
  </si>
  <si>
    <t>Criatura Lendária — Humano Batedor</t>
  </si>
  <si>
    <t>Ímpeto. Foto de Selfie — Sempre que você conjurar uma mágica que não seja de criatura, se pelo menos quatro manas tiverem sido gastos para conjurá-la, crie uma ficha de Tesouro.</t>
  </si>
  <si>
    <t>Prophecy</t>
  </si>
  <si>
    <t>Reveal the top card of target opponent's library to all players. If it is a land, gain 1 life. That opponent then shuffles his or her library. Draw a card at the beginning of the next turn's upkeep.</t>
  </si>
  <si>
    <t>Prophetic Bolt / Raio Profético</t>
  </si>
  <si>
    <t>Prophetic Bolt deals 4 damage to any target. Look at the top four cards of your library. Put one of those cards into your hand and the rest on the bottom of your library in any order. / Raio Profético causa 4 pontos de dano a qualquer alvo. Olhe os quatro cards do topo do seu grimório. Coloque um daqueles cards na sua mão e os restantes no fundo do seu grimório em qualquer ordem.</t>
  </si>
  <si>
    <t>Protean Hydra / Hidra Proteica</t>
  </si>
  <si>
    <t>This creature enters with X +1/+1 counters on it. If damage would be dealt to this creature, prevent that damage and remove that many +1/+1 counters from it. Whenever a +1/+1 counter is removed from this creature, put two +1/+1 counters on it at the beginning of the next end step. / Hidra Proteica entra no campo de batalha com X marcadores +1/+1 sobre ela. Se algum dano seria causado a Hidra Proteica, previna aquele dano e remova dela uma quantidade igual de marcadores +1/+1. Toda vez que um marcador +1/+1 for removido de Hidra Proteica, coloque dois marcadores +1/+1 sobre ela no início da próxima etapa final.</t>
  </si>
  <si>
    <t>Protective Response</t>
  </si>
  <si>
    <t>Convoke (Your creatures can help cast this spell. Each creature you tap while casting this spell pays for {1} or one mana of that creature's color.) Destroy target attacking or blocking creature.</t>
  </si>
  <si>
    <t>Protector of Gondor / Protetor de Gondor</t>
  </si>
  <si>
    <t>When Protector of Gondor enters the battlefield, create a 1/1 white Human Soldier creature token. / Quando Protetor de Gondor entrar no campo de batalha, crie uma ficha de criatura Humano Soldado branca 1/1.</t>
  </si>
  <si>
    <t>Proven Combatant / Combatente Incontestável</t>
  </si>
  <si>
    <t>Eternalize {4}{U}{U} ({4}{U}{U}, Exile this card from your graveyard: Create a token that's a copy of it, except it's a 4/4 black Zombie Human Warrior with no mana cost. Eternalize only as a sorcery.) / Eternizar {4}{U}{U} ({4}{U}{U}, exile este card de seu cemitério: Crie uma ficha que seja uma cópia dele, com a exceção de ser um Zumbi Humano Guerreiro preto 4/4 sem custo de mana. Eternize somente como um feitiço.)</t>
  </si>
  <si>
    <t>Prowcatcher Specialist</t>
  </si>
  <si>
    <t>Haste Exhaust — {3}{R}: Put two +1/+1 counters on this creature. (Activate each exhaust ability only once.)</t>
  </si>
  <si>
    <t>Prowling Caracal / Caracal Espreitador</t>
  </si>
  <si>
    <t>Psionic Snoop / Bisbilhoteira Psiônica</t>
  </si>
  <si>
    <t>Flash When this creature enters, it connives. (Draw a card, then discard a card. If you discarded a nonland card, put a +1/+1 counter on this creature.) / Lampejo Quando Bisbilhoteira Psiônica entra no campo de batalha, ela acoberta. (Compre um card e depois descarte um card. Se você descartou um card não de terreno, coloque um marcador +1/+1 nesta criatura.)</t>
  </si>
  <si>
    <t>Psychic Whorl</t>
  </si>
  <si>
    <t>Target opponent discards two cards. Then if you control a Rat, surveil 2. (Look at the top two cards of your library, then put any number of them into your graveyard and the rest on top of your library in any order.)</t>
  </si>
  <si>
    <t>Pterafractyl</t>
  </si>
  <si>
    <t>Creature — Dinosaur Fractal</t>
  </si>
  <si>
    <t>Flying This creature enters with X +1/+1 counters on it. When this creature enters, you gain 2 life.</t>
  </si>
  <si>
    <t>{X}{G}{U}</t>
  </si>
  <si>
    <t>1/0</t>
  </si>
  <si>
    <t>Pteramander / Pteromandra</t>
  </si>
  <si>
    <t>Creature — Salamander Drake / Criatura — Salamandra Dragonete</t>
  </si>
  <si>
    <t>Flying {7}{U}: Adapt 4. This ability costs {1} less to activate for each instant and sorcery card in your graveyard. (If this creature has no +1/+1 counters on it, put four +1/+1 counters on it.) / Voar {7}{U}: Adaptar 4. Esta habilidade custa {1} a menos para ser ativada para cada mágica instantânea ou feitiço em seu cemitério. (Se esta criatura não tiver marcadores +1/+1, coloque quatro marcadores +1/+1 nela.)</t>
  </si>
  <si>
    <t>Pterodon Knight / Cavaleira de Pterodontes</t>
  </si>
  <si>
    <t>This creature has flying as long as you control a Dinosaur. / Cavaleira de Pterodontes terá voar enquanto você controlar um Dinossauro.</t>
  </si>
  <si>
    <t>Puca's Eye</t>
  </si>
  <si>
    <t>When this artifact enters, draw a card, then choose a color. This artifact becomes the chosen color. {3}, {T}: Draw a card. Activate only if there are five colors among permanents you control.</t>
  </si>
  <si>
    <t>Pull Through the Weft / Atravessar a Trama</t>
  </si>
  <si>
    <t>Devolva até dois cards de permanente não de terreno alvos de seu cemitério para sua mão, depois devolva até dois cards de terreno alvos de seu cemitério para o campo de batalha virados.</t>
  </si>
  <si>
    <t>Pummeler for Hire</t>
  </si>
  <si>
    <t>Creature — Giant Mercenary</t>
  </si>
  <si>
    <t>Vigilance, reach. Ward {2} (Whenever this creature becomes the target of a spell or ability an opponent controls, counter it unless that player pays {2}.) When this creature enters, you gain X life, where X is the greatest power among Giants you control.</t>
  </si>
  <si>
    <t>Puncturing Blow / Golpe Perfurante</t>
  </si>
  <si>
    <t>Puncturing Blow deals 5 damage to target creature. If that creature would die this turn, exile it instead. / Golpe Perfurante causa 5 pontos de dano à criatura alvo. Se aquela criatura for morrer neste turno, em vez disso, exile-a.</t>
  </si>
  <si>
    <t>Punk Frogs</t>
  </si>
  <si>
    <t>Creature — Frog Mutant Rebel</t>
  </si>
  <si>
    <t>Ward {3} (Whenever this creature becomes the target of a spell or ability an opponent controls, counter it unless that player pays {3}.)</t>
  </si>
  <si>
    <t>{3}{G/U}{G/U}</t>
  </si>
  <si>
    <t>PuPu UFO / OVNI de PuPu</t>
  </si>
  <si>
    <t>Criatura Artefato — Construto Alienígena</t>
  </si>
  <si>
    <t>Voar. {T}: Você pode colocar um card de terreno de sua mão no campo de batalha. {3}: Até o final do turno, o poder de base desta criatura torna-se igual ao número de Vilas que você controla.</t>
  </si>
  <si>
    <t>Purelace</t>
  </si>
  <si>
    <t>Mágica de Interrupção / Interrupt</t>
  </si>
  <si>
    <t>Changes the color of one card either being played or already in play to white. Cost to cast, tap, maintain, or use a special ability of target card remains entirely unchanged.</t>
  </si>
  <si>
    <t>Purge the Profane / Purgar o Profano</t>
  </si>
  <si>
    <t>Target opponent discards two cards and you gain 2 life. / O oponente alvo descarta dois cards e você ganha 2 pontos de vida.</t>
  </si>
  <si>
    <t>Purphoros's Emissary / Emissário de Púrforo</t>
  </si>
  <si>
    <t>Bestow {6}{R} (If you cast this card for its bestow cost, it's an Aura spell with enchant creature. It becomes a creature again if it's not attached.) Menace (This creature can't be blocked except by two or more creatures.) Enchanted creature gets +3/+3 and has menace. / Agraciar {6}{R} (Se você conjurar este card pagando seu custo de agraciar, ele será uma mágica de Aura com encantar criatura. Ele se tornará novamente uma criatura se não estiver anexado a uma criatura.) Emissário de Púrforo só pode ser bloqueado por duas ou mais criaturas. A criatura encantada ganha +3/+3 e só pode ser bloqueada por duas ou mais criaturas.</t>
  </si>
  <si>
    <t>Purple Dragon Punks</t>
  </si>
  <si>
    <t>{T}: Add {R}. Spend this mana only to cast an artifact spell or to activate an ability.</t>
  </si>
  <si>
    <t>Pursue the Past</t>
  </si>
  <si>
    <t>You gain 2 life. You may discard a card. If you do, draw two cards. Flashback {2}{R}{W} (You may cast this card from your graveyard for its flashback cost. Then exile it.)</t>
  </si>
  <si>
    <t>Putrefy</t>
  </si>
  <si>
    <t>Destroy target artifact or creature. It can't be regenerated.</t>
  </si>
  <si>
    <t>Preto, Green</t>
  </si>
  <si>
    <t>Putrid Pals</t>
  </si>
  <si>
    <t>Creature — Human Ooze Mutant</t>
  </si>
  <si>
    <t>Deathtouch Disappear — This creature enters with two +1/+1 counters on it if a permanent left the battlefield under your control this turn.</t>
  </si>
  <si>
    <t>{2}{B/G}{B/G}</t>
  </si>
  <si>
    <t>Pyroclasm / Piroclasma</t>
  </si>
  <si>
    <t>Pyroclasm deals 2 damage to each creature. / Piroclasma causa 2 de dano a cada criatura.</t>
  </si>
  <si>
    <t>Pyrotechnics / Pirotécnica</t>
  </si>
  <si>
    <t>Pyrotechnics deals 4 damage divided as you choose among any number of targets. / Pirotécnica causa 4 pontos de dano, distribuídos a sua escolha entre um número qualquer de criaturas e/ou jogadores alvo.</t>
  </si>
  <si>
    <t>Pyrrhic Strike</t>
  </si>
  <si>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</si>
  <si>
    <t>Qiqirn Merchant / Mercador Qiqirn</t>
  </si>
  <si>
    <t>Criatura — Besta Cidadão</t>
  </si>
  <si>
    <t>{1}, {T}: Compre um card e depois descarte um card. {7}, {T}, Sacrifique esta criatura: Compre três cards. Esta habilidade custa {1} a menos para ser ativada para cada Cidade que você controla.</t>
  </si>
  <si>
    <t>Quaketusk Boar</t>
  </si>
  <si>
    <t>Creature — Elemental Boar</t>
  </si>
  <si>
    <t>Reach, trample, haste</t>
  </si>
  <si>
    <t>Quandrix Charm / Amuleto de Quandrix</t>
  </si>
  <si>
    <t>Escolha um — • Anule a mágica alvo, a menos que seu controlador pague {2}. • Destrua o encantamento alvo. • A criatura alvo tem poder e resistência básicos 5/5 até o final do turno.</t>
  </si>
  <si>
    <t>Quarry Colossus / Colosso da Pedreira</t>
  </si>
  <si>
    <t>When this creature enters, put target creature into its owner's library just beneath the top X cards of that library, where X is the number of Plains you control. / Quando Colosso da Pedreira entrar no campo de batalha, coloque a criatura alvo no grimório de seu dono sob X cards, sendo X o número de Planícies que você controla.</t>
  </si>
  <si>
    <t>Quarry Hauler / Carregador da Pedreira</t>
  </si>
  <si>
    <t>Creature — Camel / Criatura — Camelo</t>
  </si>
  <si>
    <t>When this creature enters, for each kind of counter on target permanent, put another counter of that kind on it or remove one from it. / Quando Carregador da Pedreira entrar no campo de batalha, para cada tipo de marcador na permanente alvo, coloque nela outro marcador daquele tipo ou remova um.</t>
  </si>
  <si>
    <t>Queen Brahne / Rainha Brahne</t>
  </si>
  <si>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</si>
  <si>
    <t>Queen's Agent / Agente da Rainha</t>
  </si>
  <si>
    <t>Creature — Vampire Scout / Criatura — Vampiro Batedor</t>
  </si>
  <si>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</si>
  <si>
    <t>Quench / Arrefecer</t>
  </si>
  <si>
    <t>Counter target spell unless its controller pays {2}. / Anule a mágica alvo, a menos que seu controlador pague {2}.</t>
  </si>
  <si>
    <t>Quick Study / Estudo Rápido</t>
  </si>
  <si>
    <t>Quick-Draw Katana</t>
  </si>
  <si>
    <t>During your turn, equipped creature gets +2/+0 and has first strike. (It deals combat damage before creatures without first strike.) Equip {2} ({2}: Attach to target creature you control. Equip only as a sorcery.)</t>
  </si>
  <si>
    <t>Quick-Draw Katana / Katana de Saque Rápido</t>
  </si>
  <si>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</si>
  <si>
    <t>Quicksilver Geyser / Gêiser de Mercúrio</t>
  </si>
  <si>
    <t>Return up to two target nonland permanents to their owners' hands. / Devolva até duas permanentes alvo que não sejam terrenos para as mãos de seus donos.</t>
  </si>
  <si>
    <t>Quill-Slinger Boggart / Papão Atira-Espinho</t>
  </si>
  <si>
    <t>Whenever a player casts a Kithkin spell, you may have target player lose 1 life. / Toda vez que um jogador jogar uma mágica de Kithkin, você pode fazer com que o jogador alvo perca 1 ponto de vida.</t>
  </si>
  <si>
    <t>Quina, Qu Gourmet / Quina, Gourmet Qu</t>
  </si>
  <si>
    <t>Criatura Lendária — Qu</t>
  </si>
  <si>
    <t>Se uma ou mais fichas seriam criadas sob o seu controle, em vez disso, aquelas fichas mais uma ficha de criatura Sapo verde 1/1 serão criadas. {2}, Sacrifique um Sapo: Coloque um marcador +1/+1 em Quina.</t>
  </si>
  <si>
    <t>Quintessential Katana</t>
  </si>
  <si>
    <t>Equipped creature gets +1/+1 and has "Whenever this creature deals combat damage, untap it and you gain 2 life." Whenever a Ninja you control enters, you may attach this Equipment to it. Equip {2} ({2}: Attach to target creature you control. Equip only as a sorcery.)</t>
  </si>
  <si>
    <t>Quistis Trepe / Quistis Trepe</t>
  </si>
  <si>
    <t>Criatura Lendária — Humano Mago</t>
  </si>
  <si>
    <t>Magia Azul — Quando Quistis Trepe entrar, você poderá conjurar o card de mágica instantânea ou de feitiço alvo de um cemitério, e mana de qualquer tipo poderá ser gasto para conjurar aquela mágica. Se aquela mágica fosse ser colocada num cemitério, em vez disso, exile-a.</t>
  </si>
  <si>
    <t>Qutrub Forayer</t>
  </si>
  <si>
    <t>Creature — Zombie Horror</t>
  </si>
  <si>
    <t>When this creature enters, choose one — • Destroy target creature that was dealt damage this turn. • Exile up to two target cards from a single graveyard.</t>
  </si>
  <si>
    <t>Rabanastre, Royal City / Rabanastre, Cidade Real</t>
  </si>
  <si>
    <t>Este terreno entra virado. {T}: Adicione {R} ou {W}.</t>
  </si>
  <si>
    <t>Rabaroo Troop</t>
  </si>
  <si>
    <t>Creature — Rabbit Kangaroo</t>
  </si>
  <si>
    <t>Landfall — Whenever a land you control enters, this creature gains flying until end of turn and you gain 1 life. Plainscycling {2} ({2}, Discard this card: Search your library for a Plains card, reveal it, put it into your hand, then shuffle.)</t>
  </si>
  <si>
    <t>Rabid Bite / Mordida Rábica</t>
  </si>
  <si>
    <t>Target creature you control deals damage equal to its power to target creature you don't control. / A criatura alvo que você controla causa dano igual ao seu poder à criatura alvo que você não controla.</t>
  </si>
  <si>
    <t>Rabid Bloodsucker / Sugador de Sangue Raivoso</t>
  </si>
  <si>
    <t>Flying (This creature can't be blocked except by creatures with flying or reach.) When this creature enters, each player loses 2 life. / Voar (Esta criatura só pode ser bloqueada por criaturas com voar ou alcance.)Quando Sugador de Sangue Raivoso entra no campo de batalha, cada jogador perde 2 pontos de vida.</t>
  </si>
  <si>
    <t>Radha, Coalition Warlord / Radha, Senhora da Guerra da Coalizão</t>
  </si>
  <si>
    <t>Legendary Creature — Elf Warrior / Criatura Lendária — Elfo Guerreiro</t>
  </si>
  <si>
    <t>Domain — Whenever Radha becomes tapped, another target creature you control gets +X/+X until end of turn, where X is the number of basic land types among lands you control. / Dominar — Toda vez que Radha, Senhora da Guerra da Coalizão, torna-se virada, outra criatura alvo que você controla recebe +X/+X até o final do turno, sendo X o número de tipos de terreno básico entre os terrenos que você controla.</t>
  </si>
  <si>
    <t>Radiant Fountain / Fonte Radiante</t>
  </si>
  <si>
    <t>When this land enters, you gain 2 life. {T}: Add {C}. / Quando Fonte Radiante entra no campo de batalha, você ganha 2 pontos de vida. {T}: Adicione {C}.</t>
  </si>
  <si>
    <t>Radiant Strike / Golpe Radiante</t>
  </si>
  <si>
    <t>Destrua o artefato ou criatura virada alvo. Você ganha 3 pontos de vida.</t>
  </si>
  <si>
    <t>Radical Idea / Ideia Radical</t>
  </si>
  <si>
    <t>Draw a card. Jump-start (You may cast this card from your graveyard by discarding a card in addition to paying its other costs. Then exile this card.) / Compre um card. Recarregar (Você pode conjurar este card de seu cemitério descartando um card além de pagar seus outros custos. Depois, exile este card.)</t>
  </si>
  <si>
    <t>Raft Security Officer / Oficial de Segurança da Balsa</t>
  </si>
  <si>
    <t>{2}, {T}: Vire a criatura alvo. Esta habilidade custa {1} a menos para ser ativada se tiver como alvo uma criatura com poder igual ou inferior a 3.</t>
  </si>
  <si>
    <t>Rag Man / Trapeiro</t>
  </si>
  <si>
    <t>Creature — Human Minion</t>
  </si>
  <si>
    <t>{B}{B}{B}, {T}: Target opponent reveals their hand and discards a creature card at random. Activate only during your turn.</t>
  </si>
  <si>
    <t>Ragamuffin Raptor</t>
  </si>
  <si>
    <t>When this creature enters, return up to one target creature or Food card from your graveyard to your hand.</t>
  </si>
  <si>
    <t>Rage of Purphoros / Ira de Púrforo</t>
  </si>
  <si>
    <t>Rage of Purphoros deals 4 damage to target creature. It can't be regenerated this turn. Scry 1. (Look at the top card of your library. You may put that card on the bottom.) / Ira de Púrforo causa 4 pontos de dano à criatura alvo. Ela não pode ser regenerada neste turno. Vidência 1. (Olhe o card do topo de seu grimório. Você pode colocar aquele card no fundo de seu grimório.)</t>
  </si>
  <si>
    <t>Rage-Scarred Berserker / Amoque Escarificado pela Fúria</t>
  </si>
  <si>
    <t>When this creature enters, target creature you control gets +1/+0 and gains indestructible until end of turn. (Damage and effects that say "destroy" don't destroy it.) / Quando Amoque Escarificado pela Fúria entra no campo de batalha, a criatura alvo que você controla recebe +1/+0 e ganha indestrutível até o final do turno. (O dano e os efeitos que dizem "destrua" não a destroem.)</t>
  </si>
  <si>
    <t>Ragemonger / Instigador de Ódio</t>
  </si>
  <si>
    <t>Creature — Minotaur Shaman / Criatura — Minotauro Xamã</t>
  </si>
  <si>
    <t>Minotaur spells you cast cost {B}{R} less to cast. This effect reduces only the amount of colored mana you pay. (For example, if you cast a Minotaur spell with mana cost {2}{R}, it costs {2} to cast.) / As mágicas de Minotauro que você conjura custam {B}{R} a menos para serem conjuradas. Este efeito diminui apenas a quantidade de mana colorido que você paga. (Por exemplo, se você conjurar uma mágica de Minotauro com custo de {2}{R}, ela passa a custar {2} para ser conjurada.)</t>
  </si>
  <si>
    <t>Raging Goblin / Goblin Enfurecido</t>
  </si>
  <si>
    <t>Haste (This creature can attack and {T} as soon as it comes under your control.) / Ímpeto (Esta criatura pode atacar e {T} assim que entra sob seu controle.)</t>
  </si>
  <si>
    <t>Raging Kronch / Kronch Enfurecido</t>
  </si>
  <si>
    <t>This creature can't attack alone. / Kronch Enfurecido não pode atacar sozinho.</t>
  </si>
  <si>
    <t>Raiders' Spoils / Espólio dos Salteadores</t>
  </si>
  <si>
    <t>Creatures you control get +1/+0. Whenever a Warrior you control deals combat damage to a player, you may pay 1 life. If you do, draw a card. / As criaturas que você controla recebem +1/+0. Toda vez que um Guerreiro que você controla causa dano de combate a um jogador, você pode pagar 1 ponto de vida. Se fizer isso, compre um card.</t>
  </si>
  <si>
    <t>Rain of Rust / Chuva de Ferrugem</t>
  </si>
  <si>
    <t>Choose one — • Destroy target artifact. • Destroy target land. Entwine {3}{R} (Choose both if you pay the entwine cost.) / Escolha um Destrói o artefato alvo; ou destrói o terreno alvo. Entrelaçar {3}{R} (Escolha ambos se pagar o custo de entrelaçar.)</t>
  </si>
  <si>
    <t>Raise Dead / Ressuscitar Morto</t>
  </si>
  <si>
    <t>Return target creature card from your graveyard to your hand. / Devolva o card de criatura alvo de seu cemitério para sua mão.</t>
  </si>
  <si>
    <t>Raise the Alarm / Soar o Alarme</t>
  </si>
  <si>
    <t>Create two 1/1 white Soldier creature tokens. / Coloque no campo de batalha duas fichas de criatura brancas 1/1 do tipo Soldado.</t>
  </si>
  <si>
    <t>Rakdos Guildgate / Portão da Guilda Rakdos</t>
  </si>
  <si>
    <t>This land enters tapped. {T}: Add {B} or {R}. / Portão da Guilda Rakdos entra no campo de batalha virado. {T}: Adicione {B} ou {R} à sua reserva de mana.</t>
  </si>
  <si>
    <t>Rakdos Ringleader / Líder Rakdos</t>
  </si>
  <si>
    <t>First strike Whenever this creature deals combat damage to a player, that player discards a card at random. {B}: Regenerate this creature. / Iniciativa Toda vez que Líder Rakdos causa dano de combate a um jogador, aquele jogador descarta um card aleatoriamente. {B}: Regenere Líder Rakdos.</t>
  </si>
  <si>
    <t>{4}{B}{R}</t>
  </si>
  <si>
    <t>Rakdos Roustabout / Servente Rakdos</t>
  </si>
  <si>
    <t>Whenever this creature becomes blocked, it deals 1 damage to the player or planeswalker it's attacking. / Toda vez que Servente Rakdos é bloqueado, ele causa 1 ponto de dano ao jogador ou planeswalker que ele está atacando.</t>
  </si>
  <si>
    <t>Rakshasa Gravecaller / Evocador de Túmulos Rakshasa</t>
  </si>
  <si>
    <t>Creature — Demon / Criatura — Felino Demônio</t>
  </si>
  <si>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</si>
  <si>
    <t>Rally the Peasants / Reunir os Camponeses</t>
  </si>
  <si>
    <t>Creatures you control get +2/+0 until end of turn. Flashback {2}{R} (You may cast this card from your graveyard for its flashback cost. Then exile it.) / As criaturas que você controla recebem +2/+0 até o final do turno. Recapitular {2}{R} (Você pode conjurar este card de seu cemitério pagando seu custo de recapitular. Depois, exile-o.)</t>
  </si>
  <si>
    <t>Rampage of the Clans / Fúria dos Clãs</t>
  </si>
  <si>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</si>
  <si>
    <t>Rampaging Brontodon / Brontodonte Enfurecido</t>
  </si>
  <si>
    <t>Trample Whenever this creature attacks, it gets +1/+1 until end of turn for each land you control. / Atropelar Toda vez que Brontodonte Enfurecido ataca, ele recebe +1/+1 até o final do turno para cada terreno que você controla.</t>
  </si>
  <si>
    <t>Rampaging Cyclops / Ciclope Enfurecido</t>
  </si>
  <si>
    <t>This creature gets -2/-0 as long as two or more creatures are blocking it. / Ciclope Enfurecido recebe -2/-0 enquanto duas ou mais criaturas o estiverem bloqueando.</t>
  </si>
  <si>
    <t>Rampaging Soulrager</t>
  </si>
  <si>
    <t>This creature gets +3/+0 as long as there are two or more unlocked doors among Rooms you control.</t>
  </si>
  <si>
    <t>Rampant Elephant / Elefante Desenfreado</t>
  </si>
  <si>
    <t>{G}: Target creature blocks Rampant Elephant this turn if able. / {G}: A criatura alvo bloqueia Elefante Desenfreado neste turno, se estiver apta.</t>
  </si>
  <si>
    <t>Rampant Growth / Crescimento Desenfreado</t>
  </si>
  <si>
    <t>Search your library for a basic land card, put it onto the battlefield tapped, then shuffle. / Procure um card de terreno básico em seu grimório, coloque-o no campo de batalha virado e depois embaralhe.</t>
  </si>
  <si>
    <t>Ramroller / Aríete com Rodas</t>
  </si>
  <si>
    <t>Artifact Creature — Juggernaut / Criatura Artefato — Juggernaut</t>
  </si>
  <si>
    <t>This creature attacks each combat if able. This creature gets +2/+0 as long as you control another artifact. / Aríete com Rodas ataca a cada turno se estiver apto.Aríete com Rodas receberá +2/+0 enquanto você controlar outro artefato.</t>
  </si>
  <si>
    <t>Ran and Shaw</t>
  </si>
  <si>
    <t>Legendary Creature — Dragon</t>
  </si>
  <si>
    <t>Flying, firebending 2 When Ran and Shaw enter, if you cast them and there are three or more Dragon and/or Lesson cards in your graveyard, create a token that's a copy of Ran and Shaw, except it's not legendary. {3}{R}: Dragons you control get +2/+0 until end of turn.</t>
  </si>
  <si>
    <t>Random Encounter / Encontro Aleatório</t>
  </si>
  <si>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</si>
  <si>
    <t>4{R}{R}</t>
  </si>
  <si>
    <t>Ranger's Firebrand / Tição do Caminheiro</t>
  </si>
  <si>
    <t>Ranger's Firebrand deals 2 damage to any target. The Ring tempts you. / Tição do Caminheiro causa 2 pontos de dano a qualquer alvo. O Anel tenta você.</t>
  </si>
  <si>
    <t>Rapacious Dragon / Dragão Edaz</t>
  </si>
  <si>
    <t>Flying When this creature enters, create two Treasure tokens. (They're artifacts with "{T}, Sacrifice this token: Add one mana of any color.") / Voar Quando Dragão Edaz entrar no campo de batalha, crie duas fichas de Tesouro. (Elas são artefatos com "{T}, sacrifique este artefato: Adicione um mana de qualquer cor.")</t>
  </si>
  <si>
    <t>Rapacious One / O Opressor</t>
  </si>
  <si>
    <t>Trample Whenever this creature deals combat damage to a player, create that many 0/1 colorless Eldrazi Spawn creature tokens. They have "Sacrifice this token: Add {C}." / Atropelar Toda vez que O Opressor causar dano de combate a um jogador, coloque no campo de batalha uma quantidade equivalente de fichas de criatura incolores 0/1 do tipo Prole Eldrazi. Elas têm "Sacrifique esta criatura: Adicione {1} à sua reserva de mana."</t>
  </si>
  <si>
    <t>Raph's Bravado / Bravata de Raph</t>
  </si>
  <si>
    <t>Durante o seu turno, as criaturas atacantes recebem +1/+0.</t>
  </si>
  <si>
    <t>Raphael, Most Attitude</t>
  </si>
  <si>
    <t>Menace (This creature can't be blocked except by two or more creatures.) Alliance — Whenever another creature you control enters, you may exile the top card of your library. Whenever Raphael attacks, until end of turn, you may play a card exiled with Raphael.</t>
  </si>
  <si>
    <t>Raphael, the Nightwatcher</t>
  </si>
  <si>
    <t>Sneak {1}{R}{R} (You may cast this spell for {1}{R}{R} if you also return an unblocked attacker you control to hand during the declare blockers step. He enters tapped and attacking.) Attacking creatures you control have double strike.</t>
  </si>
  <si>
    <t>Raphael, Tough Turtle</t>
  </si>
  <si>
    <t>Alliance — Whenever another creature you control enters, Raphael deals 1 damage to target opponent.</t>
  </si>
  <si>
    <t>Rapier Wit / Espírito de Rapas</t>
  </si>
  <si>
    <t>Vire a criatura alvo. Se for o seu turno, coloque um marcador de atordoamento nela. (Se uma permanente com um marcador de atordoamento fosse se tornar desvirada, em vez disso, remova um dele.) Compre um card.</t>
  </si>
  <si>
    <t>Raptor Companion / Companheiro Raptor</t>
  </si>
  <si>
    <t>Rashka the Slayer / Rashka, a Matadora</t>
  </si>
  <si>
    <t>Legendary Creature — Human Archer</t>
  </si>
  <si>
    <t>Reach (This creature can block creatures with flying.) Whenever Rashka blocks one or more black creatures, Rashka gets +1/+2 until end of turn.</t>
  </si>
  <si>
    <t>Raubahn, Bull of Ala Mhigo / Raubahn, Touro de Ala Mhigo</t>
  </si>
  <si>
    <t>Salvaguarda — Pague uma quantidade de vida igual ao poder de Raubahn. Sempre que Raubahn atacar, anexe até um Equipamento alvo que você controla à criatura atacante alvo.</t>
  </si>
  <si>
    <t>Raucous Audience</t>
  </si>
  <si>
    <t>{T}: Add {G}. If you control a creature with power 4 or greater, add {G}{G} instead.</t>
  </si>
  <si>
    <t>Ravaging Blaze / Incêndio Furioso</t>
  </si>
  <si>
    <t>Ravaging Blaze deals X damage to target creature. Spell mastery — If there are two or more instant and/or sorcery cards in your graveyard, Ravaging Blaze also deals X damage to that creature's controller. / Incêndio Furioso causa X pontos de dano à criatura alvo. Maestria em magia — Se houver dois ou mais cards de mágica instantânea ou feitiço no seu cemitério, Incêndio Furioso também causará X pontos de dano ao controlador daquela criatura.</t>
  </si>
  <si>
    <t>Ravenous Leucrocota / Leucrócota Voraz</t>
  </si>
  <si>
    <t>Vigilance {6}{G}: Monstrosity 3. (If this creature isn't monstrous, put three +1/+1 counters on it and it becomes monstrous.) / Vigilância {6}{G}: Monstruosidade 3. (Se esta criatura não for monstruosa, coloque três marcadores +1/+1 nela e ela se tornará monstruosa.)</t>
  </si>
  <si>
    <t>Ray Fillet, Man Ray</t>
  </si>
  <si>
    <t>Legendary Creature — Fish Mutant</t>
  </si>
  <si>
    <t>Flying When Ray Fillet enters, create a Mutagen token. (It's an artifact with "{1}, {T}, Sacrifice this token: Put a +1/+1 counter on target creature. Activate only as a sorcery.") {2}, Remove a +1/+1 counter from a creature you control: Draw a card.</t>
  </si>
  <si>
    <t>Ray of Dissolution / Raio de Dissolução</t>
  </si>
  <si>
    <t>Destroy target enchantment. You gain 3 life. / Destrua o encantamento alvo. Você ganha 3 pontos de vida.</t>
  </si>
  <si>
    <t>Razor Rings</t>
  </si>
  <si>
    <t>Razor Rings deals 4 damage to target attacking or blocking creature. You gain life equal to the excess damage dealt this way.</t>
  </si>
  <si>
    <t>Razorfoot Griffin / Grifo Garra-de-navalha</t>
  </si>
  <si>
    <t>Flying (This creature can't be blocked except by creatures with flying or reach.) First strike (This creature deals combat damage before creatures without first strike.) / Voar (Esta criatura só pode ser bloqueada por criaturas com voar ou alcance.) Iniciativa (Esta criatura causa dano de combate antes das criaturas sem iniciativa.)</t>
  </si>
  <si>
    <t>Razorfoot Griffin / Grifo Pata-de-Navalha</t>
  </si>
  <si>
    <t>Flying, first strike. / Voar, iniciativa.</t>
  </si>
  <si>
    <t>Razorkin Hordecaller</t>
  </si>
  <si>
    <t>Creature — Human Clown Berserker</t>
  </si>
  <si>
    <t>Haste Whenever you attack, create a 1/1 red Gremlin creature token.</t>
  </si>
  <si>
    <t>Reach the Horizon / Alcançar o Horizonte</t>
  </si>
  <si>
    <t>Procure em seu grimório por até dois cards de terreno básico e/ou cards de Cidade com nomes diferentes, coloque-os no campo de batalha virados e depois embaralhe.</t>
  </si>
  <si>
    <t>Read the Bones / Leia os Ossos</t>
  </si>
  <si>
    <t>Scry 2, then draw two cards. You lose 2 life. (To scry 2, look at the top two cards of your library, then put any number of them on the bottom and the rest on top in any order.) / Use vidência 2 e depois compre dois cards. Você perde 2 pontos de vida. (Para usar vidência 2, olhe os dois cards do topo do seu grimório. Depois, coloque qualquer número deles no fundo do seu grimório e o restante no topo em qualquer ordem.)</t>
  </si>
  <si>
    <t>Realmwright / Forjador de Realidade</t>
  </si>
  <si>
    <t>As this creature enters, choose a basic land type. Lands you control are the chosen type in addition to their other types. / Conforme Forjador de Realidade entra no campo de batalha, escolha um tipo de terreno básico.Os terrenos que você controla são do tipo escolhido além de seus outros tipos.</t>
  </si>
  <si>
    <t>Reap the Seagraf / Colheita de Cemitério Marinho</t>
  </si>
  <si>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</si>
  <si>
    <t>Reap What Is Sown / Colher o que Plantou</t>
  </si>
  <si>
    <t>Put a +1/+1 counter on each of up to three target creatures. / Coloque um marcador +1/+1 em cada uma de até três criaturas alvo.</t>
  </si>
  <si>
    <t>Reason // Believe / Razão // Acreditar</t>
  </si>
  <si>
    <t>Reason: Scry 3. // Believe: Aftermath (Cast this spell only from your graveyard. Then exile it.) Look at the top card of your library. You may put it onto the battlefield if it's a creature card. If you don't, put it into your hand. / Vidência 3.</t>
  </si>
  <si>
    <t>{U} // {4}{G}</t>
  </si>
  <si>
    <t>Reave Soul / Despojar Alma</t>
  </si>
  <si>
    <t>Destroy target creature with power 3 or less. / Destrua a criatura alvo com poder igual ou inferior a 3.</t>
  </si>
  <si>
    <t>Reaver Drone / Zangão Despojador</t>
  </si>
  <si>
    <t>Devoid (This card has no color.) At the beginning of your upkeep, you lose 1 life unless you control another colorless creature. / Desprovido (Este card não tem cor.) No início de sua manutenção, você perde 1 ponto de vida a menos que controle outra criatura incolor.</t>
  </si>
  <si>
    <t>Rebellious Captives</t>
  </si>
  <si>
    <t>Exhaust — {6}: Put two +1/+1 counters on this creature, then earthbend 2. (Target land you control becomes a 0/0 creature with haste that's still a land. Put two +1/+1 counters on it. When it dies or is exiled, return it to the battlefield tapped. Activate each exhaust ability only once.)</t>
  </si>
  <si>
    <t>Reckless Abandon / Abandono Impetuoso</t>
  </si>
  <si>
    <t>Como custo adicional para conjurar Abandono Impetuoso, sacrifique uma criatura. Abandono Impetuoso causa 4 de dano à criatura ou ao jogador alvo.</t>
  </si>
  <si>
    <t>Reckless Amplimancer / Amplimante Temerário</t>
  </si>
  <si>
    <t>{4}{G}: Double the power and toughness of Reckless Amplimancer until end of turn. / {4}{G}: Dobre o poder e a resistência de Amplimante Temerário até o final do turno.</t>
  </si>
  <si>
    <t>Reckless Brute / Brutamontes Inconsequente</t>
  </si>
  <si>
    <t>Creature — Ogre Warrior / Criatura — Ogre Guerreiro</t>
  </si>
  <si>
    <t>Haste (This creature can attack and {T} as soon as it comes under your control.) This creature attacks each combat if able. / Ímpeto (Esta criatura pode atacar e {T} assim que entra sob seu controle.) Brutamontes Inconsequente ataca a cada turno se estiver apto.</t>
  </si>
  <si>
    <t>Reckless Fireweaver / Flamitecelão Temerário</t>
  </si>
  <si>
    <t>Whenever an artifact you control enters, this creature deals 1 damage to each opponent. / Toda vez que um artefato entra no campo de batalha sob seu controle, Flamitecelão Temerário causa 1 ponto de dano a cada oponente.</t>
  </si>
  <si>
    <t>Reckless Handling / Manuseio Descuidado</t>
  </si>
  <si>
    <t>Search your library for an artifact card, reveal it, put it into your hand, shuffle, then discard a card at random. If an artifact card was discarded this way, Reckless Handling deals 2 damage to each opponent. / Procure em seu grimório um card de artefato, revele-o, coloque-o em sua mão, embaralhe e depois descarte um card aleatoriamente. Se um card de artefato foi descartado dessa forma, Manuseio Descuidado causa 2 pontos de dano a cada oponente.</t>
  </si>
  <si>
    <t>Reckless Ransacking</t>
  </si>
  <si>
    <t>Target creature gets +3/+2 until end of turn. Create a Treasure token. (It's an artifact with "{T}, Sacrifice this token: Add one mana of any color.")</t>
  </si>
  <si>
    <t>Reckless Reveler / Orgíaco Imprudente</t>
  </si>
  <si>
    <t>Creature — Satyr / Criatura — Sátiro</t>
  </si>
  <si>
    <t>{R}, Sacrifice this creature: Destroy target artifact. / {R}, Sacrifique Orgíaco Imprudente: Destrua o artefato alvo.</t>
  </si>
  <si>
    <t>Reckless Scholar / Erudito Incauto</t>
  </si>
  <si>
    <t>{T}: Target player draws a card, then discards a card. / {T}: O jogador alvo compra um card e depois descarta um card.</t>
  </si>
  <si>
    <t>Reckoner Shakedown / Extorsão dos Justiceiros</t>
  </si>
  <si>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</si>
  <si>
    <t>Reclaim / Restituir</t>
  </si>
  <si>
    <t>Put target card from your graveyard on top of your library. / Coloque o card alvo de seu cemitério no topo de seu grimório.</t>
  </si>
  <si>
    <t>Reclusive Artificer / Artífice Eremita</t>
  </si>
  <si>
    <t>Haste (This creature can attack and {T} as soon as it comes under your control.) When this creature enters, you may have it deal damage to target creature equal to the number of artifacts you control. / Ímpeto (Esta criatura pode atacar e {T} assim que passa ao seu controle.)Quando Artífice Eremita entra no campo de batalha, você pode fazer com que ele cause à criatura alvo dano igual ao número de artefatos que você controla.</t>
  </si>
  <si>
    <t>Recross the Paths / Reatravessar as Trilhas</t>
  </si>
  <si>
    <t>Reveal cards from the top of your library until you reveal a land card. Put that card onto the battlefield and the rest on the bottom of your library in any order. Clash with an opponent. If you win, return Recross the Paths to its owner's hand. (Each clashing player reveals the top card of their library, then puts that card on their choice of the top or bottom. A player wins if their card had a greater mana value.) / Revele cards do topo de seu grimório até revelar um card de terreno. Coloque aquele card em jogo e o restante no fundo de seu grimório em qualquer ordem. Confronte um oponente. Se você vencer, devolva Reatravessar as Trilhas para a mão de seu dono. (Cada jogador confrontante revela o card do topo de seu próprio grimório e depois o coloca no topo ou no fundo deste. Vence o jogador que tiver o card com o maior custo de mana convertido.)</t>
  </si>
  <si>
    <t>Red Mage's Rapier / Rapieira do Mago Vermelho</t>
  </si>
  <si>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</si>
  <si>
    <t>Red Room Recruit</t>
  </si>
  <si>
    <t>Creature — Human Spy Villain</t>
  </si>
  <si>
    <t>When this creature enters, it connives. (Draw a card, then discard a card. If you discarded a nonland card, put a +1/+1 counter on this creature.)</t>
  </si>
  <si>
    <t>Red Room Recruit / Recruta da Sala Vermelha</t>
  </si>
  <si>
    <t>Criatura — Humano Espião Vilão</t>
  </si>
  <si>
    <t>Quando esta criatura entrar, ela conspira. (Compre um card, depois descarte um card. Se você descartou um card não de terreno, coloque um marcador +1/+1 nesta criatura.)</t>
  </si>
  <si>
    <t>Red Tiger Mechan / Mecano-tigre Vermelho</t>
  </si>
  <si>
    <t>Criatura Artefato — Robô Gato</t>
  </si>
  <si>
    <t>Ímpeto. Dobra {1}{R} (Você pode conjurar este card de sua mão pelo seu custo de dobra. Exile esta criatura no início da próxima etapa final e depois você poderá conjurá-la do exílio em um turno posterior.)</t>
  </si>
  <si>
    <t>Reduce // Rubble / Reduzir // Escombros</t>
  </si>
  <si>
    <t>Reduce: Counter target spell unless its controller pays {3}. // Rubble: Aftermath (Cast this spell only from your graveyard. Then exile it.) Up to three target lands don't untap during their controller's next untap step. / Anule a mágica alvo, a menos que seu controlador pague {3}.</t>
  </si>
  <si>
    <t>{2}{U} // {2}{R}</t>
  </si>
  <si>
    <t>Reduce in Stature / Reduzir Estatura</t>
  </si>
  <si>
    <t>Enchant creature Enchanted creature has base power and toughness 0/2. / Encantar criatura A criatura encantada têm 0/2 de poder e resistência básicos.</t>
  </si>
  <si>
    <t>Reduce to Ashes / Reduzir a Cinzas</t>
  </si>
  <si>
    <t>Reduce to Ashes deals 5 damage to target creature. If that creature would die this turn, exile it instead. / Reduzir a Cinzas causa 5 pontos de dano à criatura alvo. Se aquela criatura for morrer neste turno, em vez disso, exile-a.</t>
  </si>
  <si>
    <t>Reef Worm / Verme do Recife</t>
  </si>
  <si>
    <t>Creature — Worm / Criatura — Verme</t>
  </si>
  <si>
    <t>When this creature dies, create a 3/3 blue Fish creature token with "When this token dies, create a 6/6 blue Whale creature token with 'When this token dies, create a 9/9 blue Kraken creature token.'" / Quando Verme do Recife morrer, crie uma ficha de criatura Peixe azul 3/3 com "Quando esta criatura morrer, crie uma ficha de criatura Baleia azul 6/6 com 'Quando esta criatura morrer, crie uma ficha de criatura Kraken azul 9/9.'"</t>
  </si>
  <si>
    <t>Regal Bloodlord / Senhor Vampiro Régio</t>
  </si>
  <si>
    <t>Flying At the beginning of each end step, if you gained life this turn, create a 1/1 black Bat creature token with flying. / Voar No início de cada etapa final, se você ganhou pontos de vida neste turno, crie uma ficha de criatura preta 1/1 do tipo Morcego com voar.</t>
  </si>
  <si>
    <t>Regathan Firecat / Felino Ígneo Regathano</t>
  </si>
  <si>
    <t>Creature — Elemental Cat / Criatura — Elemental Felino</t>
  </si>
  <si>
    <t>Regenesis / Regênese</t>
  </si>
  <si>
    <t>Return up to two target permanent cards from your graveyard to your hand. / Devolva até dois cards de permanente alvo de seu cemitério para sua mão.</t>
  </si>
  <si>
    <t>Regent's Authority / Autoridade da Regente</t>
  </si>
  <si>
    <t>Target creature gets +2/+2 until end of turn. If it's an enchantment creature or legendary creature, instead put a +1/+1 counter on it and it gets +1/+1 until end of turn. / A criatura alvo recebe +2/+2 até o final do turno. Se ela for uma criatura encantamento ou criatura lendária, em vez disso, coloque um marcador +1/+1 nela e ela recebe +1/+1 até o final do turno.</t>
  </si>
  <si>
    <t>Reinforcements</t>
  </si>
  <si>
    <t>Put up to three target creature cards from your graveyard on top of your library in any order.</t>
  </si>
  <si>
    <t>Reknit / Retramar</t>
  </si>
  <si>
    <t>Regenerate target permanent. / Regenere a permanente alvo.</t>
  </si>
  <si>
    <t>Relentless X-ATM092 / X-ATM092 Implacável</t>
  </si>
  <si>
    <t>Criatura Artefato — Robô Aranha</t>
  </si>
  <si>
    <t>Esta criatura não pode ser bloqueada a não ser por três ou mais criaturas. {8}: Devolva este card de seu cemitério para o campo de batalha virado com um marcador de finalidade nele. (Se uma criatura com um marcador de finalidade nele fosse morrer, em vez disso, exile-a.)</t>
  </si>
  <si>
    <t>Relm's Sketching / Esboço de Relm</t>
  </si>
  <si>
    <t>Crie uma ficha que seja uma cópia do artefato, criatura ou terreno alvo.</t>
  </si>
  <si>
    <t>2{U}{U}</t>
  </si>
  <si>
    <t>Reluctant Dounguard</t>
  </si>
  <si>
    <t>Creature — Kithkin Soldier</t>
  </si>
  <si>
    <t>This creature enters with two -1/-1 counters on it. Whenever another creature you control enters while this creature has a -1/-1 counter on it, remove a -1/-1 counter from this creature.</t>
  </si>
  <si>
    <t>Render Speechless / Emudecer</t>
  </si>
  <si>
    <t>O oponente alvo revela a própria mão. Você escolhe um card não de terreno dela. Aquele jogador descarta aquele card. Coloque dois marcadores +1/+1 em até uma criatura alvo.</t>
  </si>
  <si>
    <t>2{W}{B}</t>
  </si>
  <si>
    <t>Renegade Tactics / Tática dos Renegados</t>
  </si>
  <si>
    <t>Target creature can't block this turn. Draw a card. / A criatura alvo não pode bloquear neste turno. Compre um card.</t>
  </si>
  <si>
    <t>Renewed Faith / Fé Renovada</t>
  </si>
  <si>
    <t>You gain 6 life. Cycling {1}{W} ({1}{W}, Discard this card: Draw a card.) When you cycle this card, you may gain 2 life. / Você ganha 6 pontos de vida. Reciclar {1}{W} ({1}{W}, Descarte este card: Compre um card.) Quando recicla Fé Renovada, você pode ganhar 2 pontos de vida.</t>
  </si>
  <si>
    <t>Reno and Rude</t>
  </si>
  <si>
    <t>Legendary Creature - Human Assassin</t>
  </si>
  <si>
    <t>Menace. Whenever Reno and Rude deals combat damage to a player, exile the top card of that player's library. Then you may sacrifice another creature or artifact. If you do, you may play the exiled card this turn, and mana of any type can be spent to cast it.</t>
  </si>
  <si>
    <t>Renowned Weaver / Tecedora Renomada</t>
  </si>
  <si>
    <t>{1}{G}, Sacrifice this creature: Create a 1/3 green Spider enchantment creature token with reach. (It can block creatures with flying.) / {1}{G}, Sacrifique Tecedora Renomada: Coloque no campo de batalha uma ficha de criatura encantamento verde 1/3 do tipo Aranha com alcance. (Ela pode bloquear criaturas com voar.)</t>
  </si>
  <si>
    <t>Repeal / Revogar</t>
  </si>
  <si>
    <t>Devolva a permanente não de terreno alvo com custo de mana convertido X para a mão de seu dono. Compre um card.</t>
  </si>
  <si>
    <t>XU</t>
  </si>
  <si>
    <t>Repel the Abominable / Repelir o Abominável</t>
  </si>
  <si>
    <t>Prevent all damage that would be dealt this turn by non-Human sources. / Previna todo o dano que seria causado neste turno por fontes que não sejam Humanos.</t>
  </si>
  <si>
    <t>Repentant Blacksmith / Ferreiro Penitente</t>
  </si>
  <si>
    <t>Protection from red</t>
  </si>
  <si>
    <t>Replication Specialist / Especialista em Replicação</t>
  </si>
  <si>
    <t>Creature — Moonfolk Artificer / Criatura — Cidadão-da-lua Artesão</t>
  </si>
  <si>
    <t>Flying Whenever a nontoken artifact you control enters, you may pay {1}{U}. If you do, create a token that's a copy of that artifact. / Voar Toda vez que um artefato não ficha entra no campo de batalha sob seu controle, você pode pagar {1}{U}. Se fizer isso, crie uma ficha que seja uma cópia daquele artefato.</t>
  </si>
  <si>
    <t>Reprisal</t>
  </si>
  <si>
    <t>Bury target creature with power 4 or greater.</t>
  </si>
  <si>
    <t>Repulsor Bots</t>
  </si>
  <si>
    <t>Artifact Creature — Robot Hero</t>
  </si>
  <si>
    <t>Flying (This creature can't be blocked except by creatures with flying or reach.) When this creature enters, return up to two other target artifacts and/or creatures to their owners' hands.</t>
  </si>
  <si>
    <t>Rescue Skiff / Esquife de Resgate</t>
  </si>
  <si>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</si>
  <si>
    <t>5{W}</t>
  </si>
  <si>
    <t>Resentful Revelation</t>
  </si>
  <si>
    <t>Look at the top three cards of your library. Put one of them into your hand and the rest into your graveyard. Flashback 6B (You may cast this card from your graveyard for its flashback cost. Then exile it.)</t>
  </si>
  <si>
    <t>Resistance Skywarden / Guardião Celeste da Resistência</t>
  </si>
  <si>
    <t>Creature — Ogre Rebel / Criatura — Ogro Rebelde</t>
  </si>
  <si>
    <t>Menace (This creature can't be blocked except by two or more creatures.) Reach (This creature can block creatures with flying.) / Ameaçar, alcance</t>
  </si>
  <si>
    <t>Resolute Rider / Ginete Resoluta</t>
  </si>
  <si>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</si>
  <si>
    <t>{W/B}{W/B}{W/B}{W/B}</t>
  </si>
  <si>
    <t>Restless Apparition / Aparição Inquieta</t>
  </si>
  <si>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</si>
  <si>
    <t>{W/B}{W/B}{W/B}</t>
  </si>
  <si>
    <t>Restoration Specialist / Especialista em Restauração</t>
  </si>
  <si>
    <t>{W}, Sacrifice this creature: Return up to one target artifact card and up to one target enchantment card from your graveyard to your hand. / {W}, Sacrifique Especialista em Restauração: Devolva até um card de artefato alvo e até um card de encantamento alvo de seu cemitério para sua mão.</t>
  </si>
  <si>
    <t>Resurrected Cultist</t>
  </si>
  <si>
    <t>Delirium — {2}{B}{B}: Return this card from your graveyard to the battlefield with a finality counter on it. Activate only if there are four or more card types among cards in your graveyard and only as a sorcery. (If a creature with a finality counter on it would die, exile it instead.)</t>
  </si>
  <si>
    <t>Resurrection / Ressurreição</t>
  </si>
  <si>
    <t>Return target creature card from your graveyard to the battlefield. / Devolva o card alvo de criatura de seu cemitério para o jogo.</t>
  </si>
  <si>
    <t>Retched Wretch</t>
  </si>
  <si>
    <t>When this creature dies, if it had a -1/-1 counter on it, return it to the battlefield under its owner's control and it loses all abilities.</t>
  </si>
  <si>
    <t>Retraction Helix / Hélice de Retração</t>
  </si>
  <si>
    <t>Until end of turn, target creature gains "{T}: Return target nonland permanent to its owner's hand." / Até o final do turno, a criatura alvo ganha "{T}: Devolva a permanente alvo que não seja um terreno para a mão de seu dono."</t>
  </si>
  <si>
    <t>Retribution / Retribuição</t>
  </si>
  <si>
    <t>Choose two target creatures controlled by the same opponent. That player chooses and sacrifices one of those creatures. Put a -1/-1 counter on the other.</t>
  </si>
  <si>
    <t>Retributive Wand / Varinha Retribuidora</t>
  </si>
  <si>
    <t>{3}, {T}: Retributive Wand deals 1 damage to any target. When Retributive Wand is put into a graveyard from the battlefield, it deals 5 damage to any target.</t>
  </si>
  <si>
    <t>Retrieve the Esper / Recuperar o Esper</t>
  </si>
  <si>
    <t>Crie uma ficha de criatura artefato Robô Guerreiro azul 3/3. Depois, se esta mágica tiver sido conjurada de um cemitério, coloque dois marcadores +1/+1 naquela ficha. Recapitular {5}{U} (Você pode conjurar este card de seu cemitério pagando seu custo de recapitular. Depois, exile-o.)</t>
  </si>
  <si>
    <t>Retro-Mutation</t>
  </si>
  <si>
    <t>Flash Enchant creature Enchanted creature is a Turtle with base power and toughness 0/1. It can't attack and loses all abilities. (It also loses all other creature types.)</t>
  </si>
  <si>
    <t>Return to Action / De Volta à Ação</t>
  </si>
  <si>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</si>
  <si>
    <t>Return to Nature / Retorno à Natureza</t>
  </si>
  <si>
    <t>Choose one — • Destroy target artifact. • Destroy target enchantment. • Exile target card from a graveyard. / Escolha um — • Destrua o artefato alvo. • Destrua o encantamento alvo. • Exile o card alvo de um cemitério.</t>
  </si>
  <si>
    <t>Return to the Sewers</t>
  </si>
  <si>
    <t>Target creature's owner puts it on their choice of the top or bottom of their library. You create a Mutagen token. (It's an artifact with "{1}, {T}, Sacrifice this token: Put a +1/+1 counter on target creature. Activate only as a sorcery.")</t>
  </si>
  <si>
    <t>Returned Centaur / Centauro Ressurgido</t>
  </si>
  <si>
    <t>Creature — Zombie Centaur / Criatura — Zumbi Centauro</t>
  </si>
  <si>
    <t>When this creature enters, target player mills four cards. / Quando Centauro Ressurgido entra no campo de batalha, o jogador alvo coloca os quatro cards do topo do grimório dele no próprio cemitério.</t>
  </si>
  <si>
    <t>Returned Phalanx / Falange Ressurgida</t>
  </si>
  <si>
    <t>Creature — Zombie Soldier / Criatura — Zumbi Soldado</t>
  </si>
  <si>
    <t>Defender {1}{U}: This creature can attack this turn as though it didn't have defender. / Defensor {1}{U}: Falange Ressurgida pode atacar neste turno como se não tivesse defensor.</t>
  </si>
  <si>
    <t>Returned Reveler / Festeiro Ressurgido</t>
  </si>
  <si>
    <t>When this creature dies, each player mills three cards. / Quando Festeiro Ressurgido morre, cada jogador coloca os três primeiros cards do próprio grimório no próprio cemitério.</t>
  </si>
  <si>
    <t>Revel of the Fallen God / Festança do Deus Caído</t>
  </si>
  <si>
    <t>Todas as criaturas recebem +2/-2 até o final do turno.</t>
  </si>
  <si>
    <t>Revelsong Horn / Trombeta Jubilante</t>
  </si>
  <si>
    <t>{1}, {T}, Tap an untapped creature you control: Target creature gets +1/+1 until end of turn. / {1}, {T}, Vire uma criatura desvirada que você controla: A criatura alvo recebe +1/+1 até o final do turno.</t>
  </si>
  <si>
    <t>Revenant / Ressurgido</t>
  </si>
  <si>
    <t>Flying Revenant's power and toughness are each equal to the number of creature cards in your graveyard. / Vpoder e a resistência de Ressurgido são ambos iguais ao número de cards de criatura no seu cemitério.</t>
  </si>
  <si>
    <t>Reverse Damage</t>
  </si>
  <si>
    <t>All damage dealt to you so far this turn by one source is retroactively added to your life total instead of subtracted. Further damage this turn is treated normally.</t>
  </si>
  <si>
    <t>Reverse Engineer / Engenharia Reversa</t>
  </si>
  <si>
    <t>Improvise (Your artifacts can help cast this spell. Each artifact you tap after you're done activating mana abilities pays for {1}.) Draw three cards. / Improvisar (Seus artefatos podem ajudar a conjurar esta mágica. Cada artefato que você vira após terminar de ativar habilidades de mana paga por {1}.) Compre três cards.</t>
  </si>
  <si>
    <t>Reviving Melody / Melodia Restauradora</t>
  </si>
  <si>
    <t>Choose one or both — • Return target creature card from your graveyard to your hand. • Return target enchantment card from your graveyard to your hand. / Escolha um ou ambos — Devolva o card de criatura alvo de seu cemitério para sua mão; e/ou devolva o card de encantamento alvo de seu cemitério para sua mão.</t>
  </si>
  <si>
    <t>Revoke Existence / Revogar Existência</t>
  </si>
  <si>
    <t>Double Masters</t>
  </si>
  <si>
    <t>Duel Decks: Venser vs. Koth (DDI)</t>
  </si>
  <si>
    <t>Theros além da morte</t>
  </si>
  <si>
    <t>Revolutionary Rebuff / Repúdio Revolucionário</t>
  </si>
  <si>
    <t>Counter target nonartifact spell unless its controller pays {2}. / Anule a mágica alvo que não seja de artefato, a menos que seu controlador pague {2}.</t>
  </si>
  <si>
    <t>Rewrite History / Reescrever a História</t>
  </si>
  <si>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</si>
  <si>
    <t>Rhizome Lurcher / Vascolejador do Rizoma</t>
  </si>
  <si>
    <t>Creature — Fungus Zombie / Criatura — Fungo Zumbi</t>
  </si>
  <si>
    <t>Undergrowth — This creature enters with a number of +1/+1 counters on it equal to the number of creature cards in your graveyard. / Necronutrimento — Vascolejador do Rizoma entra no campo de batalha com uma quantidade de marcadores +1/+1 igual ao número de cards de criatura em seu cemitério.</t>
  </si>
  <si>
    <t>Rhonas's Monument / Monumento de Rhonas</t>
  </si>
  <si>
    <t>Green creature spells you cast cost {1} less to cast. Whenever you cast a creature spell, target creature you control gets +2/+2 and gains trample until end of turn. / As mágicas de criatura verdes que você conjura custam {1} a menos para serem conjuradas. Toda vez que você conjura uma mágica de criatura, a criatura alvo que você controla recebe +2/+2 e ganha atropelar até o final do turno.</t>
  </si>
  <si>
    <t>Rhonas's Stalwart / Destemida de Rhonas</t>
  </si>
  <si>
    <t>You may exert this creature as it attacks. When you do, it gets +1/+1 until end of turn and can't be blocked by creatures with power 2 or less this turn. (An exerted creature won't untap during your next untap step.) / Você pode exaurir Destemida de Rhonas conforme ela ataca. Quando você faz isso, ela recebe +1/+1 até o final do turno e não pode ser bloqueada por criaturas com poder igual ou inferior a 2 neste turno. (Uma criatura exaurida não será desvirada durante sua próxima etapa de desvirar.)</t>
  </si>
  <si>
    <t>Rhox Maulers / Esmagadores Rhox</t>
  </si>
  <si>
    <t>Creature — Rhino Soldier / Criatura — Rinoceronte Soldado</t>
  </si>
  <si>
    <t>Trample (This creature can deal excess combat damage to the player or planeswalker it's attacking.) Renown 2 (When this creature deals combat damage to a player, if it isn't renowned, put two +1/+1 counters on it and it becomes renowned.) / Atropelar (Esta criatura pode causar seu dano de combate excedente ao planeswalker ou jogador defensor ao atacar.)Renome 2 (Quando esta criatura causar dano de combate a um jogador, se ela não for renomada, coloque dois marcadores +1/+1 nela e ela se tornará renomada.)</t>
  </si>
  <si>
    <t>Rhystic Circle</t>
  </si>
  <si>
    <t>{1}: Any player may pay {1}. If no one does, the next time a source of your choice would deal damage to you this turn, prevent that damage.</t>
  </si>
  <si>
    <t>Rhystic Shield / Escudo Rístico</t>
  </si>
  <si>
    <t>Creatures you control get +0/+1 until end of turn. They get an additional +0/+2 until end of turn unless any player pays {2}. / Criaturas que você controla recebem +0/+1 até o final do turno. Elas recebem +0/+2 adicionais até o final do turno, a menos que qualquer jogador pague {2}.</t>
  </si>
  <si>
    <t>Riacho da Floresta / Woodland Stream</t>
  </si>
  <si>
    <t>Tierra / Land</t>
  </si>
  <si>
    <t>El Arroyo forestal entra al campo de batalla girado. {T}: Agrega {G} o {U} a tu reserva de maná.</t>
  </si>
  <si>
    <t>Ribbon Snake / Serpente de Fitas</t>
  </si>
  <si>
    <t>Flying {2}: This creature loses flying until end of turn. Any player may activate this ability.</t>
  </si>
  <si>
    <t>Rick Jones, Destined Sidekick / Rick Jones, Parceiro Predestinado</t>
  </si>
  <si>
    <t>{3}, {T}: Triture quatro cards. Você pode colocar um card de Herói ou de encantamento dentre aqueles cards em sua mão. (Para triturar quatro cards, coloque os quatro cards do topo de seu grimório em seu cemitério.)</t>
  </si>
  <si>
    <t>Riddleform / Enigmorfo</t>
  </si>
  <si>
    <t>Whenever you cast a noncreature spell, you may have this enchantment become a 3/3 Sphinx creature with flying in addition to its other types until end of turn. {2}{U}: Scry 1. (Look at the top card of your library. You may put that card on the bottom.) / Toda vez que conjura uma mágica que não seja de criatura, você pode fazer com que Enigmorfo se torne uma criatura 3/3 do tipo Esfinge com voar além de seus outros tipos até o final do turno. {2}{U}: Vidência 1.</t>
  </si>
  <si>
    <t>Ride the Shoopuf / Montar no Shoopuf</t>
  </si>
  <si>
    <t>Aterragem — Sempre que um terreno que você controla entrar, coloque um marcador +1/+1 na criatura alvo que você controla. {5}{G}{G}: Este encantamento se torna uma criatura Beast 7/7 além de seus outros tipos.</t>
  </si>
  <si>
    <t>Righteous Blow / Golpe Justo</t>
  </si>
  <si>
    <t>Righteous Blow deals 2 damage to target attacking or blocking creature. / Golpe Justo causa 2 pontos de dano à criatura atacante ou bloqueadora alvo.</t>
  </si>
  <si>
    <t>Rimekin Recluse</t>
  </si>
  <si>
    <t>Creature — Elemental Wizard</t>
  </si>
  <si>
    <t>When this creature enters, return up to one other target creature to its owner's hand.</t>
  </si>
  <si>
    <t>Ring of the Lucii / Anel dos Lucii</t>
  </si>
  <si>
    <t>{T}: Adicione {C}{C}. {2}, {T}, Pague 1 de vida: Vire a permanente alvo que não seja um terreno.</t>
  </si>
  <si>
    <t>Ringwarden Owl / Coruja Guardiã do Anel</t>
  </si>
  <si>
    <t>Flying (This creature can't be blocked except by creatures with flying or reach.) Prowess (Whenever you cast a noncreature spell, this creature gets +1/+1 until end of turn.) / Voar (Esta criatura só pode ser bloqueada por criaturas com voar ou alcance.)Destreza (Toda vez que você conjura uma mágica que não seja de criatura, esta criatura recebe +1/+1 até o final do turno.)</t>
  </si>
  <si>
    <t>Rinoa Heartilly</t>
  </si>
  <si>
    <t>Legendary Creature — Human Rebel Warlock</t>
  </si>
  <si>
    <t>When Rinoa Heartilly enters, create Angelo, a legendary 1/1 green and white Dog creature token. Angelo Cannon — Whenever Rinoa Heartilly attacks, another target creature you control gets +1/+1 until end of turn for each creature you control.</t>
  </si>
  <si>
    <t>3GW</t>
  </si>
  <si>
    <t>Final Fantasy (FFVIII)</t>
  </si>
  <si>
    <t>Riparian Tiger / Tigre Ripariano</t>
  </si>
  <si>
    <t>Trample When this creature enters, you get {E}{E} (two energy counters). Whenever this creature attacks, you may pay {E}{E}. If you do, it gets +2/+2 until end of turn. / Atropelar Quando Tigre Ripariano entra no campo de batalha, você recebe {E}{E} (dois marcadores de energia). Toda vez que Tigre Ripariano ataca, você pode pagar {E}{E}. Se fizer isso, ele receberá +2/+2 até o final do turno.</t>
  </si>
  <si>
    <t>Ripchain Razorkin</t>
  </si>
  <si>
    <t>Creature — Human Berserker</t>
  </si>
  <si>
    <t>Reach {2}{R}, Sacrifice a land: Draw a card.</t>
  </si>
  <si>
    <t>Ripscale Predator / Predador da Escama Dilacerante</t>
  </si>
  <si>
    <t>Creature — Dinosaur / Criatura — Lagarto</t>
  </si>
  <si>
    <t>Menace (This creature can't be blocked except by two or more creatures.) / Predador da Escama Dilacerante só pode ser bloqueado por duas ou mais criaturas.</t>
  </si>
  <si>
    <t>Rise from the Grave / Ressurgir da Cova</t>
  </si>
  <si>
    <t>Put target creature card from a graveyard onto the battlefield under your control. That creature is a black Zombie in addition to its other colors and types. / Coloque o card de criatura alvo de um cemitério no campo de batalha sob o seu controle. Aquela criatura é um Zumbi preto além de suas outras cores e tipos.</t>
  </si>
  <si>
    <t>Rise of the Ants / Ascensão das Formigas</t>
  </si>
  <si>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</si>
  <si>
    <t>Rise of the Tumbleweeds / Ascensão do Arbusto Rolante</t>
  </si>
  <si>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</si>
  <si>
    <t>Risen Necroregent</t>
  </si>
  <si>
    <t>Creature — Zombie Cat Knight</t>
  </si>
  <si>
    <t>Start your engines! (If you have no speed, it starts at 1. It increases once on each of your turns when an opponent loses life. Max speed is 4.) Max speed — At the beginning of your end step, create a 2/2 black Zombie creature token.</t>
  </si>
  <si>
    <t>Ritual of the Returned / Ritual dos Ressurgidos</t>
  </si>
  <si>
    <t>Exile target creature card from your graveyard. Create a black Zombie creature token. Its power is equal to that card's power and its toughness is equal to that card's toughness. / Exile o card de criatura alvo do seu cemitério. Coloque no campo de batalha uma ficha de criatura preta do tipo Zumbi. Seu poder é igual ao poder daquele card e sua resistência é igual à resistência daquele card.</t>
  </si>
  <si>
    <t>River Heralds' Boon / Bênção dos Arautos do Rio</t>
  </si>
  <si>
    <t>Put a +1/+1 counter on target creature and a +1/+1 counter on up to one target Merfolk. / Coloque um marcador +1/+1 na criatura alvo e um marcador +1/+1 em até um Tritão alvo.</t>
  </si>
  <si>
    <t>River Hoopoe / Poupa-do-rio</t>
  </si>
  <si>
    <t>Flying {3}{G}{U}: You gain 2 life and draw a card. / Voar {3}{G}{U}: Você ganha 2 pontos de vida e compra um card.</t>
  </si>
  <si>
    <t>River's Grasp / Garras do Rio</t>
  </si>
  <si>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</si>
  <si>
    <t>Riveteers Overlook / Mirante dos Rebiteiros</t>
  </si>
  <si>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</si>
  <si>
    <t>Rix Maadi Guildmage / Mago de Guilda de Rix Maadi</t>
  </si>
  <si>
    <t>{B}{R}: Target blocking creature gets -1/-1 until end of turn. {B}{R}: Target player who lost life this turn loses 1 life. / {B}{R}: A criatura bloqueadora alvo recebe -1/-1 até o final do turno. {B}{R}: O jogador alvo que perdeu pontos de vida neste turno perde 1 ponto de vida.</t>
  </si>
  <si>
    <t>Rix Maadi Reveler / Farrista de Rix Maadi</t>
  </si>
  <si>
    <t>Criatura — Humano Xamã</t>
  </si>
  <si>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</si>
  <si>
    <t>Robot Villain</t>
  </si>
  <si>
    <t>Marvel Secret Lair (MSH)</t>
  </si>
  <si>
    <t>Roc of Kher Ridges</t>
  </si>
  <si>
    <t>Rock Basilisk / Basilisco das Rochas</t>
  </si>
  <si>
    <t>Creature — Basilisk</t>
  </si>
  <si>
    <t>Whenever this creature blocks or becomes blocked by a non-Wall creature, destroy that creature at end of combat.</t>
  </si>
  <si>
    <t>Rock Jockey / Jóquei de Pedras</t>
  </si>
  <si>
    <t>You can't cast Rock Jockey if you've played a land this turn. You can't play lands if this creature was cast this turn. / Você não pode baixar Jóquei de Pedras se tiver baixado um terreno neste turno. Você não pode baixar terrenos se tiver baixado Jóquei de Pedras neste turno.</t>
  </si>
  <si>
    <t>Rock Soldiers</t>
  </si>
  <si>
    <t>Artifact Creature — Elemental Soldier</t>
  </si>
  <si>
    <t>When this creature enters, destroy up to one target noncreature artifact.</t>
  </si>
  <si>
    <t>Rocksteady, Crash Courser</t>
  </si>
  <si>
    <t>Legendary Creature — Rhino Mutant</t>
  </si>
  <si>
    <t>Rocksteady can't be blocked by more than one creature. Boars you control can't be blocked by more than one creature. Forestcycling {2} ({2}, Discard this card: Search your library for a Forest card, reveal it, put it into your hand, then shuffle.)</t>
  </si>
  <si>
    <t>Rocky Rebuke</t>
  </si>
  <si>
    <t>Target creature you control deals damage equal to its power to target creature an opponent controls.</t>
  </si>
  <si>
    <t>Rod of Ruin / Bastão da Ruína</t>
  </si>
  <si>
    <t>{3}, {T}: Rod of Ruin deals 1 damage to target creature or player.</t>
  </si>
  <si>
    <t>{3}, {T}: This artifact deals 1 damage to any target. / {3}, {T}: Bastão da Ruína causa 1 ponto de dano à criatura ou jogador alvo.</t>
  </si>
  <si>
    <t>Rod of Ruin / Vara da Ruína</t>
  </si>
  <si>
    <t>{3}, {T}: Rod of Ruin deals 1 damage to target creature or player. / {3}, {T}: Vara da Ruína causa 1 ponto de dano à criatura ou jogador alvo.</t>
  </si>
  <si>
    <t>Sixth Edition (6ED)</t>
  </si>
  <si>
    <t>Rogue's Passage / Passagem do Ladino</t>
  </si>
  <si>
    <t>{T}: Add {C}. {4}, {T}: Target creature can't be blocked this turn. / {T}: Adicione {1} à sua reserva de mana. {4}, {T}: A criatura alvo não pode ser bloqueada neste turno.</t>
  </si>
  <si>
    <t>Roil Cartographer / Cartógrafa do Turbillhão</t>
  </si>
  <si>
    <t>Landfall — Whenever a land you control enters, you get {E} (an energy counter). {T}, Pay six {E}: Draw three cards. / Aterragem — Toda vez que um terreno entra no campo de batalha sob seu controle, você recebe {E} (um marcador de energia). {T}, pague seis {E}: Compre três cards.</t>
  </si>
  <si>
    <t>Rolling Thunder / Trovoada Ribombante</t>
  </si>
  <si>
    <t>Rolling Thunder deals X damage divided as you choose among any number of targets. / Trovoada Ribombante causa X pontos de dano distribuídos à sua escolha entre qualquer número de criaturas e/ou jogadores alvo.</t>
  </si>
  <si>
    <t>Rompe-Correntes / Chainbreaker</t>
  </si>
  <si>
    <t>Rompe-Correntes enters the battlefield with two -1/-1 counters on it. {3}, {T}: Remove a -1/-1 counter from target creature. / Rompe-Correntes entra em jogo com dois marcadores -1/-1. {3}, {T}: Remova um marcador -1/-1 da criatura alvo.</t>
  </si>
  <si>
    <t>Rona, Sheoldred's Faithful / Rona, Devota de Sheoldred</t>
  </si>
  <si>
    <t>Whenever you cast an instant or sorcery spell, each opponent loses 1 life. You may cast this card from your graveyard by discarding two cards in addition to paying its other costs. / Toda vez que você conjura uma mágica instantânea ou um feitiço, cada oponente perde 1 ponto de vida. Você pode conjurar Rona, Devota de Sheoldred, de seu cemitério descartando dois cards além de pagar seus outros custos.</t>
  </si>
  <si>
    <t>{1}{U}{B}{B}</t>
  </si>
  <si>
    <t>Ronin, Shadow Stalker / Ronin, Perseguidor das Sombras</t>
  </si>
  <si>
    <t>Criatura Lendária — Humano Ladino Herói</t>
  </si>
  <si>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</si>
  <si>
    <t>Rook Turret / Torre de Torreão</t>
  </si>
  <si>
    <t>Criatura Artefato — Construto</t>
  </si>
  <si>
    <t>Voar. Sempre que outro artefato que você controla entrar, você poderá comprar um card. Se fizer isso, descarte um card.</t>
  </si>
  <si>
    <t>Root Out / Arrancar pela Raiz</t>
  </si>
  <si>
    <t>Destroy target artifact or enchantment. Investigate. (Create a Clue token. It's an artifact with "{2}, Sacrifice this token: Draw a card.") / Destrua o artefato ou encantamento alvo. Investigue. (Coloque no campo de batalha uma ficha de artefato incolor do tipo Pista com "{2}, Sacrifique este artefato: Compre um card.")</t>
  </si>
  <si>
    <t>Root Snare / Armadilha de Raízes</t>
  </si>
  <si>
    <t>Prevent all combat damage that would be dealt this turn. / Previna todo o dano de combate que seria causado neste turno.</t>
  </si>
  <si>
    <t>Rootwalla / Rizowalla</t>
  </si>
  <si>
    <t>{1}{G}: This creature gets +2/+2 until end of turn. Activate only once each turn. / {1}{G}: Rizowalla recebe +2/+2 até o final do turno. Ative esta habilidade apenas uma vez a cada turno.</t>
  </si>
  <si>
    <t>Rosa Villa da Alameda Sul / Rosie Cotton of South Lane</t>
  </si>
  <si>
    <t>Criatura Lendária — Pequenino Plebeu</t>
  </si>
  <si>
    <t>Quando Rosa Villa da Alameda Sul entrar no campo de batalha, crie uma ficha de Comida. Toda vez que você criar uma ficha, coloque um marcador +1/+1 na criatura alvo que você controla que não seja Rosa.</t>
  </si>
  <si>
    <t>Rosie Cotton of South Lane / Rosa Villa da Alameda Sul</t>
  </si>
  <si>
    <t>Legendary Creature — Halfling Peasant / Criatura Lendária — Pequenino Plebeu</t>
  </si>
  <si>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</si>
  <si>
    <t>Rot Shambler / Trôpego Putrefato</t>
  </si>
  <si>
    <t>Whenever another creature you control dies, put a +1/+1 counter on this creature. / Toda vez que outra criatura que você controla morrer, coloque um marcador +1/+1 em Trôpego Putrefato.</t>
  </si>
  <si>
    <t>Roterothopter / Roterotóptero</t>
  </si>
  <si>
    <t>Flying {2}: This creature gets +1/+0 until end of turn. Activate no more than twice each turn.</t>
  </si>
  <si>
    <t>Rotted Hulk / Brutamontes Apodrecido</t>
  </si>
  <si>
    <t>Rotten Reunion / Reunião Apodrecida</t>
  </si>
  <si>
    <t>Exile up to one target card from a graveyard. Create a 2/2 black Zombie creature token with decayed. (It can't block. When it attacks, sacrifice it at end of combat.) Flashback {1}{B} (You may cast this card from your graveyard for its flashback cost. Then exile it.) / Exile até um card alvo de um cemitério. Crie uma ficha de criatura Zumbi preta 2/2 com decomposto. (Ela não pode bloquear. Quando ela atacar, sacrifique-a no final do combate.) Recapitular {1}{B} (Você pode conjurar este card de seu cemitério pagando seu custo de recapitular. Depois, exile-o.)</t>
  </si>
  <si>
    <t>Rottenheart Ghoul / Carniçal do Coração Pútrido</t>
  </si>
  <si>
    <t>When this creature dies, target player discards a card. / Quando Carniçal do Coração Pútrido morre, o jogador alvo descarta um card.</t>
  </si>
  <si>
    <t>Roubar um Pedaço / Thief of Blood</t>
  </si>
  <si>
    <t>Feitiço Tribal — Ladino / Tribal Sorcery — Rogue</t>
  </si>
  <si>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</si>
  <si>
    <t>Rough Rhino Cavalry</t>
  </si>
  <si>
    <t>Creature — Human Mercenary</t>
  </si>
  <si>
    <t>Firebending 2 (Whenever this creature attacks, add {R}{R}. This mana lasts until end of combat.) Exhaust — {8}: Put two +1/+1 counters on this creature. It gains trample until end of turn. (Activate each exhaust ability only once.)</t>
  </si>
  <si>
    <t>Roving Actuator / Atuador Itinerante</t>
  </si>
  <si>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</si>
  <si>
    <t>Rowdy Snowballers</t>
  </si>
  <si>
    <t>When this creature enters, tap target creature an opponent controls and put a stun counter on it. (If a permanent with a stun counter would become untapped, remove one from it instead.)</t>
  </si>
  <si>
    <t>Roxxon Brutes</t>
  </si>
  <si>
    <t>Creature — Human Berserker Villain</t>
  </si>
  <si>
    <t>Menace (This creature can't be blocked except by two or more creatures.) Whenever you draw your second card each turn, put a +1/+1 counter on target creature. Basic landcycling {2} ({2}, Discard this card: Search your library for a basic land card, reveal it, put it into your hand, then shuffle.)</t>
  </si>
  <si>
    <t>Roxxon Brutes / Brutos da Roxxon</t>
  </si>
  <si>
    <t>Criatura — Humano Berserker Vilão</t>
  </si>
  <si>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</si>
  <si>
    <t>Rubble Reading / Escombromancia</t>
  </si>
  <si>
    <t>Destroy target land. Scry 2. / Destrua o terreno alvo. Vidência 2.</t>
  </si>
  <si>
    <t>Rubble Slinger / Fundeira dos Escombros</t>
  </si>
  <si>
    <t>Reach / Alcance</t>
  </si>
  <si>
    <t>Rubblebelt Recluse / Recluso da Faixa de Escombros</t>
  </si>
  <si>
    <t>Creature — Ogre Berserker / Criatura — Ogro Amoque</t>
  </si>
  <si>
    <t>This creature attacks each combat if able. / Recluso da Faixa de Escombros ataca a cada combate se estiver apto.</t>
  </si>
  <si>
    <t>Rufus Shinra / Rufus Shinra</t>
  </si>
  <si>
    <t>Sempre que Rufus Shinra atacar, se você não controlar uma criatura chamada Darkstar, crie Darkstar, uma ficha de criatura lendária Cão branca e preta 2/2.</t>
  </si>
  <si>
    <t>Rugged Highlands / Planalto Acidentado</t>
  </si>
  <si>
    <t>Rugged Highlands enters the battlefield tapped. When Rugged Highlands enters the battlefield, you gain 1 life. {T}: Add {R} or {G}. / Planalto Acidentado entra no campo de batalha virado. Quando Planalto Acidentado entra no campo de batalha, você ganha 1 ponto de vida. {T}: Adicione {R} ou {G}.</t>
  </si>
  <si>
    <t>This land enters tapped. When this land enters, you gain 1 life. {T}: Add {R} or {G}. / Planalto Acidentado entra no campo de batalha virado. Quando Planalto Acidentado entra no campo de batalha, você ganha 1 ponto de vida. {T}: Adicione {R} ou {G}.</t>
  </si>
  <si>
    <t>Ruin Rat / Rato da Ruína</t>
  </si>
  <si>
    <t>Creature — Rat / Criatura — Rato</t>
  </si>
  <si>
    <t>Deathtouch When this creature dies, exile target card from an opponent's graveyard. / Toque mortífero Quando Rato da Ruína morrer, exile o card alvo do cemitério de um oponente.</t>
  </si>
  <si>
    <t>Ruination Wurm / Vorme Ruinoso</t>
  </si>
  <si>
    <t>Ruinous Gremlin / Gremlin Ruinoso</t>
  </si>
  <si>
    <t>{2}{R}, Sacrifice this creature: Destroy target artifact. / {2}{R}, Sacrifique Gremlin Ruinoso: Destrua o artefato alvo.</t>
  </si>
  <si>
    <t>Ruinous Waterbending</t>
  </si>
  <si>
    <t>As an additional cost to cast this spell, you may waterbend {4}. (While paying a waterbend cost, you can tap your artifacts and creatures to help. Each one pays for {1}.) All creatures get -2/-2 until end of turn. If this spell's additional cost was paid, whenever a creature dies this turn, you gain 1 life.</t>
  </si>
  <si>
    <t>Ruins of Oran-Rief / Ruínas de Oran-Rief</t>
  </si>
  <si>
    <t>This land enters tapped. {T}: Add {C}. ({C} represents colorless mana.) {T}: Put a +1/+1 counter on target colorless creature that entered this turn. / Ruínas de Oran-Rief entra no campo de batalha virada. {T}: Adicione {C} à sua reserva de mana. ({C} representa mana incolor.) {T}: Coloque um marcador +1/+1 na criatura incolor alvo que entrou no campo de batalha neste turno.</t>
  </si>
  <si>
    <t>Rulik Mons, Warren Chief / Rulik Mons, Chefona do Viveiro</t>
  </si>
  <si>
    <t>Menace (This creature can't be blocked except by two or more creatures.) Whenever Rulik Mons attacks, look at the top card of your library. If it's a land card, you may put it onto the battlefield tapped. If you didn't put a card onto the battlefield this way, create a 1/1 red Goblin creature token. / Ameaçar Toda vez que Rulik Mons, Chefona do Viveiro, atacar, olhe o card do topo de seu grimório. Se for um card de terreno, você poderá colocá-lo no campo de batalha virado. Se você não tiver colocado um card no campo de batalha dessa forma, crie uma ficha de criatura Goblin vermelha 1/1.</t>
  </si>
  <si>
    <t>{1}{R}{G}{G}</t>
  </si>
  <si>
    <t>Rumbling Baloth</t>
  </si>
  <si>
    <t>Creature — Beast</t>
  </si>
  <si>
    <t>Rumbling Baloth / Baloth Retumbante</t>
  </si>
  <si>
    <t>Rumbling Sentry / Sentinela Ribombante</t>
  </si>
  <si>
    <t>When this creature enters, scry 1. / Quando Sentinela Ribombante entrar no campo de batalha, use vidência 1.</t>
  </si>
  <si>
    <t>Rummaging Goblin / Goblin Escarafunchador</t>
  </si>
  <si>
    <t>{T}, Discard a card: Draw a card. / {T}, descarte um card: Compre um card.</t>
  </si>
  <si>
    <t>Run Behind / Correr Atrás</t>
  </si>
  <si>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</si>
  <si>
    <t>Runaway Boulder</t>
  </si>
  <si>
    <t>Flash When this artifact enters, it deals 6 damage to target creature an opponent controls. Cycling {2} ({2}, Discard this card: Draw a card.) / Flash When Runaway Boulder enters the battlefield, it deals 6 damage to target creature an opponent controls. Cycling {2} ({2}, Discard this card: Draw a card.)</t>
  </si>
  <si>
    <t>Runaway Carriage / Carruagem em Fuga</t>
  </si>
  <si>
    <t>Trample When this creature attacks or blocks, sacrifice it at end of combat. / Atropelar Quando Carruagem em Fuga atacar ou bloquear, sacrifique-a no final do combate.</t>
  </si>
  <si>
    <t>Rune-Sealed Wall</t>
  </si>
  <si>
    <t>Defender {T}: Surveil 1. (Look at the top card of your library. You may put it into your graveyard.)</t>
  </si>
  <si>
    <t>Runeclaw Bear / Urso Garra de Runa</t>
  </si>
  <si>
    <t>Magic 20105 (M15)</t>
  </si>
  <si>
    <t>Runed Servitor / Serviçal Rúnico</t>
  </si>
  <si>
    <t>When this creature dies, each player draws a card. / Quando Serviçal Rúnico morre, cada jogador compra um card.</t>
  </si>
  <si>
    <t>Runes of the Deus / Runas do Deus</t>
  </si>
  <si>
    <t>Enchant creature As long as enchanted creature is red, it gets +1/+1 and has double strike. (It deals both first-strike and regular combat damage.) As long as enchanted creature is green, it gets +1/+1 and has trample. / Encantar criatura Enquanto a criatura encantada for vermelha, ela receberá +1/+1 e terá golpe duplo. (Ela causa tanto o dano da iniciativa quanto o dano de combate normal.) Enquanto a criatura encantada for verde, ela receberá +1/+1 e terá atropelar.</t>
  </si>
  <si>
    <t>{4}{R/G}</t>
  </si>
  <si>
    <t>Runesword</t>
  </si>
  <si>
    <t>{3}, {T}: Target attacking creature gets +2/+0 until end of turn. When that creature leaves the battlefield this turn, sacrifice this artifact. If the creature deals damage to a creature this turn, the creature dealt damage can't be regenerated this turn. If a creature dealt damage by the targeted creature would die this turn, exile that creature instead.</t>
  </si>
  <si>
    <t>Runewing / Asa-rúnica</t>
  </si>
  <si>
    <t>Flying When this creature dies, draw a card. / Voar Quando Asa-rúnica morrer, compre um card.</t>
  </si>
  <si>
    <t>Runic Repetition / Repetição Rúnica</t>
  </si>
  <si>
    <t>Return target exiled card with flashback you own to your hand. / Devolva para a sua mão o seu card exilado alvo com recapitular.</t>
  </si>
  <si>
    <t>Runic Shot / Tiro Rúnico</t>
  </si>
  <si>
    <t>Kicker {U} (You may pay an additional {U} as you cast this spell.) Destroy target tapped creature. If this spell was kicked, scry 2. / Reforçar {U} (Você pode pagar um custo adicional de {U} ao conjurar esta mágica.) Destrua a criatura virada alvo. Se esta mágica foi reforçada, use vidência 2.</t>
  </si>
  <si>
    <t>Rupture Spire</t>
  </si>
  <si>
    <t>Rupture Spire enters the battlefield tapped. When Rupture Spire enters the battlefield, sacrifice it unless you pay {1}. {T}: Add one mana of any color to your mana pool.</t>
  </si>
  <si>
    <t>Rural Recruit / Recruta Rural</t>
  </si>
  <si>
    <t>Creature — Human Peasant / Criatura — Humano Plebeu</t>
  </si>
  <si>
    <t>Training (Whenever this creature attacks with another creature with greater power, put a +1/+1 counter on this creature.) When this creature enters, create a 3/1 green Boar creature token. / Treinamento (Toda vez que esta criatura atacar com outra criatura de poder superior, coloque um marcador +1/+1 nesta criatura.) Quando Recruta Rural entrar no campo de batalha, crie uma ficha de criatura Javali verde 3/1.</t>
  </si>
  <si>
    <t>Rushing River / Rio Bravo</t>
  </si>
  <si>
    <t>Kicker—Sacrifice a land. (You may sacrifice a land in addition to any other costs as you cast this spell.) Return target nonland permanent to its owner's hand. If this spell was kicked, return another target nonland permanent to its owner's hand.</t>
  </si>
  <si>
    <t>Planeshift (PLS)</t>
  </si>
  <si>
    <t>Russet Wolves / Lobos Castanhos</t>
  </si>
  <si>
    <t>Rust-Shield Rampager</t>
  </si>
  <si>
    <t>Creature — Raccoon Warrior</t>
  </si>
  <si>
    <t>Offspring 2 (You may pay an additional 2 as you cast this spell. If you do, when this creature enters, create a 1/1 token copy of it.) This creature can't be blocked by creatures with power 2 or less.</t>
  </si>
  <si>
    <t>Rusted Relic</t>
  </si>
  <si>
    <t>Metalcraft — Rusted Relic is a 5/5 Golem artifact creature as long as you control three or more artifacts.</t>
  </si>
  <si>
    <t>Rustwing Falcon / Falcão da Asa Rubiginosa</t>
  </si>
  <si>
    <t>Ruthless Negotiation</t>
  </si>
  <si>
    <t>Target opponent exiles a card from their hand. If this spell was cast from a graveyard, draw a card. Flashback {4}{B} (You may cast this card from your graveyard for its flashback cost. Then exile it.)</t>
  </si>
  <si>
    <t>Rydia, Summoner of Mist / Rydia, Invocadora de Névoa</t>
  </si>
  <si>
    <t>Criatura Lendária — Humano Xamã</t>
  </si>
  <si>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</si>
  <si>
    <t>RG</t>
  </si>
  <si>
    <t>Rydia's Return / O Retorno de Rydia</t>
  </si>
  <si>
    <t>Escolha um — • As criaturas que você controla recebem +3/+3 até o final do turno. • Devolva até dois cards de permanente alvo de seu cemitério para sua mão.</t>
  </si>
  <si>
    <t>S.H.I.E.L.D. Deployment Drone</t>
  </si>
  <si>
    <t>Flying When this creature enters, create a 1/1 white Soldier creature token.</t>
  </si>
  <si>
    <t>S.H.I.E.L.D. Deployment Drone / Drone de Implantação da S.H.I.E.L.D.</t>
  </si>
  <si>
    <t>Voar. Quando esta criatura entrar, crie uma ficha de criatura Soldado branca 1/1.</t>
  </si>
  <si>
    <t>S.H.I.E.L.D. Spy Kit</t>
  </si>
  <si>
    <t>Equipped creature gets +1/+1. Whenever equipped creature attacks alone, untap it and scry 1. (Look at the top card of your library. You may put that card on the bottom.) Equip {1} ({1}: Attach to target creature you control. Equip only as a sorcery.)</t>
  </si>
  <si>
    <t>Saber-Tooth Moose-Lion</t>
  </si>
  <si>
    <t>Creature — Elk Cat</t>
  </si>
  <si>
    <t>Reach Forestcycling {2} ({2}, Discard this card: Search your library for a Forest card, reveal it, put it into your hand, then shuffle.)</t>
  </si>
  <si>
    <t>Sabotender</t>
  </si>
  <si>
    <t>Alcance. Terrente — Sempre que um terreno entra sob o seu controle, esta criatura causa 1 de dano a cada oponente.</t>
  </si>
  <si>
    <t>Sabretooth Tiger / Tigre Dentes-de-sabre</t>
  </si>
  <si>
    <t>First strike / Iniciativa (Esta criatura causa dano de combate antes de criaturas sem a habilidade de iniciativa.)</t>
  </si>
  <si>
    <t>Sadistic Obsession / Obsessão Sádica</t>
  </si>
  <si>
    <t>Enchant creature Enchanted creature has "{B}, {T}: Put a -1/-1 counter on target creature." / Encantar criatura A criatura encantada tem "{B}, {T}: Coloque um marcador -1/-1 na criatura alvo."</t>
  </si>
  <si>
    <t>Safewright Cavalry</t>
  </si>
  <si>
    <t>This creature can't be blocked by more than one creature. {5}: Target Elf you control gets +2/+2 until end of turn.</t>
  </si>
  <si>
    <t>Sage of Shaila's Claim / Sábio da Reivindicação de Shaila</t>
  </si>
  <si>
    <t>When this creature enters, you get {E}{E}{E} (three energy counters). / Quando Sábio da Reivindicação de Shaila entra no campo de batalha, você recebe {E}{E}{E} (três marcadores de energia).</t>
  </si>
  <si>
    <t>Sage-Eye Harrier / Falcão do Olho Sábio</t>
  </si>
  <si>
    <t>Flying Morph {3}{W} (You may cast this card face down as a 2/2 creature for {3}. Turn it face up any time for its morph cost.) / Voar Metamorfose {3}{W} (Você pode conjurar este card com a face voltada para baixo como uma criatura 2/2 por {3}. Volte sua face para cima a qualquer momento pagando seu custo de metamorfose.)</t>
  </si>
  <si>
    <t>Sage's Nouliths / Nouliths do Sábio</t>
  </si>
  <si>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</si>
  <si>
    <t>Sage's Row Denizen / Habitante da Travessa dos Sábios</t>
  </si>
  <si>
    <t>Whenever another blue creature you control enters, target player mills two cards. / Toda vez que outra criatura azul entra no campo de batalha sob o seu controle, o jogador alvo coloca os dois cards do topo do grimório dele no próprio cemitério.</t>
  </si>
  <si>
    <t>Sagu Archer / Arqueiro de Sagu</t>
  </si>
  <si>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</si>
  <si>
    <t>Sahagin</t>
  </si>
  <si>
    <t>Creature — Merfolk Warrior</t>
  </si>
  <si>
    <t>Whenever you cast a noncreature spell, if at least four mana was spent to cast it, put a +1/+1 counter on this creature and it can't be blocked this turn.</t>
  </si>
  <si>
    <t>Saheeli, Sublime Artificer / Saheeli, Artífice Sublime</t>
  </si>
  <si>
    <t>Legendary Planeswalker — Saheeli / Planeswalker Lendário — Saheeli</t>
  </si>
  <si>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</si>
  <si>
    <t>Salivating Gremlins / Gremlins Salivantes</t>
  </si>
  <si>
    <t>Whenever an artifact you control enters, this creature gets +2/+0 and gains trample until end of turn. / Toda vez que um artefato entra no campo de batalha sob seu controle, Gremlins Salivantes recebe +2/+0 e ganha atropelar até o final do turno.</t>
  </si>
  <si>
    <t>Salt Marsh / Pântano Salgado</t>
  </si>
  <si>
    <t>This land enters tapped. {T}: Add {U} or {B}. / Pântano Salgado entra em jogo virado. {T}: Adiciona {U} ou {B} à sua reserva de mana.</t>
  </si>
  <si>
    <t>Salta-fogo Goblin / Goblin Fireleaper</t>
  </si>
  <si>
    <t>{1}{R}: Salta-fogo Goblin recebe +1/+0 até o final do turno. Quando Salta-fogo Goblin ataca, ele causa uma quantidade de dano igual ao próprio poder à criatura alvo que um oponente controla.</t>
  </si>
  <si>
    <t>Salvage Scuttler / Caranguejo Reciclador</t>
  </si>
  <si>
    <t>Whenever this creature attacks, return an artifact you control to its owner's hand. / Toda vez que Caranguejo Reciclador atacar, devolva um artefato que você controla para a mão de seu dono.</t>
  </si>
  <si>
    <t>Sami's Curiosity / Curiosidade de Sami</t>
  </si>
  <si>
    <t>Você ganha 2 pontos de vida. Crie uma ficha de Módulo de Pouso. (É um artefato com "{2}, {T}, Sacrifique esta ficha: Procure em seu grimório por um card de terreno básico, coloque-o no campo de batalha virado e depois embaralhe.")</t>
  </si>
  <si>
    <t>Samite Alchemist</t>
  </si>
  <si>
    <t>Criatura — Alquimista / Summon Alchemist</t>
  </si>
  <si>
    <t>{W}{W}, {T}: Prevent up to 4 damage to a creature you control. Tap that creature. The creature does not untap during your next untap phase.</t>
  </si>
  <si>
    <t>Samite Alchemist / Alquimista Samita</t>
  </si>
  <si>
    <t>Creature — Alchemist / Criatura — Alquimista</t>
  </si>
  <si>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</si>
  <si>
    <t>Samite Healer / Curandeiro Samita</t>
  </si>
  <si>
    <t>{T}: Prevent the next 1 damage that would be dealt to any target this turn. / {T}: Previne o próximo 1 ponto de dano que seria causado à criatura ou ao jogador alvo neste turno.</t>
  </si>
  <si>
    <t>Samite Herbalist / Herborista Samita</t>
  </si>
  <si>
    <t>Whenever this creature becomes tapped, you gain 1 life and scry 1. (Look at the top card of your library. You may put that card on the bottom.) / Toda vez que Herborista Samita se torna virada, você ganha 1 ponto de vida e usa vidência 1. (Olhe o card do topo de seu grimório. Você pode colocar aquele card no fundo de seu grimório.)</t>
  </si>
  <si>
    <t>Samurai's Katana / Katana do Samurai</t>
  </si>
  <si>
    <t>Seleção de classe (Quando este Equipamento entrar, crie uma ficha de criatura Herói incolor 1/1 e depois anexe isto a ela.) A criatura equipada recebe +2/+2, tem atropelar e ímpeto, e é um Samurai além de seus outros tipos. Murasame — Equipar {5}</t>
  </si>
  <si>
    <t>Samwise the Stouthearted / Samwise, o Destemido</t>
  </si>
  <si>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</si>
  <si>
    <t>Sanar, Innovative First-Year</t>
  </si>
  <si>
    <t>Legendary Creature — Goblin Sorcerer</t>
  </si>
  <si>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</si>
  <si>
    <t>{2}{U/R}{U/R}</t>
  </si>
  <si>
    <t>Sandbenders' Storm</t>
  </si>
  <si>
    <t>Choose one — • Destroy target creature with power 4 or greater. • Earthbend 3. (Target land you control becomes a 0/0 creature with haste that's still a land. Put three +1/+1 counters on it. When it dies or is exiled, return it to the battlefield tapped.)</t>
  </si>
  <si>
    <t>Sandblast / Rajada de Areia</t>
  </si>
  <si>
    <t>Sandblast deals 5 damage to target attacking or blocking creature. / Rajada de Areia causa 5 pontos de dano à criatura atacante ou bloqueadora alvo.</t>
  </si>
  <si>
    <t>Sandstone Bridge / Ponte de Arenito</t>
  </si>
  <si>
    <t>This land enters tapped. When this land enters, target creature gets +1/+1 and gains vigilance until end of turn. {T}: Add {W}. / Ponte de Arenito entra no campo de batalha virada.Quando Ponte de Arenito entra no campo de batalha, a criatura alvo recebe +1/+1 e ganha vigilância até o final do turno.{T}: Adicione {W} à sua reserva de mana.</t>
  </si>
  <si>
    <t>Sandstone Oracle / Oráculo de Arenito</t>
  </si>
  <si>
    <t>Artifact Creature — Sphinx / Criatura Artefato — Esfinge</t>
  </si>
  <si>
    <t>Flying When this creature enters, choose an opponent. If that player has more cards in hand than you, draw cards equal to the difference. / Voar Quando Oráculo de Arenito entrar no campo de batalha, escolha um oponente. Se aquele jogador tiver mais cards na mão do que você, compre um número de cards igual à diferença.</t>
  </si>
  <si>
    <t>Sandstorm Charger / Atacante da Tempestade de Areia</t>
  </si>
  <si>
    <t>Megamorph {4}{W} (You may cast this card face down as a 2/2 creature for {3}. Turn it face up any time for its megamorph cost and put a +1/+1 counter on it.) / Megamorfose {4}{W} (Você pode conjurar este card com a face voltada para baixo como uma criatura 2/2 por {3}. Volte sua face para cima a qualquer momento pagando seu custo de megamorfose e coloque um marcador +1/+1 nele.)</t>
  </si>
  <si>
    <t>Sandworm</t>
  </si>
  <si>
    <t>Haste When this creature enters, destroy target land. Its controller may search their library for a basic land card, put it onto the battlefield tapped, then shuffle.</t>
  </si>
  <si>
    <t>Final Fantasy (FFV)</t>
  </si>
  <si>
    <t>Sanguine Glorifier / Glorificadora Sanguínea</t>
  </si>
  <si>
    <t>When this creature enters, put a +1/+1 counter on another target Vampire you control. / Quando Glorificadora Sanguínea entrar no campo de batalha, coloque um marcador +1/+1 em outro Vampiro alvo que você controla.</t>
  </si>
  <si>
    <t>Sanguine Syphoner</t>
  </si>
  <si>
    <t>Creature — Vampire Warlock</t>
  </si>
  <si>
    <t>Whenever this creature attacks, each opponent loses 1 life and you gain 1 life.</t>
  </si>
  <si>
    <t>Sanitarium Skeleton</t>
  </si>
  <si>
    <t>{2}{B}: Return Sanitarium Skeleton from your graveyard to your hand.</t>
  </si>
  <si>
    <t>Sanitarium Skeleton / Esqueleto do Sanatório</t>
  </si>
  <si>
    <t>{2}{B}: Return this card from your graveyard to your hand. / {2}{B}: Devolva Esqueleto do Sanatório de seu cemitério para sua mão.</t>
  </si>
  <si>
    <t>Sarpadian Simulacrum / Simulacro Sarpadiano</t>
  </si>
  <si>
    <t>Haste {3}{R}, Sacrifice this creature: It deals 4 damage to target creature. / Ímpeto {3}{R}, sacrifique Simulacro Sarpadiano: Ele causa 4 pontos de dano à criatura alvo.</t>
  </si>
  <si>
    <t>Saruli Caretaker / Guardiã de Saruli</t>
  </si>
  <si>
    <t>Creature — Dryad / Criatura — Dríade</t>
  </si>
  <si>
    <t>Defender. {T}, Tap an untapped creature you control: Add one mana of any color. / Defensor. {T}, vire uma criatura desvirada que você controla: Adicione um mana de qualquer cor.</t>
  </si>
  <si>
    <t>Saruman, o Branco / Saruman the White</t>
  </si>
  <si>
    <t>Salvaguarda {2} Toda vez que você conjurar sua segunda mágica em cada turno, arregimente Orcs 2. (Coloque dois marcadores +1/+1 em um Exército que você controla. Ele também é um Orc. Se você não controlar um Exército, crie antes uma ficha de criatura Orc Exército preta 0/0.)</t>
  </si>
  <si>
    <t>Satyr Grovedancer / Sátiro Dançarino do Bosque</t>
  </si>
  <si>
    <t>Creature — Satyr Shaman / Criatura — Sátiro Xamã</t>
  </si>
  <si>
    <t>When this creature enters, put a +1/+1 counter on target creature. / Quando Sátiro Dançarino do Bosque entrar no campo de batalha, coloque um marcador +1/+1 na criatura alvo.</t>
  </si>
  <si>
    <t>Satyr Rambler / Sátiro Errante</t>
  </si>
  <si>
    <t>Savage Hunger / Fome Selvagem</t>
  </si>
  <si>
    <t>Enchant creature Enchanted creature gets +1/+0 and has trample. Cycling {2} ({2}, Discard this card: Draw a card.) / Encantar criatura A criatura encantada recebe +1/+0 e tem atropelar. Reciclar {2} ({2}, Descarte este card: Compre um card.)</t>
  </si>
  <si>
    <t>Savage Smash / Pancada Selvagem</t>
  </si>
  <si>
    <t>Target creature you control gets +2/+2 until end of turn. It fights target creature you don't control. (Each deals damage equal to its power to the other.) / A criatura alvo que você controla recebe +2/+2 até o final do turno. Ela luta com a criatura alvo que você não controla. (Cada uma causa dano igual ao seu poder à outra.)</t>
  </si>
  <si>
    <t>Savannah Lions / Leões da Savana</t>
  </si>
  <si>
    <t>Savanti Romero, Time's Exile</t>
  </si>
  <si>
    <t>Legendary Creature — Demon Wizard</t>
  </si>
  <si>
    <t>Trample At the beginning of combat on your turn, put a +1/+1 counter on Savanti Romero. Then you draw X cards and lose X life, where X is the number of counters on Savanti Romero.</t>
  </si>
  <si>
    <t>Saved by the Shell</t>
  </si>
  <si>
    <t>This spell costs {1} less to cast if you control a Turtle. Put a +1/+1 counter on target creature you control. It gains trample, hexproof, and indestructible until end of turn.</t>
  </si>
  <si>
    <t>Saving Grasp / Mão Salvadora</t>
  </si>
  <si>
    <t>Return target creature you own to your hand. Flashback {W} (You may cast this card from your graveyard for its flashback cost. Then exile it.) / Devolva para a sua mão a criatura alvo que você possui. Recapitular {W} (Você pode conjurar este card de seu cemitério pagando seu custo de recapitular. Depois, exile-o.)</t>
  </si>
  <si>
    <t>Savor</t>
  </si>
  <si>
    <t>Target creature gets -2/-2 until end of turn. Create a Food token. (It's an artifact with "{2}, {T}, Sacrifice this token: You gain 3 life.")</t>
  </si>
  <si>
    <t>Sawblade Slinger / Atiradora de Serras</t>
  </si>
  <si>
    <t>When this creature enters, choose up to one — • Destroy target artifact an opponent controls. • This creature fights target Zombie an opponent controls. / Quando Atiradora de Serras entrar no campo de batalha, escolha até um — • Destrua o artefato alvo que um oponente controla. • Atiradora de Serras luta com o Zumbi alvo que um oponente controla.</t>
  </si>
  <si>
    <t>Say Its Name</t>
  </si>
  <si>
    <t>Mill three cards. Then you may return a creature or land card from your graveyard to your hand. Exile this card and two other cards named Say Its Name from your graveyard: Search your graveyard, hand, and/or library for a card named Altanak, the Thrice-Called and put it onto the battlefield. If you search your library this way, shuffle. Activate only as a sorcery.</t>
  </si>
  <si>
    <t>Sazh Katzroy / Sazh Katzroy</t>
  </si>
  <si>
    <t>Criatura Lendária — Humano Piloto</t>
  </si>
  <si>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</si>
  <si>
    <t>Scab-Clan Giant</t>
  </si>
  <si>
    <t>When this creature enters, it fights target creature an opponent controls chosen at random.</t>
  </si>
  <si>
    <t>Scale the Heights / Escalar as Alturas</t>
  </si>
  <si>
    <t>Put a +1/+1 counter on up to one target creature. You gain 2 life. You may play an additional land this turn. Draw a card. / Coloque um marcador +1/+1 em até uma criatura alvo. Você ganha 2 pontos de vida. Você pode jogar um terreno adicional neste turno. Compre um card.</t>
  </si>
  <si>
    <t>Scarblade Scout</t>
  </si>
  <si>
    <t>Lifelink. When this creature enters, mill two cards. (Put the top two cards of your library into your graveyard.)</t>
  </si>
  <si>
    <t>Scarred Vinebreeder / Urtigueiro Cicatrizado</t>
  </si>
  <si>
    <t>{2}{B}, Exile an Elf card from your graveyard: This creature gets +3/+3 until end of turn. / {2}{B}, Remova do jogo um card de Elfo em seu cemitério: Urtigueiro Cicatrizado recebe +3/+3 até o final do turno.</t>
  </si>
  <si>
    <t>Scars of the Veteran / Cicatrizes do Veterano</t>
  </si>
  <si>
    <t>You may exile a white card from your hand rather than pay this spell's mana cost. Prevent the next 7 damage that would be dealt to any target this turn. If it's a creature, put a +0/+1 counter on it for each 1 damage prevented this way at the beginning of the next end step.</t>
  </si>
  <si>
    <t>Scarscale Ritual / Ritual de Escamo-Tatuagem</t>
  </si>
  <si>
    <t>As an additional cost to cast this spell, put a -1/-1 counter on a creature you control. Draw two cards. / Como custo adicional para jogar Ritual de Escamo-Tatuagem, coloque um marcador -1/-1 numa criatura que você controla. Compre dois cards.</t>
  </si>
  <si>
    <t>Scathe Zombies / Zumbis de Scathe</t>
  </si>
  <si>
    <t>Scavenged Blade / Lâmina Salvada</t>
  </si>
  <si>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</si>
  <si>
    <t>Scavenging Ghoul / Carniçal Necrófago</t>
  </si>
  <si>
    <t>At the beginning of each end step, put a corpse counter on this creature for each creature that died this turn. Remove a corpse counter from this creature: Regenerate this creature.</t>
  </si>
  <si>
    <t>Scavenging Harpy / Harpia Necrófaga</t>
  </si>
  <si>
    <t>Flying When this creature enters, exile target card from an opponent's graveyard. / Voar Quando Harpia Necrófaga entrar no campo de batalha, exile o card alvo do cemitério de um oponente.</t>
  </si>
  <si>
    <t>Scholar of Athreos / Escolástico de Atreos</t>
  </si>
  <si>
    <t>{2}{B}: Each opponent loses 1 life. You gain life equal to the life lost this way. / {2}{B}: Cada oponente perde 1 ponto de vida. Você ganha uma quantidade de pontos de vida igual ao total de pontos de vida perdidos dessa maneira.</t>
  </si>
  <si>
    <t>School of the Unseen / Escola do Ilusionismo</t>
  </si>
  <si>
    <t>{T}: Add one colorless mana to your mana pool. {2}, {T}: Add one mana of any color to your mana pool.</t>
  </si>
  <si>
    <t>Scion of Halaster / Rebento de Halaster</t>
  </si>
  <si>
    <t>Commander creatures you own have "The first time you would draw a card each turn, instead look at the top two cards of your library. Put one of them into your graveyard and the other back on top of your library. Then draw a card." / As criaturas comandantes que você possui têm "Na primeira vez em que você compraria um card em cada turno, em vez disso, olhe os dois cards do topo de seu grimório. Coloque um em seu cemitério e o outro de volta no topo de seu grimório. Depois compre um card."</t>
  </si>
  <si>
    <t>Scolding Administrator / Administrador Repreensor</t>
  </si>
  <si>
    <t>Criatura — Anão Clérigo</t>
  </si>
  <si>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</si>
  <si>
    <t>Scorching Dragonfire / Fogo Dracônico Escaldante</t>
  </si>
  <si>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</si>
  <si>
    <t>Scorchmark / Marca em Brasa</t>
  </si>
  <si>
    <t>Scorchmark deals 2 damage to target creature. If that creature would die this turn, exile it instead. / Marca em Brasa causa 2 pontos de dano à criatura alvo. Se aquela criatura for morrer neste turno, em vez disso, exile-a.</t>
  </si>
  <si>
    <t>Scorpion Sentinel / Sentinela Escorpião</t>
  </si>
  <si>
    <t>Criatura Artefato — Robô Escorpião</t>
  </si>
  <si>
    <t>Enquanto você controlar sete ou mais terrenos, esta criatura receberá +3/+0.</t>
  </si>
  <si>
    <t>Scour from Existence / Varrer da Existência</t>
  </si>
  <si>
    <t>Exile target permanent. / Exile a permanente alvo.</t>
  </si>
  <si>
    <t>Scour the Laboratory / Perscrutar o Laboratório</t>
  </si>
  <si>
    <t>Delirium — This spell costs {2} less to cast if there are four or more card types among cards in your graveyard. Draw three cards. / Delírio — Perscrutar o Laboratório custará {2} a menos para ser conjurado se houver quatro ou mais tipos de card entre os cards de seu cemitério. Compre três cards.</t>
  </si>
  <si>
    <t>Scourge Devil / Diabo do Flagelo</t>
  </si>
  <si>
    <t>Criatura — Diabo</t>
  </si>
  <si>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</si>
  <si>
    <t>Scourgemark / Marca do Flagelo</t>
  </si>
  <si>
    <t>Enchant creature When this Aura enters, draw a card. Enchanted creature gets +1/+0. / Encantar criatura Quando Marca do Flagelo entrar no campo de batalha, compre um card. A criatura encantada recebe +1/+0.</t>
  </si>
  <si>
    <t>Scout the Borders / Explorar as Fronteiras</t>
  </si>
  <si>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</si>
  <si>
    <t>Scrabbling Claws / Garras Esmiuçadoras</t>
  </si>
  <si>
    <t>{T}: Target player exiles a card from their graveyard. {1}, Sacrifice this artifact: Exile target card from a graveyard. Draw a card. / {T}: O jogador alvo exila um card do próprio cemitério. {1}, sacrifique Garras Esmiuçadoras: Exile o card alvo de um cemitério. Compre um card.</t>
  </si>
  <si>
    <t>Scrapbasket / Cesto Remendado</t>
  </si>
  <si>
    <t>{1}: This creature becomes all colors until end of turn. / {1}: Cesto Remendado torna-se de todas as cores até o final do turno.</t>
  </si>
  <si>
    <t>Scrapskin Drake / Dragonete Remendado</t>
  </si>
  <si>
    <t>Creature — Zombie Drake / Criatura — Zumbi Dragonete</t>
  </si>
  <si>
    <t>Flying (This creature can't be blocked except by creatures with flying or reach.) This creature can block only creatures with flying. / Voar (Esta criatura só pode ser bloqueada por criaturas com voar ou alcance.)Dragonete Remendado só pode bloquear criaturas com voar.</t>
  </si>
  <si>
    <t>Screeching Skaab / Skaab Guinchante</t>
  </si>
  <si>
    <t>When this creature enters, mill two cards. / Quando Skaab Guinchante entrar no campo de batalha, coloque os dois cards do topo de seu grimório em seu cemitério.</t>
  </si>
  <si>
    <t>Scribe of the Mindful / Escriba do Consciente</t>
  </si>
  <si>
    <t>{1}, {T}, Sacrifice this creature: Return target instant or sorcery card from your graveyard to your hand. / {1}, {T}, Sacrifique Escriba do Consciente: Devolva o card de mágica instantânea ou feitiço alvo de seu cemitério para sua mão.</t>
  </si>
  <si>
    <t>Scrivener / Escrivão</t>
  </si>
  <si>
    <t>Creature — Human Wizard / Criatura — Citadino</t>
  </si>
  <si>
    <t>When this creature enters, you may return target instant card from your graveyard to your hand. / Quando Escrivão entra em jogo você pode devolver a mágica instantânea alvo de seu cemitério para sua mão.</t>
  </si>
  <si>
    <t>Scroll Thief / Ladrão de Pergaminho</t>
  </si>
  <si>
    <t>Whenever this creature deals combat damage to a player, draw a card. / Toda vez que Ladrão de Pergaminho causar dano de combate a um jogador, compre um card.</t>
  </si>
  <si>
    <t>Scrounging Bandar / Bandar Surrupiador</t>
  </si>
  <si>
    <t>Creature — Cat Monkey / Criatura — Felino Macaco</t>
  </si>
  <si>
    <t>This creature enters with two +1/+1 counters on it. At the beginning of your upkeep, you may move any number of +1/+1 counters from this creature onto another target creature. / Bandar Surrupiador entra no campo de batalha com dois marcadores +1/+1. No início de sua manutenção, você pode mover qualquer número de marcadores +1/+1 de Bandar Surrupiador para outra criatura alvo.</t>
  </si>
  <si>
    <t>Scrounging Skyray</t>
  </si>
  <si>
    <t>Creature — Fish Pirate</t>
  </si>
  <si>
    <t>Flying Whenever you discard one or more cards, put that many +1/+1 counters on this creature. Cycling {2} ({2}, Discard this card: Draw a card.)</t>
  </si>
  <si>
    <t>Scurry of Gremlins / Fuga dos Gremlins</t>
  </si>
  <si>
    <t>When this enchantment enters, create two 1/1 red Gremlin creature tokens. Then you get an amount of {E} (energy counters) equal to the number of creatures you control. Pay {E}{E}{E}{E}: Creatures you control get +1/+0 and gain haste until end of turn. / Quando Fuga dos Gremlins entrar no campo de batalha, crie duas fichas de criatura Gremlin vermelha 1/1. Em seguida, você recebe uma quantidade de {E} (marcadores de energia) igual ao número de criaturas que você controla. Pague {E}{E}{E}{E}: As criaturas que você controla recebem +1/+0 e ganham ímpeto até o final do turno.</t>
  </si>
  <si>
    <t>Scuttlegator / Jacaruguejo</t>
  </si>
  <si>
    <t>Creature — Crab Turtle Crocodile / Criatura — Caranguejo Tartaruga Crocodilo</t>
  </si>
  <si>
    <t>Defender {6}{G/U}{G/U}: Adapt 3. (If this creature has no +1/+1 counters on it, put three +1/+1 counters on it.) As long as this creature has a +1/+1 counter on it, it can attack as though it didn't have defender. / Defensor {6}{G/U}{G/U}: Adaptar 3. (Se esta criatura não tiver marcadores +1/+1, coloque três marcadores +1/+1 nela.) Enquanto Jacaruguejo tiver um marcador +1/+1, ele poderá atacar como se não tivesse defensor.</t>
  </si>
  <si>
    <t>{4}{G/U}{G/U}</t>
  </si>
  <si>
    <t>Scuttletide / Maré de Caranguejo</t>
  </si>
  <si>
    <t>{1}, Discard a card: Create a 0/3 blue Crab creature token. Delirium — Crabs you control get +1/+1 as long as there are four or more card types among cards in your graveyard. / {1}, descarte um card: Crie uma ficha de criatura Caranguejo azul 0/3. Delírio — Os Caranguejos que você controla receberão +1/+1 enquanto houver quatro ou mais tipos de card entre os cards de seu cemitério.</t>
  </si>
  <si>
    <t>Scuttling Butler / Mordomo dos Passos Rápidos</t>
  </si>
  <si>
    <t>At the beginning of combat on your turn, if you control two or more multicolored permanents, this creature gains double strike until end of turn. / No início do combate no seu turno, se você controla duas ou mais permanentes multicoloridas, Mordomo dos Passos Rápidos ganha golpe duplo até o final do turno.</t>
  </si>
  <si>
    <t>Scuzzback Scrapper / Sucateiro de Costas Sujas</t>
  </si>
  <si>
    <t>Wither (This deals damage to creatures in the form of -1/-1 counters.) / Murchar (Esta fonte causa dano a criaturas na forma de marcadores -1/-1.)</t>
  </si>
  <si>
    <t>Scythe Leopard</t>
  </si>
  <si>
    <t>Landfall — Whenever a land enters the battlefield under your control, Scythe Leopard gets +1/+1 until end of turn.</t>
  </si>
  <si>
    <t>Sea Gate Wreckage / Escombros de Portão Marinho</t>
  </si>
  <si>
    <t>{T}: Add {C}. ({C} represents colorless mana.) {2}{C}, {T}: Draw a card. Activate only if you have no cards in hand. / {T}: Adicione {C} à sua reserva de mana. ({C} representa mana incolor.) {2}{C}, {T}: Compre um card. Ative esta habilidade apenas se você não tiver nenhum card em sua mão.</t>
  </si>
  <si>
    <t>Sea Snidd / Snidd do Mar</t>
  </si>
  <si>
    <t>{T}: Target land becomes the basic land type of your choice until end of turn.</t>
  </si>
  <si>
    <t>Seacoast Drake / Dragonete Litorâneo</t>
  </si>
  <si>
    <t>Seagraf Skaab / Skaab do Cemitério Marinho</t>
  </si>
  <si>
    <t>Seal of Cleansing / Selo da Purificação</t>
  </si>
  <si>
    <t>Sacrifice Seal of Cleansing: Destroy target artifact or enchantment.</t>
  </si>
  <si>
    <t>Sear</t>
  </si>
  <si>
    <t>Sear deals 4 damage to target creature or planeswalker.</t>
  </si>
  <si>
    <t>Searing Light / Luz Cauterizante</t>
  </si>
  <si>
    <t>Destroy target attacking or blocking creature with power 2 or less. / Destrua a criatura atacante ou bloqueadora alvo com poder menor ou igual a 2.</t>
  </si>
  <si>
    <t>Searing Spear Askari / Askári da Lança Cauterizante</t>
  </si>
  <si>
    <t>Creature - Human Knight</t>
  </si>
  <si>
    <t>Flanking (Whenever a creature without flanking is assigned to block this creature, the blocking creature gets -1/-1 until end of turn.) {1}{R}: Searing Spear Askari cannot be blocked by only one creature this turn.</t>
  </si>
  <si>
    <t>Miragem</t>
  </si>
  <si>
    <t>Season of Renewal / Temporada de Renovação</t>
  </si>
  <si>
    <t>Choose one or both — • Return target creature card from your graveyard to your hand. • Return target enchantment card from your graveyard to your hand. / Escolha um ou ambos — • Devolva o card de criatura alvo de seu cemitério para sua mão. • Devolva o card de encantamento alvo de seu cemitério para sua mão.</t>
  </si>
  <si>
    <t>Secrets of the Golden City / Segredos da Cidade Dourada</t>
  </si>
  <si>
    <t>Ascend (If you control ten or more permanents, you get the city's blessing for the rest of the game.) Draw two cards. If you have the city's blessing, draw three cards instead. / Ascender (Se você controla dez ou mais permanentes, você recebe a bênção da cidade pelo restante do jogo.) Compre dois cards. Se você tiver a bênção da cidade, em vez disso, compre três cards.</t>
  </si>
  <si>
    <t>Sedge Scorpion / Escorpião de Grama</t>
  </si>
  <si>
    <t>Creature — Scorpion / Criatura — Escorpião</t>
  </si>
  <si>
    <t>Seedcradle Witch / Bruxa Semeadora</t>
  </si>
  <si>
    <t>{2}{G}{W}: Target creature gets +3/+3 until end of turn. Untap that creature. / {2}{G}{W}: A criatura alvo recebe +3/+3 até o final do turno. Desvire aquela criatura.</t>
  </si>
  <si>
    <t>Seedship Broodtender / Cuidador da Ninhada da Nave Semente</t>
  </si>
  <si>
    <t>Quando esta criatura entrar, triture três cards. (Coloque os três cards do topo de seu grimório em seu cemitério.) {3}{B}{G}, Sacrifique esta criatura: Devolva o card de criatura ou de Nave Espacial alvo de seu cemitério para o campo de batalha. Ative somente como um feitiço.</t>
  </si>
  <si>
    <t>Seek the Horizon / Procurar o Horizonte</t>
  </si>
  <si>
    <t>Search your library for up to three basic land cards, reveal them, put them into your hand, then shuffle. / Procure em seu grimório até três cards de terreno básico, revele-os e coloque-os em sua mão. Depois, embaralhe seu grimório.</t>
  </si>
  <si>
    <t>Seeker / Buscador</t>
  </si>
  <si>
    <t>Target creature cannot be blocked except by white creatures and artifact creatures.</t>
  </si>
  <si>
    <t>Seeker / Explorador</t>
  </si>
  <si>
    <t>Enchant creature Enchanted creature can't be blocked except by artifact creatures and/or white creatures.</t>
  </si>
  <si>
    <t>Seeker of Insight / Buscador do Discernimento</t>
  </si>
  <si>
    <t>{T}: Draw a card, then discard a card. Activate only if you've cast a noncreature spell this turn. / {T}: Compre um card e depois descarte um card. Ative esta habilidade somente se você tiver conjurado uma mágica que não seja de criatura neste turno.</t>
  </si>
  <si>
    <t>Seismic Rupture / Ruptura Sísmica</t>
  </si>
  <si>
    <t>Seismic Rupture deals 2 damage to each creature without flying. / Ruptura Sísmica causa 2 pontos de dano a cada criatura sem voar.</t>
  </si>
  <si>
    <t>Seismic Sense</t>
  </si>
  <si>
    <t>Look at the top X cards of your library, where X is the number of lands you control. You may reveal a creature or land card from among them and put it into your hand. Put the rest on the bottom of your library in a random order.</t>
  </si>
  <si>
    <t>Seize the Spoils / Aproveitar os Espólios</t>
  </si>
  <si>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</si>
  <si>
    <t>Seize the Storm / Apreender a Tempestade</t>
  </si>
  <si>
    <t>Create a red Elemental creature token with trample and "This token's power and toughness are each equal to the number of instant and sorcery cards in your graveyard plus the number of cards with flashback you own in exile." Flashback {6}{R} (You may cast this card from your graveyard for its flashback cost. Then exile it.) / Crie uma ficha de criatura Elemental vermelha com atropelar e "O poder e a resistência desta criatura são ambos iguais ao número de cards de mágica instantânea e feitiço em seu cemitério mais o número de cards com recapitular seus no exílio". Recapitular {6}{R} (Você pode conjurar este card de seu cemitério pagando seu custo de recapitular. Depois, exile-o.)</t>
  </si>
  <si>
    <t>Seizures / Apoplexia</t>
  </si>
  <si>
    <t>Enchant creature Whenever enchanted creature becomes tapped, this Aura deals 3 damage to that creature's controller unless that player pays {3}.</t>
  </si>
  <si>
    <t>Sejiri Steppe / Estepe de Sejiri</t>
  </si>
  <si>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</si>
  <si>
    <t>Select for Inspection / Selecionar para Inspeção</t>
  </si>
  <si>
    <t>Return target tapped creature to its owner's hand. Scry 1. (Look at the top card of your library. You may put that card on the bottom.) / Devolva a criatura virada alvo para a mão de seu dono. Vidência 1. (Olhe o card do topo de seu grimório. Você pode colocar aquele card no fundo de seu grimório.)</t>
  </si>
  <si>
    <t>Selesnya Charm / Amuleto Selesnya</t>
  </si>
  <si>
    <t>Choose one — • Target creature gets +2/+2 and gains trample until end of turn. • Exile target creature with power 5 or greater. • Create a 2/2 white Knight creature token with vigilance. / Escolha um — A criatura alvo recebe +2/+2 e ganha atropelar até o final do turno; ou exile a criatura alvo com poder igual ou maior que 5; ou coloque no campo de batalha uma ficha de criatura branca 2/2 do tipo Cavaleiro com vigilância.</t>
  </si>
  <si>
    <t>Selesnya Cluestone / Pedra dos Indícios Selesnya</t>
  </si>
  <si>
    <t>{T}: Add {G} or {W}. {G}{W}, {T}, Sacrifice this artifact: Draw a card. / {T}: Adicione {G} or {W}. {G}{W}, {T}, Sacrifique Pedra dos Indícios Selesnya: Compre um card.</t>
  </si>
  <si>
    <t>Selesnya Sentry / Sentinela Selesnya</t>
  </si>
  <si>
    <t>{5}{G}: Regenerate this creature. / {5}{G}: Regenere Sentinela Selesnya.</t>
  </si>
  <si>
    <t>Self-Assembler / Automontante</t>
  </si>
  <si>
    <t>When this creature enters, you may search your library for an Assembly-Worker creature card, reveal it, put it into your hand, then shuffle. / Quando Automontante entra no campo de batalha, você pode procurar um card de criatura do tipo Operário de Linha de Montagem em seu grimório, revelá-lo e colocá-lo na sua mão. Depois, embaralhe seu grimório.</t>
  </si>
  <si>
    <t>Self-Destruct / Autodestruição</t>
  </si>
  <si>
    <t>A criatura alvo que você controla causa X de dano a qualquer outro alvo e X de dano a si mesma, onde X é o poder dela.</t>
  </si>
  <si>
    <t>Self-Reflection / Autorreflexão</t>
  </si>
  <si>
    <t>Create a token that's a copy of target creature you control. Flashback {3}{U} (You may cast this card from your graveyard for its flashback cost. Then exile it.) / Crie uma ficha que seja uma cópia da criatura alvo que você controla. Recapitular {3}{U} (Você pode conjurar este card de seu cemitério pagando seu custo de recapitular. Depois, exile-o.)</t>
  </si>
  <si>
    <t>Seller of Songbirds / Vendedora de Pássaro Canoro</t>
  </si>
  <si>
    <t>When this creature enters, create a 1/1 white Bird creature token with flying. / Quando Vendedora de Pássaro Canoro entrar no campo de batalha, coloque no campo de batalha uma ficha de criatura branca 1/1 do tipo Ave com voar.</t>
  </si>
  <si>
    <t>Senate Griffin / Grifo do Senado</t>
  </si>
  <si>
    <t>Flying When this creature enters, scry 1. / Voar Quando Grifo do Senado entrar no campo de batalha, use vidência 1.</t>
  </si>
  <si>
    <t>{2}{W/U}{W/U}</t>
  </si>
  <si>
    <t>Send to Sleep / Adormecer</t>
  </si>
  <si>
    <t>Tap up to two target creatures. Spell mastery — If there are two or more instant and/or sorcery cards in your graveyard, those creatures don't untap during their controllers' next untap steps. / Vire até duas criaturas alvo.Maestria em magia — Se houver dois ou mais cards de mágica instantânea ou feitiço no seu cemitério, aquelas criaturas não serão desviradas durante a próxima etapa de desvirar de seus controladores.</t>
  </si>
  <si>
    <t>Sengir Bats / Morcegos de Sengir</t>
  </si>
  <si>
    <t>Creature — Bat</t>
  </si>
  <si>
    <t>Flying Whenever a creature dealt damage by this creature this turn dies, put a +1/+1 counter on this creature.</t>
  </si>
  <si>
    <t>Sengir Vampire / Vampiro de Sengir</t>
  </si>
  <si>
    <t>Flying (This creature can't be blocked except by creatures with flying or reach.) Whenever a creature dealt damage by this creature this turn dies, put a +1/+1 counter on this creature. / Voar Toda vez que uma criatura que tiver sofrido dano de Vampiro de Sengir neste turno morrer, coloque um marcador +1/+1 sobre Vampiro de Sengir.</t>
  </si>
  <si>
    <t>Sensory Deprivation / Privação Sensorial</t>
  </si>
  <si>
    <t>Enchant creature Enchanted creature gets -3/-0. / Encantar criaturaA criatura encantada recebe -3/-0.</t>
  </si>
  <si>
    <t>Sentinel of the Eternal Watch / Sentinela da Vigília Eterna</t>
  </si>
  <si>
    <t>Vigilance (Attacking doesn't cause this creature to tap.) At the beginning of combat on each opponent's turn, tap target creature that player controls. / Vigilância (Esta criatura não é virada para atacar.)No início do combate no turno de cada oponente, vire a criatura alvo que aquele jogador controla.</t>
  </si>
  <si>
    <t>Sentinel of the Nameless City / Sentinela da Cidade Sem Nome</t>
  </si>
  <si>
    <t>Creature — Merfolk Warrior Scout / Criatura — Tritão Guerreiro Batedor</t>
  </si>
  <si>
    <t>Vigilance Whenever this creature enters or attacks, create a Map token. (It's an artifact with "{1}, {T}, Sacrifice this token: Target creature you control explores. Activate only as a sorcery.") / Vigilância Toda vez que Sentinela da Cidade Sem Nome entrar no campo de batalha ou atacar, crie uma ficha de Mapa. (Ela é um artefato com "{1}, {T}, sacrifique este artefato: A criatura alvo que você controla explora. Ative somente como um feitiço".)</t>
  </si>
  <si>
    <t>Sentinel Sliver</t>
  </si>
  <si>
    <t>Criatura — Habitante / Creature — Sliver</t>
  </si>
  <si>
    <t>Sliver creatures you control have vigilance. (Attacking doesn't cause them to tap.)</t>
  </si>
  <si>
    <t>Sentinel Spider / Aranha Sentinela</t>
  </si>
  <si>
    <t>Vigilance, reach / Vigilância (Esta criatura não é virada para atacar.) Alcance (Esta criatura pode bloquear criaturas com voar.)</t>
  </si>
  <si>
    <t>Sentinela Forjada em Ouro</t>
  </si>
  <si>
    <t>Criatura Artefato — Quimera</t>
  </si>
  <si>
    <t>Voar</t>
  </si>
  <si>
    <t>Sentinela Selesnya / Selesnya Sentry</t>
  </si>
  <si>
    <t>Criatura — Elefante Soldado / Creature — Elephant Soldier</t>
  </si>
  <si>
    <t>{5}{G}: Regenere Sentinela Selesnya. / {5}{G}: Regenerate Selesnya Sentry.</t>
  </si>
  <si>
    <t>Separatist Voidmage / Mago do Vácuo Separatista</t>
  </si>
  <si>
    <t>When this creature enters, you may return target creature to its owner's hand. / Quando Mago do Vácuo Separatista entra no campo de batalha, você pode devolver a criatura alvo para a mão de seu dono.</t>
  </si>
  <si>
    <t>Sephiroth's Intervention / Intervenção de Sephiroth</t>
  </si>
  <si>
    <t>Destrua a criatura alvo. Você ganha 2 de vida.</t>
  </si>
  <si>
    <t>Serpent of the Pass</t>
  </si>
  <si>
    <t>Creature — Serpent</t>
  </si>
  <si>
    <t>If there are three or more Lesson cards in your graveyard, you may cast this spell as though it had flash. This spell costs {1} less to cast for each noncreature, nonland card in your graveyard.</t>
  </si>
  <si>
    <t>Serpent Specialist / Especialista em Serpentes</t>
  </si>
  <si>
    <t>Criatura — Humano Cobra Vilão</t>
  </si>
  <si>
    <t>Toque mortífero. Fortalecer — {3}{G}: Coloque dois marcadores +1/+1 nesta criatura. (Ative cada habilidade de fortalecer apenas uma vez. Reduza o custo em seu custo de mana se ela entrou neste turno.)</t>
  </si>
  <si>
    <t>Serpent's Gift / Dádiva da Serpente</t>
  </si>
  <si>
    <t>Target creature gains deathtouch until end of turn. (Any amount of damage it deals to a creature is enough to destroy it.) / A criatura alvo ganha toque mortífero até o final do turno. (Qualquer quantidade de dano que ela cause a uma criatura é suficiente para destruí-la.)</t>
  </si>
  <si>
    <t>Serpentine Ambush / Emboscada Serpentina</t>
  </si>
  <si>
    <t>Until end of turn, target creature becomes a blue Serpent with base power and toughness 5/5. / Até o final do turno, a criatura alvo torna-se uma Serpente azul com poder e resistência básicos 5/5.</t>
  </si>
  <si>
    <t>Serra Angel</t>
  </si>
  <si>
    <t>Criatura — Anjo / Summon Angel</t>
  </si>
  <si>
    <t>Flying. Attacking does not cause Serra Angel to tap.</t>
  </si>
  <si>
    <t>Serra Bestiary / Bestiário de Serra</t>
  </si>
  <si>
    <t>Enchant creature At the beginning of your upkeep, sacrifice this Aura unless you pay {W}{W}. Enchanted creature can't attack or block, and its activated abilities with {T} in their costs can't be activated.</t>
  </si>
  <si>
    <t>Serra Inquisitors / Inquisidores de Serra</t>
  </si>
  <si>
    <t>Whenever this creature blocks or becomes blocked by one or more black creatures, this creature gets +2/+0 until end of turn.</t>
  </si>
  <si>
    <t>Serra Paladin</t>
  </si>
  <si>
    <t>Criatura — Paladino / Summon Paladin</t>
  </si>
  <si>
    <t>{T}: Prevent 1 damage to any creature or player. {1}{W}{W}, {T}: Attacking does not cause target creature to tap this turn.</t>
  </si>
  <si>
    <t>Serra's Blessing</t>
  </si>
  <si>
    <t>Attacking doesn't cause creatures you control to tap.</t>
  </si>
  <si>
    <t>Serrated Biskelion</t>
  </si>
  <si>
    <t>{T}: Put a -1/-1 counter on Serrated Biskelion and a -1/-1 counter on target creature.</t>
  </si>
  <si>
    <t>Serrated Biskelion / Bíscele Serrilhado</t>
  </si>
  <si>
    <t>{T}: Put a -1/-1 counter on this creature and a -1/-1 counter on target creature.</t>
  </si>
  <si>
    <t>Serrated Scorpion / Escorpião Serrilhado</t>
  </si>
  <si>
    <t>When this creature dies, it deals 2 damage to each opponent and you gain 2 life. / Quando Escorpião Serrilhado morre, ele causa 2 pontos de dano a cada oponente e você ganha 2 pontos de vida.</t>
  </si>
  <si>
    <t>Servant of the Scale / Servo da Escama</t>
  </si>
  <si>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</si>
  <si>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</si>
  <si>
    <t>Servo Schematic / Diagrama de Servus</t>
  </si>
  <si>
    <t>When this artifact enters or is put into a graveyard from the battlefield, create a 1/1 colorless Servo artifact creature token. / Quando Diagrama de Servus entrar no campo de batalha ou for colocado no cemitério vindo do campo de batalha, crie uma ficha de criatura artefato incolor 1/1 do tipo Servus.</t>
  </si>
  <si>
    <t>Servo Voltaico / Voltaic Servant</t>
  </si>
  <si>
    <t>Criatura Artefato — Constructo</t>
  </si>
  <si>
    <t>No início da sua etapa final, desvire o artefato alvo.</t>
  </si>
  <si>
    <t>Setessan Griffin / Grifo Setessano</t>
  </si>
  <si>
    <t>Flying {2}{G}{G}: This creature gets +2/+2 until end of turn. Activate only once each turn. / Voar {2}{G}{G}: Grifo Setessano recebe +2/+2 até o final do turno. Ative esta habilidade apenas uma vez a cada turno.</t>
  </si>
  <si>
    <t>Setessan Oathsworn / Jurado Setessano</t>
  </si>
  <si>
    <t>Creature — Satyr Warrior / Criatura — Sátiro Guerreiro</t>
  </si>
  <si>
    <t>Heroic — Whenever you cast a spell that targets this creature, put two +1/+1 counters on this creature. / Heroico — Toda vez que você conjurar uma mágica cujo alvo seja Jurado Setessano, coloque dois marcadores +1/+1 em Jurado Setessano.</t>
  </si>
  <si>
    <t>Setessan Skirmisher / Escaramuçadora Setessana</t>
  </si>
  <si>
    <t>Constellation — Whenever an enchantment you control enters, this creature gets +1/+1 until end of turn. / Constelação — Toda vez que um encantamento entra no campo de batalha sob seu controle, Escaramuçadora Setessana recebe +1/+1 até o final do turno.</t>
  </si>
  <si>
    <t>Setessan Training / Treinamento Setessano</t>
  </si>
  <si>
    <t>Enchant creature you control When this Aura enters, draw a card. Enchanted creature gets +1/+0 and has trample. (It can deal excess combat damage to the player or planeswalker it's attacking.) / Encantar criatura que você controla Quando Treinamento Setessano entrar no campo de batalha, compre um card. A criatura encantada recebe +1/+0 e tem atropelar.</t>
  </si>
  <si>
    <t>Seven-Tail Mentor / Mentora das Sete Caudas</t>
  </si>
  <si>
    <t>Creature — Fox Samurai / Criatura — Raposa Samurai</t>
  </si>
  <si>
    <t>When this creature enters or dies, put a +1/+1 counter on target creature or Vehicle you control. / Quando Mentora das Sete Caudas entrar no campo de batalha ou morrer, coloque um marcador +1/+1 na criatura ou no Veículo alvo que você controla.</t>
  </si>
  <si>
    <t>Sever Soul / Cortar a Alma</t>
  </si>
  <si>
    <t>Destroy target nonblack creature. It can't be regenerated. You gain life equal to its toughness. / Destrói a criatura alvo que não seja preta. Ela não pode ser regenerada. Você ganha uma quantidade de pontos de vida igual à resistência dela.</t>
  </si>
  <si>
    <t>Severed Legion / Legião Apartada</t>
  </si>
  <si>
    <t>Fear (This creature can't be blocked except by artifact creatures and/or black creatures.) / Amedrontar (Esta criatura só pode ser bloqueada por criaturas pretas e/ou criaturas artefato.)</t>
  </si>
  <si>
    <t>Sewer Nemesis / Nêmesis dos Esgotos</t>
  </si>
  <si>
    <t>As this creature enters, choose a player. Sewer Nemesis's power and toughness are each equal to the number of cards in the chosen player's graveyard. Whenever the chosen player casts a spell, that player mills a card. / Conforme Nêmesis dos Esgotos entrar no campo de batalha, escolha um jogador. O poder e a resistência de Nêmesis dos Esgotos são ambos iguais ao número de cards no cemitério do jogador escolhido. Toda vez que o jogador escolhido conjura uma mágica, aquele jogador tritura um card.</t>
  </si>
  <si>
    <t>Sewer-veillance Cam</t>
  </si>
  <si>
    <t>Flash When this artifact enters or leaves the battlefield, you may tap or untap target creature. {3}{U}, Sacrifice this artifact: Draw two cards.</t>
  </si>
  <si>
    <t>Sex Appeal</t>
  </si>
  <si>
    <t>Prevent up to 3 damage total to any number of creatures and/or players. If there are more players in the room of the opposite sex, prevent up to 3 additional damage total to any number of creatures and/or players.</t>
  </si>
  <si>
    <t>White/Preto</t>
  </si>
  <si>
    <t>Shackle Slinger / Lançador de Algemas</t>
  </si>
  <si>
    <t>Whenever you cast your second spell each turn, choose target creature an opponent controls. If it's tapped, put a stun counter on it. Otherwise, tap it. (If a permanent with a stun counter would become untapped, remove one from it instead.) / Toda vez que você conjurar sua segunda mágica a cada turno, escolha uma criatura alvo que um oponente controla. Se ela estiver virada, coloque um marcador de atordoamento nela. Caso contrário, vire-a. (Se uma permanente com um marcador de atordoamento se tornaria desvirada, em vez disso, remova um marcador de atordoamento dela.)</t>
  </si>
  <si>
    <t>Shackles / Grilhões</t>
  </si>
  <si>
    <t>Enchanted creature doesn't untap during its controller's untap step. {W}: Return Shackles to its owner's hand. / A criatura encantada não desvira durante a etapa de desvirar de seu controlador. {W}: Devolva Grilhões para a mão de seu dono.</t>
  </si>
  <si>
    <t>Shade of Trokair / Sombra de Trokair</t>
  </si>
  <si>
    <t>{W}: This creature gets +1/+1 until end of turn. Suspend 3—{W} (Rather than cast this card from your hand, you may pay {W} and exile it with three time counters on it. At the beginning of your upkeep, remove a time counter. When the last is removed, you may cast it without paying its mana cost. It has haste.) / {W}: Sombra de Trokair recebe +1/+1 até o final do turno. Suspender 3 — {W} (Em vez de conjurar este card da sua mão, você pode pagar {W} e exilá-lo com três marcadores temporais. No início de sua manutenção, remova um marcador temporal. Quando o último for removido, conjure-o sem pagar seu custo de mana. Ele tem ímpeto.)</t>
  </si>
  <si>
    <t>Shadow Glider / Planador das Sombras</t>
  </si>
  <si>
    <t>Creature — Kor Soldier / Criatura — Kor Soldado</t>
  </si>
  <si>
    <t>Shadow Slice / Fatia de Sombra</t>
  </si>
  <si>
    <t>Target opponent loses 3 life. Cipher (Then you may exile this spell card encoded on a creature you control. Whenever that creature deals combat damage to a player, its controller may cast a copy of the encoded card without paying its mana cost.) / O oponente alvo perde 3 pontos de vida.Cifrar (Depois, você pode exilar este card de mágica cifrado numa criatura que você controla. Toda vez que aquela criatura causar dano de combate a um jogador, seu controlador poderá conjurar uma cópia do card cifrado sem pagar seu custo de mana.)</t>
  </si>
  <si>
    <t>Shadow Urchin</t>
  </si>
  <si>
    <t>Creature — Ouphe</t>
  </si>
  <si>
    <t>Whenever this creature attacks, blight 1. (Put a -1/-1 counter on a creature you control.) Whenever a creature you control with one or more counters on it dies, exile that many cards from the top of your library. Until your next end step, you may play those cards.</t>
  </si>
  <si>
    <t>Shadow-Rite Priest / Sacerdote do Rito das Sombras</t>
  </si>
  <si>
    <t>Other Clerics you control get +1/+1. {3}{B}{B}, {T}, Sacrifice another Cleric: Search your library for a black creature card, put it onto the battlefield, then shuffle. / Os outros Clérigos que você controla recebem +1/+1. {3}{B}{B}, {T}, sacrifique outro Clérigo: Procure um card de criatura preta em seu grimório, coloque-o no campo de batalha e depois embaralhe.</t>
  </si>
  <si>
    <t>Shadowfax, Lord of Horses / Scadufax, Senhor dos Cavalos</t>
  </si>
  <si>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</si>
  <si>
    <t>{3}{R}{W}</t>
  </si>
  <si>
    <t>Vermelho e Branco</t>
  </si>
  <si>
    <t>Shah of Naar Isle / Xá da Ilha Naar</t>
  </si>
  <si>
    <t>Creature — Efreet / Criatura — Efrite</t>
  </si>
  <si>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</si>
  <si>
    <t>Shambling Cie'th / Cie'th Cambaleante</t>
  </si>
  <si>
    <t>Criatura — Mutante Horror</t>
  </si>
  <si>
    <t>Esta criatura entra virada. Sempre que você conjurar uma mágica que não seja de criatura, você pode pagar {B}. Se fizer isso, devolva este card de seu cemitério para sua mão.</t>
  </si>
  <si>
    <t>Shambling Ghoul / Carniçal Trôpego</t>
  </si>
  <si>
    <t>This creature enters tapped. / Carniçal Trôpego entra no campo de batalha virado.</t>
  </si>
  <si>
    <t>Shambling Remains / Restos Cambaleantes</t>
  </si>
  <si>
    <t>Criatura — Zumbi Horror</t>
  </si>
  <si>
    <t>Shambling Remains não pode bloquear. Desenterrar BR (BR: Devolva este card de seu cemitério para o campo de batalha. Ele ganha ímpeto. Exile-o no início da próxima etapa final ou se ele sair do campo de batalha. Desenterre apenas como um feitiço.)</t>
  </si>
  <si>
    <t>1BR</t>
  </si>
  <si>
    <t>Shambling Suit / Armadura em Frangalhos</t>
  </si>
  <si>
    <t>Shambling Suit's power is equal to the number of artifacts and/or enchantments you control. / O poder de Armadura em Frangalhos é igual ao número de artefatos e/ou encantamentos que você controla.</t>
  </si>
  <si>
    <t>Shard of Broken Glass / Fragmento de Vidro</t>
  </si>
  <si>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</si>
  <si>
    <t>Shared Discovery / Descoberta Compartilhada</t>
  </si>
  <si>
    <t>As an additional cost to cast this spell, tap four untapped creatures you control. Draw three cards. / Como custo adicional para conjurar Descoberta Compartilhada, vire quatro criaturas desviradas que você controla. Compre três cards.</t>
  </si>
  <si>
    <t>Shared Roots</t>
  </si>
  <si>
    <t>Search your library for a basic land card, put it onto the battlefield tapped, then shuffle.</t>
  </si>
  <si>
    <t>Shark Shredder, Killer Clone</t>
  </si>
  <si>
    <t>Legendary Creature — Shark Octopus Ninja</t>
  </si>
  <si>
    <t>Sneak {3}{B}{B} First strike Whenever Shark Shredder deals combat damage to a player, put up to one target creature card from that player's graveyard onto the battlefield under your control. It enters tapped and attacking that player.</t>
  </si>
  <si>
    <t>Sharktocrab / Tubaropolvoguejo</t>
  </si>
  <si>
    <t>Creature — Shark Octopus Crab / Criatura — Peixe Polvo Caranguejo</t>
  </si>
  <si>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</si>
  <si>
    <t>Sharlayan, Nation of Scholars / Sharlayan, Nação de Estudiosos</t>
  </si>
  <si>
    <t>Este terreno entra virado. {T}: Adicione {W} ou {U}.</t>
  </si>
  <si>
    <t>Shatter / Estilhaçar</t>
  </si>
  <si>
    <t>Destroy target artifact. / Destrói artefato-alvo.</t>
  </si>
  <si>
    <t>Destroy target artifact. / Destrua o artefato alvo.</t>
  </si>
  <si>
    <t>Shattered Seraph / Serafim Despedaçada</t>
  </si>
  <si>
    <t>Creature — Angel Rogue / Criatura — Anjo Ladino</t>
  </si>
  <si>
    <t>Flying When this creature enters, you gain 3 life. {2}, Exile this card from your hand: Target land gains "{T}: Add {W}, {U}, or {B}" until this card is cast from exile. You may cast this card for as long as it remains exiled. / Voar Quando Serafim Despedaçada entra no campo de batalha, você ganha 3 pontos de vida. {2}, exile Serafim Despedaçada de sua mão: O terreno alvo ganha "{T}: Adicione {W}, {U} ou {B}" até que Serafim Despedaçada seja conjurada do exílio. Você poderá conjurar Serafim Despedaçada enquanto ela permanecer exilada.</t>
  </si>
  <si>
    <t>{4}{W}{U}{B}</t>
  </si>
  <si>
    <t>Preto, Azul, Branco</t>
  </si>
  <si>
    <t>Shattering Blow / Golpe Despedaçador</t>
  </si>
  <si>
    <t>Exile target artifact. / Exile o artefato alvo.</t>
  </si>
  <si>
    <t>Shed Weakness / Eliminar Fraqueza</t>
  </si>
  <si>
    <t>Target creature gets +2/+2 until end of turn. You may remove a -1/-1 counter from it. / A criatura alvo recebe +2/+2 até o final do turno. Você pode remover um marcador -1/-1 dela.</t>
  </si>
  <si>
    <t>Sheltering Boughs / Ramos Protetores</t>
  </si>
  <si>
    <t>Enchant creature When this Aura enters, draw a card. Enchanted creature gets +1/+3. / Encantar criatura Quando Ramos Protetores entrar no campo de batalha, compre um card. A criatura encantada recebe +1/+3.</t>
  </si>
  <si>
    <t>Sheriff of Safe Passage / Xerife da Passagem Segura</t>
  </si>
  <si>
    <t>This creature enters with a +1/+1 counter on it plus an additional +1/+1 counter on it for each other creature you control. Plot {1}{W} (You may pay {1}{W} and exile this card from your hand. Cast it as a sorcery on a later turn without paying its mana cost. Plot only as a sorcery.) / Xerife da Passagem Segura entra no campo de batalha com um marcador +1/+1 mais um marcador +1/+1 adicional por cada outra criatura que você controla. Tramar {1}{W} (Você pode pagar {1}{W} e exilar este card da sua mão. Conjure-o como um feitiço num turno posterior sem pagar seu custo de mana. Trame somente como um feitiço.)</t>
  </si>
  <si>
    <t>Shield Bearer</t>
  </si>
  <si>
    <t>Shield Dancer / Dançarina de Escudo</t>
  </si>
  <si>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</si>
  <si>
    <t>Shield of Duty and Reason</t>
  </si>
  <si>
    <t>Enchanted creature has protection from green and from blue.</t>
  </si>
  <si>
    <t>Shield of the Oversoul / Escudo da Alma Suprema</t>
  </si>
  <si>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</si>
  <si>
    <t>Shield-Wall Sentinel / Sentinela da Barreira de Escudos</t>
  </si>
  <si>
    <t>Defender When this creature enters, you may search your library for a creature card with defender, reveal it, put it into your hand, then shuffle. / Defensor Quando Sentinela da Barreira de Escudos entra no campo de batalha, você pode procurar em seu grimório um card de criatura com defensor, revelá-lo, colocá-lo em sua mão e depois embaralhar.</t>
  </si>
  <si>
    <t>Shielded Aether Thief / Ladrão de Éter Escudado</t>
  </si>
  <si>
    <t>Flash (You may cast this spell any time you could cast an instant.) Whenever this creature blocks, you get {E} (an energy counter). {T}, Pay {E}{E}{E}: Draw a card. / Lampejo (Você poderá conjurar esta mágica a qualquer momento em que puder conjurar uma mágica instantânea.) Toda vez que Ladrão de Éter Escudado bloqueia, você recebe {E} (um marcador de energia). {T}, Pague {E}{E}{E}: Compre um card.</t>
  </si>
  <si>
    <t>Shigeki's Gambit / Presa de Shigeki</t>
  </si>
  <si>
    <t>Enchantment Creature — Snake Ninja / Criatura Encantamento — Cobra Ninja</t>
  </si>
  <si>
    <t>Shimian Night Stalker</t>
  </si>
  <si>
    <t>{B}, {T}: All damage that would be dealt to you this turn by target attacking creature is dealt to this creature instead.</t>
  </si>
  <si>
    <t>Chonicles</t>
  </si>
  <si>
    <t>Shimmercreep</t>
  </si>
  <si>
    <t>Creature — Elemental</t>
  </si>
  <si>
    <t>Menace. Vivid — When this creature enters, each opponent loses X life and you gain X life, where X is the number of colors among permanents you control.</t>
  </si>
  <si>
    <t>Shimmerscale Drake / Dragonete-de-escamas-cintilantes</t>
  </si>
  <si>
    <t>Flying Cycling {2} ({2}, Discard this card: Draw a card.) / Voar Reciclar {2} ({2}, Descarte este card: Compre um card.)</t>
  </si>
  <si>
    <t>Shinra Reinforcements</t>
  </si>
  <si>
    <t>When this creature enters, mill three cards and you gain 3 life. (To mill three cards, put the top three cards of your library into your graveyard.)</t>
  </si>
  <si>
    <t>Shipwreck Singer / Sirena do Naufrágio</t>
  </si>
  <si>
    <t>Creature — Siren / Criatura — Sirena</t>
  </si>
  <si>
    <t>Flying {1}{U}: Target creature an opponent controls attacks this turn if able. {1}{B}, {T}: Attacking creatures get -1/-1 until end of turn. / Voar {1}{U}: A criatura alvo que um oponente controla ataca neste turno se estiver apta. {1}{B}, {T}: As criaturas atacantes recebem -1/-1 até o final do turno.</t>
  </si>
  <si>
    <t>Conspiracy: Take the Crown (CN2)</t>
  </si>
  <si>
    <t>Shire Shirriff / Condestável do Condado</t>
  </si>
  <si>
    <t>Creature — Halfling Soldier / Criatura — Pequenino Soldado</t>
  </si>
  <si>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</si>
  <si>
    <t>Shirei, Shizo's Caretaker / Shirei, Vigia de Shizo</t>
  </si>
  <si>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</si>
  <si>
    <t>Shock / Choque</t>
  </si>
  <si>
    <t>Choque causa 2 de dano à criatura ou ao jogador alvo.</t>
  </si>
  <si>
    <t>Shock deals 2 damage to any target. / Choque causa 2 pontos de dano a qualquer alvo.</t>
  </si>
  <si>
    <t>Shore Keeper / Guardião da Costa</t>
  </si>
  <si>
    <t>Creature — Trilobite / Criatura — Trilobita</t>
  </si>
  <si>
    <t>{7}{U}, {T}, Sacrifice this creature: Draw three cards. / {7}{U}, {T}, sacrifique Guardião da Costa: Compre três cards.</t>
  </si>
  <si>
    <t>Shore Lurker</t>
  </si>
  <si>
    <t>Creature — Merfolk Scout</t>
  </si>
  <si>
    <t>Flying When this creature enters, surveil 1. (Look at the top card of your library. You may put it into your graveyard.)</t>
  </si>
  <si>
    <t>Shoulder to Shoulder / Ombro a Ombro</t>
  </si>
  <si>
    <t>Support 2. (Put a +1/+1 counter on each of up to two target creatures.) Draw a card. / Suporte 2. (Coloque um marcador +1/+1 em cada uma de até duas criaturas alvo.) Compre um card.</t>
  </si>
  <si>
    <t>Shredder, Unrelenting</t>
  </si>
  <si>
    <t>Sneak {3}{B} (You may cast this spell for {3}{B} if you also return an unblocked attacker you control to hand during the declare blockers step. He enters tapped and attacking.) Deathtouch Whenever Shredder enters or attacks, another target creature you control gains deathtouch until end of turn.</t>
  </si>
  <si>
    <t>Shredder's Armor</t>
  </si>
  <si>
    <t>Equipped creature gets +2/+1. When this Equipment enters, attach it to target creature you control. Equip—Sacrifice another nonland permanent. Activate only once each turn.</t>
  </si>
  <si>
    <t>Shredder's Revenge</t>
  </si>
  <si>
    <t>Choose one — • Target player discards two cards. • Target player draws two cards and loses 2 life.</t>
  </si>
  <si>
    <t>Shredding Winds / Ventos Cortantes</t>
  </si>
  <si>
    <t>Shredding Winds deals 7 damage to target creature with flying. / Ventos Cortantes causa 7 pontos de dano à criatura alvo com voar.</t>
  </si>
  <si>
    <t>Shrewd Storyteller</t>
  </si>
  <si>
    <t>Creature — Human Survivor</t>
  </si>
  <si>
    <t>Survival — At the beginning of your second main phase, if this creature is tapped, put a +1/+1 counter on target creature.</t>
  </si>
  <si>
    <t>Shriekdiver / Guinchador de Mergulho</t>
  </si>
  <si>
    <t>Creature — Zombie Bird Warrior / Criatura — Zumbi Ave Guerreiro</t>
  </si>
  <si>
    <t>Flying {1}: This creature gains haste until end of turn. / Voar {1}: Guinchador de Mergulho ganha ímpeto até o final do turno.</t>
  </si>
  <si>
    <t>Shriekgeist / Geist do Grito</t>
  </si>
  <si>
    <t>Flying Whenever this creature deals combat damage to a player, that player mills two cards. / Voar Toda vez que Geist do Grito causa dano de combate a um jogador, aquele jogador coloca os dois cards do topo do grimório dele no próprio cemitério.</t>
  </si>
  <si>
    <t>Shrine of the Forsaken Gods / Santuário dos Deuses Esquecidos</t>
  </si>
  <si>
    <t>{T}: Add {C}. {T}: Add {C}{C}. Spend this mana only to cast colorless spells. Activate only if you control seven or more lands. / {T}: Adicione {1} à sua reserva de mana.{T}: Adicione {2} à sua reserva de mana. Gaste este mana apenas para conjurar mágicas incolores. Ative esta habilidade somente se você controlar sete ou mais terrenos.</t>
  </si>
  <si>
    <t>Shrine Steward / Zelador do Sacrário</t>
  </si>
  <si>
    <t>When Shrine Steward enters the battlefield, you may search your library for an Aura or Shrine card, reveal it, put it into your hand, then shuffle.</t>
  </si>
  <si>
    <t>When this creature enters, you may search your library for an Aura or Shrine card, reveal it, put it into your hand, then shuffle. / Quando Zelador do Sacrário entra no campo de batalha, você pode procurar um card de Aura ou Sacrário em seu grimório, revelá-lo, colocá-lo em sua mão e depois embaralhar.</t>
  </si>
  <si>
    <t>Shrivel</t>
  </si>
  <si>
    <t>All creatures get -1/-1 until end of turn.</t>
  </si>
  <si>
    <t>Shrivel / Murchar</t>
  </si>
  <si>
    <t>All creatures get -1/-1 until end of turn. / Todas as criaturas recebem -1/-1 até o final do turno.</t>
  </si>
  <si>
    <t>Shroudstomper</t>
  </si>
  <si>
    <t>Deathtouch Whenever this creature enters or attacks, each opponent loses 2 life. You gain 2 life and draw a card.</t>
  </si>
  <si>
    <t>{3}{W}{W}{B}{B}</t>
  </si>
  <si>
    <t>Sickle Ripper / Estripador da Foice</t>
  </si>
  <si>
    <t>Creature — Elemental Warrior / Criatura — Elemental Guerreiro</t>
  </si>
  <si>
    <t>Sickleslicer / Fatiador de Foices</t>
  </si>
  <si>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</si>
  <si>
    <t>Sidequest: Card Collection / Missão Secundária: Coleção de Cards</t>
  </si>
  <si>
    <t>Quando este encantamento entrar, compre três cards e depois descarte dois cards. No início de sua etapa final, se houver oito ou mais cards em seu cemitério, transforme este encantamento.</t>
  </si>
  <si>
    <t>Sidequest: Card Collection // Magicked Card</t>
  </si>
  <si>
    <t>Enchantment // Artifact — Vehicle</t>
  </si>
  <si>
    <t>Sidequest: Card Collection: When this enchantment enters, draw three cards, then discard two cards. At the beginning of your end step, if eight or more cards are in your graveyard, transform this enchantment. // Magicked Card: Flying Crew 1 (Tap any number of creatures you control with total power 1 or more: This Vehicle becomes an artifact creature until end of turn.)</t>
  </si>
  <si>
    <t>Sidequest: Catch a Fish / Missão Secundária: Pegar um Peixe</t>
  </si>
  <si>
    <t>No início de sua manutenção, olhe o card do topo de seu grimório. Se for um card de artefato ou de criatura, você pode revelá-lo e colocá-lo em sua mão. Se colocar um card em sua mão deste modo, crie uma ficha de Comida e transforme este encantamento.</t>
  </si>
  <si>
    <t>Sidequest: Hunt the Mark / Missão Secundária: Caçar a Marca</t>
  </si>
  <si>
    <t>Quando este encantamento entrar, destrua até uma criatura alvo. No início de sua etapa final, se uma criatura sob o controle de um oponente tiver morrido neste turno, crie uma ficha de Tesouro. Depois, se você controlar três ou mais Tesouros, transforme este encantamento.</t>
  </si>
  <si>
    <t>Sidequest: Play Blitzball / Missão Secundária: Jogar Blitzball</t>
  </si>
  <si>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</si>
  <si>
    <t>Sidequest: Raise a Chocobo / Missão Secundária: Criar um Chocobo</t>
  </si>
  <si>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</si>
  <si>
    <t>Sidewinder Naga / Naga Cascavélico</t>
  </si>
  <si>
    <t>Creature — Naga Warrior / Criatura — Naga Guerreiro</t>
  </si>
  <si>
    <t>As long as you control a Desert or there is a Desert card in your graveyard, Sidewinder Naga gets +1/+0 and has trample. / Enquanto você controla um Deserto ou há um card de Deserto em seu cemitério, Naga Cascavélico recebe +1/+0 e tem atropelar.</t>
  </si>
  <si>
    <t>Sidewinder Sliver / Fractius Víbora-cornuda</t>
  </si>
  <si>
    <t>All Sliver creatures have flanking. (Whenever a creature without flanking blocks a Sliver, the blocking creature gets -1/-1 until end of turn.) / Todas as criaturas do tipo Fractius têm flanquear. (Toda vez que uma criatura sem flanquear bloquear um Fractius, a criatura bloqueadora receberá -1/-1 até o final do turno.)</t>
  </si>
  <si>
    <t>Siege Zombie / Zumbi de Cerco</t>
  </si>
  <si>
    <t>Tap three untapped creatures you control: Each opponent loses 1 life. / Vire três criaturas desviradas que você controla: Cada oponente perde 1 ponto de vida.</t>
  </si>
  <si>
    <t>Siege-Gang Commander / Comandante do Grupo de Cerco</t>
  </si>
  <si>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</si>
  <si>
    <t>Siegecraft / Montar Cerco</t>
  </si>
  <si>
    <t>Enchant creature Enchanted creature gets +2/+4. / Encantar criatura A criatura encantada recebe +2/+4.</t>
  </si>
  <si>
    <t>Sightless Ghoul / Carniçal Cego</t>
  </si>
  <si>
    <t>This creature can't block. Undying (When this creature dies, if it had no +1/+1 counters on it, return it to the battlefield under its owner's control with a +1/+1 counter on it.) / Carniçal Cego não pode bloquear. Imortal (Quando esta criatura morrer, se ela não tiver nenhum marcador +1/+1, devolva-a ao campo de batalha sob o controle de seu dono com um marcador +1/+1.)</t>
  </si>
  <si>
    <t>Sigil Blessing / Bênção da insígnia</t>
  </si>
  <si>
    <t>Until end of turn, target creature you control gets +3/+3 and other creatures you control get +1/+1. / Até o final do turno, a criatura alvo que você controla recebe +3/+3 e as outras criaturas que você controla recebem +1/+1.</t>
  </si>
  <si>
    <t xml:space="preserve">Duel Decks: Knights vs. Dragons </t>
  </si>
  <si>
    <t>Sigil of the New Dawn / Chancela do Recomeço</t>
  </si>
  <si>
    <t>Whenever a creature is put into your graveyard from the battlefield, you may pay {1}{W}. If you do, return that card to your hand. / Toda vez que uma criatura for colocada em seu cemitério vinda de jogo, você pode pagar {1}{W}. Se o fizer, devolva aquele card para sua mão.</t>
  </si>
  <si>
    <t>Silence the Believers / Silenciar os Crentes</t>
  </si>
  <si>
    <t>Strive — This spell costs {2}{B} more to cast for each target beyond the first. Exile any number of target creatures and all Auras attached to them. / Esforço — Silenciar os Crentes custa {2}{B} a mais para ser conjurado para cada alvo além do primeiro. Exile qualquer número de criaturas alvo e todas as Auras anexadas a elas.</t>
  </si>
  <si>
    <t>Silent Artisan / Artesão Silencioso</t>
  </si>
  <si>
    <t>Silent Dart / Dardo de Pulso</t>
  </si>
  <si>
    <t>{4}, {T}, Sacrifice this artifact: It deals 3 damage to target creature. / {4}, {T}, sacrifique Dardo de Pulso: Ele causa 3 pontos de dano à criatura alvo.</t>
  </si>
  <si>
    <t>Silhana Wayfinder / Trilheiro Silhana</t>
  </si>
  <si>
    <t>When this creature enters, look at the top four cards of your library. You may reveal a creature or land card from among them and put it on top of your library. Put the rest on the bottom of your library in a random order. / Quando Trilheiro Silhana entrar no campo de batalha, olhe os quatro cards do topo de seu grimório. Você pode revelar um card de criatura ou terreno dentre eles e colocá-lo no topo de seu grimório. Coloque o restante no fundo de seu grimório em ordem aleatória.</t>
  </si>
  <si>
    <t>Silkbind Faerie / Fada Laço-de-Seda</t>
  </si>
  <si>
    <t>Flying {1}{W/U}, {Q}: Tap target creature. ({Q} is the untap symbol.) / Voar {1}{W/U}, {Q}: Vire a criatura alvo. ({Q} é o símbolo de desvirar.)</t>
  </si>
  <si>
    <t>{2}{W/U}</t>
  </si>
  <si>
    <t>Silkweaver Elite / Elite Teceseda</t>
  </si>
  <si>
    <t>Reach (This creature can block creatures with flying.) Revolt — When this creature enters, if a permanent left the battlefield under your control this turn, draw a card. / Alcance (Esta criatura pode bloquear criaturas com voar.) Revolta — Quando Elite Teceseda entrar no campo de batalha, se uma permanente que você controlava deixou o campo de batalha neste turno, compre um card.</t>
  </si>
  <si>
    <t>Silkwing Scout / Batedora Asa-de-Seda</t>
  </si>
  <si>
    <t>Creature — Faerie Scout / Criatura — Batedor Fada</t>
  </si>
  <si>
    <t>Flying {G}, Sacrifice this creature: Search your library for a basic land card, put that card onto the battlefield tapped, then shuffle. / Voar {G}, Sacrifique Batedora Asa-de-Seda: Procure em seu grimório por um card de terreno básico e coloque-o em jogo virado. Depois, embaralhe seu grimório.</t>
  </si>
  <si>
    <t>Dissension (DIS)</t>
  </si>
  <si>
    <t>Silvanus's Invoker / Invocador de Silvanus</t>
  </si>
  <si>
    <t>Creature — Dragon Druid / Criatura — Dragão Druida</t>
  </si>
  <si>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</si>
  <si>
    <t>Silvercoat Lion / Leão Pele-de-Prata</t>
  </si>
  <si>
    <t>Silvergill Mentor</t>
  </si>
  <si>
    <t>As an additional cost to cast this spell, behold a Merfolk or pay {2}. (To behold a Merfolk, choose a Merfolk you control or reveal a Merfolk card from your hand.) When this creature enters, create a 1/1 white and blue Merfolk creature token.</t>
  </si>
  <si>
    <t>Silvergill Peddler</t>
  </si>
  <si>
    <t>Creature — Merfolk Citizen</t>
  </si>
  <si>
    <t>Whenever this creature becomes tapped, draw a card, then discard a card.</t>
  </si>
  <si>
    <t>Simian Sling / Lançador Símio</t>
  </si>
  <si>
    <t>Artifact Creature — Equipment Monkey / Criatura Artefato — Equipamento Macaco</t>
  </si>
  <si>
    <t>Equipped creature gets +1/+1. Whenever this creature or equipped creature becomes blocked, it deals 1 damage to defending player. Reconfigure {2} ({2}: Attach to target creature you control; or unattach from a creature. Reconfigure only as a sorcery. While attached, this isn't a creature.) / A criatura equipada recebe +1/+1. Toda vez que Lançador Símio ou a criatura equipada é bloqueada, aquela permanente causa 1 ponto de dano ao jogador defensor. Reconfigurar {2} ({2}: Anexe à criatura alvo que você controla ou solte de uma criatura. Reconfigure somente como um feitiço. Enquanto está anexada, esta permanente não é uma criatura.)</t>
  </si>
  <si>
    <t>Simic Ascendancy / Ascensão Simic</t>
  </si>
  <si>
    <t>{1}{G}{U}: Put a +1/+1 counter on target creature you control. Whenever one or more +1/+1 counters are put on a creature you control, put that many growth counters on this enchantment. At the beginning of your upkeep, if this enchantment has twenty or more growth counters on it, you win the game. / {1}{G}{U}: Coloque um marcador +1/+1 na criatura alvo que você controla. Toda vez que um ou mais marcadores +1/+1 forem colocados em uma criatura que você controla, coloque aquela quantidade de marcadores de crescimento em Ascensão Simic. No início de sua manutenção, se Ascensão Simic tiver vinte ou mais marcadores de crescimento, você vence o jogo.</t>
  </si>
  <si>
    <t>Simic Guildgate / Portão da Guilda Simic</t>
  </si>
  <si>
    <t>This land enters tapped. {T}: Add {G} or {U}. / Portão da Guilda Simic entra no campo de batalha virado. {T}: Adicione {G} ou {U}.</t>
  </si>
  <si>
    <t>Simulacrum / Simulacro</t>
  </si>
  <si>
    <t>You gain life equal to the damage dealt to you this turn. Simulacrum deals damage to target creature you control equal to the damage dealt to you this turn.</t>
  </si>
  <si>
    <t>Sin, Spira's Punishment / Sin, O Castigo de Spira</t>
  </si>
  <si>
    <t>Criatura Lendária — Leviatã Avatar</t>
  </si>
  <si>
    <t>Voar. Sempre que Sin entrar ou atacar, exile um card de permanente aleatório de seu cemitério e depois crie uma ficha virada que seja uma cópia daquele card. Se o card exilado for um card de terreno, repita este processo.</t>
  </si>
  <si>
    <t>4BGU</t>
  </si>
  <si>
    <t>Preto, Verde e Azul</t>
  </si>
  <si>
    <t>Single Combat / Combate Isolado</t>
  </si>
  <si>
    <t>Each player chooses a creature or planeswalker they control, then sacrifices the rest. Players can't cast creature or planeswalker spells until the end of your next turn. / Cada jogador escolhe uma criatura ou planeswalker que ele controla e depois sacrifica o restante. Os jogadores não podem conjurar mágicas de criatura ou de planeswalker até o final de seu próximo turno.</t>
  </si>
  <si>
    <t>Sinister Cryologist / Criologista Sinistro</t>
  </si>
  <si>
    <t>Criatura — Água-viva Mago</t>
  </si>
  <si>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</si>
  <si>
    <t>Sinuous Striker / Golpeadora Sinuosa</t>
  </si>
  <si>
    <t>{U}: This creature gets +1/-1 until end of turn. Eternalize—{3}{U}{U}, Discard a card. ({3}{U}{U}, Discard a card, Exile this card from your graveyard: Create a token that's a copy of it, except it's a 4/4 black Zombie Snake Warrior with no mana cost. Eternalize only as a sorcery.) / {U}: Golpeadora Sinuosa recebe +1/-1 até o final do turno. Eternizar — {3}{U}{U}, descarte um card. ({3}{U}{U}, descarte um card, exile este card de seu cemitério: Crie uma ficha que seja uma cópia dele, com a exceção de ser um Zumbi Naga Guerreiro preto 4/4 sem custo de mana. Eternize somente como um feitiço.)</t>
  </si>
  <si>
    <t>Sip of Hemlock / Gole de Cicuta</t>
  </si>
  <si>
    <t>Destroy target creature. Its controller loses 2 life. / Destrua a criatura alvo. Seu controlador perde 2 pontos de vida.</t>
  </si>
  <si>
    <t>Siren of the Fanged Coast / Sirena da Costa Acidentada</t>
  </si>
  <si>
    <t>Flying Tribute 3 (As this creature enters, an opponent of your choice may put three +1/+1 counters on it.) When this creature enters, if tribute wasn't paid, gain control of target creature. / Voar Tributo 3 (Conforme esta criatura entra no campo de batalha, um oponente à sua escolha pode fazer com que ela receba três marcadores +1/+1.) Quando Sirena da Costa Acidentada entrar no campo de batalha, se o tributo não tiver sido pago, ganhe o controle da criatura alvo.</t>
  </si>
  <si>
    <t>Sisters of the Flame / Irmãs da Chama</t>
  </si>
  <si>
    <t>{T}: Add {R}.</t>
  </si>
  <si>
    <t>Sivriss, Nightmare Speaker / Sivriss, Orador do Pesadelo</t>
  </si>
  <si>
    <t>Legendary Creature — Snake Cleric Warlock / Criatura Lendária — Cobra Clérigo Bruxo</t>
  </si>
  <si>
    <t>{T}, Sacrifice another creature or an artifact: For each opponent, you mill a card, then return that card from your graveyard to your hand unless that player pays 3 life. (To mill a card, put the top card of your library into your graveyard.) Choose a Background (You can have a Background as a second commander.) / {T}, sacrifique outra criatura ou um artefato: Para cada oponente, você tritura um card e depois devolve aquele card de seu cemitério para sua mão, a menos que aquele jogador pague 3 pontos de vida. (Para triturar um card, coloque o card do topo de seu grimório em seu cemitério.) Escolha um Antecedente (Você pode ter um Antecedente como segundo comandante.)</t>
  </si>
  <si>
    <t>Sizzling Changeling</t>
  </si>
  <si>
    <t>Changeling (This card is every creature type.) When this creature dies, exile the top card of your library. Until the end of your next turn, you may play that card.</t>
  </si>
  <si>
    <t>Skanos Dragonheart / Skanos Coração Dracônico</t>
  </si>
  <si>
    <t>Legendary Creature — Dragon Ranger / Criatura Lendária — Dragão Guardião</t>
  </si>
  <si>
    <t>Whenever Skanos Dragonheart attacks, it gets +X/+X until end of turn, where X is the greatest power among other Dragons you control and Dragon cards in your graveyard. Choose a Background (You can have a Background as a second commander.) / Toda vez que Skanos Coração Dracônico ataca, ele recebe +X/+X até o final do turno, sendo X o maior poder entre os de outros Dragões que você controla e os cards de Dragão em seu cemitério. Escolha um Antecedente</t>
  </si>
  <si>
    <t>Skarrg Goliath / Golias de Skarrg</t>
  </si>
  <si>
    <t>Trample. Bloodrush — {5}{G}{G}, Discard Skarrg Goliath: Target attacking creature gets +9/+9 and gains trample until end of turn. / Atropelar. Impulso sanguinário — {5}{G}{G}, Descarte Golias de Skarrg: A criatura atacante alvo recebe +9/+9 e ganha atropelar até o final do turno.</t>
  </si>
  <si>
    <t>Skarrgan Hellkite / Dragão Avérneo de Skarrgan</t>
  </si>
  <si>
    <t>Criatura — Dragão</t>
  </si>
  <si>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</si>
  <si>
    <t>3{R}{R}</t>
  </si>
  <si>
    <t>Skarrgan Pit-Skulk / Esguio do Fosso Skarrgan</t>
  </si>
  <si>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</si>
  <si>
    <t>Skateboard</t>
  </si>
  <si>
    <t>When this Equipment enters, tap target permanent. Equipped creature gets +1/+0 and has haste. Equip {1} ({1}: Attach to target creature you control. Equip only as a sorcery.)</t>
  </si>
  <si>
    <t>Skeletal Changeling / Morfolóide Esquelético</t>
  </si>
  <si>
    <t>Changeling (This card is every creature type.) {1}{B}: Regenerate this creature. / Morfolóide (Este card é de todos os tipos de criatura sempre.) {1}{B}: Regenere Morfolóide Esquelético.</t>
  </si>
  <si>
    <t>Skewer the Critics / Alfinetada nos Críticos</t>
  </si>
  <si>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</si>
  <si>
    <t>Skirk Commando / Comando de Skirk</t>
  </si>
  <si>
    <t>Whenever this creature deals combat damage to a player, you may have it deal 2 damage to target creature that player controls. Morph {2}{R} (You may cast this card face down as a 2/2 creature for {3}. Turn it face up any time for its morph cost.) / Toda vez que Comando de Skirk causa dano de combate a um jogador, você pode fazer com que ele cause 2 pontos de dano à criatura alvo que aquele jogador controla. Metamorfose {2}{R} (Você pode baixar este card com a face voltada para baixo como uma criatura 2/2 por {3}. Volte sua face para cima a qualquer momento pagando seu custo de metamorfose.)</t>
  </si>
  <si>
    <t>Skirk Marauder / Saqueador de Skirk</t>
  </si>
  <si>
    <t>Morph {2}{R} (You may cast this card face down as a 2/2 creature for {3}. Turn it face up any time for its morph cost.) When this creature is turned face up, it deals 2 damage to any target. / Metamorfose {2}{R} (Você pode baixar este card com a face voltada para baixo como uma criatura 2/2 por {3}. Volte sua face para cima a qualquer momento pagando seu custo de metamorfose.) Quando a face de Saqueador de Skirk for voltada para cima, ele causa 2 pontos de dano à criatura alvo ou ao jogador alvo.</t>
  </si>
  <si>
    <t>Arena League 2003 (PAL03)</t>
  </si>
  <si>
    <t>Skirk Outrider / Vanguardeiro de Skirk</t>
  </si>
  <si>
    <t>As long as you control a Beast, this creature gets +2/+2 and has trample. / Vanguardeiro de Skirk recebe +2/+2 e tem a habilidade de atropelar desde que você controle uma Besta.</t>
  </si>
  <si>
    <t>Skirk Volcanist / Vulcanólogo de Skirk</t>
  </si>
  <si>
    <t>Morph—Sacrifice two Mountains. (You may cast this card face down as a 2/2 creature for {3}. Turn it face up any time for its morph cost.) When this creature is turned face up, it deals 3 damage divided as you choose among one, two, or three target creatures. / Metamorfose—Sacrifique duas montanhas. (Você pode baixar este card com a face voltada para baixo como uma criatura 2/2 por {3}. Volte sua face para cima a qualquer momento pagando seu custo de metamorfose.) Quando a face de Vulcanólogo de Skirk for voltada para cima, ele causa 3 pontos de dano divididos como você quiser dentre um número qualquer de criaturas alvo.</t>
  </si>
  <si>
    <t>Skirsdag Flayer / Esfolador Skirsdag</t>
  </si>
  <si>
    <t>{3}{B}, {T}, Sacrifice a Human: Destroy target creature. / {3}{B}, {T}, Sacrifique um Humano: Destrua a criatura alvo.</t>
  </si>
  <si>
    <t>Skoa, Embermage / Skoa, Maga Ígnea</t>
  </si>
  <si>
    <t>Legendary Creature — Goblin Wizard / Criatura Lendária — Goblin Mago</t>
  </si>
  <si>
    <t>When Skoa enters, it deals 4 damage to any target. Grandeur — Discard another card named Skoa, Embermage, Sacrifice two Mountains: Skoa deals 4 damage to any target. / Quando Skoa, Maga Ígnea, entra no campo de batalha, ela causa 4 pontos de dano a qualquer alvo. Grandeza — Descarte outro card com o nome Skoa, Maga Ígnea, sacrifique duas Montanhas: Skoa causa 4 pontos de dano a qualquer alvo.</t>
  </si>
  <si>
    <t>Skola Grovedancer / Dançarina do Bosque de Skola</t>
  </si>
  <si>
    <t>Enchantment Creature — Satyr Druid / Criatura Encantamento — Sátiro Druida</t>
  </si>
  <si>
    <t>Whenever a land card is put into your graveyard from anywhere, you gain 1 life. {2}{G}: Mill a card. (Put the top card of your library into your graveyard.) / Toda vez que um card de terreno é colocado em seu cemitério vindo de qualquer lugar, você ganha 1 ponto de vida. {2}{G}: Coloque o card do topo de seu grimório em seu cemitério.</t>
  </si>
  <si>
    <t>Skull Catapult / Catapulta de Crânios</t>
  </si>
  <si>
    <t>{1}, {T}, Sacrifice a creature: This artifact deals 2 damage to any target.</t>
  </si>
  <si>
    <t>{1}, {T}, Sacrifice a creature: Skull Catapult deals 2 damage to target creature or player. / {1}, {T}, Sacrifique uma criatura: Catapulta de Crânios causa 2 pontos de dano à criatura ou jogador alvo.</t>
  </si>
  <si>
    <t>Skullport Merchant / Mercadora do Porto da Caveira</t>
  </si>
  <si>
    <t>Creature — Dwarf Citizen / Criatura — Anão Cidadão</t>
  </si>
  <si>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</si>
  <si>
    <t>Sky Crier / Serralheira dos Arranha-céus</t>
  </si>
  <si>
    <t>Reach. Whenever Sky Crier blocks a creature with flying, it gets +2/+0 until end of turn. / Alcance. Toda vez que Serralheira dos Arranha-céus bloqueia uma criatura com voar, Serralheira dos Arranha-céus recebe +2/+0 até o final do turno.</t>
  </si>
  <si>
    <t>Sky Diamond</t>
  </si>
  <si>
    <t>Sky Diamond comes into play tapped. {T}: Add {U} to your mana pool. Play this ability as a mana source.</t>
  </si>
  <si>
    <t>Sky Tether / Corrente Celeste</t>
  </si>
  <si>
    <t>Enchant creature Enchanted creature has defender and loses flying. / Encantar criatura A criatura encantada tem defensor e perde voar.</t>
  </si>
  <si>
    <t>Sky Theater Strix / Strix do Palco Celeste</t>
  </si>
  <si>
    <t>Flying Whenever you cast a noncreature spell, this creature gets +1/+0 until end of turn. / Voar Toda vez que você conjura uma mágica que não seja de criatura, Strix do Palco Celeste recebe +1/+0 até o final do turno.</t>
  </si>
  <si>
    <t>Skyblade of the Legion / Lâmina Celeste da Legião</t>
  </si>
  <si>
    <t>Skybox Ferry</t>
  </si>
  <si>
    <t>Flying Crew 2 (Tap any number of creatures you control with total power 2 or more: This Vehicle becomes an artifact creature until end of turn.) Cycling {2} ({2}, Discard this card: Draw a card.)</t>
  </si>
  <si>
    <t>Skyclave Geopede / Geopede do Enclave Celeste</t>
  </si>
  <si>
    <t>Trample Landfall — Whenever a land you control enters, this creature gets +2/+2 until end of turn. / Atropelar Aterragem — Toda vez que um terreno entra no campo de batalha sob seu controle, Geopede do Enclave Celeste recebe +2/+2 até o final do turno.</t>
  </si>
  <si>
    <t>Skyline Cascade / Cascata Celeste</t>
  </si>
  <si>
    <t>This land enters tapped. When this land enters, target creature an opponent controls doesn't untap during its controller's next untap step. {T}: Add {U}. / Cascata Celeste entra no campo de batalha virada.Quando Cascata Celeste entra no campo de batalha, a criatura alvo que um oponente controla não é desvirada durante a próxima etapa de desvirar de seu controlador.{T}: Adicione {U} à sua reserva de mana.</t>
  </si>
  <si>
    <t>Skyraker Giant / Gigante Varredor do Céu</t>
  </si>
  <si>
    <t>Skyreach Manta</t>
  </si>
  <si>
    <t>Artifact Creature — Fish</t>
  </si>
  <si>
    <t>Sunburst (This enters the battlefield with a +1/+1 counter on it for each color of mana spent to cast it.) Flying</t>
  </si>
  <si>
    <t>Skyshaper / Modelador de Céus</t>
  </si>
  <si>
    <t>Sacrifice Skyshaper: All creatures you control gain flying until end of turn.</t>
  </si>
  <si>
    <t>Skyship Plunderer / Saqueador de Aeronaus</t>
  </si>
  <si>
    <t>Flying Whenever this creature deals combat damage to a player, for each kind of counter on target permanent or player, give that permanent or player another counter of that kind. / Voar Toda vez que Saqueador de Aeronaus causar dano de combate a um jogador, para cada tipo de marcador na permanente ou jogador alvo, dê àquela permanente ou jogador outro marcador daquele tipo.</t>
  </si>
  <si>
    <t>Skysnare Spider / Aranha da Armadilha Celeste</t>
  </si>
  <si>
    <t>Vigilance (Attacking doesn't cause this creature to tap.) Reach (This creature can block creatures with flying.) / Vigilância (Esta criatura não é virada para atacar.)Alcance (Esta criatura pode bloquear criaturas com voar.)</t>
  </si>
  <si>
    <t>Skyspear Cavalry / Cavalaria da Lança Celeste</t>
  </si>
  <si>
    <t>Flying Double strike (This creature deals both first-strike and regular combat damage.) / Voar Golpe duplo (Esta criatura causa tanto o dano de iniciativa quanto o de combate normal.)</t>
  </si>
  <si>
    <t>Skyway Sniper / Atiradora do Céu Aberto</t>
  </si>
  <si>
    <t>Reach (This creature can block creatures with flying.) {2}{G}: This creature deals 1 damage to target creature with flying. / Alcance (Esta criatura pode bloquear criaturas com voar.) {2}{G}: Atiradora do Céu Aberto causa 1 ponto de dano à criatura alvo com voar.</t>
  </si>
  <si>
    <t>Slash of Light / Golpe de Luz</t>
  </si>
  <si>
    <t>Golpe de Luz causa à criatura alvo uma quantidade de dano igual ao número de criaturas que você controla somado ao número de Equipamentos que você controla.</t>
  </si>
  <si>
    <t>Slash of Talons / Ceifada de Garras</t>
  </si>
  <si>
    <t>Slash of Talons deals 2 damage to target attacking or blocking creature. / Ceifada de Garras causa 2 pontos de dano à criatura atacante ou bloqueadora alvo.</t>
  </si>
  <si>
    <t>Slate Street Ruffian / Rufião da Rua de Ardósia</t>
  </si>
  <si>
    <t>Whenever this creature becomes blocked, defending player discards a card. / Toda vez que Rufião da Rua de Ardósia é bloqueado, o jogador defensor descarta um card.</t>
  </si>
  <si>
    <t>Slaughter Drone / Zangão da Matança</t>
  </si>
  <si>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</si>
  <si>
    <t>Slavering Branchsnapper</t>
  </si>
  <si>
    <t>Creature — Lizard</t>
  </si>
  <si>
    <t>Trample Forestcycling {2} ({2}, Discard this card: Search your library for a Forest card, reveal it, put it into your hand, then shuffle.)</t>
  </si>
  <si>
    <t>Slayer's Cleaver / Cutelo do Matador</t>
  </si>
  <si>
    <t>Equipped creature gets +3/+1 and must be blocked by an Eldrazi if able. Equip {4} / A criatura equipada recebe +3/+1 e precisa ser bloqueada por um Eldrazi se estiver apta. Equipar {4}</t>
  </si>
  <si>
    <t>Sleep / Dormir</t>
  </si>
  <si>
    <t>Tap all creatures target player controls. Those creatures don't untap during that player's next untap step. / Vire todas as criaturas que o jogador alvo controla. Essas criaturas não são desviradas durante a próxima etapa de desvirar daquele jogador.</t>
  </si>
  <si>
    <t>Sleep Magic / Magia do Sono</t>
  </si>
  <si>
    <t>Encantar criatura. Quando esta Aura entrar, vire a criatura encantada. A criatura encantada não desvire durante a etapa de desvirar de seu controlador. Quando for causado dano à criatura encantada, sacrifique esta Aura.</t>
  </si>
  <si>
    <t>Slice and Dice / Despedaçar</t>
  </si>
  <si>
    <t>Slice and Dice deals 4 damage to each creature. Cycling {2}{R} ({2}{R}, Discard this card: Draw a card.) When you cycle this card, you may have it deal 1 damage to each creature. / Despedaçar causa 4 pontos de dano a cada criatura. Reciclar {2}{R} ({2}{R}, descarte este card: Compre um card.) Quando recicla Despedaçar, você pode fazer com que ele cause 1 ponto de dano a cada criatura.</t>
  </si>
  <si>
    <t>Sling-Gang Lieutenant / Tenente da Gangue Atiradeira</t>
  </si>
  <si>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</si>
  <si>
    <t>Slingbow Trap / Armadilha de Balesta</t>
  </si>
  <si>
    <t>Instant — Trap / Mágica Instantânea — Armadilha</t>
  </si>
  <si>
    <t>If a black creature with flying is attacking, you may pay {G} rather than pay this spell's mana cost. Destroy target attacking creature with flying. / Se houver uma criatura preta com voar atacando, você poderá pagar {G} em vez de pagar o custo de mana de Armadilha de Balesta. Destrua a criatura atacante alvo com voar.</t>
  </si>
  <si>
    <t>Slip Through Space / Deslizar Pelo Espaço</t>
  </si>
  <si>
    <t>Devoid (This card has no color.) Target creature can't be blocked this turn. Draw a card. / Desprovido (Este card não tem cor.) A criatura alvo não pode ser bloqueada neste turno. Compre um card.</t>
  </si>
  <si>
    <t>Slither Blade / Lâmina Sinuosa</t>
  </si>
  <si>
    <t>Creature — Snake Rogue / Criatura — Naga Ladino</t>
  </si>
  <si>
    <t>This creature can't be blocked. / Lâmina Sinuosa não pode ser bloqueado.</t>
  </si>
  <si>
    <t>Slithering Cryptid</t>
  </si>
  <si>
    <t>Creature — Fish Mutant</t>
  </si>
  <si>
    <t>{2}{G/U}</t>
  </si>
  <si>
    <t>Sliver Construct / Constructo de Fractius</t>
  </si>
  <si>
    <t>Artifact Creature — Sliver Construct / Criatura Artefato — Fractius Constructo</t>
  </si>
  <si>
    <t>Smash to Smithereens / Reduzir a Cacos</t>
  </si>
  <si>
    <t>Destroy target artifact. Smash to Smithereens deals 3 damage to that artifact's controller. / Destrua o artefato alvo. Reduzir a Cacos causa 3 pontos de dano ao controlador daquele artefato.</t>
  </si>
  <si>
    <t>Friday Night Magic 2016 (F16)</t>
  </si>
  <si>
    <t xml:space="preserve">Pântano Sombrio </t>
  </si>
  <si>
    <t>Smite / Castigo</t>
  </si>
  <si>
    <t>Destroy target blocked creature. / Destrua a criatura bloqueada alvo.</t>
  </si>
  <si>
    <t>Smiting Helix / Hélice Fulminante</t>
  </si>
  <si>
    <t>Smiting Helix deals 3 damage to any target and you gain 3 life. Flashback {R}{W} (You may cast this card from your graveyard for its flashback cost. Then exile it.) / Hélice Fulminante causa 3 pontos de dano a qualquer alvo e você ganha 3 pontos de vida. Recapitular {R}{W} (Você pode conjurar este card de seu cemitério pagando seu custo de recapitular. Depois, exile-o.)</t>
  </si>
  <si>
    <t>Smog Elemental / Elemental de Poluição</t>
  </si>
  <si>
    <t>Flying Creatures with flying your opponents control get -1/-1. / VoarAs criaturas com voar que seus oponentes controlam recebem -1/-1.</t>
  </si>
  <si>
    <t>Smoke Shroud / Manto de Fumaça</t>
  </si>
  <si>
    <t>Enchant creature Enchanted creature gets +1/+1 and has flying. When a Ninja you control enters, you may return this card from your graveyard to the battlefield attached to that creature. / Encantar criatura A criatura encantada recebe +1/+1 e tem voar. Quando um Ninja entra no campo de batalha sob o seu controle, você pode devolver Manto de Fumaça de seu cemitério para o campo de batalha anexado àquela criatura.</t>
  </si>
  <si>
    <t>Smoke Teller / Vidente da Fumaça</t>
  </si>
  <si>
    <t>{1}{U}: Look at target face-down creature. / {1}{U}: Olhe a criatura alvo voltada para baixo.</t>
  </si>
  <si>
    <t>Smoldering Wastes / Desolação Fumegante</t>
  </si>
  <si>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</si>
  <si>
    <t>Warhammer 40,000 (40K)</t>
  </si>
  <si>
    <t>Snake</t>
  </si>
  <si>
    <t>Token de Criatura — Cobra / Token Creature — Snake</t>
  </si>
  <si>
    <t>Ficha / Token</t>
  </si>
  <si>
    <t>Snapping Drake / Dragonete Trinchador</t>
  </si>
  <si>
    <t>Flying (This creature can't be blocked except by creatures with flying or reach.) / Voar</t>
  </si>
  <si>
    <t>Sneering Shadewriter / Escritor de Sombras Zombeteiro</t>
  </si>
  <si>
    <t>Creature — Vampire Warlock / Criatura — Vampiro Bruxo</t>
  </si>
  <si>
    <t>Flying. When this creature enters, each opponent loses 2 life and you gain 2 life. / Voar. Quando esta criatura entra, cada oponente perde 2 pontos de vida e você ganha 2 pontos de vida.</t>
  </si>
  <si>
    <t>Snow Villiers / Snow Villiers</t>
  </si>
  <si>
    <t>Criatura Lendária — Humano Rebelde Monge</t>
  </si>
  <si>
    <t>Vigilância. O poder de Snow Villiers é igual ao número de criaturas que você controla.</t>
  </si>
  <si>
    <t>Snowhorn Rider / Ginete de Nivicórneo</t>
  </si>
  <si>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</si>
  <si>
    <t>So Tiny / Tão Pequenininho</t>
  </si>
  <si>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</si>
  <si>
    <t>Soaring Drake / Dragonete Planador</t>
  </si>
  <si>
    <t>Sobrevivente de Pelargir / Pelargir Survivor</t>
  </si>
  <si>
    <t>Criatura — Humano Plebeu</t>
  </si>
  <si>
    <t>{T}: Adicione um mana de qualquer cor. Gaste este mana apenas para conjurar uma mágica instantânea ou um feitiço. {5}{U}, {T}: O jogador alvo tritura três cards. (Ele coloca os três cards do topo do próprio grimório no próprio cemitério.)</t>
  </si>
  <si>
    <t>Sokka, Bold Boomeranger</t>
  </si>
  <si>
    <t>When Sokka enters, discard up to two cards, then draw that many cards. Whenever you cast an artifact or Lesson spell, put a +1/+1 counter on Sokka.</t>
  </si>
  <si>
    <t>Sokka, Lateral Strategist</t>
  </si>
  <si>
    <t>Vigilance Whenever Sokka and at least one other creature attack, draw a card.</t>
  </si>
  <si>
    <t>{1}{W/U}{W/U}</t>
  </si>
  <si>
    <t>Sokka's Sword Training</t>
  </si>
  <si>
    <t>Target creature gets +2/+2 until end of turn. Create a Clue token. (It's an artifact with "{2}, Sacrifice this token: Draw a card.")</t>
  </si>
  <si>
    <t>Sol Ring</t>
  </si>
  <si>
    <t>{T}: Add {C}{C}.</t>
  </si>
  <si>
    <t>Commander (SOC)</t>
  </si>
  <si>
    <t>Sol Ring / Anel Solar</t>
  </si>
  <si>
    <t>{T}: Add {C}{C}. / {T}: Adicione {C}{C}.</t>
  </si>
  <si>
    <t>Commander 2013</t>
  </si>
  <si>
    <t>Solar Transformer / Transformador Solar</t>
  </si>
  <si>
    <t>This artifact enters tapped. When this artifact enters, you get {E}{E}{E} (three energy counters). {T}: Add {C}. {T}, Pay {E}: Add one mana of any color. / Transformador Solar entra no campo de batalha virado. Quando Transformador Solar entra no campo de batalha, você recebe {E}{E}{E} (três marcadores de energia). {T}: Adicione {C}. {T}, pague {E}: Adicione um mana de qualquer cor.</t>
  </si>
  <si>
    <t>Sold Out</t>
  </si>
  <si>
    <t>Exile target creature. If it was dealt damage this turn, create a Clue token. (It's an artifact with "{2}, Sacrifice this token: Draw a card.")</t>
  </si>
  <si>
    <t>Soldevi Heretic / Herege Soldeviano</t>
  </si>
  <si>
    <t>{W}, {T}: Prevent the next 2 damage that would be dealt to target creature this turn. Target opponent may draw a card.</t>
  </si>
  <si>
    <t>Soldevi Simulacrum / Simulacro Soldeviano</t>
  </si>
  <si>
    <t>Artifact Creature — Soldier</t>
  </si>
  <si>
    <t>Cumulative upkeep {1} (At the beginning of your upkeep, put an age counter on this permanent, then sacrifice it unless you pay its upkeep cost for each age counter on it.) {1}: This creature gets +1/+0 until end of turn.</t>
  </si>
  <si>
    <t>Soldevi Steam Beast</t>
  </si>
  <si>
    <t>Whenever Soldevi Steam Beast becomes tapped, target opponent gains 2 life. {2}: Regenerate.</t>
  </si>
  <si>
    <t>Soldevi Steam Beast / Besta de Vapor Soldevi</t>
  </si>
  <si>
    <t>Artifact Creature — Beast / Criatura Artefato — Besta</t>
  </si>
  <si>
    <t>Whenever Soldevi Steam Beast becomes tapped, target opponent gains 2 life. {2}: Regenerate. / Sempre que Besta de Vapor Soldevi se torna virada, o oponente alvo ganha 2 pontos de vida. {2}: Regenerar.</t>
  </si>
  <si>
    <t>Soldier</t>
  </si>
  <si>
    <t>Soldier of the Grey Host / Soldado da Hoste Cinzenta</t>
  </si>
  <si>
    <t>Flash. Flying. When Soldier of the Grey Host enters the battlefield, target creature gets +2/+0 until end of turn. / Lampejo. Voar. Quando Soldado da Hoste Cinzenta entra no campo de batalha, a criatura alvo recebe +2/+0 até o final do turno.</t>
  </si>
  <si>
    <t>Soldier On</t>
  </si>
  <si>
    <t>Put two +1/+1 counters on target creature. Untap it.</t>
  </si>
  <si>
    <t>Solidarity of Heroes / Solidariedade dos Heróis</t>
  </si>
  <si>
    <t>Strive — This spell costs {1}{G} more to cast for each target beyond the first. Choose any number of target creatures. Double the number of +1/+1 counters on each of them. / Esforço — Solidariedade dos Heróis custa {1}{G} a mais para ser conjurado para cada alvo além do primeiro. Escolha qualquer número de criaturas alvo. Dobre o número de marcadores +1/+1 em cada uma delas.</t>
  </si>
  <si>
    <t>Commander 2016 (C16)</t>
  </si>
  <si>
    <t>Solitary Hunter / Caçador Solitário</t>
  </si>
  <si>
    <t>Creature — Human Warrior Werewolf / Criatura — Humano Guerreiro Lobisomem</t>
  </si>
  <si>
    <t>At the beginning of each upkeep, if no spells were cast last turn, transform this creature. / No início de cada manutenção, se nenhuma mágica tiver sido conjurada no último turno, transforme Caçador Solitário.</t>
  </si>
  <si>
    <t>Solstice Revelations</t>
  </si>
  <si>
    <t>Exile cards from the top of your library until you exile a nonland card. You may cast that card without paying its mana cost if the spell's mana value is less than the number of Mountains you control. If you don't cast that card this way, put it into your hand. Flashback {6}{R} (You may cast this card from your graveyard for its flashback cost. Then exile it.)</t>
  </si>
  <si>
    <t>Soltari Lancer / Lanceiro Soltari</t>
  </si>
  <si>
    <t>Shadow (This creature can block or be blocked by only creatures with shadow). First strike when attacking. / Sombra (Esta criatura pode bloquear ou ser bloqueada apenas por criaturas com sombra). Iniciativa quando ataca.</t>
  </si>
  <si>
    <t>Soltari Monk</t>
  </si>
  <si>
    <t>Summon Cleric</t>
  </si>
  <si>
    <t>Protection from Preto; shadow (This creature can block or be blocked by only creatures with shadow.)</t>
  </si>
  <si>
    <t>Soltari Trooper / Soldado Soltari</t>
  </si>
  <si>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</si>
  <si>
    <t>Somberwald Alpha / Alfa de Somberwald</t>
  </si>
  <si>
    <t>Whenever a creature you control becomes blocked, it gets +1/+1 until end of turn. {1}{G}: Target creature you control gains trample until end of turn. (It can deal excess combat damage to the player or planeswalker it's attacking.) / Toda vez que uma criatura que você controla é bloqueada, ela recebe +1/+1 até o final do turno.{1}{G}: A criatura alvo que você controla ganha atropelar até o final do turno. (Seu dano de combate excedente pode ser causado ao planeswalker ou ao jogador defensor ao atacar.)</t>
  </si>
  <si>
    <t>Somberwald Dryad / Dríade de Somberwald</t>
  </si>
  <si>
    <t>Forestwalk (This creature can't be blocked as long as defending player controls a Forest.) / Travessia de floresta (Esta criatura não poderá ser bloqueada enquanto o jogador defensor controlar uma Floresta.)</t>
  </si>
  <si>
    <t>Sonar Strike</t>
  </si>
  <si>
    <t>Sonar Strike deals 4 damage to target attacking, blocking, or tapped creature. You gain 3 life if you control a Bat.</t>
  </si>
  <si>
    <t>Song of Freyalise / Canção de Freyalise</t>
  </si>
  <si>
    <t>Enchantment — Saga / Encantamento — Saga</t>
  </si>
  <si>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</si>
  <si>
    <t>Sonic Assault / Assalto Sônico</t>
  </si>
  <si>
    <t>Tap target creature. Sonic Assault deals 2 damage to that creature's controller. Jump-start (You may cast this card from your graveyard by discarding a card in addition to paying its other costs. Then exile this card.) / Vire a criatura alvo. Assalto Sônico causa 2 pontos de dano ao controlador daquela criatura. Recarregar (Você pode conjurar este card de seu cemitério descartando um card além de pagar seus outros custos. Depois, exile este card.)</t>
  </si>
  <si>
    <t>Sorcerer's Broom / Vassoura do Feiticeiro</t>
  </si>
  <si>
    <t>Whenever you sacrifice another permanent, you may pay {3}. If you do, create a token that's a copy of this creature. / Toda vez que sacrifica outra permanente, você pode pagar {3}. Se fizer isso, crie uma ficha que seja uma cópia de Vassoura do Feiticeiro.</t>
  </si>
  <si>
    <t>Sorceress's Schemes / Planos da Feiticeira</t>
  </si>
  <si>
    <t>Devolva o card de mágica instantânea ou de feitiço alvo de seu cemitério ou o card exilado alvo com flashback que você possui para a sua mão. Adicione {R}. Recapitular {4}{R} (Você pode conjurar este card de seu cemitério pagando seu custo de recapitular. Depois, exile-o.)</t>
  </si>
  <si>
    <t>Soul Charmer / Encantadora de Almas</t>
  </si>
  <si>
    <t>Whenever Soul Charmer deals combat damage to a creature, you gain 2 life unless that creature's controller pays {2}. / Sempre que Encantadora de Almas causar dano de combate a uma criatura, você ganha 2 pontos de vida, a menos que o controlador daquela criatura pague {2}.</t>
  </si>
  <si>
    <t>Soul Enervation / Enervação da Alma</t>
  </si>
  <si>
    <t>Flash When this enchantment enters, target creature gets -4/-4 until end of turn. Whenever one or more creature cards leave your graveyard, each opponent loses 1 life and you gain 1 life. / Lampejo Quando Enervação da Alma entra no campo de batalha, a criatura alvo recebe -4/-4 até o final do turno. Toda vez que um ou mais cards de criatura deixam seu cemitério, cada oponente perde 1 ponto de vida e você ganha 1 ponto de vida.</t>
  </si>
  <si>
    <t>Soul Kiss / Beijo da Alma</t>
  </si>
  <si>
    <t>Enchant creature {B}, Pay 1 life: Enchanted creature gets +2/+2 until end of turn. Activate no more than three times each turn.</t>
  </si>
  <si>
    <t>Soul Net / Rede de Almas</t>
  </si>
  <si>
    <t>Whenever a creature dies, you may pay {1}. If you do, you gain 1 life.</t>
  </si>
  <si>
    <t>Soul of Zendikar / Alma de Zendikar</t>
  </si>
  <si>
    <t>Creature — Avatar / Criatura — Avatar</t>
  </si>
  <si>
    <t>Reach {3}{G}{G}: Create a 3/3 green Beast creature token. {3}{G}{G}, Exile this card from your graveyard: Create a 3/3 green Beast creature token. / Alcance {3}{G}{G}: Coloque no campo de batalha uma ficha de criatura verde 3/3 do tipo Besta. {3}{G}{G}, Exile Alma de Zendikar do seu cemitério: Coloque no campo de batalha uma ficha de criatura verde 3/3 do tipo Besta.</t>
  </si>
  <si>
    <t>Soul Transfer / Transferência de Alma</t>
  </si>
  <si>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</si>
  <si>
    <t>Soul-Shackled Zombie</t>
  </si>
  <si>
    <t>When this creature enters, exile up to two target cards from a single graveyard. If at least one creature card was exiled this way, each opponent loses 2 life and you gain 2 life.</t>
  </si>
  <si>
    <t>Soul's Might / Poder da Alma</t>
  </si>
  <si>
    <t>Put X +1/+1 counters on target creature, where X is that creature's power. / Coloque X marcadores +1/+1 na criatura alvo, sendo X igual ao poder daquela criatura.</t>
  </si>
  <si>
    <t>Soulbright Seeker</t>
  </si>
  <si>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</si>
  <si>
    <t>Soulcatcher / Apanhador de Almas</t>
  </si>
  <si>
    <t>Creature — Bird Soldier / Criatura — Soldado Pássaro</t>
  </si>
  <si>
    <t>Flying Whenever a creature with flying dies, put a +1/+1 counter on this creature. / Voar Toda vez que uma criatura com a habilidade de voar for colocada em um cemitério vinda do jogo, coloque um marcador +1/+1 em Apanhador de Almas.</t>
  </si>
  <si>
    <t>Soulcipher Board / Tábua do Código Espiritual</t>
  </si>
  <si>
    <t>This artifact enters with three omen counters on it. {1}{U}, {T}: Look at the top two cards of your library. Put one of them into your graveyard. Whenever a creature card is put into your graveyard from anywhere, remove an omen counter from this artifact. Then if it has no omen counters on it, transform it. / Tábua do Código Espiritual entra no campo de batalha com três marcadores de presságio. {1}{U}, {T}: Olhe os dois cards do topo de seu grimório. Coloque um deles no seu cemitério. Toda vez que um card de criatura for colocado em seu cemitério vindo de qualquer lugar, remova um marcador de presságio de Tábua do Código Espiritual. Em seguida, se ela não tiver nenhum marcador de presságio, transforme-a.</t>
  </si>
  <si>
    <t>Soulflayer / Flagelador de Alma</t>
  </si>
  <si>
    <t>Delve (Each card you exile from your graveyard while casting this spell pays for {1}.) If a creature card with flying was exiled with this creature's delve ability, this creature has flying. The same is true for first strike, double strike, deathtouch, haste, hexproof, indestructible, lifelink, reach, trample, and vigilance. / Esquadrinhar (Cada card que você exila de seu cemitério quando conjura esta mágica paga por {1}.) Se um card de criatura com voar for exilado pela habilidade esquadrinhar do Flagelador de Alma, Flagelador de Alma tem voar. O mesmo vale para iniciativa, golpe duplo, toque mortífero, ímpeto, resistência a magia, indestrutível, vínculo com a vida, alcance, atropelar e vigilância.</t>
  </si>
  <si>
    <t>Soulmender / Reparador de Alma</t>
  </si>
  <si>
    <t>{T}: You gain 1 life. / {T}: Você ganha 1 ponto de vida.</t>
  </si>
  <si>
    <t>Soulreaper of Mogis / Ceifador de Almas de Mogis</t>
  </si>
  <si>
    <t>Enchantment Creature — Minotaur Shaman / Criatura Encantamento — Minotauro Xamã</t>
  </si>
  <si>
    <t>{2}{B}, Sacrifice a creature: Draw a card. / {2}{B}, sacrifique uma criatura: Compre um card.</t>
  </si>
  <si>
    <t>Soulshriek / Grito da Alma</t>
  </si>
  <si>
    <t>Target creature you control gets +X/+0 until end of turn, where X is the number of creature cards in your graveyard. Sacrifice that creature at the beginning of the next end step.</t>
  </si>
  <si>
    <t>Soulstinger / Picador de Almas</t>
  </si>
  <si>
    <t>Creature — Scorpion Demon / Criatura — Escorpião Demônio</t>
  </si>
  <si>
    <t>When this creature enters, put two -1/-1 counters on target creature you control. When this creature dies, you may put a -1/-1 counter on target creature for each -1/-1 counter on this creature. / Quando Picador de Almas entrar no campo de batalha, coloque dois marcadores -1/-1 na criatura alvo que você controla. Quando Picador de Almas morre, você pode colocar um marcador -1/-1 na criatura alvo para cada marcador -1/-1 em Picador de Almas.</t>
  </si>
  <si>
    <t>Spara's Adjudicators / Árbitros de Spara</t>
  </si>
  <si>
    <t>Creature — Cat Citizen / Criatura — Felino Cidadão</t>
  </si>
  <si>
    <t>When this creature enters, target creature an opponent controls can't attack or block until your next turn. {2}, Exile this card from your hand: Target land gains "{T}: Add {G}, {W}, or {U}" until this card is cast from exile. You may cast this card for as long as it remains exiled. / Quando Árbitros de Spara entra no campo de batalha, a criatura alvo que um oponente controla não pode atacar nem bloquear até seu próximo turno. {2}, exile Árbitros de Spara de sua mão: O terreno alvo ganha "{T}: Adicione {G}, {W} ou {U}" até que Árbitros de Spara seja conjurado do exílio. Você poderá conjurar Árbitros de Spara enquanto ele permanecer exilado.</t>
  </si>
  <si>
    <t>Spare from Evil / Poupar do Mal</t>
  </si>
  <si>
    <t>Creatures you control gain protection from non-Human creatures until end of turn. / As criaturas que você controla ganham proteção contra criaturas que não sejam do tipo Humano até o final do turno.</t>
  </si>
  <si>
    <t>Spark Harvest / Colheita das Centelhas</t>
  </si>
  <si>
    <t>As an additional cost to cast this spell, sacrifice a creature or pay {3}{B}. Destroy target creature or planeswalker. / Como custo adicional para conjurar esta mágica, sacrifique uma criatura ou pague {3}{B}. Destrua a criatura ou o planeswalker alvo.</t>
  </si>
  <si>
    <t>Sparkmage Apprentice / Aprendiz de Piromante de Centelhas</t>
  </si>
  <si>
    <t>Quando Aprendiz de Piromante de Centelhas entra no campo de batalha, ele causa 1 de dano à criatura ou ao jogador alvo.</t>
  </si>
  <si>
    <t>Spatial Contortion / Contorção Espacial</t>
  </si>
  <si>
    <t>({C} represents colorless mana.) Target creature gets +3/-3 until end of turn. / ({C} representa mana incolor.) A criatura alvo recebe +3/-3 até o final do turno.</t>
  </si>
  <si>
    <t>{1}{C}</t>
  </si>
  <si>
    <t>Spawn of Mayhem / Prole do Pandemônio</t>
  </si>
  <si>
    <t>Criatura — Demônio</t>
  </si>
  <si>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</si>
  <si>
    <t>2{B}{B}</t>
  </si>
  <si>
    <t>Spawn of Thraxes / Prole de Traxes</t>
  </si>
  <si>
    <t>Voar Quando Prole de Traxes entra no campo de batalha, ele causa ao jogador ou à criatura alvo uma quantidade de dano igual ao número de Montanhas que você controla.</t>
  </si>
  <si>
    <t>Flying When this creature enters, it deals damage to any target equal to the number of Mountains you control. / Voar Quando Prole de Traxes entra no campo de batalha, ele causa ao jogador ou à criatura alvo uma quantidade de dano igual ao número de Montanhas que você controla.</t>
  </si>
  <si>
    <t>Spawnwrithe / Serpentóide</t>
  </si>
  <si>
    <t>Trample. Whenever Spawnwrithe deals combat damage to a player, put a token into play that's a copy of Spawnwrithe. / Atropelar. Toda vez que Serpentóide causar dano de combate a um jogador, coloque em jogo uma ficha que seja uma cópia de Serpentóide.</t>
  </si>
  <si>
    <t>Specimen Collector / Coletora de Espécimes</t>
  </si>
  <si>
    <t>When this creature enters, create a 1/1 green Squirrel creature token and a 0/3 blue Crab creature token. When this creature dies, create a token that's a copy of target token you control. / Quando Coletora de Espécimes entrar no campo de batalha, crie uma ficha de criatura Esquilo verde 1/1 e uma ficha de criatura Caranguejo azul 0/3. Quando Coletora de Espécimes morrer, crie uma ficha que seja uma cópia da ficha alvo que você controla.</t>
  </si>
  <si>
    <t>Spectacular Skywhale / Baleia Celestial Espetacular</t>
  </si>
  <si>
    <t>Criatura — Baleia Elemental</t>
  </si>
  <si>
    <t>Voar. Obra-prima — Sempre que você conjurar uma mágica instantânea ou um feitiço, esta criatura receberá +3/+0 até o final do turno. Se cinco ou mais manas tiverem sido gastos para conjurar aquela mágica, em vez disso, coloque três marcadores +1/+1 nesta criatura.</t>
  </si>
  <si>
    <t>2{U}{R}</t>
  </si>
  <si>
    <t>Spectral Snatcher</t>
  </si>
  <si>
    <t>Ward—Discard a card. (Whenever this creature becomes the target of a spell or ability an opponent controls, counter it unless that player discards a card.) Swampcycling {2} ({2}, Discard this card: Search your library for a Swamp card, reveal it, put it into your hand, then shuffle.)</t>
  </si>
  <si>
    <t>Speed, Young Avenger</t>
  </si>
  <si>
    <t>Legendary Creature — Mutant Hero</t>
  </si>
  <si>
    <t>Haste Whenever you cast a noncreature spell, you may pay {1}. When you do, target creature with haste can't be blocked this turn except by creatures with haste.</t>
  </si>
  <si>
    <t>Spell Pierce / Perfurar Mágica</t>
  </si>
  <si>
    <t>Counter target noncreature spell unless its controller pays {2}. / Anule a mágica não de criatura alvo, a menos que seu controlador pague {2}.</t>
  </si>
  <si>
    <t>Store Championships (SCH)</t>
  </si>
  <si>
    <t>Spell Snip / Retalho de Mágica</t>
  </si>
  <si>
    <t>Counter target spell unless its controller pays {1}. Cycling {2} ({2}, Discard this card: Draw a card.) / Anule a mágica alvo, a menos que seu controlador pague {1}. Reciclar {2} ({2}, Descarte este card: Compre um card.)</t>
  </si>
  <si>
    <t>Spellbook Seeker / Buscador de Grimórios</t>
  </si>
  <si>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</si>
  <si>
    <t>Spellskite / Pique do Trovador Mágico</t>
  </si>
  <si>
    <t>Equipped creature has first strike and gets +X/+0, where X is the number of instant and sorcery cards in your graveyard. Equip {2}</t>
  </si>
  <si>
    <t>Sphinx of the Guildpact / Esfinge do Pacto das Guildas</t>
  </si>
  <si>
    <t>Sphinx of the Guildpact is all colors. Flying Hexproof from monocolored (This creature can't be the target of monocolored spells or abilities your opponents control.) / Esfinge do Pacto das Guildas é de todas as cores. Voar Resistência à magia monocolor (Esta criatura não pode ser alvo de mágicas nem habilidades monocolores que seus oponentes controlam.)</t>
  </si>
  <si>
    <t>Sphinx of Uthuun / Esfinge de Uthuun</t>
  </si>
  <si>
    <t>Criatura — Esfinge</t>
  </si>
  <si>
    <t>Voar. Quando Esfinge de Uthuun entra no campo de batalha, revele os cinco cards do topo de seu grimório. Um oponente separa aqueles cards em dois montes. Coloque um monte em sua mão e o outro em seu cemitério.</t>
  </si>
  <si>
    <t>Spicy Oatmeal Pizza</t>
  </si>
  <si>
    <t>When this artifact enters, it deals 4 damage to any target and 3 damage to you. {2}, {T}, Sacrifice this artifact: You gain 3 life.</t>
  </si>
  <si>
    <t>Spider Umbra / Sombra de Aranha</t>
  </si>
  <si>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</si>
  <si>
    <t>Spider-Bot / Aranha-Robô</t>
  </si>
  <si>
    <t>Criatura Artefato — Aranha Robô Olheiro</t>
  </si>
  <si>
    <t>Alcance. Quando esta criatura entrar, você poderá procurar em seu grimório por um card de terreno básico, revelá-lo, depois embaralhar e colocar aquele card no topo.</t>
  </si>
  <si>
    <t>Spider-Gwen, Free Spirit / Spider-Gwen, Espírito Livre</t>
  </si>
  <si>
    <t>Criatura Lendária — Aranha Humano Herói</t>
  </si>
  <si>
    <t>Alcance. Sempre que Spider-Gwen tornar-se virada, você pode descartar um card. Se fizer isso, compre um card.</t>
  </si>
  <si>
    <t>Spider-Man, Web-Slinger / Homem-Aranha, Lançador de Teias</t>
  </si>
  <si>
    <t>Lançamento de Teia {W} (Você pode conjurar esta mágica por {W} se você também devolver uma criatura virada que você controla para a mão de seu dono.)</t>
  </si>
  <si>
    <t>Spiked Baloth / Baloth Espiculado</t>
  </si>
  <si>
    <t>Trample (This creature can deal excess combat damage to the player or planeswalker it's attacking.) / Atropelar (Se esta criatura fosse atribuir dano suficiente para destruir seus bloqueadores, você pode fazer com que ela atribua o resto de seu dano ao planeswalker ou jogador defensor.)</t>
  </si>
  <si>
    <t>Spiked Pit Trap / Armadilha do Poço com Estacas</t>
  </si>
  <si>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</si>
  <si>
    <t>Spikeshot Goblin / Goblin Atira-Ferrões</t>
  </si>
  <si>
    <t>{R}, {T}: This creature deals damage equal to its power to any target. / {R}, {T}: Goblin Atira-Ferrões causa uma quantidade de dano igual ao seu poder à criatura alvo ou ao jogador alvo.</t>
  </si>
  <si>
    <t>Spikewheel Acrobat / Acrobata da Roda Espinhosa</t>
  </si>
  <si>
    <t>Spectacle {2}{R} (You may cast this spell for its spectacle cost rather than its mana cost if an opponent lost life this turn.) / Espetáculo {2}{R} (Você pode conjurar esta mágica por seu custo de espetáculo, em vez de seu custo de mana, se um oponente perdeu pontos de vida neste turno.)</t>
  </si>
  <si>
    <t>Spin Out</t>
  </si>
  <si>
    <t>Destroy target creature or Vehicle.</t>
  </si>
  <si>
    <t>Spine of Ish Sah / Espinha Dorsal de Ish Sah</t>
  </si>
  <si>
    <t>When this artifact enters, destroy target permanent. When this artifact is put into a graveyard from the battlefield, return it to its owner's hand. / Quando Espinha Dorsal de Ish Sah entrar no campo de batalha, destrua a permanente alvo. Quando Espinha Dorsal de Ish Sah for colocada num cemitério vinda do campo de batalha, devolva-a para a mão de seu dono.</t>
  </si>
  <si>
    <t>Bloomburrow Commander (BLC)</t>
  </si>
  <si>
    <t>Spire Golem</t>
  </si>
  <si>
    <t>Affinity for Islands (This spell costs 1 less to play for each Island you control.) Flying</t>
  </si>
  <si>
    <t>Spire Mangler / Desmembrador da Torre</t>
  </si>
  <si>
    <t>Flash Flying When this creature enters, target creature you control with flying gets +2/+0 until end of turn. / Lampejo Voar Quando Desmembrador da Torre entra no campo de batalha, a criatura alvo que você controla com voar recebe +2/+0 até o final do turno.</t>
  </si>
  <si>
    <t>Spire Serpent / Serpente Pontiaguda</t>
  </si>
  <si>
    <t>Defender Metalcraft — As long as you control three or more artifacts, this creature gets +2/+2 and can attack as though it didn't have defender. / Defensor Maestria com Metais — Enquanto você controlar três ou mais artefatos, Serpente Pontiaguda receberá +2/+2 e poderá atacar como se não tivesse defensor.</t>
  </si>
  <si>
    <t>Spireside Infiltrator / Infiltrador das Torres</t>
  </si>
  <si>
    <t>Whenever this creature becomes tapped, it deals 1 damage to each opponent. / Toda vez que Infiltrador das Torres é virado, ele causa 1 ponto de dano a cada oponente.</t>
  </si>
  <si>
    <t>Spirit of the Aldergard / Espírito de Aldergard</t>
  </si>
  <si>
    <t>Snow Creature — Bear Spirit / Criatura da Neve — Urso Espírito</t>
  </si>
  <si>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</si>
  <si>
    <t>Spirit of the Hunt / Espírito da Caça</t>
  </si>
  <si>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</si>
  <si>
    <t>Spirit Shackle / Grilhões do Espírito</t>
  </si>
  <si>
    <t>Enchant creature Whenever enchanted creature becomes tapped, put a -0/-2 counter on it.</t>
  </si>
  <si>
    <t>Spitebellows / Bocarras Hostis</t>
  </si>
  <si>
    <t>When this creature leaves the battlefield, it deals 6 damage to target creature. Evoke {1}{R}{R} (You may cast this spell for its evoke cost. If you do, it's sacrificed when it enters.) / Quando Bocarras Hostis deixa o jogo, ele causa 6 pontos de dano à criatura alvo. Evocar {1}{R}{R} (Você pode jogar esta mágica pagando seu custo de evocar. Se fizer isso, ela será sacrificada quando entrar em jogo.)</t>
  </si>
  <si>
    <t>Spiteflame Witch / Bruxa da Chama Maliciosa</t>
  </si>
  <si>
    <t>{B}{R}: Each player loses 1 life. / {B}{R}: Cada jogador perde 1 ponto de vida.</t>
  </si>
  <si>
    <t>{1}{B/R}</t>
  </si>
  <si>
    <t>Spiteful Blow / Golpe Malévolo</t>
  </si>
  <si>
    <t>Destroy target creature and target land. / Destrua a criatura alvo e o terreno alvo.</t>
  </si>
  <si>
    <t>Spiteful Returned / Ressurgido Malévolo</t>
  </si>
  <si>
    <t>Bestow {3}{B} (If you cast this card for its bestow cost, it's an Aura spell with enchant creature. It becomes a creature again if it's not attached.) Whenever this creature or enchanted creature attacks, defending player loses 2 life. Enchanted creature gets +1/+1. / Agraciar {3}{B} (Se você conjurar este card pagando seu custo de agraciar, ele será uma mágica de Aura com encantar criatura. Ele se tornará novamente uma criatura se não estiver anexado a uma criatura.) Toda vez que Ressurgido Malévolo ou a criatura encantada atacam, o jogador defensor perde 2 pontos de vida. A criatura encantada recebe +1/+1.</t>
  </si>
  <si>
    <t>Spiteful Squad / Esquadrão Malévolo</t>
  </si>
  <si>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</si>
  <si>
    <t>Spitfire Handler / Manuseador de Cospe-Fogos</t>
  </si>
  <si>
    <t>This creature can't block creatures with power greater than this creature's power. {R}: This creature gets +1/+0 until end of turn. / Manuseador de Cospe-Fogos não pode bloquear criaturas cujo poder não seja maior que seu próprio poder. {R}: Manuseador de Cospe-Fogos recebe +1/+0 até o final do turno.</t>
  </si>
  <si>
    <t>Spitfire Lagac / Lagac Cospe-fogo</t>
  </si>
  <si>
    <t>Landfall — Whenever a land you control enters, this creature deals 1 damage to each opponent. / Aterragem — Toda vez que um terreno entra no campo de batalha sob seu controle, Lagac Cospe-fogo causa 1 ponto de dano a cada oponente.</t>
  </si>
  <si>
    <t>Spitting Earth / Golfada de Terra</t>
  </si>
  <si>
    <t>Spitting Earth deals damage to target creature equal to the number of Mountains you control. / Golfada de Terra causa à criatura alvo uma quantidade de dano igual ao número de Montanhas que você controla.</t>
  </si>
  <si>
    <t>Splatter Thug / Rufião Esguichador</t>
  </si>
  <si>
    <t>First strike Unleash (You may have this creature enter with a +1/+1 counter on it. It can't block as long as it has a +1/+1 counter on it.) / Iniciativa Liberar (Você pode fazer com que esta criatura entre no campo de batalha com um marcador +1/+1. Ela não poderá bloquear enquanto tiver um marcador +1/+1.)</t>
  </si>
  <si>
    <t>Splinterfright / Assombro Farpado</t>
  </si>
  <si>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</si>
  <si>
    <t>Splitskin Doll</t>
  </si>
  <si>
    <t>When this creature enters, draw a card. Then discard a card unless you control another creature with power 2 or less.</t>
  </si>
  <si>
    <t>Spontaneous Mutation / Mutação Espontânea</t>
  </si>
  <si>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</si>
  <si>
    <t>Spore Crawler / Rastejante dos Esporos</t>
  </si>
  <si>
    <t>When Spore Crawler dies, draw a card. / Quando Rastejante dos Esporos morrer, compre um card.</t>
  </si>
  <si>
    <t>Sporecap Spider / Aranha Fungosa</t>
  </si>
  <si>
    <t>Sporemound / Montículo de Esporos</t>
  </si>
  <si>
    <t>Landfall — Whenever a land you control enters, create a 1/1 green Saproling creature token. / Toda vez que um terreno entrar no campo de batalha sob o seu controle, coloque no campo de batalha uma ficha de criatura verde 1/1 do tipo Saprófita.</t>
  </si>
  <si>
    <t>Spring // Mind / Fonte // Ideias</t>
  </si>
  <si>
    <t>Sorcery // Instant / Feitiço</t>
  </si>
  <si>
    <t>Spring: Search your library for a basic land card, put it onto the battlefield tapped, then shuffle. // Mind: Aftermath (Cast this spell only from your graveyard. Then exile it.) Draw two cards. / Procure um card de terreno básico em seu grimório, coloque-o no campo de batalha virado e depois embaralhe seu grimório.</t>
  </si>
  <si>
    <t>{2}{G} // {4}{U}{U}</t>
  </si>
  <si>
    <t>Squad Rallier</t>
  </si>
  <si>
    <t>{2}{W}: Look at the top four cards of your library. You may reveal a creature card with power 2 or less from among them and put it into your hand. Put the rest on the bottom of your library in a random order.</t>
  </si>
  <si>
    <t>Squall Leonhart // Danitha Capashen, Paragon / Squall Leonhart // Danitha Capashen, Exemplar</t>
  </si>
  <si>
    <t>Iniciativa, vigilância, vínculo com a vida. As mágicas de Aura e de Equipamento que você conjura custam {1} a menos para serem conjuradas.</t>
  </si>
  <si>
    <t>Squeaking Pie Grubfellows / Larveiros de Torta Guinchante</t>
  </si>
  <si>
    <t>Kinship — At the beginning of your upkeep, you may look at the top card of your library. If it shares a creature type with this creature, you may reveal it. If you do, each opponent discards a card. / Parentesco No início de sua manutenção, você pode olhar o card do topo do seu grimório. Se ele compartilhar um tipo de criatura com Larveiros de Torta Guinchante, você poderá revelá-lo. Se fizer isso, cada oponente deverá descartar um card.</t>
  </si>
  <si>
    <t>Squee, the Immortal / Squee, o Imortal</t>
  </si>
  <si>
    <t>You may cast this card from your graveyard or from exile. / Você pode conjurar Squee, o Imortal, a partir de seu cemitério ou do exílio.</t>
  </si>
  <si>
    <t>Squire of the King / Escudeiro do Rei</t>
  </si>
  <si>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</si>
  <si>
    <t>Squire's Devotion / Devoção da Escudeira</t>
  </si>
  <si>
    <t>Enchant creature Enchanted creature gets +1/+1 and has lifelink. When this Aura enters, create a 1/1 white Vampire creature token with lifelink. / Encantar criatura A criatura encantada recebe +1/+1 e tem vínculo com a vida. Quando Devoção da Escudeira entrar no campo de batalha, crie uma ficha de criatura branca 1/1 do tipo Vampiro com vínculo com a vida.</t>
  </si>
  <si>
    <t>Squire's Lightblade / Lâmina de Luz do Escudeiro</t>
  </si>
  <si>
    <t>Lampejo. Quando este Equipamento entrar, anexe-o à criatura alvo que você controla. Aquela criatura ganha iniciativa até o final do turno. A criatura equipada recebe +1/+0. Equipar {3}</t>
  </si>
  <si>
    <t>Squirrelanoids</t>
  </si>
  <si>
    <t>Creature — Squirrel Mutant</t>
  </si>
  <si>
    <t>Deathtouch</t>
  </si>
  <si>
    <t>Sram's Expertise / Especialidade de Sram</t>
  </si>
  <si>
    <t>Create three 1/1 colorless Servo artifact creature tokens. You may cast a spell with mana value 3 or less from your hand without paying its mana cost. / Crie três fichas de criatura artefato incolores 1/1 do tipo Servus. Você pode conjurar um card com custo de mana convertido igual ou inferior a 3 de sua mão sem pagar seu custo de mana.</t>
  </si>
  <si>
    <t>Stadium Tidalmage / Mago das Marés do Estádio</t>
  </si>
  <si>
    <t>Criatura — Djinn Feiticeiro</t>
  </si>
  <si>
    <t>Sempre que esta criatura entrar ou atacar, você pode comprar um card. Se fizer isso, descarte um card.</t>
  </si>
  <si>
    <t>Staff of the Wild Magus / Cajado do Magus da Natureza</t>
  </si>
  <si>
    <t>Whenever you cast a green spell or a Forest you control enters, you gain 1 life. / Toda vez que você conjura uma mágica verde ou uma Floresta entra no campo de batalha sob o seu controle, você ganha 1 ponto de vida.</t>
  </si>
  <si>
    <t>Stalactite Dagger</t>
  </si>
  <si>
    <t>When this Equipment enters, create a 1/1 colorless Shapeshifter creature token with changeling. (It's every creature type.) Equipped creature gets +1/+1 and is all creature types. Equip {2} ({2}: Attach to target creature you control. Equip only as a sorcery.)</t>
  </si>
  <si>
    <t>Stalwart Aven / Defensor Aviano</t>
  </si>
  <si>
    <t>Flying (This creature can't be blocked except by creatures with flying or reach.) Renown 1 (When this creature deals combat damage to a player, if it isn't renowned, put a +1/+1 counter on it and it becomes renowned.) / Voar (Esta criatura só pode ser bloqueada por criaturas com voar ou alcance.)Renome 1 (Quando esta criatura causar dano de combate a um jogador, se ela não for renomada, coloque um marcador +1/+1 nela e ela se tornará renomada.)</t>
  </si>
  <si>
    <t>Stalwarts of Osgiliath / Destemidos de Osgiliath</t>
  </si>
  <si>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</si>
  <si>
    <t>Stampede Rider / Ginete da Debandada</t>
  </si>
  <si>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</si>
  <si>
    <t>Stampeding Horncrest / Cristocórneo Desembestado</t>
  </si>
  <si>
    <t>This creature has haste as long as you control another Dinosaur. / Cristocórneo Desembestado terá ímpeto enquanto você controlar outro Dinossauro.</t>
  </si>
  <si>
    <t>Stampeding Scurryfoot</t>
  </si>
  <si>
    <t>Creature — Mouse</t>
  </si>
  <si>
    <t>Exhaust — {3}{G}: Put a +1/+1 counter on this creature. Create a 3/3 green Elephant creature token. (Activate each exhaust ability only once.)</t>
  </si>
  <si>
    <t>Starbreach Whale</t>
  </si>
  <si>
    <t>Creature — Whale</t>
  </si>
  <si>
    <t>Flying When this creature enters, surveil 2. (Look at the top two cards of your library, then put any number of them into your graveyard and the rest on top of your library in any order.) Warp {1}{U} (You may cast this card from your hand for its warp cost. Exile this creature at the beginning of the next end step, then you may cast it from exile on a later turn.)</t>
  </si>
  <si>
    <t>Starfighter Pilot / Piloto de Caça Estelar</t>
  </si>
  <si>
    <t>Criatura — Humano Piloto</t>
  </si>
  <si>
    <t>Sempre que esta criatura tornar-se virada, vigie 1. (Para vigiar 1, olhe o card do topo de seu grimório. Você pode colocá-lo em seu cemitério.)</t>
  </si>
  <si>
    <t>Starforged Sword / Espada Forjada pelas Estrelas</t>
  </si>
  <si>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</si>
  <si>
    <t>Stark Industries Executive / Executivo das Indústrias Stark</t>
  </si>
  <si>
    <t>Criatura — Humano Conselheiro</t>
  </si>
  <si>
    <t>{2}, {T}: Crie uma ficha de Tesouro. (Ela é um artefato com "{T}, Sacrifique esta ficha: Adicione um mana de qualquer cor.")</t>
  </si>
  <si>
    <t>Stark's Ingenuity</t>
  </si>
  <si>
    <t>Enchant creature you control When this Aura enters, you may pay {X}. If you do, draw X cards. Whenever you draw a card, put a +1/+1 counter on enchanted creature.</t>
  </si>
  <si>
    <t>Starlit Soothsayer</t>
  </si>
  <si>
    <t>Flying At the beginning of your end step, if you gained or lost life this turn, surveil 1. (Look at the top card of your library. You may put it into your graveyard.)</t>
  </si>
  <si>
    <t>Start // Finish / Começar // Terminar</t>
  </si>
  <si>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</si>
  <si>
    <t>{2}{W} // {2}{B}</t>
  </si>
  <si>
    <t>Startled Relic Sloth / Preguiça Relíquia Assustada</t>
  </si>
  <si>
    <t>Criatura — Preguiça Besta</t>
  </si>
  <si>
    <t>Atropelar, vínculo com a vida. No início do combate no seu turno, exile até um card alvo de um cemitério.</t>
  </si>
  <si>
    <t>2{R}{W}</t>
  </si>
  <si>
    <t>Staunch Throneguard / Guarda do Trono Inabalável</t>
  </si>
  <si>
    <t>Vigilance When this creature enters, you become the monarch. / Vigilância Quando Guarda do Trono Inabalável entra no campo de batalha, você se torna o monarca.</t>
  </si>
  <si>
    <t>Stave Off / Rechaçar</t>
  </si>
  <si>
    <t>A criatura alvo ganha proteção contra a cor de sua escolha até o final do turno. (Ela não pode ser bloqueada, alvo, receber dano ou ser encantada por nada daquela cor.)</t>
  </si>
  <si>
    <t>Steadfast Cathar / Cátaro Resoluto</t>
  </si>
  <si>
    <t>Whenever this creature attacks, it gets +0/+2 until end of turn. / Toda vez que Cátaro Resoluto ataca, ele recebe +0/+2 até o final do turno.</t>
  </si>
  <si>
    <t>Steam Augury / Augúrio de Vapor</t>
  </si>
  <si>
    <t>Revele os cinco cards do topo de seu grimório e separe-os em dois montes. Um oponente escolhe um daqueles montes. Coloque aquele monte em sua mão e o outro em seu cemitério.</t>
  </si>
  <si>
    <t>2UR</t>
  </si>
  <si>
    <t>Steel Sabotage / Sabotagem de Aço</t>
  </si>
  <si>
    <t>Choose one — • Counter target artifact spell. • Return target artifact to its owner's hand. / Escolha um — Anule a mágica de artefato alvo; ou devolva o artefato alvo para a mão de seu dono.</t>
  </si>
  <si>
    <t>Steel Wall</t>
  </si>
  <si>
    <t>Criatura Artefato — Parede / Artifact Creature — Wall</t>
  </si>
  <si>
    <t>Defender</t>
  </si>
  <si>
    <t>Steelclad Spirit / Espírito da Couraça de Aço</t>
  </si>
  <si>
    <t>Defender Whenever an enchantment you control enters, this creature can attack this turn as though it didn't have defender. / Defensor Toda vez que um encantamento entra no campo de batalha sob seu controle, Espírito da Couraça de Aço pode atacar neste turno como se não tivesse defensor.</t>
  </si>
  <si>
    <t>Steelfin Whale / Baleia Barbatana-de-aço</t>
  </si>
  <si>
    <t>Creature — Whale / Criatura — Baleia</t>
  </si>
  <si>
    <t>Affinity for artifacts (This spell costs {1} less to cast for each artifact you control.) Whenever an artifact you control enters, untap this creature. / Afinidade por artefatos (Esta mágica custa {1} a menos para ser conjurada para cada artefato que você controla.) Toda vez que um artefato entrar no campo de batalha sob seu controle, desvire Baleia Barbatana-de-aço.</t>
  </si>
  <si>
    <t>Steelform Sliver / Fractius Aciforme</t>
  </si>
  <si>
    <t>Sliver creatures you control get +0/+1. / As criaturas do tipo Fractius que você controla recebem +0/+1.</t>
  </si>
  <si>
    <t>Stegron the Dinosaur Man / Stegron, o Homem-Dinossauro</t>
  </si>
  <si>
    <t>Criatura Lendária — Dinossauro Vilão</t>
  </si>
  <si>
    <t>Ameaçar (Esta criatura não pode ser bloqueada a não ser por duas ou mais criaturas.) Fórmula de Dinossauro — {1}{R}, Descarte este card: Até o final do turno, a criatura alvo que você controla recebe +3/+1 e torna-se um Dinossauro além de seus outros tipos.</t>
  </si>
  <si>
    <t>Stench of Evil / Exalações do Mal</t>
  </si>
  <si>
    <t>Destroy all Plains. For each land destroyed this way, Stench of Evil deals 1 damage to that land's controller unless they pay {2}.</t>
  </si>
  <si>
    <t>Steward of Valeron / Intendente de Valeron</t>
  </si>
  <si>
    <t>Creature — Human Druid Knight / Criatura — Humano Druida Cavaleiro</t>
  </si>
  <si>
    <t>Vigilance {T}: Add {G}. / Vigilância {T}: Adicione {G} à sua reserva de mana.</t>
  </si>
  <si>
    <t>Stinging Shot / Tiro Pungente</t>
  </si>
  <si>
    <t>Put three -1/-1 counters on target creature with flying. Cycling {2} ({2}, Discard this card: Draw a card.) / Coloque três marcadores -1/-1 na criatura alvo com voar. Reciclar {2} ({2}, Descarte este card: Compre um card.)</t>
  </si>
  <si>
    <t>Stitched Mangler / Desmembrador Suturado</t>
  </si>
  <si>
    <t>This creature enters tapped. When this creature enters, tap target creature an opponent controls. That creature doesn't untap during its controller's next untap step. / Desmembrador Suturado entra no campo de batalha virado. Quando Desmembrador Suturado entrar no campo de batalha, vire a criatura alvo que um oponente controla. Aquela criatura não desvira durante a próxima etapa de desvirar de seu controlador.</t>
  </si>
  <si>
    <t>Stitcher's Apprentice / Aprendiz de Suturador</t>
  </si>
  <si>
    <t>{1}{U}, {T}: Create a 2/2 blue Homunculus creature token, then sacrifice a creature. / {1}{U}, {T}: Coloque no campo de batalha uma ficha de criatura azul 2/2 do tipo Homúnculo e depois sacrifique uma criatura.</t>
  </si>
  <si>
    <t>Stockman, Mad Fly-entist</t>
  </si>
  <si>
    <t>Legendary Creature — Insect Mutant Scientist</t>
  </si>
  <si>
    <t>Flying When Stockman enters, draw a card, then discard a card. Islandcycling {2} ({2}, Discard this card: Search your library for an Island card, reveal it, put it into your hand, then shuffle.)</t>
  </si>
  <si>
    <t>Stomped by the Foot</t>
  </si>
  <si>
    <t>Kicker—Sacrifice an artifact or creature. (You may sacrifice an artifact or creature in addition to any other costs as you cast this spell.) Target creature gets -2/-2 until end of turn. If this spell was kicked, that creature gets -5/-5 until end of turn instead.</t>
  </si>
  <si>
    <t>Stone Giant / Gigante de Pedra</t>
  </si>
  <si>
    <t>{T}: Target creature you control with toughness less than this creature's power gains flying until end of turn. Destroy that creature at the beginning of the next end step. / {T}: A criatura alvo que você controla com resistência menor que o poder de Gigante de Pedra ganha voar até o final do turno. Destrua aquela criatura no início da etapa final.</t>
  </si>
  <si>
    <t>Stone Rain / Chuva de Pedras</t>
  </si>
  <si>
    <t>Stonecloaker / Ocultador de Pedra</t>
  </si>
  <si>
    <t>Criatura — Gárgula</t>
  </si>
  <si>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</si>
  <si>
    <t>Stonefare Crocodile / Crocodilo de Petreovila</t>
  </si>
  <si>
    <t>{2}{B}: This creature gains lifelink until end of turn. (Damage dealt by this creature also causes you to gain that much life.) / {2}{B}: Crocodilo de Petreovila ganha vínculo com a vida até o final do turno. (O dano causado por esta criatura também faz com que você ganhe uma quantidade equivalente de pontos de vida.)</t>
  </si>
  <si>
    <t>Stonefury / Litofúria</t>
  </si>
  <si>
    <t>Stonefury deals damage to target creature equal to the number of lands you control. / Litofúria causa à criatura alvo uma quantidade de dano igual ao número de terrenos que você controla.</t>
  </si>
  <si>
    <t>Stonehands / Mãos de Pedra</t>
  </si>
  <si>
    <t>Enchant creature Enchanted creature gets +0/+2. {R}: Enchanted creature gets +1/+0 until end of turn.</t>
  </si>
  <si>
    <t>Stonewise Fortifier / Fortificador Petrisábio</t>
  </si>
  <si>
    <t>{4}{W}: Prevent all damage that would be dealt to this creature by target creature this turn. / {4}{W}: Previna todo o dano que seria causado a Fortificador Petrisábio pela criatura alvo neste turno.</t>
  </si>
  <si>
    <t>Stonewood Invoker / Invocador da Selva de Pedras</t>
  </si>
  <si>
    <t>Creature — Elf Mutant / Criatura — Elfo Mutante</t>
  </si>
  <si>
    <t>{7}{G}: This creature gets +5/+5 until end of turn. / {7}{G}: Invocador da Selva de Pedras recebe +5/+5 até o final do turno.</t>
  </si>
  <si>
    <t>Stonework Packbeast / Besta de Carga Pétrea</t>
  </si>
  <si>
    <t>Stonework Packbeast is also a Cleric, Rogue, Warrior, and Wizard. {2}: Add one mana of any color.</t>
  </si>
  <si>
    <t>Storm Crow / Corvo da Tempestade</t>
  </si>
  <si>
    <t>Creature — Bird / Criatura — Pássaro</t>
  </si>
  <si>
    <t>Storm of Steel / Tempestade de Aço</t>
  </si>
  <si>
    <t>Storm of Steel causa 2 pontos de dano a cada um de um ou dois alvos.</t>
  </si>
  <si>
    <t>Storm Spirit / Espírito da Tempestade</t>
  </si>
  <si>
    <t>Flying {T}: This creature deals 2 damage to target creature.</t>
  </si>
  <si>
    <t>{3}{G}{W}{U}</t>
  </si>
  <si>
    <t>Storm Strike / Golpe da Tempestade</t>
  </si>
  <si>
    <t>Target creature gets +1/+0 and gains first strike until end of turn. Scry 1. / A criatura alvo recebe +1/+0 e ganha iniciativa até o final do turno. Vidência 1.</t>
  </si>
  <si>
    <t>Storm-Kiln Artist / Artista da Fornalha Tempestuosa</t>
  </si>
  <si>
    <t>Creature — Dwarf Shaman / Criatura — Anão Xamã</t>
  </si>
  <si>
    <t>This creature gets +1/+0 for each artifact you control. Magecraft — Whenever you cast or copy an instant or sorcery spell, create a Treasure token. (It's an artifact with "{T}, Sacrifice this token: Add one mana of any color.") / Artista da Fornalha Tempestuosa recebe +1/+0 para cada artefato que você controla. Magifício — Toda vez que você conjurar ou copiar uma mágica instantânea ou um feitiço, crie uma ficha de Tesouro.</t>
  </si>
  <si>
    <t>Stormbound Geist / Geist da Tempestade</t>
  </si>
  <si>
    <t>Flying This creature can block only creatures with flying. Undying (When this creature dies, if it had no +1/+1 counters on it, return it to the battlefield under its owner's control with a +1/+1 counter on it.) / Voar Geist da Tempestade só pode bloquear criaturas com voar. Imortal (Quando esta criatura morrer, se ela não tiver nenhum marcador +1/+1, devolva-a ao campo de batalha sob o controle de seu dono com um marcador +1/+1.)</t>
  </si>
  <si>
    <t>Stormchaser Chimera / Quimera Caçadora de Tempestade</t>
  </si>
  <si>
    <t>Flying {2}{U}{R}: Scry 1, then reveal the top card of your library. This creature gets +X/+0 until end of turn, where X is that card's mana value. (To scry 1, look at the top card of your library, then you may put that card on the bottom.) / Voar {2}{U}{R}: Use vidência 1 e depois revele o card do topo do seu grimório. Quimera Caçadora de Tempestade recebe +X/+0 até o final do turno, sendo X igual ao custo de mana convertido daquele card. (Para usar vidência 1, olhe o card do topo de seu grimório. Depois, você pode colocar aquele card no fundo de seu grimório.)</t>
  </si>
  <si>
    <t>Stormchaser Mage / Mago Caçador de Tempestades</t>
  </si>
  <si>
    <t>Flying, haste Prowess (Whenever you cast a noncreature spell, this creature gets +1/+1 until end of turn.) / Voar, ímpeto Destreza (Toda vez que você conjura uma mágica que não seja de criatura, esta criatura recebe +1/+1 até o final do turno.)</t>
  </si>
  <si>
    <t>Stormrider Spirit / Espírito Ginete de Tempestade</t>
  </si>
  <si>
    <t>Stormscape Apprentice / Aprendiz de Stormscape</t>
  </si>
  <si>
    <t>{W}, {T}: Tap target creature. {B}, {T}: Target player loses 1 life.</t>
  </si>
  <si>
    <t>Story Seeker / Buscadora de Histórias</t>
  </si>
  <si>
    <t>Creature — Dwarf Cleric / Criatura — Anão Clérigo</t>
  </si>
  <si>
    <t>Lifelink / Vínculo com a vida</t>
  </si>
  <si>
    <t>Strangling Spores / Esporos Estrangulantes</t>
  </si>
  <si>
    <t>Target creature gets -3/-3 until end of turn. / A criatura alvo recebe -3/-3 até o final do turno.</t>
  </si>
  <si>
    <t>Strategic Planning / Planejamento Estratégico</t>
  </si>
  <si>
    <t>Look at the top three cards of your library. Put one of them into your hand and the rest into your graveyard. / Olhe os três cards do topo de seu grimório. Coloque um deles em sua mão e o restante em seu cemitério.</t>
  </si>
  <si>
    <t>Strixhaven Mystical Archive (STA)</t>
  </si>
  <si>
    <t>Stratosoarer</t>
  </si>
  <si>
    <t>Flying. When this creature enters, target creature gains flying until end of turn. Basic landcycling {1}{U} ({1}{U}, Discard this card: Search your library for a basic land card, reveal it, put it into your hand, then shuffle.)</t>
  </si>
  <si>
    <t>Stratus Walk / Caminhar nos Estratos</t>
  </si>
  <si>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</si>
  <si>
    <t>Streaking Oilgorger</t>
  </si>
  <si>
    <t>Creature — Vampire</t>
  </si>
  <si>
    <t>Flying, haste Start your engines! (If you have no speed, it starts at 1. It increases once on each of your turns when an opponent loses life. Max speed is 4.) Max speed — This creature has lifelink.</t>
  </si>
  <si>
    <t>Streetwise Negotiator / Negociadora das Ruas</t>
  </si>
  <si>
    <t>Backup 1 (When this creature enters, put a +1/+1 counter on target creature. If that's another creature, it gains the following ability until end of turn.) This creature assigns combat damage equal to its toughness rather than its power. / Apoio 1 (Quando esta criatura entrar no campo de batalha, coloque um marcador +1/+1 na criatura alvo. Se for outra criatura, ela ganha a habilidade a seguir até o final do turno.) Esta criatura atribui dano de combate igual à sua resistência, em vez de igual ao seu poder.</t>
  </si>
  <si>
    <t>Strength from the Fallen / Força dos Caídos</t>
  </si>
  <si>
    <t>Constellation — Whenever this enchantment or another enchantment you control enters, target creature gets +X/+X until end of turn, where X is the number of creature cards in your graveyard. / Constelação — Toda vez que Força dos Caídos ou outro encantamento entra no campo de batalha sob seu controle, a criatura alvo recebe +X/+X até o final do turno, sendo X o número de cards de criatura no seu cemitério.</t>
  </si>
  <si>
    <t>Strength in Numbers / Força em Números</t>
  </si>
  <si>
    <t>Until end of turn, target creature gains trample and gets +X/+X, where X is the number of attacking creatures. / Até o final do turno, a criatura alvo ganha atropelar e recebe +X/+X, sendo X o número de criaturas atacantes.</t>
  </si>
  <si>
    <t>Strength of Arms / Força de Armas</t>
  </si>
  <si>
    <t>Target creature gets +2/+2 until end of turn. If you control an Equipment, create a 1/1 white Human Soldier creature token. / A criatura alvo recebe +2/+2 até o final do turno. Se você controlar um Equipamento, coloque no campo de batalha uma ficha de criatura branca 1/1 do tipo Humano Soldado.</t>
  </si>
  <si>
    <t>Strength of the Coalition / Força da Coalizão</t>
  </si>
  <si>
    <t>Kicker {2}{W} (You may pay an additional {2}{W} as you cast this spell.) Target creature you control gets +2/+2 until end of turn. If this spell was kicked, put a +1/+1 counter on each creature you control. / Reforçar {2}{W} (Você pode pagar um custo adicional de {2}{W} ao conjurar esta mágica.) A criatura alvo que você controla recebe +2/+2 até o final do turno. Se esta mágica foi reforçada, coloque um marcador +1/+1 em cada criatura que você controla.</t>
  </si>
  <si>
    <t>Strider Harness / Arreio de Andarilho</t>
  </si>
  <si>
    <t>Equipped creature gets +1/+1 and has haste. Equip {1} ({1}: Attach to target creature you control. Equip only as a sorcery.) / A criatura equipada recebe +1/+1 e tem ímpeto. Equipar {1} ({1}: Anexe este equipamento à criatura alvo que você controla. Equipe somente como um feitiço.)</t>
  </si>
  <si>
    <t>Strife Scholar / Erudito do Conflito</t>
  </si>
  <si>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</si>
  <si>
    <t>Strix Lookout</t>
  </si>
  <si>
    <t>Flying, vigilance (Attacking doesn't cause this creature to tap.) {1}{U}, {T}: Draw a card, then discard a card.</t>
  </si>
  <si>
    <t>Strongarm Monk / Monge Braço-forte</t>
  </si>
  <si>
    <t>Whenever you cast a noncreature spell, creatures you control get +1/+1 until end of turn. / Toda vez que você conjura uma mágica que não seja de criatura, as criaturas que você controla recebem +1/+1 até o final do turno.</t>
  </si>
  <si>
    <t>Structural Distortion / Distorção Estrutural</t>
  </si>
  <si>
    <t>Exile target artifact or land. Structural Distortion deals 2 damage to that permanent's controller. / Exile o artefato ou terreno alvo. Distorção Estrutural causa 2 pontos de dano ao controlador daquela permanente.</t>
  </si>
  <si>
    <t>Stuck in Summoner's Sanctum / Preso no Santuário do Invocador</t>
  </si>
  <si>
    <t>Lampejo. Encantar artefato ou criatura. Quando esta Aura entrar, vire a permanente encantada. A permanente encantada não desvire durante a etapa de desvirar de seu controlador e suas habilidades ativadas não podem ser ativadas.</t>
  </si>
  <si>
    <t>Stuffed Bear / Urso Empalhado</t>
  </si>
  <si>
    <t>{2}: Stuffed Bear becomes a 4/4 green Bear artifact creature until end of turn.</t>
  </si>
  <si>
    <t>Stun / Atordoar</t>
  </si>
  <si>
    <t>Stymied Hopes / Esperanças Frustradas</t>
  </si>
  <si>
    <t>Counter target spell unless its controller pays {1}. Scry 1. (Look at the top card of your library. You may put that card on the bottom.) / Anule a mágica alvo, a menos que seu controlador pague {1}. Vidência 1. (Olhe o card do topo de seu grimório. Você pode colocar aquele card no fundo de seu grimório.)</t>
  </si>
  <si>
    <t>Subira, Tulzidi Caravanner / Subira, Caravaneira Tulzidi</t>
  </si>
  <si>
    <t>Haste {1}: Another target creature with power 2 or less can't be blocked this turn. {1}{R}, {T}, Discard your hand: Until end of turn, whenever a creature you control with power 2 or less deals combat damage to a player, draw a card. / Ímpeto {1}: Outra criatura alvo com poder igual ou inferior a 2 não pode ser bloqueada neste turno. {1}{R}, {T}, descarte sua mão: Até o final do turno, toda vez que uma criatura que você controla com poder igual ou inferior a 2 causar dano de combate a um jogador, compre um card.</t>
  </si>
  <si>
    <t>Subjugator Angel / Anjo Subjugador</t>
  </si>
  <si>
    <t>Flying When this creature enters, tap all creatures your opponents control. / Voar Quando Anjo Subjugador entrar no campo de batalha, vire todas as criaturas que seus oponentes controlam.</t>
  </si>
  <si>
    <t>Subterranean Scout / Batedor Subterrâneo</t>
  </si>
  <si>
    <t>Creature — Goblin Scout / Criatura — Goblin Batedor</t>
  </si>
  <si>
    <t>When this creature enters, target creature with power 2 or less can't be blocked this turn. / Quando Batedor Subterrâneo entra no campo de batalha, a criatura alvo com poder igual ou inferior a 2 não pode ser bloqueada neste turno.</t>
  </si>
  <si>
    <t>Sugar Rush / Frenesi do Açúcar</t>
  </si>
  <si>
    <t>Target creature gets +3/+0 until end of turn. Draw a card. / A criatura alvo recebe +3/+0 até o final do turno. Compre um card.</t>
  </si>
  <si>
    <t>Suki, Kyoshi Warrior</t>
  </si>
  <si>
    <t>Suki's power is equal to the number of creatures you control. Whenever Suki attacks, create a 1/1 white Ally creature token that's tapped and attacking.</t>
  </si>
  <si>
    <t>{2}{G/W}{G/W}</t>
  </si>
  <si>
    <t>Sulfurous Blast / Explosão Sulfurosa</t>
  </si>
  <si>
    <t>Sulfurous Blast deals 2 damage to each creature and each player. If you cast this spell during your main phase, Sulfurous Blast deals 3 damage to each creature and each player instead. / Explosão Sulfurosa causa 2 pontos de dano a cada criatura e a cada jogador. Se você jogou esta mágica durante sua fase principal, em vez disso, Explosão Sulfurosa causa 3 pontos de dano a cada criatura e a cada jogador.</t>
  </si>
  <si>
    <t>Sultai Scavenger / Necrófago Sultai</t>
  </si>
  <si>
    <t>Delve (Each card you exile from your graveyard while casting this spell pays for {1}.) Flying / Esquadrinhar (Cada card que você exila de seu cemitério quando conjura esta mágica paga por {1}.) Voar</t>
  </si>
  <si>
    <t>Sultai Skullkeeper / Guardião de Crânios Sultai</t>
  </si>
  <si>
    <t>Creature — Snake Shaman / Criatura — Naga Xamã</t>
  </si>
  <si>
    <t>When this creature enters, mill two cards. / Quando Guardião de Crânios Sultai entrar no campo de batalha, coloque os dois cards do topo de seu grimório em seu cemitério.</t>
  </si>
  <si>
    <t>Summary Dismissal / Dispensa Sumária</t>
  </si>
  <si>
    <t>Exile all other spells and counter all abilities. / Exile todas as outras mágicas e anule todas as habilidades.</t>
  </si>
  <si>
    <t>Summit Prowler / Espreitador do Cume</t>
  </si>
  <si>
    <t>Creature — Yeti / Criatura — Yeti</t>
  </si>
  <si>
    <t>Summit Sentinel</t>
  </si>
  <si>
    <t>Creature — Elemental Soldier</t>
  </si>
  <si>
    <t>When this creature dies, draw a card.</t>
  </si>
  <si>
    <t>Summon: Choco/Mog</t>
  </si>
  <si>
    <t>Enchantment Creature — Saga Bird Moogle</t>
  </si>
  <si>
    <t>(As this Saga enters and after your draw step, add a lore counter. Sacrifice after IV.) I, II, III, IV — Stampede! — Other creatures you control get +1/+0 until end of turn.</t>
  </si>
  <si>
    <t>Summon: Esper Ramuh / Invocação: Esper Ramuh</t>
  </si>
  <si>
    <t>Encantamento Criatura — Saga Mago</t>
  </si>
  <si>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</si>
  <si>
    <t>Summon: Fat Chocobo / Invocação: Chocobo Gordo</t>
  </si>
  <si>
    <t>Encantamento Criatura — Saga Ave</t>
  </si>
  <si>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</si>
  <si>
    <t>Summon: Fenrir / Invocação: Fenrir</t>
  </si>
  <si>
    <t>Encantamento Criatura — Saga Lobo</t>
  </si>
  <si>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</si>
  <si>
    <t>Summon: G.F. Ifrit</t>
  </si>
  <si>
    <t>Enchantment Creature — Saga Demon</t>
  </si>
  <si>
    <t>(As this Saga enters and after your draw step, add a lore counter. Sacrifice after IV.) I, II — You may discard a card. If you do, draw a card. III, IV — Add R.</t>
  </si>
  <si>
    <t>Summon: Leviathan / Invocação: Leviatã</t>
  </si>
  <si>
    <t>Encantamento Criatura — Saga Leviatã</t>
  </si>
  <si>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</si>
  <si>
    <t>Summon: Primal Garuda / Invocação: Garuda Primordial</t>
  </si>
  <si>
    <t>Encantamento Criatura — Saga Harpia</t>
  </si>
  <si>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</si>
  <si>
    <t>Sun Sentinel / Sentinela Solar</t>
  </si>
  <si>
    <t>Vigilance (Attacking doesn't cause this creature to tap.) / Vigilância (Esta criatura não é virada para atacar.)</t>
  </si>
  <si>
    <t>Sun Warriors</t>
  </si>
  <si>
    <t>Firebending X, where X is the number of creatures you control. (Whenever this creature attacks, add X {R}. This mana lasts until end of combat.) {5}: Create a 1/1 white Ally creature token.</t>
  </si>
  <si>
    <t>Sun-Blessed Healer</t>
  </si>
  <si>
    <t>Kicker {1}{W} (You may pay an additional {1}{W} as you cast this spell.) Lifelink (Damage dealt by this creature also causes you to gain that much life.) When this creature enters, if it was kicked, return target nonland permanent card with mana value 2 or less from your graveyard to the battlefield.</t>
  </si>
  <si>
    <t>Sun-Blessed Peak</t>
  </si>
  <si>
    <t>This land enters tapped. {T}: Add {R} or {W}. {4}, {T}, Sacrifice this land: Draw a card.</t>
  </si>
  <si>
    <t>Sun-Crested Pterodon / Pterodonte Crista-solar</t>
  </si>
  <si>
    <t>Flying This creature has vigilance as long as you control another Dinosaur. / Voar Pterodonte Crista-solar terá vigilância enquanto você controlar outro Dinossauro.</t>
  </si>
  <si>
    <t>Sun-Crowned Hunters / Caçadores Coroa-de-sol</t>
  </si>
  <si>
    <t>Enrage — Whenever this creature is dealt damage, it deals 3 damage to target opponent or planeswalker. / Enfurecer —Toda vez que Caçadores Coroa-de-sol sofre dano, ele causa 3 pontos de dano ao oponente alvo.</t>
  </si>
  <si>
    <t>Sun-Dappled Celebrant</t>
  </si>
  <si>
    <t>Convoke (Your creatures can help cast this spell. Each creature you tap while casting this spell pays for {1} or one mana of that creature's color.) Vigilance</t>
  </si>
  <si>
    <t>Sunblade Samurai / Samurai da Lâmina Solar</t>
  </si>
  <si>
    <t>Vigilance (Attacking doesn't cause this creature to tap.) Channel — {2}, Discard this card: Search your library for a basic Plains card, reveal it, put it into your hand, then shuffle. You gain 2 life. / Vigilância Canalizar — {2}, descarte Samurai da Lâmina Solar: Procure em seu grimório um card de Planície básica, revele-o, coloque-o em sua mão e depois embaralhe. Você ganha 2 pontos de vida.</t>
  </si>
  <si>
    <t>Sunder Shaman / Xamã Rachador</t>
  </si>
  <si>
    <t>Creature — Giant Shaman / Criatura — Gigante Xamã</t>
  </si>
  <si>
    <t>This creature can't be blocked by more than one creature. Whenever this creature deals combat damage to a player, destroy target artifact or enchantment that player controls. / Xamã Rachador não pode ser bloqueado por mais de uma criatura. Toda vez que Xamã Rachador causar dano de combate a um jogador, destrua o artefato ou o encantamento alvo que aquele jogador controla.</t>
  </si>
  <si>
    <t>{R}{R}{G}{G}</t>
  </si>
  <si>
    <t>Sundering Growth / Crescimento Despedaçador</t>
  </si>
  <si>
    <t>Destroy target artifact or enchantment, then populate. (Create a token that's a copy of a creature token you control.) / Destrua o artefato ou encantamento alvo e depois povoe. (Coloque no campo de batalha uma ficha que seja uma cópia de uma ficha de criatura que você controla.)</t>
  </si>
  <si>
    <t>{G/W}{G/W}</t>
  </si>
  <si>
    <t>Sungrace Pegasus / Pégaso da Graça Solar</t>
  </si>
  <si>
    <t>Flying Lifelink (Damage dealt by this creature also causes you to gain that much life.) / Voar (Esta criatura só pode ser bloqueada por criaturas com voar ou alcance.) Vínculo com a vida (O dano causado por esta criatura faz com que você ganhe uma quantidade equivalente de pontos de vida.)</t>
  </si>
  <si>
    <t>Sunken City / Cidade Submersa</t>
  </si>
  <si>
    <t>At the beginning of your upkeep, sacrifice this enchantment unless you pay {U}{U}. Blue creatures get +1/+1.</t>
  </si>
  <si>
    <t>Sunlance / Lança Solar</t>
  </si>
  <si>
    <t>Sunlance deals 3 damage to target nonwhite creature. / Lança Solar causa 3 pontos de dano à criatura alvo que não seja branca.</t>
  </si>
  <si>
    <t>Sunshower Druid</t>
  </si>
  <si>
    <t>Creature — Frog Druid</t>
  </si>
  <si>
    <t>When this creature enters, put a +1/+1 counter on target creature and you gain 1 life.</t>
  </si>
  <si>
    <t>Sunstar Lightsmith / Forjador de Luz de Solestrela</t>
  </si>
  <si>
    <t>Criatura — Humano Artífice</t>
  </si>
  <si>
    <t>Sempre que você conjurar sua segunda mágica a cada turno, coloque um marcador +1/+1 nesta criatura e compre um card.</t>
  </si>
  <si>
    <t>Super Intelligence</t>
  </si>
  <si>
    <t>Enchant creature At the beginning of the upkeep of enchanted creature's controller, that player draws a card.</t>
  </si>
  <si>
    <t>Suplex / Suplex</t>
  </si>
  <si>
    <t>Escolha um — • Suplex causa 3 de dano à criatura alvo. Se aquela criatura fosse morrer este turno, em vez disso, exile-a. • Exile o artefato alvo.</t>
  </si>
  <si>
    <t>Supply-Line Cranes / Grous de Suprimento</t>
  </si>
  <si>
    <t>Flying When this creature enters, put a +1/+1 counter on target creature. / Voar Quando Grous de Suprimento entrar no campo de batalha, coloque um marcador +1/+1 na criatura alvo.</t>
  </si>
  <si>
    <t>Suppression Bonds / Correntes de Supressão</t>
  </si>
  <si>
    <t>Enchant nonland permanent Enchanted permanent can't attack or block, and its activated abilities can't be activated. / Encantar permanente que não seja terrenoA permanente encantada não pode atacar nem bloquear e suas habilidades ativadas não podem ser ativadas.</t>
  </si>
  <si>
    <t>Supreme Will / Vontade Suprema</t>
  </si>
  <si>
    <t>Choose one — • Counter target spell unless its controller pays {3}. • Look at the top four cards of your library. Put one of them into your hand and the rest on the bottom of your library in any order. / Escolha um — • Anule a mágica alvo, a menos que seu controlador pague {3}. • Olhe os quatro cards do topo do seu grimório. Coloque um deles na sua mão e os restantes no fundo do seu grimório em qualquer ordem.</t>
  </si>
  <si>
    <t>Suprimentos de Reserva / Spare Supplies</t>
  </si>
  <si>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</si>
  <si>
    <t>Sure Strike / Golpe Certeiro</t>
  </si>
  <si>
    <t>Target creature gets +3/+0 and gains first strike until end of turn. (It deals combat damage before creatures without first strike.) / A criatura alvo recebe +3/+0 e ganha iniciativa até o final do turno.</t>
  </si>
  <si>
    <t>Surge of Righteousness / Surto de Retidão</t>
  </si>
  <si>
    <t>Destroy target black or red creature that's attacking or blocking. You gain 2 life. / Destrua a criatura alvo preta ou vermelha que estiver atacando ou bloqueando. Você ganha 2 pontos de vida.</t>
  </si>
  <si>
    <t>Surging Dementia / Demência Ondulante</t>
  </si>
  <si>
    <t>Ripple 4 (When you cast this spell, you may reveal the top four cards of your library. You may cast spells with the same name as this spell from among those cards without paying their mana costs. Put the rest on the bottom of your library.) Target player discards a card. / Ondular 4 (Quando você joga esta mágica, você pode revelar os quatro cards do topo de seu grimório. Você pode jogar quaisquer cards revelados com o mesmo nome desta mágica sem pagar seus custos de mana. Coloque o resto no fundo de seu grimório.) O jogador alvo descarta um card.</t>
  </si>
  <si>
    <t>Surrak, the Hunt Caller / Surrak, o Convocador da Caçada</t>
  </si>
  <si>
    <t>Formidable — At the beginning of combat on your turn, if creatures you control have total power 8 or greater, target creature you control gains haste until end of turn. (It can attack and {T} no matter when it came under your control.) / Formidável — No início do combate no seu turno, se o total de poder das criaturas que você controla for igual ou superior a 8, a criatura alvo que você controla ganha ímpeto até o final do turno.</t>
  </si>
  <si>
    <t>Surrakar Banisher / Banidor Surrakar</t>
  </si>
  <si>
    <t>Creature — Surrakar / Criatura — Surrakar</t>
  </si>
  <si>
    <t>When this creature enters, you may return target tapped creature to its owner's hand. / Quando Banidor Surrakar entra no campo de batalha, você pode devolver a criatura virada alvo para a mão de seu dono.</t>
  </si>
  <si>
    <t>Svyelunite Temple / Templo Svyelunita</t>
  </si>
  <si>
    <t>Svyelunite Temple comes into play tapped. {T}: Add {U} to your mana pool. {T}, Sacrifice Svyelunite Temple: Add {U}{U} to your mana pool.</t>
  </si>
  <si>
    <t>Swallowed by Leviathan / Engolido por Leviatã</t>
  </si>
  <si>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</si>
  <si>
    <t>Swamp / Pântano</t>
  </si>
  <si>
    <t>Basic Land — Swamp / Terreno Básico — Pântano</t>
  </si>
  <si>
    <t>({T}: Add {B}.) / B</t>
  </si>
  <si>
    <t xml:space="preserve">Marvel Super Heroes (MSH) </t>
  </si>
  <si>
    <t>Marvel Super Heroes (MSH) FA 281</t>
  </si>
  <si>
    <t>Swampsnare Trap</t>
  </si>
  <si>
    <t>This spell costs {1} less to cast if it targets a creature with flying. Enchant creature Enchanted creature gets -5/-3.</t>
  </si>
  <si>
    <t>Swarm Guildmage / Mago da Guilda do Enxame</t>
  </si>
  <si>
    <t>{4}{B}, {T}: Creatures you control get +1/+0 and gain menace until end of turn. (They can't be blocked except by two or more creatures.) {1}{G}, {T}: You gain 2 life. / {4}{B}, {T}: As criaturas que você controla recebem +1/+0 e ganham ameaçar até o final do turno. (Elas só podem ser bloqueadas por duas ou mais criaturas.) {1}{G}, {T}: Você ganha 2 pontos de vida.</t>
  </si>
  <si>
    <t>Swarmborn Giant / Gigante do Enxame</t>
  </si>
  <si>
    <t>When you're dealt combat damage, sacrifice this creature. {4}{G}{G}: Monstrosity 2. (If this creature isn't monstrous, put two +1/+1 counters on it and it becomes monstrous.) As long as this creature is monstrous, it has reach. / Quando você sofrer dano de combate, sacrifique Gigante do Enxame. {4}{G}{G}: Monstruosidade 2. (Se esta criatura não for monstruosa, coloque dois marcadores +1/+1 nela e ela se tornará monstruosa.) Enquanto Gigante do Enxame for monstruoso, ele terá alcance.</t>
  </si>
  <si>
    <t>Swarming Goblins / Enxame de Goblins</t>
  </si>
  <si>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</si>
  <si>
    <t>Swathcutter Giant / Gigante Abre-claros</t>
  </si>
  <si>
    <t>Vigilance Whenever this creature attacks, it deals 1 damage to each creature defending player controls. / Vigilância Toda vez que Gigante Abre-claros ataca, ele causa 1 ponto de dano a cada criatura que o jogador defensor controla.</t>
  </si>
  <si>
    <t>{4}{R}{W}</t>
  </si>
  <si>
    <t>Sweep Away / Varrer</t>
  </si>
  <si>
    <t>Return target creature to its owner's hand. If that creature is attacking, you may put it on top of its owner's library instead. / Devolva a criatura alvo para a mão de seu dono. Se aquela criatura estiver atacando, em vez disso, você pode colocá-la no topo do grimório de seu dono.</t>
  </si>
  <si>
    <t>Swift Justice / Justiça Veloz</t>
  </si>
  <si>
    <t>Até o final do turno, a criatura alvo recebe +1/+0 e ganha iniciativa e vínculo com a vida.</t>
  </si>
  <si>
    <t>Swift Kick / Chute Veloz</t>
  </si>
  <si>
    <t>Target creature you control gets +1/+0 until end of turn. It fights target creature you don't control. / A criatura alvo que você controla recebe +1/+0 até o final do turno. Ela luta com a criatura alvo que você não controla.</t>
  </si>
  <si>
    <t>Swiftfoot Boots / Botas Pé-ligeiro</t>
  </si>
  <si>
    <t>Equipped creature has hexproof and haste. (It can't be the target of spells or abilities your opponents control. It can attack and {T} no matter when it came under your control.) Equip {1} ({1}: Attach to target creature you control. Equip only as a sorcery.) / A criatura equipada tem resistência a magia e ímpeto. (Ela não pode ser alvo de mágicas nem de habilidades que seus oponentes controlam.) Equipar {1}</t>
  </si>
  <si>
    <t>Commander 2013 (C13)</t>
  </si>
  <si>
    <t>Swiftwing Assailant</t>
  </si>
  <si>
    <t>Creature — Bird Warrior</t>
  </si>
  <si>
    <t>Flying Start your engines! (If you have no speed, it starts at 1. It increases once on each of your turns when an opponent loses life. Max speed is 4.) Max speed — This creature gets +0/+1 and has vigilance.</t>
  </si>
  <si>
    <t>Swirling Sandstorm / Redemoinho de Areia</t>
  </si>
  <si>
    <t>Threshold — Swirling Sandstorm deals 5 damage to each creature without flying if there are seven or more cards in your graveyard. / Limiar Redemoinho de Areia causa 5 pontos de dano a cada criatura que não tenha a habilidade de voar. (Você atinge o limiar se houver sete ou mais cards em seu cemitério.)</t>
  </si>
  <si>
    <t>Sworn Companions / Companheiros Jurados</t>
  </si>
  <si>
    <t>Create two 1/1 white Soldier creature tokens with lifelink. / Crie duas fichas de criatura branca 1/1 do tipo Soldado com vínculo com a vida.</t>
  </si>
  <si>
    <t>Sylvan Ranger / Guardiã das Matas</t>
  </si>
  <si>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</si>
  <si>
    <t>Sylvan Safekeeper / Guardião da Floresta</t>
  </si>
  <si>
    <t>{0}, Sacrifice a land: Target creature you control gains shroud until end of turn. / {0}, Sacrifique um terreno: A criatura alvo que você controla ganha manto até o final do turno.</t>
  </si>
  <si>
    <t>Sylvan Scrying / Auspício Silvestre</t>
  </si>
  <si>
    <t>Search your library for a land card, reveal it, and put it into your hand. Then shuffle. / Procure um card de terreno em seu grimório, revele-o e coloque-o em sua mão. Depois, embaralhe seu grimório.</t>
  </si>
  <si>
    <t>Search your library for a land card, reveal it, put it into your hand, then shuffle. / Procure um card de terreno em seu grimório, revele-o e coloque-o em sua mão. Depois, embaralhe seu grimório.</t>
  </si>
  <si>
    <t>Sylvok Replica / Réplica de Silvoque</t>
  </si>
  <si>
    <t>Artifact Creature — Shaman / Criatura Artefato — Xamã</t>
  </si>
  <si>
    <t>{G}, Sacrifice this creature: Destroy target artifact or enchantment. / {G}, Sacrifique Réplica de Silvoque: Destrua o artefato ou o encantamento alvo.</t>
  </si>
  <si>
    <t>Symbiotic Beast / Besta Simbiótica</t>
  </si>
  <si>
    <t>Creature — Insect Beast / Criatura — Inseto Besta</t>
  </si>
  <si>
    <t>When this creature dies, create four 1/1 green Insect creature tokens. / Quando Besta Simbiótica morrer, crie quatro fichas de criatura Inseto verde 1/1.</t>
  </si>
  <si>
    <t>Syncopate / Sincopar</t>
  </si>
  <si>
    <t>Counter target spell unless its controller pays {X}. If that spell is countered this way, exile it instead of putting it into its owner's graveyard. / Anule a mágica alvo, a menos que seu controlador pague {X}. Se aquela mágica for anulada dessa maneira, exile-a em vez de colocá-la no cemitério de seu dono.</t>
  </si>
  <si>
    <t>Syncopate / Síncope</t>
  </si>
  <si>
    <t>Anule a mágica alvo, a menos que seu controlador pague {X}. Se aquela mágica for anulada deste modo, exile-a em vez de colocá-la no cemitério de seu dono.</t>
  </si>
  <si>
    <t>Syndicate Guildmage / Mago de Guilda do Sindicato</t>
  </si>
  <si>
    <t>{1}{W}, {T}: Tap target creature with power 4 or greater. {4}{B}, {T}: This creature deals 2 damage to target opponent or planeswalker. / {1}{W}, {T}: Vire a criatura alvo com poder igual ou superior a 4. {4}{B}, {T}: Mago de Guilda do Sindicato causa 2 pontos de dano ao oponente ou planeswalker alvo.</t>
  </si>
  <si>
    <t>Syndicate Messenger / Mensageiro do Sindicato</t>
  </si>
  <si>
    <t>Flying Afterlife 1 (When this creature dies, create a 1/1 white and black Spirit creature token with flying.) / Voar Pós-vida 1 (Quando esta criatura morrer, crie uma ficha de criatura branca e preta 1/1 do tipo Espírito com voar.)</t>
  </si>
  <si>
    <t>Syphon Soul / Drenar Alma</t>
  </si>
  <si>
    <t>Syphon Soul deals 2 damage to each other player. You gain life equal to the damage dealt this way. / Drenar Alma causa 2 pontos de dano a cada um dos outros jogadores. Você ganha uma quantidade de pontos de vida igual ao dano causado desta maneira.</t>
  </si>
  <si>
    <t>Syr Alin, the Lion's Claw / Syr Alin, a Garra do Leão</t>
  </si>
  <si>
    <t>First strike (This creature deals combat damage before creatures without first strike.) Whenever Syr Alin attacks, other creatures you control get +1/+1 until end of turn. / Iniciativa Toda vez que Syr Alin, a Garra do Leão, ataca, as outras criaturas que você controla recebem +1/+1 até o final do turno.</t>
  </si>
  <si>
    <t>Syr Armont, the Redeemer / Syr Armont, a Redentora</t>
  </si>
  <si>
    <t>When Syr Armont enters, create a Monster Role token attached to another target creature you control. (If you control another Role on it, put that one into the graveyard. Enchanted creature gets +1/+1 and has trample.) Enchanted creatures you control get +1/+1. / Quando Syr Armont, a Redentora, entrar no campo de batalha, crie uma ficha de Papel de Monstro anexada a outra criatura alvo que você controla. (Se você controlar outro Papel nela, coloque aquele no cemitério. A criatura encantada recebe +1/+1 e tem atropelar.) As criaturas encantadas que você controla recebem +1/+1.</t>
  </si>
  <si>
    <t>Syr Faren, the Hengehammer / Syr Faren, Martelo do Círculo</t>
  </si>
  <si>
    <t>Whenever Syr Faren attacks, another target attacking creature gets +X/+X until end of turn, where X is Syr Faren's power. / Toda vez que Syr Faren, Martelo do Círculo, ataca, outra criatura atacante alvo recebe +X/+X até o final do turno, sendo X o poder de Syr Faren.</t>
  </si>
  <si>
    <t>Taborax, Hope's Demise / Taborax, Fim da Esperança</t>
  </si>
  <si>
    <t>Legendary Creature — Demon Cleric / Criatura Lendária — Demônio Clérigo</t>
  </si>
  <si>
    <t>Flying Taborax has lifelink as long as it has five or more +1/+1 counters on it. Whenever another nontoken creature you control dies, put a +1/+1 counter on Taborax. If that creature was a Cleric, you may draw a card. If you do, you lose 1 life. / Voar Taborax, Fim da Esperança, terá vínculo com a vida enquanto tiver cinco ou mais marcadores +1/+1. Toda vez que outra criatura que você controla que não seja ficha morrer, coloque um marcador +1/+1 em Taborax. Se aquela criatura era um Clérigo, você pode comprar um card. Se fizer isso, você perde 1 ponto de vida.</t>
  </si>
  <si>
    <t>Tah-Crop Skirmisher / Escaramuçadora da Safra Tah</t>
  </si>
  <si>
    <t>Embalm {3}{U} ({3}{U}, Exile this card from your graveyard: Create a token that's a copy of it, except it's a white Zombie Snake Warrior with no mana cost. Embalm only as a sorcery.) / Embalsamar {3}{U} ({3}{U}, Exile este card de seu cemitério: Crie uma ficha que seja uma cópia dele, com a exceção de ser um Zumbi Naga Guerreiro branco sem custo de mana. Embalsame somente como um feitiço.)</t>
  </si>
  <si>
    <t>Taigam's Strike / Golpe de Taigam</t>
  </si>
  <si>
    <t>Target creature gets +2/+0 until end of turn and can't be blocked this turn. Rebound (If you cast this spell from your hand, exile it as it resolves. At the beginning of your next upkeep, you may cast this card from exile without paying its mana cost.) / A criatura alvo recebe +2/+0 até o final do turno e não pode ser bloqueada neste turno. Rebote (Se você conjurar esta mágica da sua mão, exile-a conforme ela for resolvida. No início de sua próxima manutenção, você poderá conjurar este card a partir do exílio sem pagar seu custo de mana.)</t>
  </si>
  <si>
    <t>Tainted Treats</t>
  </si>
  <si>
    <t>Destroy target artifact or creature. If its mana value was 4 or less, create a Food token. (It's an artifact with "{2}, {T}, Sacrifice this token: You gain 3 life.")</t>
  </si>
  <si>
    <t>Take Down / Abater</t>
  </si>
  <si>
    <t>Choose one — • Take Down deals 4 damage to target creature with flying. • Take Down deals 1 damage to each creature with flying. / Escolha um — • Abater causa 4 pontos de corpo de dano à criatura alvo com voar. • Abater causa 1 ponto de dano a cada criatura com voar.</t>
  </si>
  <si>
    <t>Take Heart / Tomar Coragem</t>
  </si>
  <si>
    <t>Target creature gets +2/+2 until end of turn. You gain 1 life for each attacking creature you control. / A criatura alvo recebe +2/+2 até o final do turno. Você ganha 1 ponto de vida para cada criatura atacante que você controla.</t>
  </si>
  <si>
    <t>Talas Air Ship</t>
  </si>
  <si>
    <t>Creature — Human Pirate</t>
  </si>
  <si>
    <t>Talassido Vigia-costa</t>
  </si>
  <si>
    <t>Criatura — Tritão Ladino</t>
  </si>
  <si>
    <t>Talassido Vigia-costa não pode ser bloqueado.</t>
  </si>
  <si>
    <t>Tale of Tinúviel / História de Tinúviel</t>
  </si>
  <si>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</si>
  <si>
    <t>Talent of the Telepath / Talento do Telepata</t>
  </si>
  <si>
    <t>Target opponent reveals the top seven cards of their library. You may cast an instant or sorcery spell from among them without paying its mana cost. Then that player puts the rest into their graveyard. Spell mastery — If there are two or more instant and/or sorcery cards in your graveyard, you may cast up to two instant and/or sorcery spells from among the revealed cards instead of one. / O oponente alvo revela sete cards do topo de seu próprio grimório. Você pode conjurar um card de mágica instantânea ou feitiço dentre eles sem pagar seu custo de mana. Depois, aquele jogador coloca o resto dos cards revelados no próprio cemitério.Maestria em magia — Se houver dois ou mais cards de mágica instantânea ou feitiço no seu cemitério, você poderá conjurar até dois cards de mágica instantânea ou feitiço, em vez de um.</t>
  </si>
  <si>
    <t>Tales of Master Seshiro // Seshiro's Living Legacy / Contos do Mestre Seshiro // Legado Vivo de Seshiro</t>
  </si>
  <si>
    <t>Enchantment — Saga // Enchantment Creature — Snake Warrior / Encantamento — Saga</t>
  </si>
  <si>
    <t>Tales of Master Seshiro: (As this Saga enters and after your draw step, add a lore counter.) I, II — Put a +1/+1 counter on target creature or Vehicle you control. It gains vigilance until end of turn. III — Exile this Saga, then return it to the battlefield transformed under your control. // Seshiro's Living Legacy: Vigilance, haste / (Conforme esta Saga entra e após sua etapa de compra, adicione um marcador de conhecimento.) I, II — Coloque um marcador +1/+1 na criatura ou no Veículo alvo que você controla. Ele ganha vigilância até o final do turno. III — Exile esta Saga, depois a devolva ao campo de batalha transformada sob seu controle.</t>
  </si>
  <si>
    <t>Talho das Sombras / Deadly Derision</t>
  </si>
  <si>
    <t>Esta mágica não pode ser anulada. A criatura alvo recebe -X/-X até o final do turno. / This spell can't be countered. Target creature gets -X/-X until end of turn.</t>
  </si>
  <si>
    <t>Tall as a Beanstalk / Alto como um Pé de Feijão</t>
  </si>
  <si>
    <t>Enchant creature. Enchanted creature gets +3/+3, has reach, and is a Giant in addition to its other types. / Encantar criatura. A criatura encantada recebe +3/+3, tem alcance e é um Gigante além de seus outros tipos.</t>
  </si>
  <si>
    <t>Talus Paladin / Paladino de Talus</t>
  </si>
  <si>
    <t>Creature — Human Knight Ally / Criatura — Humano Cavaleiro Aliado</t>
  </si>
  <si>
    <t>Whenever this creature or another Ally you control enters, you may have Allies you control gain lifelink until end of turn, and you may put a +1/+1 counter on this creature. / Toda vez que Paladino de Talus ou outro Aliado entra no campo de batalha sob o seu controle, você pode fazer com que os Aliados que controla ganhem vínculo com a vida até o final do turno, e você pode colocar um marcador +1/+1 em Paladino de Talus.</t>
  </si>
  <si>
    <t>Tambor de Folha Primaveril / Springleaf Drum</t>
  </si>
  <si>
    <t>Especial</t>
  </si>
  <si>
    <t>{T}, Vire uma criatura desvirada que você controla: Adicione um mana de qualquer cor.</t>
  </si>
  <si>
    <t>Secret Lair Play (SLP)</t>
  </si>
  <si>
    <t>Tamiyo's Logbook / Livro de Registros de Tamiyo</t>
  </si>
  <si>
    <t>Artifact — Book / Artefato</t>
  </si>
  <si>
    <t>{5}{U}, {T}: Draw a card. This ability costs {1} less to activate for each other artifact you control. / {5}{U}, {T}: Compre um card. Esta habilidade custa {1} a menos para ser ativada para cada outro artefato que você controla.</t>
  </si>
  <si>
    <t>Tangle Mantis / Mantídeo do Emaranhado</t>
  </si>
  <si>
    <t>Tannuk, Memorial Ensign</t>
  </si>
  <si>
    <t>Legendary Creature — Kavu Pilot</t>
  </si>
  <si>
    <t>Landfall — Whenever a land you control enters, Tannuk deals 1 damage to each opponent. If this is the second time this ability has resolved this turn, draw a card.</t>
  </si>
  <si>
    <t>Task Force / Força Tarefa</t>
  </si>
  <si>
    <t>Creature — Human Rebel</t>
  </si>
  <si>
    <t>Whenever this creature becomes the target of a spell or ability, it gets +0/+3 until end of turn.</t>
  </si>
  <si>
    <t>Tattermunge Duo / Duo de Masca-Trapo</t>
  </si>
  <si>
    <t>Creature — Goblin Warrior Shaman / Criatura — Goblin Guerreiro Xamã</t>
  </si>
  <si>
    <t>Whenever you cast a red spell, this creature gets +1/+1 until end of turn. Whenever you cast a green spell, this creature gains forestwalk until end of turn. (It can't be blocked as long as defending player controls a Forest.) / Toda vez que você joga uma mágica vermelha, Duo de Masca-Trapo recebe +1/+1 até o final do turno. Toda vez que você joga uma mágica verde, Duo de Masca-Trapo ganha travessia de floresta até o final do turno.</t>
  </si>
  <si>
    <t>Tavern Swindler / Vigarista da Taverna</t>
  </si>
  <si>
    <t>{T}, Pay 3 life: Flip a coin. If you win the flip, you gain 6 life. / {T}, pague 3 pontos de vida: Lance uma moeda. Se vencer, você ganha 6 pontos de vida.</t>
  </si>
  <si>
    <t>Tawnos's Wand / Cetro de Tawnos</t>
  </si>
  <si>
    <t>{2}, {T}: Target creature with power 2 or less can't be blocked this turn.</t>
  </si>
  <si>
    <t>Tawnos's Weaponry / Arsenal de Tawnos</t>
  </si>
  <si>
    <t>You may choose not to untap this artifact during your untap step. {2}, {T}: Target creature gets +1/+1 for as long as this artifact remains tapped.</t>
  </si>
  <si>
    <t>Tazeem Raptor / Raptor de Tazeem</t>
  </si>
  <si>
    <t>Flying When this creature enters, you may return a land you control to its owner's hand. / Voar Quando Raptor de Tazeem entra no campo de batalha, você pode devolver um terreno que você controla para a mão de seu dono.</t>
  </si>
  <si>
    <t>TCRI Building</t>
  </si>
  <si>
    <t>This land enters tapped. When this land enters, you gain 1 life. {T}: Add {U} or {R}.</t>
  </si>
  <si>
    <t>Tectonic Hazard / Risco Tectônico</t>
  </si>
  <si>
    <t>Tectonic Hazard deals 1 damage to each opponent and each creature they control. / Risco Tectônico causa 1 ponto de dano a cada oponente e a cada criatura que ele controla.</t>
  </si>
  <si>
    <t>Teeterpeak Ambusher / Emboscador dos Picos Vacilantes</t>
  </si>
  <si>
    <t>{2}{R}: This creature gets +2/+0 until end of turn. / {2}{R}: Emboscador dos Picos Vacilantes recebe +2/+0 até o final do turno.</t>
  </si>
  <si>
    <t>Telekinetic Sliver / Fractius Telecinético</t>
  </si>
  <si>
    <t>All Slivers have "{T}: Tap target permanent." / Todos os Fractius têm "{T}: Vire a permanente alvo."</t>
  </si>
  <si>
    <t>Telethopter / Telethóptero</t>
  </si>
  <si>
    <t>Tap a creature you control: Telethopter gains flying until end of turn.</t>
  </si>
  <si>
    <t>Telim'Tor / TelimíTor</t>
  </si>
  <si>
    <t>Legendary Creature — Human Knight</t>
  </si>
  <si>
    <t>Flanking (Whenever a creature without flanking blocks this creature, the blocking creature gets -1/-1 until end of turn.) Whenever Telim'Tor attacks, all attacking creatures with flanking get +1/+1 until end of turn.</t>
  </si>
  <si>
    <t>Tellah, Great Sage / Tellah, Grande Sábio</t>
  </si>
  <si>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</si>
  <si>
    <t>3UR</t>
  </si>
  <si>
    <t>Temp of the Damned / Temporário dos Malditos</t>
  </si>
  <si>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</si>
  <si>
    <t>Preto / Preto</t>
  </si>
  <si>
    <t>Tempest Hart // Scan the Clouds / Cervo da Tempestade // Varredura das Nuvens</t>
  </si>
  <si>
    <t>Creature — Elemental Elk // Instant — Adventure / Criatura — Elemental Alce</t>
  </si>
  <si>
    <t>Tempest Hart: Trample Whenever you cast a spell with mana value 5 or greater, put a +1/+1 counter on this creature. // Scan the Clouds: Draw two cards, then discard two cards. (Then exile this card. You may cast the creature later from exile.) / Atropelar Toda vez que você conjurar uma mágica com valor de mana igual ou superior a 5, coloque um marcador +1/+1 em Cervo da Tempestade.</t>
  </si>
  <si>
    <t>{3}{G} // {1}{U}</t>
  </si>
  <si>
    <t>Temple of Plenty / Templo da Fartura</t>
  </si>
  <si>
    <t>This land enters tapped. When this land enters, scry 1. (Look at the top card of your library. You may put that card on the bottom.) {T}: Add {G} or {W}. / Templo da Fartura entra no campo de batalha virado. Quando Templo da Fartura entrar no campo de batalha, use vidência 1. (Olhe o card do topo de seu grimório. Você pode colocar aquele card no fundo de seu grimório.) {T}: Adicione {G} ou {W} à sua reserva de mana.</t>
  </si>
  <si>
    <t>Doctor Who (WHO)</t>
  </si>
  <si>
    <t>Temple of Silence / Templo do Silêncio</t>
  </si>
  <si>
    <t>This land enters tapped. When this land enters, scry 1. (Look at the top card of your library. You may put that card on the bottom.) {T}: Add {W} or {B}. / Templo do Silêncio entra no campo de batalha virado. Quando Templo do Silêncio entrar no campo de batalha, use vidência 1. (Olhe o card do topo de seu grimório. Você pode colocar aquele card no fundo de seu grimório.) {T}: Adicione {W} ou {B} à sua reserva de mana.</t>
  </si>
  <si>
    <t>Temple Thief / Ladrão de Templos</t>
  </si>
  <si>
    <t>This creature can't be blocked by enchanted creatures or enchantment creatures. / Ladrão de Templos não pode ser bloqueado por criaturas encantadas nem criaturas encantamento.</t>
  </si>
  <si>
    <t>Temporal Cleansing / Limpeza Temporal</t>
  </si>
  <si>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</si>
  <si>
    <t>Temporal Eddy / Turbilhão Temporal</t>
  </si>
  <si>
    <t>Put target creature or land on top of its owner's library. / Coloque a criatura alvo ou o terreno alvo no topo do grimório de seu dono.</t>
  </si>
  <si>
    <t>Temporal Fissure / Fissura Temporal</t>
  </si>
  <si>
    <t>Return target permanent to its owner's hand. Storm (When you cast this spell, copy it for each spell cast before it this turn. You may choose new targets for the copies.) / Devolve a permanente alvo para a mão de seu dono. Rajada (Quando você jogar esta mágica, faça uma cópia dela para cada mágica jogada antes dela neste turno. Você pode escolher novos alvos para as cópias.)</t>
  </si>
  <si>
    <t>Temur Charm / Amuleto Temur</t>
  </si>
  <si>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</si>
  <si>
    <t>{G}{U}{R}</t>
  </si>
  <si>
    <t>Tend the Sprigs</t>
  </si>
  <si>
    <t>Search your library for a basic land card, put it onto the battlefield tapped, then shuffle. Then if you control seven or more lands and/or Treefolk, create a 3/4 green Treefolk creature token with reach. (It can block creatures with flying.)</t>
  </si>
  <si>
    <t>Tender Wildguide</t>
  </si>
  <si>
    <t>Creature — Possum Druid</t>
  </si>
  <si>
    <t>Offspring {2} (You may pay an additional {2} as you cast this spell. If you do, when this creature enters, create a 1/1 token copy of it.) {T}: Add one mana of any color. {T}: Put a +1/+1 counter on this creature.</t>
  </si>
  <si>
    <t>Tenderize</t>
  </si>
  <si>
    <t>Tenement Crasher / Invasor de Habitação</t>
  </si>
  <si>
    <t>Haste / Ímpeto</t>
  </si>
  <si>
    <t>Tenth District Guard / Guarda do Décimo Distrito</t>
  </si>
  <si>
    <t>When this creature enters, target creature gets +0/+1 until end of turn. / Quando Guarda do Décimo Distrito entra no campo de batalha, a criatura alvo recebe +0/+1 até o final do turno.</t>
  </si>
  <si>
    <t>Teremko Griffin</t>
  </si>
  <si>
    <t>Criatura — Grifo / Summon Griffin</t>
  </si>
  <si>
    <t>Banding, flying</t>
  </si>
  <si>
    <t>Terminal de Rede / Network Terminal</t>
  </si>
  <si>
    <t>{T}: Adicione um mana de qualquer cor. {1}, {T}, vire outro artefato desvirado que você controla: Compre um card e depois descarte um card.</t>
  </si>
  <si>
    <t>Terramorphic Expanse / Imensidão Terramórfica</t>
  </si>
  <si>
    <t>{T}, Sacrifique Imensidão Terramórfica: Procure em seu grimório por um card de terreno básico e coloque-o no campo de batalha virado. Depois, embaralhe seu grimório.</t>
  </si>
  <si>
    <t>Terramorphic Expanse / Vastidão Morfoterrena</t>
  </si>
  <si>
    <t>{T}, Sacrifice this land: Search your library for a basic land card, put it onto the battlefield tapped, then shuffle. / {T}, sacrifique Vastidão Morfoterrena: Procure um card de terreno básico em seu grimório, coloque-o no campo de batalha virado e depois embaralhe seu grimório.</t>
  </si>
  <si>
    <t>Magic 2010</t>
  </si>
  <si>
    <t>Magic 2011</t>
  </si>
  <si>
    <t>Territorial Witchstalker / Farejador de Bruxa Territorial</t>
  </si>
  <si>
    <t>Defender At the beginning of combat on your turn, if you control a creature with power 4 or greater, this creature gets +1/+0 until end of turn and can attack this turn as though it didn't have defender. / Defensor No início do combate no seu turno, se você controla uma criatura com poder igual ou superior a 4, Farejador de Bruxa Territorial recebe +1/+0 até o final do turno e pode atacar neste turno como se não tivesse defensor.</t>
  </si>
  <si>
    <t>Terror</t>
  </si>
  <si>
    <t>Destroy target nonartifact, nonblack creature. It can't be regenerated. / Destrua a criatura alvo que não seja preta e nem artefato. Ela não pode ser regenerada.</t>
  </si>
  <si>
    <t>Terror of the Fairgrounds / Terror da Feira</t>
  </si>
  <si>
    <t>Teshar, Ancestor's Apostle / Teshar, Apóstolo da Ancestral</t>
  </si>
  <si>
    <t>Legendary Creature — Bird Cleric / Criatura Lendária — Ave Clérigo</t>
  </si>
  <si>
    <t>Flying Whenever you cast a historic spell, return target creature card with mana value 3 or less from your graveyard to the battlefield. (Artifacts, legendaries, and Sagas are historic.) / Voar Toda vez que você conjurar uma mágica histórica, devolva o card de criatura alvo com custo de mana convertido igual ou inferior a 3 de seu cemitério para o campo de batalha. (Os artefatos, os cards lendários e as Sagas são cards históricos.)</t>
  </si>
  <si>
    <t>Testament Bearer / Porta-testamento</t>
  </si>
  <si>
    <t>When this creature dies, look at the top three cards of your library. Put one of them into your hand and the rest into your graveyard. / Quando Porta-testamento morrer, olhe os três cards do topo de seu grimório. Coloque um deles em sua mão e o restante em seu cemitério.</t>
  </si>
  <si>
    <t>Thalia's Lancers / Lanceiras de Thalia</t>
  </si>
  <si>
    <t>First strike When this creature enters, you may search your library for a legendary card, reveal it, put it into your hand, then shuffle. / Iniciativa Quando Lanceiras de Thalia entra no campo de batalha, você pode procurar um card lendário em seu grimório, revelá-lo, colocá-lo em sua mão e depois embaralhar seu grimório.</t>
  </si>
  <si>
    <t>Thaumaton Torpedo / Torpede de Taumaton</t>
  </si>
  <si>
    <t>{6}, {T}, Sacrifique este artefato: Destrua a permanente não de terreno alvo. Esta habilidade custa {3} a menos para ser ativada se você atacou com uma Nave Espacial neste turno.</t>
  </si>
  <si>
    <t>Thaumaton Torpedo / Torpedo Taumaton</t>
  </si>
  <si>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</si>
  <si>
    <t>Aether Drift (EOE)</t>
  </si>
  <si>
    <t>Thawbringer / Trazedor do Degelo</t>
  </si>
  <si>
    <t>Criatura — Inseto Patrulheiro</t>
  </si>
  <si>
    <t>Quando esta criatura entrar ou morrer, vigie 1. (Olhe o card do topo de seu grimório. Você pode colocá-lo em seu cemitério.)</t>
  </si>
  <si>
    <t>The Binding of the Titans / O Aprisionamento dos Titãs</t>
  </si>
  <si>
    <t>(As this Saga enters and after your draw step, add a lore counter. Sacrifice after III.) I — Each player mills three cards. II — Exile up to two target cards from graveyards. For each creature card exiled this way, you gain 1 life. III — Return target creature or land card from your graveyard to your hand. / (Conforme esta Saga entra e após sua etapa de compra, adicione um marcador de conhecimento. Sacrifique-a após III.) I — Cada jogador coloca os três cards do topo do próprio grimório no próprio cemitério. II — Exile até dois cards alvo de cemitérios. Para cada card de criatura exilado dessa forma, você ganha 1 ponto de vida. III — Devolva o card de criatura ou terreno alvo de seu cemitério para sua mão.</t>
  </si>
  <si>
    <t>The Brute / O Bruto</t>
  </si>
  <si>
    <t>Enchant creature Enchanted creature gets +1/+0. {R}{R}{R}: Regenerate enchanted creature. / A criatura-alvo ganha +1/+0. {R}{R}{R}: Regenera a criatura-alvo encantada pelo Bruto.</t>
  </si>
  <si>
    <t>The Cheese Stands Alone</t>
  </si>
  <si>
    <t>If you control no cards in play other than The Cheese Stands Alone and have no cards in your hand, you win the game.</t>
  </si>
  <si>
    <t>The Cloning of Shredder</t>
  </si>
  <si>
    <t>(As this Saga enters and after your draw step, add a lore counter. Sacrifice after III.) I — Exile target creature card from your graveyard. Create a token that's a copy of it, except it isn't legendary and is a Mutant in addition to its other types. II, III — Create a token that's a copy of a card exiled with this Saga, except it isn't legendary and is a Mutant in addition to its other types.</t>
  </si>
  <si>
    <t>The Crystal's Chosen / Os Escolhidos do Cristal</t>
  </si>
  <si>
    <t>Crie quatro fichas de criatura Herói incolor 1/1. Depois, coloque um marcador +1/+1 em cada criatura que você controla.</t>
  </si>
  <si>
    <t>5{W}{W}</t>
  </si>
  <si>
    <t>The Dross Pits / Os Poços de Dross</t>
  </si>
  <si>
    <t>Land — Sphere / Terreno — Esfera</t>
  </si>
  <si>
    <t>This land enters tapped. {T}: Add {B}. {1}{B}, {T}, Sacrifice this land: Draw a card. / Os Poços de Dross entra no campo de batalha virado. {T}: Adicione {B}. {1}{B}, {T}, sacrifique Os Poços de Dross: Compre um card.</t>
  </si>
  <si>
    <t>The Earth King</t>
  </si>
  <si>
    <t>When The Earth King enters, create a 4/4 green Bear creature token. Whenever one or more creatures you control with power 4 or greater attack, search your library for up to that many basic land cards, put them onto the battlefield tapped, then shuffle.</t>
  </si>
  <si>
    <t>The Falcon, Sam Wilson</t>
  </si>
  <si>
    <t>Flying (This creature can't be blocked except by creatures with flying or reach.) When The Falcon enters, put a +1/+1 counter on each other creature you control.</t>
  </si>
  <si>
    <t>The Fallen</t>
  </si>
  <si>
    <t>At the beginning of your upkeep, this creature deals 1 damage to each opponent and planeswalker it has dealt damage to this game.</t>
  </si>
  <si>
    <t>{1}{B}{B}{B}</t>
  </si>
  <si>
    <t>The Final Days / Os Dias Finais</t>
  </si>
  <si>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</si>
  <si>
    <t>The First Eruption / A Primeira Erupção</t>
  </si>
  <si>
    <t>(As this Saga enters and after your draw step, add a lore counter. Sacrifice after III.) I — This Saga deals 1 damage to each creature without flying. II — Add {R}{R}. III — Sacrifice a Mountain. If you do, this Saga deals 3 damage to each creature. / (Conforme esta Saga entra e após sua etapa de compra, adicione um marcador de conhecimento. Sacrifique-a após III.) I — A Primeira Erupção causa 1 ponto de dano a cada criatura sem voar. II — Adicione {R}{R}. III — Sacrifique uma Montanha. Se fizer isso, A Primeira Erupção causará 3 pontos de dano a cada criatura.</t>
  </si>
  <si>
    <t>The First Iroan Games / Os Primeiros Jogos Iroanos</t>
  </si>
  <si>
    <t>(As this Saga enters and after your draw step, add a lore counter. Sacrifice after IV.) I — Create a 1/1 white Human Soldier creature token. II — Put three +1/+1 counters on target creature you control. III — If you control a creature with power 4 or greater, draw two cards. IV — Create a Gold token. (It's an artifact with "Sacrifice this token: Add one mana of any color.") / (Conforme esta Saga entra e após sua etapa de compra, adicione um marcador de conhecimento. Sacrifique-a após IV.) I — Crie uma ficha de criatura branca 1/1 do tipo Humano Soldado. II — Coloque três marcadores +1/+1 na criatura alvo que você controla. III — Se você controlar uma criatura com poder igual ou superior a 4, compre dois cards. IV — Crie uma ficha de Ouro.</t>
  </si>
  <si>
    <t>The Flame of Keld / A Chama de Keld</t>
  </si>
  <si>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</si>
  <si>
    <t>The Gold Saucer / O Gold Saucer</t>
  </si>
  <si>
    <t>{T}: Adicione {C}. {2}, {T}: Jogue uma moeda. Se você ganhar na moeda, crie uma ficha de Tesouro. {3}, {T}, Sacrifique dois artefatos: Compre um card.</t>
  </si>
  <si>
    <t>The Grey Havens / Os Portos Cinzentos</t>
  </si>
  <si>
    <t>Legendary Land / Terreno Lendário</t>
  </si>
  <si>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</si>
  <si>
    <t>The Hive / A Colméia</t>
  </si>
  <si>
    <t>{5}, {T}: Create a 1/1 colorless Insect artifact creature token with flying named Wasp. (It can't be blocked except by creatures with flying or reach.) / {5}, {T}: Coloque em jogo uma ficha de criatura artefato 1/1 do tipo Inseto com a habilidade de voar chamada Vespa. (Ela só pode ser bloqueada por criaturas com a habilidade de voar ou alcance.)</t>
  </si>
  <si>
    <t>The Imperial City of Archades // Wall of Omens / A Cidade Imperial de Archades // Barreira de Augúrios</t>
  </si>
  <si>
    <t>Criatura — Barreira</t>
  </si>
  <si>
    <t>Defensor. Quando esta criatura entrar, compre um card.</t>
  </si>
  <si>
    <t>The Lady of the Mountain</t>
  </si>
  <si>
    <t>Her given name has been lost in the mists of time. Legend says that her silent vigil will one day be ended by the one who, pure of heart and spirit, calls out that name again.</t>
  </si>
  <si>
    <t>{4}{G}{R}</t>
  </si>
  <si>
    <t>The Last Ronin's Technique</t>
  </si>
  <si>
    <t>Sneak {1}{W} (You may cast this spell for {1}{W} if you also return an unblocked attacker you control to hand during the declare blockers step.) Create three 1/1 white Ninja Turtle Spirit creature tokens. If this spell's sneak cost was paid, they enter tapped and attacking.</t>
  </si>
  <si>
    <t>The Lunar Whale / A Baleia Lunar</t>
  </si>
  <si>
    <t>Voar. Você pode olhar o card do topo de seu grimório a qualquer momento. Enquanto A Baleia Lunar tiver atacado neste turno, você poderá jogar o card do topo de seu grimório. Tripular 1</t>
  </si>
  <si>
    <t>The Masamune / A Masamune</t>
  </si>
  <si>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</si>
  <si>
    <t>The Masters of Evil / Os Mestres do Terror</t>
  </si>
  <si>
    <t>Outros Vilões que você controla recebem +2/+1. {1}{B}, Descarte este card: Procure em seu grimório por um card de Plano, revele-o, coloque-o em sua mão e depois embaralhe.</t>
  </si>
  <si>
    <t>5{B}</t>
  </si>
  <si>
    <t>The Mirari Conjecture / A Conjectura do Mirari</t>
  </si>
  <si>
    <t>(As this Saga enters and after your draw step, add a lore counter. Sacrifice after III.) I — Return target instant card from your graveyard to your hand. II — Return target sorcery card from your graveyard to your hand. III — Until end of turn, whenever you cast an instant or sorcery spell, copy it. You may choose new targets for the copy. / (Conforme esta Saga entra e após sua etapa de compra, adicione um marcador de conhecimento. Sacrifique-a após III.) I — Devolva o card de mágica instantânea alvo de seu cemitério para sua mão. II — Devolva o card de feitiço alvo de seu cemitério para sua mão. III — Até o final do turno, toda vez que você conjurar uma mágica instantânea ou um feitiço, copie-o. Você pode escolher novos alvos para a cópia.</t>
  </si>
  <si>
    <t>The Neutrinos</t>
  </si>
  <si>
    <t>Legendary Creature — Elf Rebel</t>
  </si>
  <si>
    <t>Flying Alliance — Whenever another creature you control enters, The Neutrinos get +1/+0 until end of turn. Whenever The Neutrinos attack, exile up to one target creature you own, then return it to the battlefield under your control tapped and attacking.</t>
  </si>
  <si>
    <t>The Prima Vista / O Prima Vista</t>
  </si>
  <si>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</si>
  <si>
    <t>The Regalia / O Regalia</t>
  </si>
  <si>
    <t>Ímpeto. Sempre que O Regalia atacar, revele cards do topo de seu grimório até revelar um card de terreno. Coloque aquele card no campo de batalha virado e o restante no fundo de seu grimório em uma ordem aleatória. Tripular 1</t>
  </si>
  <si>
    <t>The Scorpion God / O Deus Escorpião</t>
  </si>
  <si>
    <t>Legendary Creature — God / Criatura Lendária — Deus</t>
  </si>
  <si>
    <t>Whenever a creature with a -1/-1 counter on it dies, draw a card. {1}{B}{R}: Put a -1/-1 counter on another target creature. When The Scorpion God dies, return it to its owner's hand at the beginning of the next end step. / Toda vez que uma criatura com um marcador -1/-1 morrer, compre um card. {1}{B}{R}: Coloque um marcador -1/-1 em outra criatura alvo. Quando O Deus Escorpião morrer, devolva-o para a mão de seu dono no início da próxima etapa final.</t>
  </si>
  <si>
    <t>The Shattered States Era // Nameless Conqueror / A Era dos Estados Despedaçados // Conquistador Sem Nome</t>
  </si>
  <si>
    <t>Enchantment — Saga // Enchantment Creature — Human Samurai / Encantamento — Saga</t>
  </si>
  <si>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</si>
  <si>
    <t>The Spirit Oasis</t>
  </si>
  <si>
    <t>When The Spirit Oasis enters, draw a card for each Shrine you control. Whenever another Shrine you control enters, draw a card.</t>
  </si>
  <si>
    <t>The Three Seasons / As Três Estações</t>
  </si>
  <si>
    <t>(As this Saga enters and after your draw step, add a lore counter. Sacrifice after III.) I — Mill three cards. II — Return up to two target snow permanent cards from your graveyard to your hand. III — Choose three cards in each graveyard. Their owners shuffle those cards into their libraries. / (Conforme esta Saga entra e após sua etapa de compra, adicione um marcador de conhecimento. Sacrifique-a após III.) I — Triture três cards. II — Devolva até dois cards de permanente da neve alvo de seu cemitério para sua mão. III — Escolha três cards em cada cemitério. Seus donos embaralham aqueles cards em seus cemitérios.</t>
  </si>
  <si>
    <t>The Wandering Minstrel / O Menestrel Errante</t>
  </si>
  <si>
    <t>Criatura Lendária — Humano Bardo</t>
  </si>
  <si>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</si>
  <si>
    <t>GU</t>
  </si>
  <si>
    <t>The Wasp, Janet Van Dyne</t>
  </si>
  <si>
    <t>Flying (This creature can't be blocked except by creatures with flying or reach.) When The Wasp enters, she deals 4 damage to target tapped creature an opponent controls.</t>
  </si>
  <si>
    <t>The Wilds / As Terras Selvagens</t>
  </si>
  <si>
    <t>Plane — Eldraine / Plano — Eldraine</t>
  </si>
  <si>
    <t>When you planeswalk to The Wilds and at the beginning of your upkeep, create a Food token. Whenever chaos ensues, target player sacrifices a creature of their choice. If they do, you create a Food token. You create two Food tokens instead if the sacrificed creature's toughness was 4 or greater. / Quando você transplanar para As Terras Selvagens e no início de sua manutenção, crie uma ficha de Comida. Toda vez que o caos se instaura, o jogador alvo sacrifica uma criatura. Se ele fizer isso, você cria uma ficha de Comida. Se a resistência da criatura sacrificada era igual ou superior a 4, você cria, em vez disso, duas fichas de Comida.</t>
  </si>
  <si>
    <t>March of the Machine Commander (MOC)</t>
  </si>
  <si>
    <t>The Witch's Vanity / A Vaidade da Bruxa</t>
  </si>
  <si>
    <t>(As this Saga enters and after your draw step, add a lore counter. Sacrifice after III.) I — Destroy target creature an opponent controls with mana value 2 or less. II — Create a Food token. (It's an artifact with "{2}, {T}, Sacrifice this token: You gain 3 life.") III — Create a Wicked Role token attached to target creature you control. / (Conforme esta Saga entra e após sua etapa de compra, adicione um marcador de conhecimento. Sacrifique-a após III.) I — Destrua a criatura alvo que um oponente controla com valor de mana igual ou inferior a 2. II — Crie uma ficha de Comida. (Ela é um artefato com "{2}, {T}, sacrifique este artefato: Você ganha 3 pontos de vida".) III — Crie uma ficha de Papel de Malvado anexada à criatura alvo que você controla.</t>
  </si>
  <si>
    <t>Theater of Horrors / Teatro de Horrores</t>
  </si>
  <si>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</si>
  <si>
    <t>Forgotten Realms Commander</t>
  </si>
  <si>
    <t>Théoden, Rei de Rohan / Théoden, King of Rohan</t>
  </si>
  <si>
    <t>Toda vez que Théoden, Rei de Rohan, ou outro Humano entra no campo de batalha sob seu controle, a criatura alvo ganha golpe duplo até o final do turno.</t>
  </si>
  <si>
    <t>1{R}{W}</t>
  </si>
  <si>
    <t>Thermal Glider / Planador Térmico</t>
  </si>
  <si>
    <t>Flying, protection from red. / Voar, proteção contra o vermelho.</t>
  </si>
  <si>
    <t>Thieving Magpie / Gralha Larápia</t>
  </si>
  <si>
    <t>Flying (This creature can't be blocked except by creatures with flying or reach.) Whenever this creature deals damage to an opponent, draw a card. / Voar (Esta criatura só pode ser bloqueada por criaturas com a habilidade de voar ou alcance.) Toda vez que Gralha Larápia causa dano a um oponente, você compra um card.</t>
  </si>
  <si>
    <t>Thieving Otter / Lontra Ladra</t>
  </si>
  <si>
    <t>Creature — Otter / Criatura — Lontra</t>
  </si>
  <si>
    <t>Whenever this creature deals damage to an opponent, draw a card. / Toda vez que Lontra Ladra causar dano a um oponente, compre um card.</t>
  </si>
  <si>
    <t>Thieving Sprite / Silfo Larápio</t>
  </si>
  <si>
    <t>Flying When this creature enters, target player reveals X cards from their hand, where X is the number of Faeries you control. You choose one of those cards. That player discards that card. / Voar Quando Silfo Larápio entra em jogo, o jogador alvo revela X cards da mão dele, sendo X igual ao número de Fadas que você controla. Você escolhe um desses cards. Aquele jogador descarta aquele card.</t>
  </si>
  <si>
    <t>Think Twice / Pensar Duas Vezes</t>
  </si>
  <si>
    <t>Draw a card. Flashback {2}{U} (You may cast this card from your graveyard for its flashback cost. Then exile it.) / Compre um card. Recapitular {2}{U} (Você pode conjurar este card de seu cemitério pagando seu custo de recapitular. Depois, exile-o.)</t>
  </si>
  <si>
    <t>Historic Anthology 4 (HA4)</t>
  </si>
  <si>
    <t>Third Path Savant / Erudito da Terceira Via</t>
  </si>
  <si>
    <t>{7}: Draw two cards. / {7}: Compre dois cards.</t>
  </si>
  <si>
    <t>Thirst for Identity</t>
  </si>
  <si>
    <t>Draw three cards. Then discard two cards unless you discard a creature card.</t>
  </si>
  <si>
    <t>Thirst for Knowledge / Sede de Conhecimento</t>
  </si>
  <si>
    <t>Draw three cards. Then discard two cards unless you discard an artifact card. / Compre três cards. Em seguida, descarte dois cards, a menos que você descarte um card de artefato.</t>
  </si>
  <si>
    <t>Thirsting Axe / Machado Sedento</t>
  </si>
  <si>
    <t>Equipped creature gets +4/+0. At the beginning of your end step, if equipped creature didn't deal combat damage to a creature this turn, sacrifice it. Equip {2} / A criatura equipada recebe +4/+0. No início de sua etapa final, se a criatura equipada não causou dano de combate a uma criatura neste turno, sacrifique-a. Equipar {2}</t>
  </si>
  <si>
    <t>Thirsting Shade / Sombra Sedenta</t>
  </si>
  <si>
    <t>Lifelink {2}{B}: This creature gets +1/+1 until end of turn. / Vínculo com a vida {2}{B}: Sombra Sedenta recebe +1/+1 até o final do turno.</t>
  </si>
  <si>
    <t>Thopter</t>
  </si>
  <si>
    <t>Commander 2026 (SOC)</t>
  </si>
  <si>
    <t>Thopter Engineer / Engenheiro de Tópteros</t>
  </si>
  <si>
    <t>When this creature enters, create a 1/1 colorless Thopter artifact creature token with flying. Artifact creatures you control have haste. (They can attack and {T} as soon as they come under your control.) / Quando Engenheiro de Tópteros entrar no campo de batalha, coloque no campo de batalha uma ficha de criatura artefato incolor 1/1 do tipo Tóptero com voar.As criaturas artefato que você controla têm ímpeto. (Elas podem atacar e {T} assim que passam ao seu controle.)</t>
  </si>
  <si>
    <t>Thornbow Archer / Arqueiro do Arco Espinhoso</t>
  </si>
  <si>
    <t>Whenever this creature attacks, each opponent who doesn't control an Elf loses 1 life. / Toda vez que Arqueiro do Arco Espinhoso ataca, cada oponente que não controla um Elfo perde 1 ponto de vida.</t>
  </si>
  <si>
    <t>Thorntooth Witch / Bruxa Dente Espinhoso</t>
  </si>
  <si>
    <t>Creature — Treefolk Shaman / Criatura — Ent Xamã</t>
  </si>
  <si>
    <t>Whenever you cast a Treefolk spell, you may have target creature get +3/-3 until end of turn. / Toda vez que você joga uma mágica de Ent, você pode fazer com que a criatura alvo receba +3/-3 até o final do turno.</t>
  </si>
  <si>
    <t>Thornweald Archer / Arqueiro de Espinoflora</t>
  </si>
  <si>
    <t>Reach (This creature can block creatures with flying.) Deathtouch (Any amount of damage this deals to a creature is enough to destroy it.) / Alcance, toque mortífero</t>
  </si>
  <si>
    <t>Thought Collapse / Colapso do Pensamento</t>
  </si>
  <si>
    <t>Counter target spell. Its controller mills three cards. / Anule a mágica alvo. Seu controlador coloca os três cards do topo do próprio grimório no próprio cemitério.</t>
  </si>
  <si>
    <t>Thought Courier / Mensageiro de Pensamentos</t>
  </si>
  <si>
    <t>{T}: Draw a card, then discard a card. / {T}: Compre um card e depois descarte um card.</t>
  </si>
  <si>
    <t>Thought Scour / Purgar Pensamento</t>
  </si>
  <si>
    <t>Target player mills two cards. Draw a card. / O jogador alvo coloca os dois cards do topo do grimório dele no próprio cemitério. Compre um card.</t>
  </si>
  <si>
    <t>Thought Shucker</t>
  </si>
  <si>
    <t>Creature — Rat Rogue</t>
  </si>
  <si>
    <t>Threshold — {1}{U}: Put a +1/+1 counter on this creature and draw a card. Activate only if there are seven or more cards in your graveyard and only once.</t>
  </si>
  <si>
    <t>Thoughtrender Lamia / Lâmia Enlouquecedora</t>
  </si>
  <si>
    <t>Enchantment Creature — Lamia / Criatura Encantamento — Lâmia</t>
  </si>
  <si>
    <t>Constellation — Whenever this creature or another enchantment you control enters, each opponent discards a card. / Constelação — Toda vez que Lâmia Enlouquecedora ou outro encantamento entra no campo de batalha sob seu controle, cada oponente descarta um card.</t>
  </si>
  <si>
    <t>Thoughtweft Charge</t>
  </si>
  <si>
    <t>Target creature gets +3/+3 until end of turn. If a creature entered the battlefield under your control this turn, draw a card.</t>
  </si>
  <si>
    <t>Thoughtweft Imbuer</t>
  </si>
  <si>
    <t>Whenever a creature you control attacks alone, it gets +X/+X until end of turn, where X is the number of Kithkin you control.</t>
  </si>
  <si>
    <t>Thoughtweft Lieutenant</t>
  </si>
  <si>
    <t>Whenever this creature or another Kithkin you control enters, target creature you control gets +1/+1 and gains trample until end of turn.</t>
  </si>
  <si>
    <t>Thousand Winds / Mil Ventos</t>
  </si>
  <si>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</si>
  <si>
    <t>4UU</t>
  </si>
  <si>
    <t>Thrash of Raptors / Bando de Raptores</t>
  </si>
  <si>
    <t>As long as you control another Dinosaur, this creature gets +2/+0 and has trample. / Enquanto você controlar outro Dinossauro, Bando de Raptores receberá +2/+0 e terá atropelar.</t>
  </si>
  <si>
    <t>Threats Around Every Corner</t>
  </si>
  <si>
    <t>When this enchantment enters, manifest dread. Whenever a face-down permanent you control enters, search your library for a basic land card, put it onto the battlefield tapped, then shuffle.</t>
  </si>
  <si>
    <t>Three Tree Scribe</t>
  </si>
  <si>
    <t>Whenever this creature or another creature you control leaves the battlefield without dying, put a +1/+1 counter on target creature you control.</t>
  </si>
  <si>
    <t>Thriving Heath / Charneca Vicejante</t>
  </si>
  <si>
    <t>This land enters tapped. As it enters, choose a color other than white. {T}: Add {W} or one mana of the chosen color. / Charneca Vicejante entra no campo de batalha virada. Conforme Charneca Vicejante entrar no campo de batalha, escolha uma cor, exceto branco. {T}: Adicione {W} ou um mana da cor escolhida.</t>
  </si>
  <si>
    <t>Thriving Ibex / Íbex Vigoroso</t>
  </si>
  <si>
    <t>Creature — Goat / Criatura — Bode</t>
  </si>
  <si>
    <t>When this creature enters, you get {E}{E} (two energy counters). Whenever this creature attacks, you may pay {E}{E}. If you do, put a +1/+1 counter on it. / Quando Íbex Vigoroso entra no campo de batalha, você recebe {E}{E} (dois marcadores de energia). Toda vez que Íbex Vigoroso ataca, você pode pagar {E}{E}. Se fizer isso, coloque um marcador +1/+1 nele.</t>
  </si>
  <si>
    <t>Thriving Isle / Ilha Vicejante</t>
  </si>
  <si>
    <t>This land enters tapped. As it enters, choose a color other than blue. {T}: Add {U} or one mana of the chosen color. / Ilha Vicejante entra no campo de batalha virada. Conforme Ilha Vicejante entrar no campo de batalha, escolha uma cor, exceto azul. {T}: Adicione {U} ou um mana da cor escolhida.</t>
  </si>
  <si>
    <t>Thriving Moor / Charco Vicejante</t>
  </si>
  <si>
    <t>This land enters tapped. As it enters, choose a color other than black. {T}: Add {B} or one mana of the chosen color. / Charco Vicejante entra no campo de batalha virado. Conforme Charco Vicejante entrar no campo de batalha, escolha uma cor, exceto preto. {T}: Adicione {B} ou um mana da cor escolhida.</t>
  </si>
  <si>
    <t>Thriving Rhino / Rinoceronte Vigoroso</t>
  </si>
  <si>
    <t>When this creature enters, you get {E}{E} (two energy counters). Whenever this creature attacks, you may pay {E}{E}. If you do, put a +1/+1 counter on it. / Quando Rinoceronte Vigoroso entra no campo de batalha, você recebe {E}{E} (dois marcadores de energia). Toda vez que Rinoceronte Vigoroso ataca, você pode pagar {E}{E}. Se fizer isso, coloque um marcador +1/+1 nele.</t>
  </si>
  <si>
    <t>Thriving Skyclaw / Garra-aérea Vigorosa</t>
  </si>
  <si>
    <t>Creature — Cat Dragon / Criatura — Felino Dragão</t>
  </si>
  <si>
    <t>Flying When this creature enters, you get {E}{E}{E} (three energy counters). Whenever this creature attacks, you may pay {E}{E}{E}. If you do, put a +1/+1 counter on it. / Voar Quando Garra-aérea Vigorosa entra no campo de batalha, você recebe {E}{E}{E} (três marcadores de energia). Toda vez que Garra-aérea Vigorosa ataca, você pode pagar {E}{E}{E}. Se fizer isso, coloque um marcador +1/+1 nele.</t>
  </si>
  <si>
    <t>Thriving Turtle / Tartaruga Vigorosa</t>
  </si>
  <si>
    <t>When this creature enters, you get {E}{E} (two energy counters). Whenever this creature attacks, you may pay {E}{E}. If you do, put a +1/+1 counter on it. / Quando Tartaruga Vigorosa entra no campo de batalha, você recebe {E}{E} (dois marcadores de energia). Toda vez que Tartaruga Vigorosa ataca, você pode pagar {E}{E}. Se fizer isso, coloque um marcador +1/+1 nela.</t>
  </si>
  <si>
    <t>Throne of Bone / Trono de Ossos</t>
  </si>
  <si>
    <t>Whenever a player casts a black spell, you may pay {1}. If you do, you gain 1 life. / Toda vez que um jogador jogar uma mágica preta, você pode pagar {1}. Se o fizer, você ganha 1 ponto de vida.</t>
  </si>
  <si>
    <t>Thrull Retainer / Lacaio Thrull</t>
  </si>
  <si>
    <t>Enchant creature Enchanted creature gets +1/+1. Sacrifice this Aura: Regenerate enchanted creature.</t>
  </si>
  <si>
    <t>Thrum of the Vestige / Rumor do Vestígio</t>
  </si>
  <si>
    <t>Rumor do Vestígio causa 3 de dano a qualquer alvo.</t>
  </si>
  <si>
    <t>Thryx, the Sudden Storm / Trix, a Tempestade Repentina</t>
  </si>
  <si>
    <t>Legendary Creature — Elemental Giant / Criatura Lendária — Elemental Gigante</t>
  </si>
  <si>
    <t>Flash (You may cast this spell any time you could cast an instant.) Flying Spells you cast with mana value 5 or greater cost {1} less to cast and can't be countered. / Lampejo Voar As mágicas que você conjura com custo de mana convertido igual ou superior a 5 custam {1} a menos para serem conjuradas e não podem ser anuladas.</t>
  </si>
  <si>
    <t>Thunder Drake / Dragonete do Trovão</t>
  </si>
  <si>
    <t>Creature — Elemental Drake / Criatura — Elemental Dragonete</t>
  </si>
  <si>
    <t>Flying Whenever you cast your second spell each turn, put a +1/+1 counter on this creature. / Voar Toda vez que você conjurar sua segunda mágica a cada turno, coloque um marcador +1/+1 em Dragonete do Trovão.</t>
  </si>
  <si>
    <t>Thunder Magic / Magia de Trovão</t>
  </si>
  <si>
    <t>Em camadas (Escolha um custo adicional.) • Thunder — {0} — Magia de Trovão causa 2 de dano à criatura alvo. • Thundara — {3} — Magia de Trovão causa 4 de dano à criatura alvo. • Thundaga — {5}{R} — Magia de Trovão causa 8 de dano à criatura alvo.</t>
  </si>
  <si>
    <t>Thunderclap Wyvern / Serpe da Trovoada</t>
  </si>
  <si>
    <t>Flash (You may cast this spell any time you could cast an instant.) Flying Other creatures you control with flying get +1/+1. / Lampejo (Você poderá conjurar esta mágica a qualquer momento em que puder conjurar uma mágica instantânea.)VoarAs outras criaturas que você controla com voar recebem +1/+1.</t>
  </si>
  <si>
    <t>Thundering Broodwagon</t>
  </si>
  <si>
    <t>Menace, reach When this Vehicle enters, destroy target nonland permanent an opponent controls with mana value 4 or less. Crew 3 Cycling {2} ({2}, Discard this card: Draw a card.)</t>
  </si>
  <si>
    <t>{2}{B}{B}{G}{G}</t>
  </si>
  <si>
    <t>Thundering Raiju / Raiju Trovejante</t>
  </si>
  <si>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</si>
  <si>
    <t>Thundering Rebuke / Repreensão Trovejante</t>
  </si>
  <si>
    <t>Thundering Rebuke deals 4 damage to target creature or planeswalker. / Repreensão Trovejante causa 4 pontos de dano à criatura ou ao planeswalker alvo.</t>
  </si>
  <si>
    <t>Thunderous Wrath / Ira Trovejante</t>
  </si>
  <si>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</si>
  <si>
    <t>Tiamat's Fanatics / Fanáticos de Tiamat</t>
  </si>
  <si>
    <t>Creature — Dragon Warrior / Criatura — Dragão Guerreiro</t>
  </si>
  <si>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</si>
  <si>
    <t>Tibalt, the Fiend-Blooded / Tibalt, Sangue Demoníaco</t>
  </si>
  <si>
    <t>Legendary Planeswalker — Tibalt / Planeswalker — Tibalt</t>
  </si>
  <si>
    <t>Duel Decks: Sorin vs. Tibalt (DDK)</t>
  </si>
  <si>
    <t>Ticked Off / Irritado</t>
  </si>
  <si>
    <t>A criatura alvo ganha golpe duplo até o final do turno. (Ela causa tanto dano de iniciativa quanto dano de combate normal.)</t>
  </si>
  <si>
    <t>Tidus, Blitzball Star / Tidus, Astro do Blitzball</t>
  </si>
  <si>
    <t>Sempre que um artefato que você controla entrar, coloque um marcador +1/+1 em Tidus. Sempre que Tidus atacar, vire a criatura alvo que um oponente controla.</t>
  </si>
  <si>
    <t>1{W}{U}</t>
  </si>
  <si>
    <t>Branco/Azul</t>
  </si>
  <si>
    <t>Tifa's Limit Break / Limit Break da Tifa</t>
  </si>
  <si>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</si>
  <si>
    <t>Tiger-Dillo</t>
  </si>
  <si>
    <t>Creature — Cat Armadillo</t>
  </si>
  <si>
    <t>This creature can't attack or block unless you control another creature with power 4 or greater.</t>
  </si>
  <si>
    <t>Tiger-Tribe Hunter / Caçadora da Tribo do Tigre</t>
  </si>
  <si>
    <t>Creature — Human Barbarian / Criatura — Humano Bárbaro</t>
  </si>
  <si>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</si>
  <si>
    <t>Tigra, Feline Fury</t>
  </si>
  <si>
    <t>Legendary Creature — Cat Human Hero</t>
  </si>
  <si>
    <t>Flash Trample Whenever you gain life, put a +1/+1 counter on Tigra.</t>
  </si>
  <si>
    <t>Tilling Treefolk / Ent Lavrador</t>
  </si>
  <si>
    <t>When Tilling Treefolk enters the battlefield, you may return up to two target land cards from your graveyard to your hand. / Quando Ent Lavrador entra em jogo, você pode devolver para a sua mão até dois cards de terreno alvo de seu cemitério.</t>
  </si>
  <si>
    <t>Tilonalli's Crown / Coroa de Tilonalli</t>
  </si>
  <si>
    <t>Enchant creature When this Aura enters, it deals 1 damage to enchanted creature. Enchanted creature gets +3/+0 and has trample. / Encantar criatura Quando Coroa de Tilonalli entra no campo de batalha, ela causa 1 ponto de dano à criatura encantada. A criatura encantada recebe +3/+0 e tem atropelar.</t>
  </si>
  <si>
    <t>Tilonalli's Knight / Cavaleiro de Tilonalli</t>
  </si>
  <si>
    <t>Whenever this creature attacks, if you control a Dinosaur, this creature gets +1/+1 until end of turn. / Toda vez que Cavaleiro de Tilonalli ataca, se você controlar um Dinossauro, Cavaleiro de Tilonalli recebe +1/+1 até o final do turno.</t>
  </si>
  <si>
    <t>Timber Gorge / Desfiladeiro da Mata</t>
  </si>
  <si>
    <t>This land enters tapped. {T}: Add {R} or {G}. / Desfiladeiro da Mata entra no campo de batalha virado. {T}: Adicione {R} ou {G} à sua reserva de mana.</t>
  </si>
  <si>
    <t>Timberland Guide / Guia das Matas</t>
  </si>
  <si>
    <t>When Timberland Guide enters the battlefield, put a +1/+1 counter on target creature. / Quando Guia das Matas entrar no campo de batalha, coloque um marcador +1/+1 na criatura alvo.</t>
  </si>
  <si>
    <t>Timberpack Wolf / Lobo da Alcateia do Arvoredo</t>
  </si>
  <si>
    <t>This creature gets +1/+1 for each other creature you control named Timberpack Wolf. / Lobo da Alcateia do Arvoredo recebe +1/+1 para cada outra criatura com o nome Lobo da Alcateia do Arvoredo que você controle.</t>
  </si>
  <si>
    <t>Time Stop / Parar o Tempo</t>
  </si>
  <si>
    <t>End the turn. (Exile all spells and abilities, including this spell. The player whose turn it is discards down to their maximum hand size. Damage heals and "this turn" and "until end of turn" effects end.) / Termine o turno. (Remova de jogo todas as mágicas e habilidades que estiverem na pilha, inclusive este card. O jogador controlador do turno descarta cards até atingir o número máximo de cards permitido na mão. O dano desaparece e efeitos que ocorrem "neste turno" e "até o final do turno" cessam.)</t>
  </si>
  <si>
    <t>Tishana's Wayfinder / Trilheira de Tishana</t>
  </si>
  <si>
    <t>Creature — Merfolk Scout / Criatura — Tritão Batedor</t>
  </si>
  <si>
    <t>When this creature enters, it explores. (Reveal the top card of your library. Put that card into your hand if it's a land. Otherwise, put a +1/+1 counter on this creature, then put the card back or put it into your graveyard.) / Quando Trilheira de Tishana entra no campo de batalha, ela explora. (Revele o card do topo de seu grimório. Coloque aquele card em sua mão se ele for um terreno. Caso contrário, coloque um marcador +1/+1 nesta criatura e, em seguida, devolva o card ao grimório ou coloque-o em seu cemitério.)</t>
  </si>
  <si>
    <t>Titan's Strength / Força de Titã</t>
  </si>
  <si>
    <t>Target creature gets +3/+1 until end of turn. Scry 1. (Look at the top card of your library. You may put that card on the bottom.) / A criatura alvo recebe +3/+1 até o final do turno. Vidência 1. (Olhe o card do topo de seu grimório. Você pode colocar aquele card no fundo de seu grimório.)</t>
  </si>
  <si>
    <t>Titanic Growth / Crescimento Titânico</t>
  </si>
  <si>
    <t>Target creature gets +4/+4 until end of turn. / A criatura alvo recebe +4/+4 até o final do turno.</t>
  </si>
  <si>
    <t>Tithe Drinker / Sugador de Dízimo</t>
  </si>
  <si>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</si>
  <si>
    <t>Tithebearer Giant / Gigante Porta-dízimos</t>
  </si>
  <si>
    <t>Creature — Giant Warrior / Criatura — Gigante Guerreiro</t>
  </si>
  <si>
    <t>When this creature enters, you draw a card and you lose 1 life. / Quando Gigante Porta-dízimos entra no campo de batalha, você compra um card e perde 1 ponto de vida.</t>
  </si>
  <si>
    <t>Toadstool Admirer / Admirador dos Cogumelos</t>
  </si>
  <si>
    <t>Creature — Ouphe / Criatura — Trasgo</t>
  </si>
  <si>
    <t>Ward {2} (Whenever this creature becomes the target of a spell or ability an opponent controls, counter it unless that player pays {2}.) {3}{G}: Put a +1/+1 counter on this creature. / Salvaguarda {2} (Toda vez que esta criatura se tornar alvo de uma mágica ou habilidade que um oponente controla, anule-a, a menos que aquele jogador pague {2}.) {3}{G}: Coloque um marcador +1/+1 em Admirador dos Cogumelos.</t>
  </si>
  <si>
    <t>Tobias Andrion</t>
  </si>
  <si>
    <t>Tocasia's Dig Site / Sítio de Escavação de Tocasia</t>
  </si>
  <si>
    <t>{T}: Add {C}. {3}, {T}: Surveil 1. (Look at the top card of your library. You may put it into your graveyard.) / {T}: Adicione {C}. {3}, {T}: Use vigiar 1. (Olhe o card do topo de seu grimório. Você pode colocar aquele card em seu cemitério.)</t>
  </si>
  <si>
    <t>Tolarian Scholar / Escolástico Tolariano</t>
  </si>
  <si>
    <t>Tolarian Sentinel / Sentinela Tolariana</t>
  </si>
  <si>
    <t>Creature — Human Spellshaper / Criatura — Humano Magimodelador</t>
  </si>
  <si>
    <t>Flying {U}, {T}, Discard a card: Return target permanent you control to its owner's hand. / Voar {U}, {T}, descarte um card: Devolva a permanente alvo que você controla para a mão de seu dono.</t>
  </si>
  <si>
    <t>Tolarian Terror / Terror Tolariano</t>
  </si>
  <si>
    <t>This spell costs {1} less to cast for each instant and sorcery card in your graveyard. Ward {2} (Whenever this creature becomes the target of a spell or ability an opponent controls, counter it unless that player pays {2}.) / Esta mágica custa {1} a menos para ser conjurada para cada card de mágica instantânea ou de feitiço em seu cemitério. Salvaguarda {2} (Toda vez que esta criatura se tornar alvo de uma mágica ou habilidade que um oponente controla, anule-a, a menos que aquele jogador pague {2}.)</t>
  </si>
  <si>
    <t>{6}{U}</t>
  </si>
  <si>
    <t>Tolsimir Wolfblood / Tolsimir Sangue de Lobo</t>
  </si>
  <si>
    <t>Legendary Creature — Elf Warrior / Criatura Lendária - Guerreiro Elfo</t>
  </si>
  <si>
    <t>Other green creatures you control get +1/+1. Other white creatures you control get +1/+1. {T}: Create Voja, a legendary 2/2 green and white Wolf creature token. / As outras criaturas verdes que você controla recebem +1/+1. As outras criaturas brancas que você controla recebem +1/+1. {T}: Coloque em jogo uma ficha de criatura lendária verde e branca 2/2 do tipo Lobo chamada Voja.</t>
  </si>
  <si>
    <t>Tomb of the Spirit Dragon / Tumba do Dragão Espírito</t>
  </si>
  <si>
    <t>{T}: Add {C}. {2}, {T}: You gain 1 life for each colorless creature you control. / {T}: Adicione {1} à sua reserva de mana. {2}, {T}: Você ganha 1 ponto de vida para cada criatura incolor que controla.</t>
  </si>
  <si>
    <t>Tombstone, Career Criminal</t>
  </si>
  <si>
    <t>When Tombstone enters, return target Villain card from your graveyard to your hand. Villain spells you cast cost {1} less to cast.</t>
  </si>
  <si>
    <t>Tome Anima / Anima dos Tomos</t>
  </si>
  <si>
    <t>This creature can't be blocked as long as you've drawn two or more cards this turn. / Anima dos Tomos não pode ser bloqueado desde que você tenha comprado dois ou mais cards neste turno.</t>
  </si>
  <si>
    <t>Tome Blast / Explosão de Tomo</t>
  </si>
  <si>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</si>
  <si>
    <t>Tome Raider / Saqueadora de Tomos</t>
  </si>
  <si>
    <t>Flying When this creature enters, draw a card. / Voar Quando Saqueadora de Tomos entrar no campo de batalha, compre um card.</t>
  </si>
  <si>
    <t>Tonberry / Tonberry</t>
  </si>
  <si>
    <t>Criatura — Salamandra Horror</t>
  </si>
  <si>
    <t>Esta criatura entra virada com um marcador de atordoamento nela. (Se ela fosse ser desvirada, em vez disso, remova um marcador de atordoamento dela.) Faca de Chef — Durante o seu turno, esta criatura tem iniciativa e toque mortífero.</t>
  </si>
  <si>
    <t>Tonel-mãe Phyrexiano / Phyrexian Vatmother</t>
  </si>
  <si>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</si>
  <si>
    <t>Topan Freeblade / Franco-espadachim Topaniano</t>
  </si>
  <si>
    <t>Vigilance (Attacking doesn't cause this creature to tap.) Renown 1 (When this creature deals combat damage to a player, if it isn't renowned, put a +1/+1 counter on it and it becomes renowned.) / Vigilância (Esta criatura não é virada para atacar.)Renome 1 (Quando esta criatura causar dano de combate a um jogador, se ela não for renomada, coloque um marcador +1/+1 nela e ela se tornará renomada.)</t>
  </si>
  <si>
    <t>Toph, Hardheaded Teacher</t>
  </si>
  <si>
    <t>When Toph enters, you may discard a card. If you do, return target instant or sorcery card from your graveyard to your hand. Whenever you cast a spell, earthbend 1. If that spell is a Lesson, put an additional +1/+1 counter on that land. (Target land you control becomes a 0/0 creature with haste that's still a land. Put a +1/+1 counter on it. When it dies or is exiled, return it to the battlefield tapped.)</t>
  </si>
  <si>
    <t>Toph, the Blind Bandit</t>
  </si>
  <si>
    <t>When Toph enters, earthbend 2. (Target land you control becomes a 0/0 creature with haste that's still a land. Put two +1/+1 counters on it. When it dies or is exiled, return it to the battlefield tapped.) Toph's power is equal to the number of +1/+1 counters on lands you control.</t>
  </si>
  <si>
    <t>Topiary Lecturer / Conferencista de Topiaria</t>
  </si>
  <si>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</si>
  <si>
    <t>Topiary Stomper / Pisoteador de Topiaria</t>
  </si>
  <si>
    <t>Creature — Plant Dinosaur / Criatura — Planta Dinossauro</t>
  </si>
  <si>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</si>
  <si>
    <t>Topple the Statue / Derrubar a Estátua</t>
  </si>
  <si>
    <t>Tap target permanent. If it's an artifact, destroy it. Draw a card. / Vire a permanente alvo. Se ela for um artefato, destrua-a. Compre um card.</t>
  </si>
  <si>
    <t>Topplegeist / Geist Desordeiro</t>
  </si>
  <si>
    <t>Flying When this creature enters, tap target creature an opponent controls. Delirium — At the beginning of each opponent's upkeep, if there are four or more card types among cards in your graveyard, tap target creature that player controls. / Voar Quando Geist Desordeiro entrar no campo de batalha, vire a criatura alvo que um oponente controla. Delírio — No início da manutenção de cada oponente, se houver quatro ou mais tipos de card entre os cards de seu cemitério, vire a criatura alvo que aquele jogador controla.</t>
  </si>
  <si>
    <t>Toque de Luvalua / Touch of Moonglove</t>
  </si>
  <si>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</si>
  <si>
    <t>Tor Giant / Gigante dos Picos Rochosos</t>
  </si>
  <si>
    <t>Tor Wauki</t>
  </si>
  <si>
    <t>{T}: Tor Wauki deals 2 damage to target attacking or blocking creature.</t>
  </si>
  <si>
    <t>{2}{B}{B}{R}</t>
  </si>
  <si>
    <t>Torgaar, Penúria Incarnada / Torgaar, Famine Incarnate</t>
  </si>
  <si>
    <t>Criatura Lendária — Avatar / Legendary Creature — Avatar</t>
  </si>
  <si>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</si>
  <si>
    <t>Torgal, A Fine Hound / Torgal, um Bom Cão</t>
  </si>
  <si>
    <t>Criatura Lendária — Lobo</t>
  </si>
  <si>
    <t>Sempre que você conjurar sua primeira mágica de criatura Humano a cada turno, aquela criatura entrará no campo de batalha com um marcador +1/+1 adicional para cada Cão e/ou Lobo que você controla. {T}: Adicione um mana de qualquer cor.</t>
  </si>
  <si>
    <t>Tori D'Avenant, Fury Rider / Tori D'Avenant, Ginete da Fúria</t>
  </si>
  <si>
    <t>Vigilance, trample Whenever Tori D'Avenant attacks, all other attacking creatures you control get +1/+1 until end of turn. Other red attacking creatures you control gain trample until end of turn. Untap each other white attacking creature you control. / Vigilância, atropelar Toda vez que Tori D'Avenant, Ginete da Fúria, ataca, todas as outras criaturas atacantes que você controla recebem +1/+1 até o final do turno. As outras criaturas atacantes vermelhas que você controla ganham atropelar até o final do turno. Desvire cada outra criatura atacante branca que você controla.</t>
  </si>
  <si>
    <t>{1}{R}{R}{W}</t>
  </si>
  <si>
    <t>Tormented Thoughts / Pensamentos Atormentados</t>
  </si>
  <si>
    <t>As an additional cost to cast this spell, sacrifice a creature. Target player discards a number of cards equal to the sacrificed creature's power. / Como custo adicional para conjurar Pensamentos Atormentados, sacrifique uma criatura. O jogador alvo descarta um número de cards igual ao poder da criatura sacrificada.</t>
  </si>
  <si>
    <t>Tormenting Voice / Voz Atormentadora</t>
  </si>
  <si>
    <t>As an additional cost to cast this spell, discard a card. Draw two cards. / Como custo adicional para conjurar esta mágica, descarte um card. Compre dois cards.</t>
  </si>
  <si>
    <t xml:space="preserve">Renascer de Zendikar </t>
  </si>
  <si>
    <t>Tormod's Crypt / Cripta de Tormod</t>
  </si>
  <si>
    <t>{T}, Sacrifice this artifact: Exile target player's graveyard. / {T}, sacrifique Cripta de Tormod: Exile todos os cards do cemitério do jogador alvo.</t>
  </si>
  <si>
    <t>Torpid Moloch / Moloch Tórpido</t>
  </si>
  <si>
    <t>Creature — Lizard / Criatura - Lagarto</t>
  </si>
  <si>
    <t>Defender (This creature can't attack.) Sacrifice three lands: This creature loses defender until end of turn. / Defensor (Esta criatura não pode atacar.) Sacrifique três terrenos: Moloch Tórpido perde a habilidade de defensor até o final do turno.</t>
  </si>
  <si>
    <t>Torture / Tortura</t>
  </si>
  <si>
    <t>Enchant creature {1}{B}: Put a -1/-1 counter on enchanted creature. / Encantar criatura {1}{B}: Coloque um marcador -1/-1 na criatura encantada.</t>
  </si>
  <si>
    <t>Totem-Guide Hartebeest / Búbalo Guia-totem</t>
  </si>
  <si>
    <t>When this creature enters, you may search your library for an Aura card, reveal it, put it into your hand, then shuffle. / Quando Búbalo Guia-totem entra no campo de batalha, você pode procurar um card de Aura em seu grimório, revelá-lo, colocá-lo na sua mão e depois embaralhar seu grimório.</t>
  </si>
  <si>
    <t>Touch of Death / Toque da Morte</t>
  </si>
  <si>
    <t>Touch of Death deals 1 damage to target player or planeswalker. You gain 1 life. Draw a card at the beginning of the next turn's upkeep.</t>
  </si>
  <si>
    <t>Touch of Moonglove / Toque de Luvalua</t>
  </si>
  <si>
    <t>Target creature you control gets +1/+0 and gains deathtouch until end of turn. Whenever a creature dealt damage by that creature dies this turn, its controller loses 2 life. (Any amount of damage a creature with deathtouch deals to a creature is enough to destroy it.) / 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t>
  </si>
  <si>
    <t>Tough Cookie / Biscoito Durão</t>
  </si>
  <si>
    <t>Artifact Creature — Food Golem / Criatura Artefato — Comida Golem</t>
  </si>
  <si>
    <t>When this creature enters, create a Food token. (It's an artifact with "{2}, {T}, Sacrifice this token: You gain 3 life.") {2}{G}: Until end of turn, target noncreature artifact you control becomes a 4/4 artifact creature. {2}, {T}, Sacrifice this creature: You gain 3 life. / Quando Biscoito Durão entrar no campo de batalha, crie uma ficha de Comida. (Ela é um artefato com "{2}, {T}, sacrifique este artefato: Você ganha 3 pontos de vida".) {2}{G}: O artefato não criatura alvo que você controla se torna uma criatura artefato 4/4 até o final do turno. {2}, {T}, sacrifique Biscoito Durão: Você ganha 3 pontos de vida.</t>
  </si>
  <si>
    <t>Tourach's Chant</t>
  </si>
  <si>
    <t>At the beginning of your upkeep, sacrifice this enchantment unless you pay {B}. Whenever a player puts a Forest onto the battlefield, this enchantment deals 3 damage to that player unless they put a -1/-1 counter on a creature they control.</t>
  </si>
  <si>
    <t>Tower Drake / Dragonete da Torre</t>
  </si>
  <si>
    <t>Flying {W}: This creature gets +0/+1 until end of turn. / Voar {W}: Dragonete da Torre recebe +0/+1 até o final do turno.</t>
  </si>
  <si>
    <t>Tower Geist / Geist da Torre</t>
  </si>
  <si>
    <t>Flying When this creature enters, look at the top two cards of your library. Put one of them into your hand and the other into your graveyard. / Voar Quando Geist da Torre entrar no campo de batalha, olhe os dois cards do topo de seu grimório. Coloque um deles na sua mão e o restante em seu cemitério.</t>
  </si>
  <si>
    <t>Tower of Calamities / Torre das Calamidades</t>
  </si>
  <si>
    <t>{8}, {T}: This artifact deals 12 damage to target creature. / {8}, {T}: Torre das Calamidades causa 12 pontos de dano à criatura alvo.</t>
  </si>
  <si>
    <t>Town Greeter / Anfitrião da Cidade</t>
  </si>
  <si>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</si>
  <si>
    <t>Toxic Scorpion / Escorpião Tóxico</t>
  </si>
  <si>
    <t>Deathtouch When this creature enters, another target creature you control gains deathtouch until end of turn. / Toque mortífero Quando Escorpião Tóxico entra no campo de batalha, outra criatura alvo que você controla ganha toque mortífero até o final do turno.</t>
  </si>
  <si>
    <t>Toxin Analysis</t>
  </si>
  <si>
    <t>Target creature gains deathtouch and lifelink until end of turn. Investigate. (Create a Clue token. It's an artifact with "{2}, Sacrifice this token: Draw a card.")</t>
  </si>
  <si>
    <t>Track Down / Atiradora do Céu Aberto</t>
  </si>
  <si>
    <t>Reach. {2}{G}: Atiradora do Céu Aberto deals 1 damage to target creature with flying. / Alcance. {2}{G}: Atiradora do Céu Aberto causa 1 ponto de dano à criatura alvo com voar.</t>
  </si>
  <si>
    <t>Tractor Beam / Raio Trator</t>
  </si>
  <si>
    <t>Encantar criatura ou Nave Espacial. Quando esta Aura entrar, vire a permanente encantada. Você controla a permanente encantada. A permanente encantada não é desvirada durante a etapa de desvirar de seu controlador.</t>
  </si>
  <si>
    <t>Trade Caravan / Caravana Comercial</t>
  </si>
  <si>
    <t>Creature — Human Nomad</t>
  </si>
  <si>
    <t>At the beginning of your upkeep, put a currency counter on this creature. Remove two currency counters from this creature: Untap target basic land. Activate only during an opponent's upkeep.</t>
  </si>
  <si>
    <t>Trail of Evidence / Trilha de Indícios</t>
  </si>
  <si>
    <t>Whenever you cast an instant or sorcery spell, investigate. (Create a Clue token. It's an artifact with "{2}, Sacrifice this token: Draw a card.") / Toda vez que você conjurar uma mágica instantânea ou feitiço, investigue. (Coloque no campo de batalha uma ficha de artefato incolor do tipo Pista com "{2}, Sacrifique este artefato: Compre um card.")</t>
  </si>
  <si>
    <t>Trained Armodon / Armodonte Adestrado</t>
  </si>
  <si>
    <t>Trained Caracal / Caracal Treinado</t>
  </si>
  <si>
    <t>Lifelink (Damage dealt by this creature also causes you to gain that much life.) / Vínculo com a vida (O dano causado por esta criatura faz com que você ganhe uma quantidade equivalente de pontos de vida.)</t>
  </si>
  <si>
    <t>Training Grounds / Campos de Treinamento</t>
  </si>
  <si>
    <t>Activated abilities of creatures you control cost {2} less to activate. This effect can't reduce the mana in that cost to less than one mana. / As habilidades ativadas das criaturas que você controla custam até {2} a menos para serem ativadas. Este efeito não pode reduzir a quantidade de mana necessária para ativar uma habilidade para menos de um mana.</t>
  </si>
  <si>
    <t>Traje Bruto / Brute Suit</t>
  </si>
  <si>
    <t>Vigilância, Tripular 1 (Vire qualquer número de criaturas que você controla com total de poder igual ou superior a 1: Este Veículo torna-se uma criatura artefato até o final do turno.)</t>
  </si>
  <si>
    <t>Tranquil Cove / Angra Tranquila</t>
  </si>
  <si>
    <t>This land enters tapped. When this land enters, you gain 1 life. {T}: Add {W} or {U}. / Angra Tranquila entra no campo de batalha virada. Quando Angra Tranquila entra no campo de batalha, você ganha 1 ponto de vida. {T}: Adicione {W} ou {U}.</t>
  </si>
  <si>
    <t>Transformação Divina / Divine Transformation</t>
  </si>
  <si>
    <t>A criatura-alvo ganha +3/+3. / Target creature gets +3/+3.</t>
  </si>
  <si>
    <t>Transgress the Mind / Transgredir a Mente</t>
  </si>
  <si>
    <t>Devoid (This card has no color.) Target player reveals their hand. You choose a card from it with mana value 3 or greater and exile that card. / Desprovido (Este card não tem cor.)O jogador alvo revela sua própria mão. Você escolhe um card da mão dele com custo de mana convertido igual ou superior a 3 e o exila.</t>
  </si>
  <si>
    <t>Transluminant / Transluminante</t>
  </si>
  <si>
    <t>Creature — Dryad Shaman / Criatura - Dríade Xamã</t>
  </si>
  <si>
    <t>{W}, Sacrifice this creature: Create a 1/1 white Spirit creature token with flying at the beginning of the next end step. / {W}, Sacrifique Transluminante: Coloque em jogo uma ficha de criatura branca 1/1 do tipo Espírito, com a habilidade de voar, no final do turno.</t>
  </si>
  <si>
    <t>Transmutation</t>
  </si>
  <si>
    <t>Switch target creature's power and toughness until end of turn.</t>
  </si>
  <si>
    <t>Trap Essence / Prender Essência</t>
  </si>
  <si>
    <t>Counter target creature spell. Put two +1/+1 counters on up to one target creature. / Anule a mágica de criatura alvo. Coloque dois marcadores +1/+1 em até uma criatura alvo.</t>
  </si>
  <si>
    <t>Traumatic Visions / Visões Traumáticas</t>
  </si>
  <si>
    <t>Anule a mágica alvo. Reciclar terreno básico {1}{U} ({1}{U}, Descarte este card: Procure em seu grimório por um card de terreno básico, revele-o e coloque-o em sua mão. Depois, embaralhe seu grimório.)</t>
  </si>
  <si>
    <t>3UU</t>
  </si>
  <si>
    <t>Travel the Overworld / Viajar pelo Mundo Superior</t>
  </si>
  <si>
    <t>Afinidade com Cidades (Esta mágica custa {1} a menos para ser conjurada para cada Cidade que você controla.) Compre quatro cards.</t>
  </si>
  <si>
    <t>Traveler's Cloak / Manto do Viajante</t>
  </si>
  <si>
    <t>Enchant creature As this Aura enters, choose a land type. When this Aura enters, draw a card. Enchanted creature has landwalk of the chosen type. (It can't be blocked as long as defending player controls a land of that type.)</t>
  </si>
  <si>
    <t>Traveling Minister / Ministro Itinerante</t>
  </si>
  <si>
    <t>{T}: Target creature gets +1/+0 until end of turn. You gain 1 life. Activate only as a sorcery. / {T}: A criatura alvo recebe +1/+0 até o final do turno. Você ganha 1 ponto de vida. Ative somente como um feitiço.</t>
  </si>
  <si>
    <t>Traveling Philosopher / Filósofo Viajante</t>
  </si>
  <si>
    <t>Treasured Find / Descoberta Preciosa</t>
  </si>
  <si>
    <t>Return target card from your graveyard to your hand. Exile Treasured Find. / Devolva o card alvo de seu cemitério para sua mão. Exile Descoberta Preciosa.</t>
  </si>
  <si>
    <t>Treetop Freedom Fighters</t>
  </si>
  <si>
    <t>Haste When this creature enters, create a 1/1 white Ally creature token.</t>
  </si>
  <si>
    <t>Trenching Steed / Corcel de Trincheira</t>
  </si>
  <si>
    <t>Sacrifice a land: Trenching Steed gets +0/+3 until end of turn. / Sacrifique um terreno: Corcel de Trincheira recebe +0/+3 até o final do turno.</t>
  </si>
  <si>
    <t>Treno, Dark City / Treno, Cidade Sombria</t>
  </si>
  <si>
    <t>Este terreno entra virado. {T}: Adicione {U} ou {B}.</t>
  </si>
  <si>
    <t>Trial of Agony</t>
  </si>
  <si>
    <t>Choose two target creatures controlled by the same opponent. That player chooses one of those creatures. Trial of Agony deals 5 damage to that creature, and the other can't block this turn.</t>
  </si>
  <si>
    <t>Trial of Zeal / Prova do Zelo</t>
  </si>
  <si>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</si>
  <si>
    <t>Tributary Vaulter</t>
  </si>
  <si>
    <t>Flying. Whenever this creature becomes tapped, another target Merfolk you control gets +2/+0 until end of turn.</t>
  </si>
  <si>
    <t>Triceraton Regenta / Regenta Triceráton</t>
  </si>
  <si>
    <t>Criatura — Dinossauro Nobre</t>
  </si>
  <si>
    <t>Vigilância (Atacar não faz esta criatura ser virada.) Sempre que esta criatura atacar, desvire até uma outra criatura alvo.</t>
  </si>
  <si>
    <t>Trickster's Stratagem</t>
  </si>
  <si>
    <t>The owner of target creature an opponent controls puts it into their library second from the top or on the bottom. Then up to one target creature you control connives. (Draw a card, then discard a card. If you discarded a nonland card, put a +1/+1 counter on that creature.)</t>
  </si>
  <si>
    <t>Trilheira Wose / Wose Pathfinder</t>
  </si>
  <si>
    <t>{T}: Adicione um mana de qualquer cor. {6}{G}, {T}: Outra criatura alvo recebe +3/+3 e ganha atropelar até o final do turno.</t>
  </si>
  <si>
    <t>Trip Noose / Nó de Viagem</t>
  </si>
  <si>
    <t>{2}, {T}: Tap target creature.</t>
  </si>
  <si>
    <t>Trip Up</t>
  </si>
  <si>
    <t>Target nonland permanent's owner puts it on their choice of the top or bottom of their library. Cycling {2} ({2}, Discard this card: Draw a card.)</t>
  </si>
  <si>
    <t>Triple Triad / Tríade Tripla</t>
  </si>
  <si>
    <t>No início de sua manutenção, cada jogador exile o card do topo do próprio grimório. Até o final do turno, você pode jogar o card de sua propriedade exilado deste modo e cada outro card exilado deste modo com valor de mana inferior a ele sem pagar seus custos de mana.</t>
  </si>
  <si>
    <t>3RRR</t>
  </si>
  <si>
    <t>Triskaidekaphobia / Triscaidecafobia</t>
  </si>
  <si>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</si>
  <si>
    <t>Triton Cavalry / Cavalaria Talassida</t>
  </si>
  <si>
    <t>Criatura — Tritão Soldado</t>
  </si>
  <si>
    <t>Heroico — Toda vez que você conjura uma mágica cujo alvo seja Cavalaria Talassida, você poderá devolver o encantamento alvo para a mão de seu dono.</t>
  </si>
  <si>
    <t>Triton Shorethief / Talassido Rouba-costa</t>
  </si>
  <si>
    <t>Triton Tactics / Táticas dos Talassidos</t>
  </si>
  <si>
    <t>Up to two target creatures each get +0/+3 until end of turn. Untap those creatures. At this turn's next end of combat, tap each creature that was blocked by one of those creatures this turn and it doesn't untap during its controller's next untap step. / Até duas criaturas alvo recebem +0/+3 cada uma até o final do turno. Desvire aquelas criaturas. No próximo final de combate deste turno, vire cada criatura que tenha sido bloqueada por uma daquelas criaturas neste turno. Elas não serão desviradas na próxima etapa de desvirar de seu controlador.</t>
  </si>
  <si>
    <t>Triturador de Códices / Codex Shredder</t>
  </si>
  <si>
    <t>{T}: O jogador alvo coloca o card do topo do grimório dele no próprio cemitério. {5}, {T}, Sacrifique Triturador de Códices: Devolva o card alvo de seu cemitério para sua mão.</t>
  </si>
  <si>
    <t>Trollhide / Couro de Trol</t>
  </si>
  <si>
    <t>Enchant creature Enchanted creature gets +2/+2 and has "{1}{G}: Regenerate this creature." (The next time the creature would be destroyed this turn, instead tap it, remove it from combat, and heal all damage on it.) / Encantar criatura A criatura encantada recebe +2/+2 e tem "{1}{G}: Regenere esta criatura." (Na próxima vez em que a criatura seria destruída neste turno, ela não será. Em vez disso, vire-a, remova todo o dano dela e remova-a do combate.)</t>
  </si>
  <si>
    <t>Tromokratis</t>
  </si>
  <si>
    <t>Tromokratis has hexproof unless it's attacking or blocking. Tromokratis can't be blocked unless all creatures defending player controls block it. (If any creature that player controls doesn't block this creature, it can't be blocked.) / Tromokratis tem resistência a magia a menos que esteja atacando ou bloqueando. Tromokratis não pode ser bloqueado a menos que todas as criaturas que o jogador defensor controla o bloqueiem. (Se alguma das criaturas que aquele jogador controla não puder bloquear esta criatura, ela não poderá ser bloqueada.)</t>
  </si>
  <si>
    <t>Tronquesperto, Jovem Ent / Quickbeam, Upstart Ent</t>
  </si>
  <si>
    <t>Criatura Lendária — Ent</t>
  </si>
  <si>
    <t>Toda vez que Tronquesperto, Jovem Ent, ou outro Ent entrar no campo de batalha sob seu controle, cada uma de até duas criaturas alvo recebe +2/+2 e ganha atropelar até o final do turno.</t>
  </si>
  <si>
    <t>Trostani's Judgment / Julgamento de Trostani</t>
  </si>
  <si>
    <t>Exile target creature, then populate. (Create a token that's a copy of a creature token you control.) / Exile a criatura alvo e depois povoe. (Coloque no campo de batalha uma ficha que seja uma cópia de uma ficha de criatura que você controla.)</t>
  </si>
  <si>
    <t>Truck Toss / Arremesso de Caminhão</t>
  </si>
  <si>
    <t>Esta mágica custa {2} a menos para ser conjurada se você controlar um Veículo. Arremesso de Caminhão causa 4 de dano a qualquer alvo.</t>
  </si>
  <si>
    <t>Truefire Captain / Capitã do Fogo Genuíno</t>
  </si>
  <si>
    <t>Mentor (Whenever this creature attacks, put a +1/+1 counter on target attacking creature with lesser power.) Whenever this creature is dealt damage, it deals that much damage to target player. / Mentor (Toda vez que esta criatura atacar, coloque um marcador +1/+1 na criatura atacante alvo com poder inferior.) Toda vez que Capitã do Fogo Genuíno sofre dano, ela causa a mesma quantidade de dano ao jogador alvo.</t>
  </si>
  <si>
    <t>{R}{R}{W}{W}</t>
  </si>
  <si>
    <t>Trumpet Blast / Soar da Trombeta</t>
  </si>
  <si>
    <t>Attacking creatures get +2/+0 until end of turn. / As criaturas atacantes recebem +2/+0 até o final do turno.</t>
  </si>
  <si>
    <t>Trusted Pegasus / Pégaso Confiável</t>
  </si>
  <si>
    <t>Flying (This creature can't be blocked except by creatures with flying or reach.) Whenever this creature attacks, target attacking creature without flying gains flying until end of turn. / Voar Toda vez que Pégaso Confiável ataca, a criatura atacante alvo sem voar ganha voar até o final do turno.</t>
  </si>
  <si>
    <t>Trusty Boomerang</t>
  </si>
  <si>
    <t>Equipped creature has "{1}, {T}: Tap target creature. Return Trusty Boomerang to its owner's hand." Equip {1} ({1}: Attach to target creature you control. Equip only as a sorcery.)</t>
  </si>
  <si>
    <t>Tuktuk Rubblefort / Forte dos Escombros Tuktuk</t>
  </si>
  <si>
    <t>Defender, reach Creatures you control have haste. / Defensor, alcance As criaturas que você controla têm ímpeto.</t>
  </si>
  <si>
    <t>Tuktuk Scrapper / Sucateiro Tuktuk</t>
  </si>
  <si>
    <t>Creature — Goblin Artificer Ally / Criatura — Goblin Artesão Aliado</t>
  </si>
  <si>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</si>
  <si>
    <t>Tumble Magnet / Ímã de Tumulto</t>
  </si>
  <si>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</si>
  <si>
    <t>Tundra Tank</t>
  </si>
  <si>
    <t>Firebending 1 (Whenever this creature attacks, add {R}. This mana lasts until end of combat.) When this Vehicle enters, target creature you control gains indestructible until end of turn. Crew 1 (Tap any number of creatures you control with total power 1 or more: This Vehicle becomes an artifact creature until end of turn.)</t>
  </si>
  <si>
    <t>Tundra Wolves / Lobos da Tundra</t>
  </si>
  <si>
    <t>First strike</t>
  </si>
  <si>
    <t>Tunnel / Túnel</t>
  </si>
  <si>
    <t>Destroy target Wall. It can't be regenerated. / Enterra a barreira-alvo.</t>
  </si>
  <si>
    <t>Tunnel Rats</t>
  </si>
  <si>
    <t>{4}{B}: Return this card from your graveyard to the battlefield tapped.</t>
  </si>
  <si>
    <t>Tunnel Surveyor</t>
  </si>
  <si>
    <t>Creature — Human Detective</t>
  </si>
  <si>
    <t>When this creature enters, create a 1/1 white Glimmer enchantment creature token.</t>
  </si>
  <si>
    <t>Tunnel Tipster / Informante dos Túneis</t>
  </si>
  <si>
    <t>Creature — Mole Scout / Criatura — Toupeira Batedor</t>
  </si>
  <si>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</si>
  <si>
    <t>At the beginning of your end step, if a face-down creature entered the battlefield under your control this turn, put a +1/+1 counter on this creature. {T}: Add {G}. / No início de sua etapa final, se uma criatura com a face voltada para baixo tiver entrado no campo de batalha sob seu controle neste turno, coloque um marcador +1/+1 em Informante dos Túneis. {T}: Adicione {G}.</t>
  </si>
  <si>
    <t>Turn Aside / Desviar Olhar</t>
  </si>
  <si>
    <t>Counter target spell that targets a permanent you control. / Anule a mágica alvo que tenha como alvo uma permanente que você controla.</t>
  </si>
  <si>
    <t>Turn Inside Out</t>
  </si>
  <si>
    <t>Target creature gets +3/+0 until end of turn. When it dies this turn, manifest dread. (Look at the top two cards of your library. Put one onto the battlefield face down as a 2/2 creature and the other into your graveyard. Turn it face up any time for its mana cost if it's a creature card.)</t>
  </si>
  <si>
    <t>Turn to Frog / Transformar em Sapo</t>
  </si>
  <si>
    <t>Until end of turn, target creature loses all abilities and becomes a blue Frog with base power and toughness 1/1. / Até o final do turno, a criatura alvo perde todas as habilidades e torna-se um Sapo azul com 1/1 de poder e resistência básicos.</t>
  </si>
  <si>
    <t>Turntimber Ranger / Patrulheiro de Virapau</t>
  </si>
  <si>
    <t>Creature — Elf Scout Ally / Criatura — Elfo Batedor Aliado</t>
  </si>
  <si>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</si>
  <si>
    <t>Turtle Blimp</t>
  </si>
  <si>
    <t>Flying When this Vehicle enters, create a 2/2 red Mutant creature token. Crew 2 (Tap any number of creatures you control with total power 2 or more: This Vehicle becomes an artifact creature until end of turn.)</t>
  </si>
  <si>
    <t>Turtle Lair</t>
  </si>
  <si>
    <t>{T}: Add {C}. {T}: Add one mana of any color. Spend this mana only to cast a Ninja or Turtle spell. {3}, {T}: Target Ninja or Turtle can't be blocked this turn.</t>
  </si>
  <si>
    <t>Turtle Power!</t>
  </si>
  <si>
    <t>Flash Turtles you control get +2/+2.</t>
  </si>
  <si>
    <t>Turtle Tracks / Rastros de Tartaruga</t>
  </si>
  <si>
    <t>Qualquer número de jogadores alvo pode, cada um, procurar em seu próprio grimório por um card de terreno básico, colocá-lo no campo de batalha sob o controle deles e depois embaralhar.</t>
  </si>
  <si>
    <t>Turtle Van</t>
  </si>
  <si>
    <t>Whenever this Vehicle attacks, put a +1/+1 counter on target creature that crewed it this turn. Then if that creature is a Mutant, Ninja, or Turtle, double the number of +1/+1 counters on it. Crew 1 (Tap any number of creatures you control with total power 1 or more: This Vehicle becomes an artifact creature until end of turn.)</t>
  </si>
  <si>
    <t>Turtle-Duck</t>
  </si>
  <si>
    <t>Creature — Turtle Bird</t>
  </si>
  <si>
    <t>{3}: Until end of turn, this creature has base power 4 and gains trample.</t>
  </si>
  <si>
    <t>Tuya Bearclaw / Tuya Garra de Urso</t>
  </si>
  <si>
    <t>Whenever Tuya Bearclaw attacks, it gets +X/+X until end of turn, where X is the greatest power among other creatures you control. / Toda vez que Tuya Garra de Urso ataca, ela recebe +X/+X até o final do turno, sendo X o maior poder entre os das outras criaturas que você controla.</t>
  </si>
  <si>
    <t>Tweeze</t>
  </si>
  <si>
    <t>Tweeze deals 3 damage to any target. You may discard a card. If you do, draw a card.</t>
  </si>
  <si>
    <t>Twist Reality</t>
  </si>
  <si>
    <t>Choose one — • Counter target spell. • Manifest dread. (Look at the top two cards of your library. Put one onto the battlefield face down as a 2/2 creature and the other into your graveyard. Turn it face up any time for its mana cost if it's a creature card.)</t>
  </si>
  <si>
    <t>Twisted Abomination / Abominação Distorcida</t>
  </si>
  <si>
    <t>Creature — Zombie Mutant / Criatura — Mutante Zumbi</t>
  </si>
  <si>
    <t>{B}: Regenerate this creature. (The next time this creature would be destroyed this turn, instead tap it, remove it from combat, and heal all damage on it.) Swampcycling {2} ({2}, Discard this card: Search your library for a Swamp card, reveal it, put it into your hand, then shuffle.) / {B}: Regenere Abominação Distorcida. Reciclar Pântano {2} ({2}, Descarte este card: Procure em seu grimório por um card do tipo Pântano, revele-o e coloque-o em sua mão. Depois, embaralhe seu grimório.)</t>
  </si>
  <si>
    <t>Premium Deck Series: Graveborn</t>
  </si>
  <si>
    <t>Ty Lee, Artful Acrobat</t>
  </si>
  <si>
    <t>Legendary Creature — Human Performer</t>
  </si>
  <si>
    <t>Prowess (Whenever you cast a noncreature spell, this creature gets +1/+1 until end of turn.) Whenever Ty Lee attacks, you may pay {1}. When you do, target creature can't block this turn.</t>
  </si>
  <si>
    <t>Ty Lee, Chi Blocker</t>
  </si>
  <si>
    <t>Legendary Creature — Human Performer Ally</t>
  </si>
  <si>
    <t>Flash Prowess (Whenever you cast a noncreature spell, this creature gets +1/+1 until end of turn.) When Ty Lee enters, tap up to one target creature. It doesn't untap during its controller's untap step for as long as you control Ty Lee.</t>
  </si>
  <si>
    <t>Tymaret, the Murder King / Tymaret, Rei do Assassinato</t>
  </si>
  <si>
    <t>Legendary Creature — Zombie Warrior / Criatura Lendária — Zumbi Guerreiro</t>
  </si>
  <si>
    <t>{1}{R}, Sacrifice another creature: Tymaret deals 2 damage to target player or planeswalker. {1}{B}, Sacrifice a creature: Return this card from your graveyard to your hand. / {1}{R}, Sacrifique outra criatura: Tymaret, Rei do Assassinato, causa 2 pontos de dano ao jogador alvo. {1}{B}, Sacrifique uma criatura: Devolva Tymaret de seu cemitério para sua mão.</t>
  </si>
  <si>
    <t>Tyrox, Saurid Tyrant</t>
  </si>
  <si>
    <t>Legendary Creature — Dinosaur Warrior</t>
  </si>
  <si>
    <t>U.S. Agent, John Walker / Agente Americano, John Walker</t>
  </si>
  <si>
    <t>Criatura Lendária — Humano Soldado Herói</t>
  </si>
  <si>
    <t>Quando Agente Americano entrar, crie uma ficha de artefato do tipo Equipamento incolor chamada Escudo Resistente com "A criatura equipada recebe +1/+2" e equipar {2}. Anexe-a a Agente Americano.</t>
  </si>
  <si>
    <t>3{W/B}</t>
  </si>
  <si>
    <t>Uglúk da Mão Branca / Uglúk of the White Hand</t>
  </si>
  <si>
    <t>Toda vez que outra criatura que você controla morrer, coloque um marcador +1/+1 em Uglúk da Mão Branca. Se aquela criatura for um Goblin ou Orc, em vez disso, coloque dois marcadores +1/+1 em Uglúk.</t>
  </si>
  <si>
    <t>Ulamog, the Ceaseless Hunger / Ulamog, a Fome Interminável</t>
  </si>
  <si>
    <t>Legendary Creature — Eldrazi / Criatura Lendária — Eldrazi</t>
  </si>
  <si>
    <t>When you cast this spell, exile two target permanents. Indestructible Whenever Ulamog attacks, defending player exiles the top twenty cards of their library. / Quando conjurar Ulamog, a Fome Interminável, exile duas permanentes alvo.IndestrutívelToda vez que Ulamog ataca, o jogador defensor exila vinte cards do topo do próprio grimório.</t>
  </si>
  <si>
    <t>Ulamog's Crusher / Esmagador de Ulamog</t>
  </si>
  <si>
    <t>Annihilator 2. Ulamog's Crusher attacks each combat if able. / Aniquilador 2. Esmagador de Ulamog ataca a cada combate, se estiver apto.</t>
  </si>
  <si>
    <t>Ultima, Origin of Oblivion / Ultima, a Origem do Oblívio</t>
  </si>
  <si>
    <t>Criatura Lendária — Deus</t>
  </si>
  <si>
    <t>Voar. Sempre que Ultima atacar, coloque um marcador de flagelo no terreno alvo. Enquanto aquele terreno tiver um marcador de flagelo, ele perderá todos os tipos de terreno e habilidades e terá "{T}: Adicione {C}". Sempre que você virar um terreno para receber {C}, adicione {C} adicional.</t>
  </si>
  <si>
    <t>Ultimecia, Time Sorceress / Ultimecia, Feiticeira do Tempo</t>
  </si>
  <si>
    <t>Criatura Lendária — Humano Bruxo</t>
  </si>
  <si>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</si>
  <si>
    <t>3{U}{B}</t>
  </si>
  <si>
    <t>Azul/Preto</t>
  </si>
  <si>
    <t>Ultron Drone</t>
  </si>
  <si>
    <t>Power-up — {6}: Put two +1/+1 counters on this creature and create a 2/2 colorless Robot Villain artifact creature token. (Activate each power-up ability only once. Reduce the cost by its mana cost if it entered this turn.)</t>
  </si>
  <si>
    <t>Ultros, Obnoxious Octopus / Ultros, Polvo Inconveniente</t>
  </si>
  <si>
    <t>Criatura Lendária — Polvo</t>
  </si>
  <si>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</si>
  <si>
    <t>Umara Entangler / Emaranhadora de Umara</t>
  </si>
  <si>
    <t>Creature — Merfolk Rogue Ally / Criatura — Tritão Ladino Aliado</t>
  </si>
  <si>
    <t>Unable to Scream</t>
  </si>
  <si>
    <t>Enchant creature Enchanted creature loses all abilities and is a Toy artifact creature with base power and toughness 0/2 in addition to its other types. As long as enchanted creature is face down, it can't be turned face up.</t>
  </si>
  <si>
    <t>Unbury</t>
  </si>
  <si>
    <t>Choose one — Return target creature card from your graveyard to your hand. Return two target creature cards that share a creature type from your graveyard to your hand.</t>
  </si>
  <si>
    <t>Uncharted Haven / Refúgio Inexplorado</t>
  </si>
  <si>
    <t>This land enters tapped. As it enters, choose a color. {T}: Add one mana of the chosen color. / Refúgio Inexplorado entra no campo de batalha virado. Conforme Refúgio Inexplorado entrar no campo de batalha, escolha uma cor. {T}: Adicione um mana da cor escolhida.</t>
  </si>
  <si>
    <t>Uncharted Voyage</t>
  </si>
  <si>
    <t>Target creature's owner puts it on their choice of the top or bottom of their library. Surveil 1. (Look at the top card of your library. You may put it into your graveyard.)</t>
  </si>
  <si>
    <t>Uncle Istvan / Tio Istvan</t>
  </si>
  <si>
    <t>Prevent all damage that would be dealt to this creature by creatures. / Previne todo o dano que seria causado por criaturas a Tio Istvan.</t>
  </si>
  <si>
    <t>Unconventional Tactics / Táticas Não Convencionais</t>
  </si>
  <si>
    <t>Target creature gets +3/+3 and gains flying until end of turn. Whenever a Zombie you control enters, you may pay {W}. If you do, return this card from your graveyard to your hand. / A criatura alvo recebe +3/+3 e ganha voar até o final do turno. Toda vez que um Zumbi entra no campo de batalha sob seu controle, você pode pagar {W}. Se fizer isso, devolva Táticas Não Convencionais de seu cemitério para sua mão.</t>
  </si>
  <si>
    <t>Undead Minotaur / Minotauro Morto-vivo</t>
  </si>
  <si>
    <t>Undead Servant / Servo Morto-vivo</t>
  </si>
  <si>
    <t>When this creature enters, create a 2/2 black Zombie creature token for each card named Undead Servant in your graveyard. / Quando Servo Morto-vivo entrar no campo de batalha, coloque no campo de batalha uma ficha de criatura preta 2/2 do tipo Zumbi para cada card com o nome Servo Morto-vivo no seu cemitério.</t>
  </si>
  <si>
    <t>Undercity Dire Rat / Rato Atroz da Cidade Baixa</t>
  </si>
  <si>
    <t>Criatura — Rato</t>
  </si>
  <si>
    <t>Rabo de Rato — Quando esta criatura morrer, crie uma ficha de Tesouro. (Ela é um artefato com "{T}, Sacrifique esta ficha: Adicione um mana de qualquer cor.")</t>
  </si>
  <si>
    <t>Undercity Scavenger / Necrófago do Submundo</t>
  </si>
  <si>
    <t>When this creature enters, you may sacrifice another creature. If you do, put two +1/+1 counters on this creature, then scry 2. / Quando Necrófago do Submundo entra no campo de batalha, você pode sacrificar outra criatura. Se fizer isso, coloque dois marcadores +1/+1 em Necrófago do Submundo e, em seguida, use vidência 2.</t>
  </si>
  <si>
    <t>Undercity Troll / Trol do Submundo</t>
  </si>
  <si>
    <t>Renown 1 (When this creature deals combat damage to a player, if it isn't renowned, put a +1/+1 counter on it and it becomes renowned.) {2}{G}: Regenerate this creature. (The next time this creature would be destroyed this turn, instead tap it, remove it from combat, and heal all damage on it.) / Renome 1 (Quando esta criatura causar dano de combate a um jogador, se ela não for renomada, coloque um marcador +1/+1 nela e ela se tornará renomada.){2}{G}: Regenere Trol do Submundo. (Na próxima vez em que esta criatura seria destruída neste turno, ela não será. Em vez disso, vire-a, remova todo o dano dela e remova-a do combate.)</t>
  </si>
  <si>
    <t>Undercity's Embrace / Abraço do Submundo</t>
  </si>
  <si>
    <t>Target opponent sacrifices a creature of their choice. If you control a creature with power 4 or greater, you gain 4 life. / O oponente alvo sacrifica uma criatura. Se você controla uma criatura com poder igual ou superior a 4, você ganha 4 pontos de vida.</t>
  </si>
  <si>
    <t>Undergrowth / Vegetação Rasteira</t>
  </si>
  <si>
    <t>As an additional cost to cast this spell, you may pay {2}{R}. Prevent all combat damage that would be dealt this turn. If this spell's additional cost was paid, this effect doesn't affect combat damage that would be dealt by red creatures.</t>
  </si>
  <si>
    <t>Underworld Charger / Corcel do Submundo</t>
  </si>
  <si>
    <t>This creature can't block. Escape—{4}{B}, Exile three other cards from your graveyard. (You may cast this card from your graveyard for its escape cost.) This creature escapes with two +1/+1 counters on it. / Corcel do Submundo não pode bloquear. Escapatória — {4}{B}, exile três outros cards de seu cemitério. (Você pode conjurar este card de seu cemitério pagando seu custo de escapatória.) Corcel do Submundo escapa com dois marcadores +1/+1.</t>
  </si>
  <si>
    <t>Underworld Coinsmith / Moedeiro do Submundo</t>
  </si>
  <si>
    <t>Enchantment Creature — Human Cleric / Criatura Encantamento — Humano Clérigo</t>
  </si>
  <si>
    <t>Constellation — Whenever this creature or another enchantment you control enters, you gain 1 life. {W}{B}, Pay 1 life: Each opponent loses 1 life. / Constelação — Toda vez que Moedeiro do Submundo ou outro encantamento entra no campo de batalha sob seu controle, você ganha 1 ponto de vida. {W}{B}, Pague 1 ponto de vida: Cada oponente perde 1 ponto de vida.</t>
  </si>
  <si>
    <t>Underworld Rage-Hound / Sabujo Raivoso do Submundo</t>
  </si>
  <si>
    <t>This creature attacks each combat if able. Escape—{3}{R}, Exile three other cards from your graveyard. (You may cast this card from your graveyard for its escape cost.) This creature escapes with a +1/+1 counter on it. / Sabujo Raivoso do Submundo ataca a cada combate se estiver apto. Escapatória — {3}{R}, exile três outros cards de seu cemitério. (Você pode conjurar este card de seu cemitério pagando seu custo de escapatória.) Sabujo Raivoso do Submundo escapa com um marcador +1/+1.</t>
  </si>
  <si>
    <t>Uneasy Alliance</t>
  </si>
  <si>
    <t>Enchant creature Enchanted creature can't attack or block. {5}, Sacrifice this Aura: Exile enchanted creature. You create a 1/1 black Ninja creature token. Activate only as a sorcery.</t>
  </si>
  <si>
    <t>Unesh, Criosphinx Sovereign / Unesh, Soberano Crioesfinge</t>
  </si>
  <si>
    <t>Legendary Creature — Sphinx / Criatura Lendária — Esfinge</t>
  </si>
  <si>
    <t>Flying Sphinx spells you cast cost {2} less to cast. Whenever Unesh or another Sphinx you control enters, reveal the top four cards of your library. An opponent separates those cards into two piles. Put one pile into your hand and the other into your graveyard. / Voar As mágicas de Esfinge que você conjura custam {2} a menos para serem conjuradas. Toda vez que Unesh, Soberano Crioesfinge, ou outra Esfinge entrar no campo de batalha sob seu controle, revele os quatro cards do topo de seu grimório. Um oponente separa aqueles cards em dois montes. Coloque um monte na sua mão e o outro em seu cemitério.</t>
  </si>
  <si>
    <t>Unexpected Request / Pedido Inesperado</t>
  </si>
  <si>
    <t>Ganhe o controle da criatura alvo até o final do turno. Desvire aquela criatura. Ela ganha ímpeto até o final do turno. Você pode anexar um Equipamento que você controla àquela criatura. Se fizer isso, desanexe-o no início da próxima etapa final.</t>
  </si>
  <si>
    <t>Unflinching Courage / Coragem Inabalável</t>
  </si>
  <si>
    <t>Enchant creature Enchanted creature gets +2/+2 and has trample and lifelink. (Damage dealt by the creature also causes its controller to gain that much life.) / Encantar criatura A criatura encantada recebe +2/+2 e tem atropelar e vínculo com a vida.</t>
  </si>
  <si>
    <t>Unforgiving Aim</t>
  </si>
  <si>
    <t>Choose one — • Destroy target creature with flying. • Destroy target enchantment. • Create a 2/2 black and green Elf creature token.</t>
  </si>
  <si>
    <t>Unholy Heat / Calor Profano</t>
  </si>
  <si>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</si>
  <si>
    <t>Secret Lair Promo (SLP)</t>
  </si>
  <si>
    <t>Unholy Hunger / Fome Profana</t>
  </si>
  <si>
    <t>Destroy target creature. Spell mastery — If there are two or more instant and/or sorcery cards in your graveyard, you gain 2 life. / Destrua a criatura alvo.Maestria em magia — Se houver dois ou mais cards de mágica instantânea ou feitiço no seu cemitério, você ganhará 2 pontos de vida.</t>
  </si>
  <si>
    <t>Unholy Officiant / Celebrante Profano</t>
  </si>
  <si>
    <t>Vigilance {4}{W}: Put a +1/+1 counter on this creature. / Vigilância {4}{W}: Coloque um marcador +1/+1 em Celebrante Profano.</t>
  </si>
  <si>
    <t>Unholy Strength / Força Profana</t>
  </si>
  <si>
    <t>Enchanted creature gets +2/+1.</t>
  </si>
  <si>
    <t>Enchant creature Enchanted creature gets +2/+1. / Encantar criatura A criatura encantada recebe +2/+1.</t>
  </si>
  <si>
    <t>Unicórnio Perolado / Pearled Unicorn</t>
  </si>
  <si>
    <t>Invocação de Unicórnio / Summon Unicorn</t>
  </si>
  <si>
    <t>Uninvited Geist / Geist Não Convidado</t>
  </si>
  <si>
    <t>Skulk (This creature can't be blocked by creatures with greater power.) When this creature deals combat damage to a player, transform it. / Esquivo (Esta criatura não pode ser bloqueada por criaturas com poder superior ao dela.) Quando Geist Não Convidado causar dano de combate a um jogador, transforme-o.</t>
  </si>
  <si>
    <t>Unity of Purpose / Unidade de Propósito</t>
  </si>
  <si>
    <t>Support 2. (Put a +1/+1 counter on each of up to two target creatures.) Untap each creature you control with a +1/+1 counter on it. / Suporte 2. (Coloque um marcador +1/+1 em cada uma de até duas criaturas alvo.) Desvire cada criatura que você controla com um marcador +1/+1.</t>
  </si>
  <si>
    <t>Universal Solvent / Solvente Universal</t>
  </si>
  <si>
    <t>{7}, {T}, Sacrifice this artifact: Destroy target permanent. / {7}, {T}, sacrifique Solvente Universal: Destrua a permanente alvo.</t>
  </si>
  <si>
    <t>{7}, {T}, Sacrifice Universal Solvent: Destroy target permanent.</t>
  </si>
  <si>
    <t>Unlucky Cabbage Merchant</t>
  </si>
  <si>
    <t>When this creature enters, create a Food token. (It's an artifact with "{2}, {T}, Sacrifice this token: You gain 3 life.") Whenever you sacrifice a Food, you may search your library for a basic land card and put it onto the battlefield tapped. If you search your library this way, put this creature on the bottom of its owner's library, then shuffle.</t>
  </si>
  <si>
    <t>Unmake / Inexistir</t>
  </si>
  <si>
    <t>Exile target creature. / Remova do jogo a criatura alvo.</t>
  </si>
  <si>
    <t>Unnatural Moonrise / Nascer da Lua Antinatural</t>
  </si>
  <si>
    <t>It becomes night. Until end of turn, target creature gets +1/+0 and gains trample and "Whenever this creature deals combat damage to a player, draw a card." Flashback {2}{R}{G} (You may cast this card from your graveyard for its flashback cost. Then exile it.) / Torna-se noite. Até o final do turno, a criatura alvo recebe +1/+0 e ganha atropelar e "Toda vez que esta criatura causar dano de combate a um jogador, compre um card." Recapitular {2}{R}{G} (Você pode conjurar este card de seu cemitério pagando seu custo de recapitular. Depois, exile-o.)</t>
  </si>
  <si>
    <t>Unraveling Mummy / Múmia Desenrolada</t>
  </si>
  <si>
    <t>{1}{W}: Target attacking Zombie gains lifelink until end of turn. {1}{B}: Target attacking Zombie gains deathtouch until end of turn. / {1}{W}: O Zumbi atacante alvo ganha vínculo com a vida até o final do turno. {1}{B}: O Zumbi atacante alvo ganha toque mortífero até o final do turno.</t>
  </si>
  <si>
    <t>Unscrupulous Contractor / Mercenário Inescrupuloso</t>
  </si>
  <si>
    <t>When this creature enters, you may sacrifice a creature. When you do, target player draws two cards and loses 2 life. Plot {2}{B} (You may pay {2}{B} and exile this card from your hand. Cast it as a sorcery on a later turn without paying its mana cost. Plot only as a sorcery.) / Quando Mercenário Inescrupuloso entra no campo de batalha, você pode sacrificar uma criatura. Quando você faz isso, o jogador alvo compra dois cards e perde 2 pontos de vida. Tramar {2}{B} (Você pode pagar {2}{B} e exilar este card de sua mão. Conjure-o como um feitiço num turno posterior sem pagar seu custo de mana. Trame somente como um feitiço.)</t>
  </si>
  <si>
    <t>Unsettling Twins</t>
  </si>
  <si>
    <t>When this creature enters, manifest dread. (Look at the top two cards of your library. Put one onto the battlefield face down as a 2/2 creature and the other into your graveyard. Turn it face up any time for its mana cost if it's a creature card.)</t>
  </si>
  <si>
    <t>Unstable Amulet / Amuleto Instável</t>
  </si>
  <si>
    <t>When this artifact enters, you get {E}{E} (two energy counters). Whenever you cast a spell from anywhere other than your hand, this artifact deals 1 damage to each opponent. {T}, Pay {E}{E}: Exile the top card of your library. You may play it until you exile another card with this artifact. / Quando Amuleto Instável entra no campo de batalha, você recebe {E}{E}. Toda vez que você conjura uma mágica vinda de qualquer lugar que não seja sua mão, Amuleto Instável causa 1 ponto de dano a cada oponente. {T}, pague {E}{E}: Exile o card do topo de seu grimório. Você pode jogá-lo até exilar outro card com Amuleto Instável.</t>
  </si>
  <si>
    <t>Unstable Obelisk / Obelisco Instável</t>
  </si>
  <si>
    <t>{T}: Add {C}. {7}, {T}, Sacrifice this artifact: Destroy target permanent. / {T}: Adicione {C}. {7}, {T}, sacrifique Obelisco Instável: Destrua a permanente alvo.</t>
  </si>
  <si>
    <t>Unstoppable Ogre / Ogro Irrefreável</t>
  </si>
  <si>
    <t>Artifact Creature — Ogre Warrior / Criatura Artefato — Ogro Guerreiro</t>
  </si>
  <si>
    <t>When this creature enters, target creature can't block this turn. / Quando Ogro Irrefreável entra no campo de batalha, a criatura alvo não pode bloquear neste turno.</t>
  </si>
  <si>
    <t>Unsubstantiate / Insubstanciar</t>
  </si>
  <si>
    <t>Return target spell or creature to its owner's hand. / Devolva a mágica ou criatura alvo para a mão de seu dono.</t>
  </si>
  <si>
    <t>Unsubtle Mockery / Zombaria Pouco Sutil</t>
  </si>
  <si>
    <t>Unsubtle Mockery deals 4 damage to target creature. Surveil 1. (Look at the top card of your library. You may put it into your graveyard.) / Zombaria Pouco Sutil causa 4 de dano à criatura alvo. Vigiar 1. (Olhe o card do topo de seu grimório. Você pode colocá-lo em seu cemitério.)</t>
  </si>
  <si>
    <t>Unsummon / Esconjurar</t>
  </si>
  <si>
    <t>Return target creature to its owner's hand. / Devolva a criatura alvo para a mão de seu dono.</t>
  </si>
  <si>
    <t>Untethered Express / Expresso Desengatado</t>
  </si>
  <si>
    <t>Trample Whenever this Vehicle attacks, put a +1/+1 counter on it. Crew 1 (Tap any number of creatures you control with total power 1 or more: This Vehicle becomes an artifact creature until end of turn.) / Atropelar Toda vez que Expresso Desengatado atacar, coloque um marcador +1/+1 nele. Tripular 1 (Vire qualquer número de criaturas que você controla com total de poder igual ou superior a 1: Este Veículo se torna uma criatura artefato até o final do turno.)</t>
  </si>
  <si>
    <t>Unwelcome Sprite</t>
  </si>
  <si>
    <t>Flying. Whenever you cast a spell during an opponent's turn, surveil 2. (Look at the top two cards of your library. You may put any number of them into your graveyard and the rest on top of your library in any order.)</t>
  </si>
  <si>
    <t>Unyielding Krumar / Krumar Inexorável</t>
  </si>
  <si>
    <t>{1}{W}: This creature gains first strike until end of turn. / {1}{W}: Krumar Inexorável ganha iniciativa até o final do turno.</t>
  </si>
  <si>
    <t>Updraft Elemental / Elemental do Sopro Ascendente</t>
  </si>
  <si>
    <t>Uproot / Desenraizar</t>
  </si>
  <si>
    <t>Put target land on top of its owner's library. / Coloque o terreno alvo no topo do grimório de seu dono.</t>
  </si>
  <si>
    <t>Urabrask's Anointer / Ungidor de Urabrask</t>
  </si>
  <si>
    <t>Artifact Creature — Phyrexian Wizard / Criatura Artefato — Phyrexiano Mago</t>
  </si>
  <si>
    <t>When this creature enters, it deals X damage to any target, where X is the number of permanents you control with oil counters on them. / Quando Ungidor de Urabrask entra no campo de batalha, ele causa X pontos de dano a qualquer alvo, sendo X o número de permanentes que você controla com marcadores de óleo.</t>
  </si>
  <si>
    <t>Urban Burgeoning / Crescimento Urbano</t>
  </si>
  <si>
    <t>Enchant land Enchanted land has "Untap this land during each other player's untap step." / Encantar terreno O terreno encantado tem "Desvire este terreno durante a etapa de desvirar de cada outro jogador."</t>
  </si>
  <si>
    <t>Urban Utopia / Utopia Urbana</t>
  </si>
  <si>
    <t>Enchant land When this Aura enters, draw a card. Enchanted land has "{T}: Add one mana of any color." / Encantar terreno Quando Utopia Urbana entrar no campo de batalha, compre um card. O terreno encantado tem "{T}: Adicione um mana de qualquer cor".</t>
  </si>
  <si>
    <t>Urna de Fogo Divino / Divine Fire Urn</t>
  </si>
  <si>
    <t>{2}: Adicione um mana de qualquer cor. {6}, {T}, sacrifique Urna de Fogo Divino: Destrua a criatura ou o encantamento alvo.</t>
  </si>
  <si>
    <t>Urza, Prince of Kroog / Urza, Príncipe de Kroog</t>
  </si>
  <si>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</si>
  <si>
    <t>Urza's Avenger / Vingador de Urza</t>
  </si>
  <si>
    <t>Artifact Creature — Shapeshifter</t>
  </si>
  <si>
    <t>{0}: This creature gets -1/-1 and gains your choice of banding, flying, first strike, or trample until end of turn. (Any creatures with banding, and up to one without, can attack in a band. Bands are blocked as a group. If any creatures with banding you control are blocking or being blocked by a creature, you divide that creature's combat damage, not its controller, among any of the creatures it's being blocked by or is blocking.)</t>
  </si>
  <si>
    <t>Urza's Mine / Miniera di Urza</t>
  </si>
  <si>
    <t>Land / Terra</t>
  </si>
  <si>
    <t>{T}: Add {C} to your mana pool. If you control an Urza's Tower and an Urza's Power Plant, add {C}{C} to your mana pool instead.</t>
  </si>
  <si>
    <t>Uthden Troll / Trol de Uthden</t>
  </si>
  <si>
    <t>{R}: Regenerate this creature. / {R}: Regenere Trol de Uthden.</t>
  </si>
  <si>
    <t>Utopia Vow / Promessa Utópica</t>
  </si>
  <si>
    <t>Enchant creature Enchanted creature can't attack or block. Enchanted creature has "{T}: Add one mana of any color." / Encantar criatura A criatura encantada não pode atacar nem bloquear. A criatura encantada tem "{T}: Adicione um mana de qualquer cor".</t>
  </si>
  <si>
    <t>Utrom Scientists</t>
  </si>
  <si>
    <t>Artifact Creature — Utrom Robot Scientist</t>
  </si>
  <si>
    <t>When this creature enters, tap up to one target creature and put a stun counter on it. (If a permanent with a stun counter would become untapped, remove one from it instead.)</t>
  </si>
  <si>
    <t>Utter Insignificance / Insignificância Mor</t>
  </si>
  <si>
    <t>Flash Enchant creature Enchanted creature loses all abilities and has base power and toughness 1/1. {2}{C}: Exile enchanted creature. / Lampejo Encantar criatura A criatura encantada perde todas as habilidades e tem poder e resistência básicos 1/1. {2}{C}: Exile a criatura encantada.</t>
  </si>
  <si>
    <t>Uurg, Prole de Turg / Uurg, Spawn of Turg</t>
  </si>
  <si>
    <t>Criatura Lendária — Sapo Besta</t>
  </si>
  <si>
    <t>O poder de Uurg, Prole de Turg, é igual ao número de cards de terreno em seu cemitério. No início de sua manutenção, olhe o card do topo de seu grimório. Você pode colocar aquele card em seu cemitério. {B}{G}, sacrifique um terreno: Você ganha 2 pontos de vida.</t>
  </si>
  <si>
    <t>{B}{B}{G}</t>
  </si>
  <si>
    <t>*/5</t>
  </si>
  <si>
    <t>Valakut Predator / Predador de Valakut</t>
  </si>
  <si>
    <t>Landfall — Whenever a land you control enters, this creature gets +2/+2 until end of turn. / Aterragem — Toda vez que um terreno entra no campo de batalha sob seu controle, Predador de Valakut recebe +2/+2 até o final do turno.</t>
  </si>
  <si>
    <t>Valeron Outlander / Forasteiro de Valeron</t>
  </si>
  <si>
    <t>Protection from black / Proteção contra o preto</t>
  </si>
  <si>
    <t>Valgavoth's Faithful</t>
  </si>
  <si>
    <t>{3}{B}, Sacrifice this creature: Return target creature card from your graveyard to the battlefield. Activate only as a sorcery.</t>
  </si>
  <si>
    <t>Valiant Knight / Cavaleira Valente</t>
  </si>
  <si>
    <t>Other Knights you control get +1/+1. {3}{W}{W}: Knights you control gain double strike until end of turn. / Os outros Cavaleiros que você controla recebem +1/+1. {3}{W}{W}: Os Cavaleiros que você controla ganham golpe duplo até o final do turno.</t>
  </si>
  <si>
    <t>Valkyrie Aerial Unit / Unidade Aérea Valquíria</t>
  </si>
  <si>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</si>
  <si>
    <t>Valkyrior Skyrider</t>
  </si>
  <si>
    <t>Creature — God Warrior Hero</t>
  </si>
  <si>
    <t>Flying (This creature can't be blocked except by creatures with flying or reach.) When this creature enters, you gain 4 life.</t>
  </si>
  <si>
    <t>Vampire Bats / Morcegos Vampiros</t>
  </si>
  <si>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</si>
  <si>
    <t>Vampire Hounds / Sabujos Vampiros</t>
  </si>
  <si>
    <t>Creature — Vampire Dog</t>
  </si>
  <si>
    <t>Discard a creature card: This creature gets +2/+2 until end of turn.</t>
  </si>
  <si>
    <t>Vampire Nighthawk / Vampiro Falcão-da-Noite</t>
  </si>
  <si>
    <t>Flying Deathtouch (Any amount of damage this deals to a creature is enough to destroy it.) Lifelink (Damage dealt by this creature also causes you to gain that much life.) / Voar Toque mortífero (Qualquer quantidade de dano que esta criatura cause a uma criatura é suficiente para destruí-la.) Vínculo com a vida (O dano causado por esta criatura faz com que você ganhe uma quantidade equivalente de pontos de vida.)</t>
  </si>
  <si>
    <t>Vampire Opportunist / Oportunista Vampira</t>
  </si>
  <si>
    <t>{6}{B}: Each opponent loses 2 life and you gain 2 life. / {6}{B}: Cada oponente perde 2 pontos de vida e você ganha 2 pontos de vida.</t>
  </si>
  <si>
    <t>Vampire Revenant / Espectro Vampírico</t>
  </si>
  <si>
    <t>Creature — Vampire Spirit / Criatura — Vampiro Espírito</t>
  </si>
  <si>
    <t>Vampire Slayer / Matadora de Vampiros</t>
  </si>
  <si>
    <t>Whenever this creature deals damage to a Vampire, destroy that creature. / Toda vez que Matadora de Vampiros causar dano a um Vampiro, destrua aquela criatura.</t>
  </si>
  <si>
    <t>Vampire Sovereign / Soberana Vampira</t>
  </si>
  <si>
    <t>Creature — Vampire Noble / Criatura — Vampiro</t>
  </si>
  <si>
    <t>Flying When this creature enters, target opponent loses 3 life and you gain 3 life. / Voar Quando Soberana Vampira entra no campo de batalha, o oponente alvo perde 3 pontos de vida e você ganha 3 pontos de vida.</t>
  </si>
  <si>
    <t>Vampire Warlord / Senhor da Guerra Vampiro</t>
  </si>
  <si>
    <t>Sacrifice another creature: Regenerate this creature. (The next time this creature would be destroyed this turn, instead tap it, remove it from combat, and heal all damage on it.) / Sacrifique outra criatura: Regenere Senhor da Guerra Vampiro. (Na próxima vez em que esta criatura seria destruída neste turno, ela não será. Em vez disso, vire-a, remova todo o dano dela e remova-a do combate.)</t>
  </si>
  <si>
    <t>Vampiro de Guul Draz</t>
  </si>
  <si>
    <t>Criatura — Vampiro Ladino</t>
  </si>
  <si>
    <t>Enquanto um oponente tiver 10 ou menos pontos de vida, Vampiro de Guul Draz receberá +2/+1 e terá intimidar. (Ele só pode ser bloqueado por criaturas artefato e/ou criaturas que compartilhem uma cor com ele.)</t>
  </si>
  <si>
    <t>WWK</t>
  </si>
  <si>
    <t>Vampiro de Guul Draz / Guul Draz Vampire</t>
  </si>
  <si>
    <t>Criatura — Vampiro Ladino / Creature — Vampire Rogue</t>
  </si>
  <si>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</si>
  <si>
    <t>Vampiro de Sengir / Sengir Vampire</t>
  </si>
  <si>
    <t>Criatura — Vampiro / Creature — Vampire</t>
  </si>
  <si>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</si>
  <si>
    <t xml:space="preserve">Welcome Deck 2016 </t>
  </si>
  <si>
    <t>Vanguard Seraph</t>
  </si>
  <si>
    <t>Creature — Angel Warrior</t>
  </si>
  <si>
    <t>Flying Whenever you gain life for the first time each turn, surveil 1. (Look at the top card of your library. You may put it into your graveyard.)</t>
  </si>
  <si>
    <t>Vanguarda dos Lestenses / Easterling Vanguard</t>
  </si>
  <si>
    <t>Criatura — Humano Guerreiro</t>
  </si>
  <si>
    <t>Quando Vanguarda dos Lestenses morrer, arregimente Orcs 1. (Coloque um marcador +1/+1 em um Exército que você controla. Ele também é um Orc. Se você não controlar um Exército, crie antes uma ficha de criatura Orc Exército preta 0/0.)</t>
  </si>
  <si>
    <t>Vanille, Cheerful l'Cie / Vanille, l'Cie Animada</t>
  </si>
  <si>
    <t>Criatura Lendária — Humano Clerigo</t>
  </si>
  <si>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</si>
  <si>
    <t>Vanish from Sight</t>
  </si>
  <si>
    <t>Target nonland permanent's owner puts it on their choice of the top or bottom of their library. Surveil 1. (Look at the top card of your library. You may put it into your graveyard.)</t>
  </si>
  <si>
    <t>Varchild's Crusader / Cruzado de Varchild</t>
  </si>
  <si>
    <t>{0}: This creature can't be blocked this turn except by Walls. Sacrifice this creature at the beginning of the next end step.</t>
  </si>
  <si>
    <t>Vastwood Gorger / Devorador de Matavasta</t>
  </si>
  <si>
    <t>Vastwood Zendikon / Zendikon de Matavasta</t>
  </si>
  <si>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</si>
  <si>
    <t>Vat of Rebirth / Tanque de Renascimento</t>
  </si>
  <si>
    <t>Whenever another artifact or creature you control is put into a graveyard from the battlefield, put an oil counter on this artifact. {2}{B}, {T}, Remove four oil counters from this artifact: Return target creature card from your graveyard to the battlefield. Activate only as a sorcery. / Toda vez que outra criatura ou outro artefato que você controla for colocado em um cemitério vindo do campo de batalha, coloque um marcador de óleo em Tanque de Renascimento. {2}{B}, {T}, remova quatro marcadores de óleo de Tanque de Renascimento: Devolva o card de criatura alvo de seu cemitério para o campo de batalha. Ative somente como um feitiço.</t>
  </si>
  <si>
    <t>Vault Robber / Ladrão de Catacumba</t>
  </si>
  <si>
    <t>{1}, {T}, Exile a creature card from your graveyard: Create a Treasure token. (It's an artifact with "{T}, Sacrifice this token: Add one mana of any color.") / {1}, {T}, exile um card de criatura de seu cemitério: Crie uma ficha de Tesouro. (Ela é um artefato com "{T}, sacrifique este artefato: Adicione um mana de qualquer cor".)</t>
  </si>
  <si>
    <t>Vayne's Treachery / Traição de Vayne</t>
  </si>
  <si>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</si>
  <si>
    <t>Vectis Agents / Agentes de Vectis</t>
  </si>
  <si>
    <t>Artifact Creature — Human Rogue / Criatura Artefato — Humano Ladino</t>
  </si>
  <si>
    <t>{U}{B}: This creature gets -2/-0 until end of turn and can't be blocked this turn. / {U}{B}: Agentes de Vectis recebe -2/-0 até o final do turno e não pode ser bloqueado neste turno.</t>
  </si>
  <si>
    <t>Vector, Imperial Capital / Vector, Capital Imperial</t>
  </si>
  <si>
    <t>Este terreno entra virado. {T}: Adicione {B} ou {R}.</t>
  </si>
  <si>
    <t>Vedalken Mesmerist / Mesmerista Vedalkeano</t>
  </si>
  <si>
    <t>Whenever this creature attacks, target creature an opponent controls gets -2/-0 until end of turn. / Toda vez que Mesmerista Vedalkeano ataca, a criatura alvo que um oponente controla recebe -2/-0 até o final do turno.</t>
  </si>
  <si>
    <t>Veilborn Ghoul / Carniçal Cria do Véu</t>
  </si>
  <si>
    <t>This creature can't block. Whenever a Swamp you control enters, you may return this card from your graveyard to your hand. / Carniçal Cria do Véu não pode bloquear. Toda vez que um Pântano entra no campo de batalha sob seu controle, você pode devolver Carniçal Cria do Véu de seu cemitério para sua mão.</t>
  </si>
  <si>
    <t>Venat, Heart of Hydaelyn / Venat, Coração de Hydaelyn</t>
  </si>
  <si>
    <t>Criatura Lendária — Ancião Mago</t>
  </si>
  <si>
    <t>Sempre que você conjurar uma mágica lendária, compre um card. Esta habilidade é despoletada apenas uma vez a cada turno. Ruína do Herói — {7}, {T}: Exile a permanente alvo que não seja um terreno. Transforme Venat. Ative somente como um feitiço.</t>
  </si>
  <si>
    <t>1{W}{W}</t>
  </si>
  <si>
    <t>Venerated Teacher / Professor Venerado</t>
  </si>
  <si>
    <t>When this creature enters, put two level counters on each creature you control with level up. / Quando Professor Venerado entrar no campo de batalha, coloque dois marcadores de nível em cada criatura que você controla com subir de nível.</t>
  </si>
  <si>
    <t>Vengeful Tracker / Rastreador Vingativo</t>
  </si>
  <si>
    <t>Whenever an opponent sacrifices an artifact, this creature deals 2 damage to them. / Toda vez que um oponente sacrifica um artefato, Rastreador Vingativo causa 2 pontos de dano àquele jogador.</t>
  </si>
  <si>
    <t>Venomous Brutalizer / Brutalizador Peçonhento</t>
  </si>
  <si>
    <t>Creature — Phyrexian Knight / Criatura — Phyrexiano Cavaleiro</t>
  </si>
  <si>
    <t>Toxic 3 (Players dealt combat damage by this creature also get three poison counters.) When this creature enters, you may pay {1}{G}. If you do, proliferate. (Choose any number of permanents and/or players, then give each another counter of each kind already there.) / Tóxico 3 (Os jogadores que sofrem dano de combate desta criatura também recebem três marcadores de veneno). Quando Brutalizador Peçonhento entra no campo de batalha, você pode pagar {1}{G}. Se fizer isso, prolifere. (Escolha qualquer número de permanentes e/ou jogadores. Em seguida, dê a cada um deles outro marcador de cada tipo que eles já tenham.)</t>
  </si>
  <si>
    <t>Venomous Hierophant / Hierofante Venenosa</t>
  </si>
  <si>
    <t>Creature — Gorgon Cleric / Criatura — Górgona Clérigo</t>
  </si>
  <si>
    <t>Deathtouch (Any amount of damage this deals to a creature is enough to destroy it.) When this creature enters, mill three cards. (Put the top three cards of your library into your graveyard.) / Toque mortífero Quando Hierofante Venenosa entrar no campo de batalha, coloque os três cards do topo de seu grimório em seu cemitério.</t>
  </si>
  <si>
    <t>Venus, Torn Between Worlds</t>
  </si>
  <si>
    <t>Legendary Creature — Mutant Frog Turtle</t>
  </si>
  <si>
    <t>Whenever Venus is dealt damage, put that many +1/+1 counters on her. (She must survive the damage to get the counters.) Whenever a creature you control with a counter on it deals combat damage to a player, you may pay {U}. If you do, draw a card.</t>
  </si>
  <si>
    <t>Verdant Haven / Refúgio Verdejante</t>
  </si>
  <si>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</si>
  <si>
    <t>Verdeloth the Ancient / Verdeloth, o Antigo</t>
  </si>
  <si>
    <t>Kicker {X} (You may pay an additional {X} as you cast this spell.) Saproling creatures and other Treefolk creatures get +1/+1. When Verdeloth enters, if it was kicked, create X 1/1 green Saproling creature tokens. / Reforçar {X} (Você pode pagar um custo adicional de {X} ao jogar esta mágica.) Todos os outros Ents e Saprófitas recebem +1/+1. Quando Verdeloth, o Antigo entrar em jogo, se seu custo de reforço tiver sido pago, coloque em jogo X fichas de criatura verde 1/1 do tipo Saprófita.</t>
  </si>
  <si>
    <t>Vertigo / Vertigem</t>
  </si>
  <si>
    <t>Vertigo deals 2 damage to target creature with flying. That creature loses flying until end of turn.</t>
  </si>
  <si>
    <t>Veteran Bodyguard</t>
  </si>
  <si>
    <t>As long as this creature is untapped, all damage that would be dealt to you by unblocked creatures is dealt to this creature instead.</t>
  </si>
  <si>
    <t>Veteran Survivor</t>
  </si>
  <si>
    <t>Survival — At the beginning of your second main phase, if this creature is tapped, exile up to one target card from a graveyard. As long as there are three or more cards exiled with this creature, it gets +3/+3 and has hexproof. (It can't be the target of spells or abilities your opponents control.)</t>
  </si>
  <si>
    <t>Vexing Arcanix</t>
  </si>
  <si>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</si>
  <si>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</si>
  <si>
    <t>Nêmesis</t>
  </si>
  <si>
    <t>Vexing Scuttler / Naufragador Irritante</t>
  </si>
  <si>
    <t>Emerge {6}{U} (You may cast this spell by sacrificing a creature and paying the emerge cost reduced by that creature's mana value.) When you cast this spell, you may return target instant or sorcery card from your graveyard to your hand. / Emergir {6}{U} (Você pode conjurar esta mágica sacrificando uma criatura e pagando o custo de emergir menos o custo de mana convertido daquela criatura.) Quando você conjura Naufragador Irritante, você pode devolver o card de mágica instantânea ou feitiço alvo de seu cemitério para sua mão.</t>
  </si>
  <si>
    <t>Viashino Branchrider / Surfista da Mata Viashino</t>
  </si>
  <si>
    <t>Creature — Lizard Warrior / Criatura — Viashino Guerreiro</t>
  </si>
  <si>
    <t>Kicker {2}{G} (You may pay an additional {2}{G} as you cast this spell.) Haste If this creature was kicked, it enters with two +1/+1 counters on it. {2}{R}: This creature gets +2/+0 until end of turn. / Reforçar {2}{G} (Você pode pagar um custo adicional de {2}{G} ao conjurar esta mágica.) Ímpeto Se Surfista da Mata Viashino foi reforçado, ele entra no campo de batalha com dois marcadores +1/+1. {2}{R}: Surfista da Mata Viashino recebe +2/+0 até o final do turno.</t>
  </si>
  <si>
    <t>Viashino Fangtail / Viashino Cauda Canina</t>
  </si>
  <si>
    <t>Creature — Lizard Warrior / Criatura - Guerreiro Viashino</t>
  </si>
  <si>
    <t>{T}: This creature deals 1 damage to any target. / {T}: Viashino Cauda Canina causa 1 ponto de dano à criatura alvo ou ao jogador alvo.</t>
  </si>
  <si>
    <t>Viashino Racketeer / Extorsionário Viashino</t>
  </si>
  <si>
    <t>When this creature enters, you may discard a card. If you do, draw a card. / Quando Extorsionário Viashino entra no campo de batalha, você pode descartar um card. Se fizer isso, compre um card.</t>
  </si>
  <si>
    <t>Vibranium Energy Daggers</t>
  </si>
  <si>
    <t>Indestructible (Effects that say "destroy" don't destroy this Equipment.) Equipped creature gets +2/+2. Equip {3} ({3}: Attach to target creature you control. Equip only as a sorcery.)</t>
  </si>
  <si>
    <t>Vibrant Cityscape / Paisagem Urbana Vibrante</t>
  </si>
  <si>
    <t>{T}, Sacrifique este terreno: Procure em seu grimório por um card de terreno básico, coloque-o no campo de batalha virado e depois embaralhe.</t>
  </si>
  <si>
    <t>Teenage Mutant Ninja Turtles (TMC)</t>
  </si>
  <si>
    <t>Vicious Clown</t>
  </si>
  <si>
    <t>Creature — Human Clown</t>
  </si>
  <si>
    <t>Whenever another creature you control with power 2 or less enters, this creature gets +2/+0 until end of turn.</t>
  </si>
  <si>
    <t>Vicious Hunger / Fome Mórbida</t>
  </si>
  <si>
    <t>Vicious Hunger deals 2 damage to target creature and you gain 2 life. / Fome Mórbida causa 2 pontos de dano à criatura alvo e você ganha 2 pontos de vida.</t>
  </si>
  <si>
    <t>Nemesis (NEM)</t>
  </si>
  <si>
    <t>Victim of Night</t>
  </si>
  <si>
    <t>Destroy target non-Vampire, non-Werewolf, non-Zombie creature.</t>
  </si>
  <si>
    <t>Duel Decks: Blessed vs. Cursed (DDG)</t>
  </si>
  <si>
    <t>Victor Mancha, Runaway</t>
  </si>
  <si>
    <t>Legendary Artifact Creature — Human Hero</t>
  </si>
  <si>
    <t>When Victor Mancha enters, exile target card from your graveyard. You may play it for as long as you control Victor Mancha.</t>
  </si>
  <si>
    <t>Vigia do Mercado Noturno / Night Market Lookout</t>
  </si>
  <si>
    <t>Criatura — Humano Ladino / Creature — Human Rogue</t>
  </si>
  <si>
    <t>Toda vez que Vigia do Mercado Noturno é virado, cada oponente perde 1 ponto de vida e você ganha 1 ponto de vida. / Whenever Night Market Lookout becomes tapped, each opponent loses 1 life and you gain 1 life.</t>
  </si>
  <si>
    <t>Vilespawn Spider / Aranha da Prole Maligna</t>
  </si>
  <si>
    <t>Reach At the beginning of your upkeep, mill a card. (Put the top card of your library into your graveyard.) {2}{G}{U}, {T}, Sacrifice this creature: Create a 1/1 green Insect creature token for each creature card in your graveyard. Activate only as a sorcery. / Alcance No início de sua manutenção, triture um card. (Coloque o card do topo de seu grimório em seu cemitério.) {2}{G}{U}, {T}, sacrifique Aranha da Prole Maligna: Crie uma ficha de criatura Inseto verde 1/1 para cada card de criatura em seu cemitério. Ative somente como um feitiço.</t>
  </si>
  <si>
    <t>Village Cannibals / Canibais da Aldeia</t>
  </si>
  <si>
    <t>Whenever another Human creature dies, put a +1/+1 counter on this creature. / Toda vez que outra criatura do tipo Humano morrer, coloque um marcador +1/+1 sobre Canibais da Aldeia.</t>
  </si>
  <si>
    <t>Village Messenger / Mensageira da Aldeia</t>
  </si>
  <si>
    <t>Creature — Human Werewolf / Criatura — Humano Lobisomem</t>
  </si>
  <si>
    <t>Haste At the beginning of each upkeep, if no spells were cast last turn, transform this creature. / Ímpeto No início de cada manutenção, se nenhuma mágica tiver sido conjurada no último turno, transforme Mensageira da Aldeia.</t>
  </si>
  <si>
    <t>Village Rites</t>
  </si>
  <si>
    <t>As an additional cost to cast this spell, sacrifice a creature. Draw two cards.</t>
  </si>
  <si>
    <t>Villagers of Estwald / Aldeões de Estwald</t>
  </si>
  <si>
    <t>At the beginning of each upkeep, if no spells were cast last turn, transform Villagers of Estwald. / No início de cada manutenção, se nenhuma mágica tiver sido conjurada no último turno, transforme Aldeões de Estwald.</t>
  </si>
  <si>
    <t>Villagers of Estwald // Howlpack of Estwald / Aldeões de Estwald // Alcateia Uivante de Estwald</t>
  </si>
  <si>
    <t>Creature — Human Werewolf // Creature — Werewolf / Criatura — Humano Lobisomem</t>
  </si>
  <si>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</si>
  <si>
    <t>Villain</t>
  </si>
  <si>
    <t>Villainous Hideout</t>
  </si>
  <si>
    <t>{T}: Add {C}. {T}: Add one mana of any color. Spend this mana only to cast a Villain spell or to activate an ability of a Villain source. {3}, {T}: Target Villain you control connives. Activate only as a sorcery. (Draw a card, then discard a card. If you discarded a nonland card, put a +1/+1 counter on that creature.)</t>
  </si>
  <si>
    <t>Vincent Valentine / Vincent Valentine</t>
  </si>
  <si>
    <t>Criatura Lendária — Assassino</t>
  </si>
  <si>
    <t>Sempre que uma criatura que um oponente controla morrer, coloque em Vincent Valentine um número de marcadores +1/+1 igual ao poder daquela criatura. Sempre que Vincent Valentine atacar, você pode transformá-lo.</t>
  </si>
  <si>
    <t>Vincent's Limit Break / Limit Break de Vincent</t>
  </si>
  <si>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</si>
  <si>
    <t>Vindictive Vampire / Vampira Vingativa</t>
  </si>
  <si>
    <t>Criatura — Vampiro</t>
  </si>
  <si>
    <t>Toda vez que outra criatura que você controla morre, Vampira Vingativa causa 1 ponto de dano a cada oponente e você ganha 1 ponto de vida.</t>
  </si>
  <si>
    <t>Vindictive Warden</t>
  </si>
  <si>
    <t>Menace (This creature can't be blocked except by two or more creatures.) Firebending 1 (Whenever this creature attacks, add {R}. This mana lasts until end of combat.) {3}: This creature deals 1 damage to each opponent.</t>
  </si>
  <si>
    <t>Vine Snare / Armadilha de Vinhas</t>
  </si>
  <si>
    <t>Prevent all combat damage that would be dealt this turn by creatures with power 4 or less. / Previna todo o dano de combate que seria causado neste turno por criaturas com poder igual ou inferior a 4.</t>
  </si>
  <si>
    <t>Vinereap Mentor</t>
  </si>
  <si>
    <t>Creature — Squirrel Druid</t>
  </si>
  <si>
    <t>When Vinereap Mentor enters or dies, create a Food token. (It's an artifact with "2, {T}, Sacrifice this artifact: You gain 3 life.")</t>
  </si>
  <si>
    <t>Viper's Kiss / Beijo da Víbora</t>
  </si>
  <si>
    <t>Enchant creature Enchanted creature gets -1/-1, and its activated abilities can't be activated. / Encantar criatura A criatura encantada recebe -1/-1 e suas habilidades ativadas não podem ser ativadas.</t>
  </si>
  <si>
    <t>Viridian Longbow / Arco Longo Viridiano</t>
  </si>
  <si>
    <t>Equipped creature has "{T}: This creature deals 1 damage to any target." Equip {3} ({3}: Attach to target creature you control. Equip only as a sorcery.) / A criatura equipada tem "{T}: Ela causa 1 ponto de dano a qualquer alvo". Equipar {3} ({3}: Anexe este equipamento à criatura alvo que você controla. Equipe somente como um feitiço.)</t>
  </si>
  <si>
    <t>Viridian Revel / Diversão Viridiana</t>
  </si>
  <si>
    <t>Whenever an artifact is put into an opponent's graveyard from the battlefield, you may draw a card. / Toda vez que um artefato for colocado no cemitério de um oponente vindo do campo de batalha, você poderá comprar um card.</t>
  </si>
  <si>
    <t>Virulent Emissary</t>
  </si>
  <si>
    <t>Creature — Elf Assassin</t>
  </si>
  <si>
    <t>Rare (Promo)</t>
  </si>
  <si>
    <t>Deathtouch. Whenever another creature you control enters, you gain 1 life.</t>
  </si>
  <si>
    <t>Lorwyn Eclipsed (ECL) (Promo)</t>
  </si>
  <si>
    <t>Visão Longínqua Élfica / Elven Farsight</t>
  </si>
  <si>
    <t>Use vidência 3. Depois, você pode revelar o card do topo de seu grimório. Se for um card de criatura, compre um card.</t>
  </si>
  <si>
    <t>Viscid Lemures / Lêmures Viscosos</t>
  </si>
  <si>
    <t>{0}: This creature gets -1/-0 and gains swampwalk until end of turn. (It can't be blocked as long as defending player controls a Swamp.) / {0}: Lêmures Viscosos recebe -1/-0 e ganha travessia de pântano até o final do turno.</t>
  </si>
  <si>
    <t>Visionary's Dance</t>
  </si>
  <si>
    <t>Create two 3/3 blue and red Elemental creature tokens with flying. {2}, Discard this card: Look at the top two cards of your library. Put one of them into your hand and the other into your graveyard.</t>
  </si>
  <si>
    <t>{5}{U}{R}</t>
  </si>
  <si>
    <t>Visions / Visões</t>
  </si>
  <si>
    <t>Look at the top five cards of target player's library. You may then have that player shuffle that library.</t>
  </si>
  <si>
    <t>Visions of Brutality / Visões de Brutalidade</t>
  </si>
  <si>
    <t>Devoid (This card has no color.) Enchant creature Enchanted creature can't block. Whenever enchanted creature deals damage, its controller loses that much life. / Desprovido (Este card não tem cor.) Encantar criatura A criatura encantada não pode bloquear. Toda vez que a criatura encantada causa dano, seu controlador perde uma quantidade equivalente de pontos de vida.</t>
  </si>
  <si>
    <t>Visions of Villainy</t>
  </si>
  <si>
    <t>This spell costs {1} less to cast if you control a Villain. You draw two cards and lose 2 life.</t>
  </si>
  <si>
    <t>Visions of Villainy / Visões de Vilania</t>
  </si>
  <si>
    <t>Esta mágica custa {1} a menos para ser conjurada se você controlar um Vilão. Você compra dois cards e perde 2 de vida.</t>
  </si>
  <si>
    <t>Vito's Inquisitor / Inquisidora de Vito</t>
  </si>
  <si>
    <t>{B}, Sacrifice another creature or artifact: Put a +1/+1 counter on this creature. It gains menace until end of turn. / {B}, sacrifique outra criatura ou outro artefato: Coloque um marcador +1/+1 em Inquisidora de Vito. Ele ganha ameaçar até o final do turno.</t>
  </si>
  <si>
    <t>Vitral do Pacto das Guildas / Glass of the Guildpact</t>
  </si>
  <si>
    <t>As criaturas multicoloridas que você controla recebem +1/+1.</t>
  </si>
  <si>
    <t>Viv Vision, Teen Synthezoid / Viv Visão, Sintozóide Adolescente</t>
  </si>
  <si>
    <t>Criatura Artefato Lendária — Robô Herói</t>
  </si>
  <si>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</si>
  <si>
    <t>Vivid Grove / Bosque Vívido</t>
  </si>
  <si>
    <t>This land enters tapped with two charge counters on it. {T}: Add {G}. {T}, Remove a charge counter from this land: Add one mana of any color. / Bosque Vívido entra no campo de batalha virado com dois marcadores de carga. {T}: Adicione {G}. {T}, remova um marcador de carga de Bosque Vívido: Adicione um mana de qualquer cor.</t>
  </si>
  <si>
    <t>Vivien's Grizzly / Urso Pardo de Vivien</t>
  </si>
  <si>
    <t>Creature — Bear Spirit / Criatura — Urso Espírito</t>
  </si>
  <si>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</si>
  <si>
    <t>Vizier of Tumbling Sands / Vizir das Areias Correntes</t>
  </si>
  <si>
    <t>{T}: Untap another target permanent. Cycling {1}{U} ({1}{U}, Discard this card: Draw a card.) When you cycle this card, untap target permanent. / {T}: Desvire outra permanente alvo. Reciclar {1}{U} ({1}{U}, Descarte este card: Compre um card.) Quando você reciclar Vizir das Areias Correntes, desvire a permanente alvo.</t>
  </si>
  <si>
    <t>Vizkopa Vampire / Vampiro do Vizkopa</t>
  </si>
  <si>
    <t>Vizzerdrix</t>
  </si>
  <si>
    <t>Creature — Rabbit Beast</t>
  </si>
  <si>
    <t>Voda Sea Scavenger / Necrófago do Mar de Voda</t>
  </si>
  <si>
    <t>Domain — When this creature enters, look at the top X cards of your library, where X is the number of basic land types among lands you control. You may put one of those cards on top of your library. Put the rest on the bottom of your library in a random order. / Dominar — Quando Necrófago do Mar de Voda entrar no campo de batalha, olhe os X cards do topo de seu grimório, sendo X o número de tipos de terreno básico entre os terrenos que você controla. Você pode colocar um daqueles cards no topo de seu grimório. Coloque o restante no fundo de seu grimório em ordem aleatória.</t>
  </si>
  <si>
    <t>Vohar, Profanador Vodaliano / Vohar, Vodalian Desecrator</t>
  </si>
  <si>
    <t>Criatura Lendária — Phyrexiano Tritão Mago / Legendary Creature — Phyrexian Merfolk Wizard</t>
  </si>
  <si>
    <t>{T}: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 / {T}: Draw a card, then discard a card. If you discarded an instant or sorcery card this way, each opponent loses 1 life and you gain 1 life. {2}, Sacrifice Vohar, Vodalian Desecrator: You may cast target instant or sorcery card from your graveyard this turn. If that spell would be put into your graveyard, exile it instead. Activate only as a sorcery.</t>
  </si>
  <si>
    <t>Vohar, Vodalian Desecrator / Vohar, Profanador Vodaliano</t>
  </si>
  <si>
    <t>Legendary Creature — Phyrexian Merfolk Wizard / Criatura Lendária — Phyrexiano Tritão Mago</t>
  </si>
  <si>
    <t>{T}: Draw a card, then discard a card. If you discarded an instant or sorcery card this way, each opponent loses 1 life and you gain 1 life. {2}, Sacrifice Vohar: You may cast target instant or sorcery card from your graveyard this turn. If that spell would be put into your graveyard, exile it instead. Activate only as a sorcery. / {T}: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t>
  </si>
  <si>
    <t>Void Attendant / Assistente do Vazio</t>
  </si>
  <si>
    <t>Devoid (This card has no color.) {1}{G}, Put a card an opponent owns from exile into that player's graveyard: Create a 1/1 colorless Eldrazi Scion creature token. It has "Sacrifice this token: Add {C}." / Desprovido (Este card não tem cor.){1}{G}, Coloque um card exilado de um oponente no cemitério dele: Coloque no campo de batalha uma ficha de criatura incolor 1/1 do tipo Rebento Eldrazi. Ela tem "Sacrifique esta criatura: Adicione {1} à sua reserva de mana.".</t>
  </si>
  <si>
    <t>Voidwielder / Manipulador do Vácuo</t>
  </si>
  <si>
    <t>When this creature enters, you may return target creature to its owner's hand. / Quando Manipulador do Vácuo entra no campo de batalha, você pode devolver a criatura alvo para a mão de seu dono.</t>
  </si>
  <si>
    <t>Volcanic Rambler / Caminhante Vulcânico</t>
  </si>
  <si>
    <t>{2}{R}: This creature deals 1 damage to target player or planeswalker. / {2}{R}: Caminhante Vulcânico causa 1 ponto de dano ao jogador alvo.</t>
  </si>
  <si>
    <t>Volcanic Villain / Vilã Vulcânica</t>
  </si>
  <si>
    <t>Criatura — Elemental Vilão</t>
  </si>
  <si>
    <t>Ímpeto. Fortalecer — {5}{R}: Coloque dois marcadores +1/+1 nesta criatura. (Ative cada habilidade de fortalecer apenas uma vez. Reduza o custo pelo custo de mana dela se ela entrou neste turno.)</t>
  </si>
  <si>
    <t>Voldaren Duelist / Duelista Voldaren</t>
  </si>
  <si>
    <t>Haste When this creature enters, target creature can't block this turn. / Ímpeto Quando Duelista Voldaren entra no campo de batalha, a criatura alvo não pode bloquear neste turno.</t>
  </si>
  <si>
    <t>Voldaren Epicure / Epicurista Voldaren</t>
  </si>
  <si>
    <t>When this creature enters, it deals 1 damage to each opponent. Create a Blood token. (It's an artifact with "{1}, {T}, Discard a card, Sacrifice this token: Draw a card.") / Quando Epicurista Voldaren entra no campo de batalha, ele causa 1 ponto de dano a cada oponente. Crie uma ficha de Sangue. (Ela é um artefato com "{1}, {T}, descarte um card, sacrifique este artefato: Compre um card".)</t>
  </si>
  <si>
    <t>Voldaren Stinger / Ferroadora Voldaren</t>
  </si>
  <si>
    <t>This creature has first strike as long as it's attacking. {2}{R}: This creature gets +2/+0 until end of turn. / Ferroadora Voldaren tem iniciativa enquanto estiver atacando. {2}{R}: Ferroadora Voldaren recebe +2/+0 até o final do turno.</t>
  </si>
  <si>
    <t>Volley Veteran / Veterano das Saraivadas</t>
  </si>
  <si>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</si>
  <si>
    <t>Volrath's Motion Sensor</t>
  </si>
  <si>
    <t>Enchant Player</t>
  </si>
  <si>
    <t>When Volrath's Motion Sensor comes into play, choose target hand controlled by an opponent. Enchanted player balances Volrath's Motion Sensor on the back of that hand. If Volrath's Motion Sensor falls off the hand, sacrifice Volrath's Motion Sensor and that player loses 3 life.</t>
  </si>
  <si>
    <t>Volshe Tideturner / Inversora de Marés Volshe</t>
  </si>
  <si>
    <t>{T}: Add {U}. Spend this mana only to cast an instant or sorcery spell or a kicked spell. / {T}: Adicione {U}. Gaste este mana somente para conjurar uma mágica instantânea, um feitiço ou uma mágica reforçada.</t>
  </si>
  <si>
    <t>Voltage Surge / Surto Voltaico</t>
  </si>
  <si>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</si>
  <si>
    <t>Vontade do Flamividente</t>
  </si>
  <si>
    <t>Encantar criatura que você controla A criatura encantada recebe +1/+1. Toda vez que a criatura encantada causa dano de combate a um jogador, você pode sacrificar Vontade do Flamividente. Se fizer isso, destrua o artefato alvo.</t>
  </si>
  <si>
    <t>Voracious Dragon / Dragão Voraz</t>
  </si>
  <si>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</si>
  <si>
    <t>Voracious Tome-Skimmer</t>
  </si>
  <si>
    <t>Flying Whenever you cast a spell during an opponent's turn, you may pay 1 life. If you do, draw a card.</t>
  </si>
  <si>
    <t>{U/B}{U/B}{U/B}</t>
  </si>
  <si>
    <t>Voracious Typhon / Tifão Voraz</t>
  </si>
  <si>
    <t>Creature — Snake Beast / Criatura — Cobra Besta</t>
  </si>
  <si>
    <t>Escape—{5}{G}{G}, Exile four other cards from your graveyard. (You may cast this card from your graveyard for its escape cost.) This creature escapes with three +1/+1 counters on it. / Escapatória — {5}{G}{G}, exile quatro outros cards de seu cemitério. (Você pode conjurar este card de seu cemitério pagando seu custo de escapatória.) Tifão Voraz escapa com três marcadores +1/+1.</t>
  </si>
  <si>
    <t>Voracious Vampire / Vampiro Voraz</t>
  </si>
  <si>
    <t>Menace When this creature enters, target Vampire you control gets +1/+1 and gains menace until end of turn. / Ameaçar Quando Vampiro Voraz entra no campo de batalha, o Vampiro alvo que você controla recebe +1/+1 e ganha ameaçar até o final do turno.</t>
  </si>
  <si>
    <t>Vorme Crepuscular / Twilight Wurm</t>
  </si>
  <si>
    <t>Criatura — Vorme / Creature — Wurm</t>
  </si>
  <si>
    <t>Atropelar / Trample</t>
  </si>
  <si>
    <t>Verde / Green</t>
  </si>
  <si>
    <t>Vorstclaw / Garra Voraz</t>
  </si>
  <si>
    <t>Creature — Elemental Horror / Criatura — Elemental Horror</t>
  </si>
  <si>
    <t>Vote Out / Eliminar pelo Voto</t>
  </si>
  <si>
    <t>Convocar (Suas criaturas podem ajudar a conjurar esta mágica. Cada criatura que você vira ao conjurar esta mágica paga por {1} ou por um mana da cor daquela criatura.) Destrua a criatura alvo.</t>
  </si>
  <si>
    <t>Voyage's End / Fim da Viagem</t>
  </si>
  <si>
    <t>Return target creature to its owner's hand. Scry 1. (Look at the top card of your library. You may put that card on the bottom.) / Devolva a criatura alvo para a mão de seu dono. Vidência 1. (Olhe o card do topo de seu grimório. Você pode colocar aquele card no fundo de seu grimório.)</t>
  </si>
  <si>
    <t>Vraska's Finisher / Finalizadora de Vraska</t>
  </si>
  <si>
    <t>Creature — Gorgon Assassin / Criatura — Górgona Assassino</t>
  </si>
  <si>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</si>
  <si>
    <t>Vryn Wingmare / Égua Alada de Vryn</t>
  </si>
  <si>
    <t>Flying Noncreature spells cost {1} more to cast. / Voar As mágicas que não sejam de criatura custam {1} a mais para serem conjuradas.</t>
  </si>
  <si>
    <t>Vulpine Goliath / Golias Vulpino</t>
  </si>
  <si>
    <t>Vulshok Replica / Réplica de Vulshoque</t>
  </si>
  <si>
    <t>Artifact Creature — Berserker / Criatura Artefato — Amoque</t>
  </si>
  <si>
    <t>{1}{R}, Sacrifice this creature: It deals 3 damage to target player or planeswalker. / {1}{R}, Sacrifique Réplica de Vulshoque: Réplica de Vulshoque causa 3 pontos de dano ao jogador alvo.</t>
  </si>
  <si>
    <t>Vulturous Aven / Aviano Rapace</t>
  </si>
  <si>
    <t>Creature — Bird Shaman / Criatura — Ave Xamã</t>
  </si>
  <si>
    <t>Flying Exploit (When this creature enters, you may sacrifice a creature.) When this creature exploits a creature, you draw two cards and you lose 2 life. / Voar Explorar (Quando esta criatura entra no campo de batalha, você pode sacrificar uma criatura.) Quando Aviano Rapace explora uma criatura, você compra dois cards e perde 2 pontos de vida.</t>
  </si>
  <si>
    <t>Wailing Ghoul / Carniçal Lamuriante</t>
  </si>
  <si>
    <t>When this creature enters, mill two cards. (Put the top two cards of your library into your graveyard.) / Quando Carniçal Lamuriante entrar no campo de batalha, coloque os dois cards do topo de seu grimório em seu cemitério.</t>
  </si>
  <si>
    <t>Wakandan Royal Guard / Guarda Real de Wakanda</t>
  </si>
  <si>
    <t>Criatura — Humano Soldado Herói</t>
  </si>
  <si>
    <t>Vigilância. Quando esta criatura entrar, coloque um marcador +1/+1 na criatura alvo. Se aquela criatura for outro Herói, em vez disso, coloque dois marcadores +1/+1 nela.</t>
  </si>
  <si>
    <t>Walking Atlas / Atlas Ambulante</t>
  </si>
  <si>
    <t>Artifact Creature — Construct / Criatura — Constructo</t>
  </si>
  <si>
    <t>{T}: You may put a land card from your hand onto the battlefield. / {T}: Você pode colocar no campo de batalha um card de terreno da sua mão.</t>
  </si>
  <si>
    <t>Walking Corpse / Cadáver Ambulante</t>
  </si>
  <si>
    <t>Walking Sarcophagus</t>
  </si>
  <si>
    <t>Artifact Creature — Zombie Cat</t>
  </si>
  <si>
    <t>Start your engines! (If you have no speed, it starts at 1. It increases once on each of your turns when an opponent loses life. Max speed is 4.) Max speed — This creature gets +1/+2.</t>
  </si>
  <si>
    <t>Walking Wall / Barreira Ambulante</t>
  </si>
  <si>
    <t>Defender {3}: This creature gets +3/-1 until end of turn and can attack this turn as though it didn't have defender. Activate only once each turn.</t>
  </si>
  <si>
    <t>Walking Wall / Muralha Andante</t>
  </si>
  <si>
    <t>Artifact Creature — Wall / Criatura Artefato — Parede</t>
  </si>
  <si>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</si>
  <si>
    <t>Walking Wall / Muro Andarilho</t>
  </si>
  <si>
    <t>Counts as a wall, {3}: Walking Wall gets +3/-1 until end of turn and can attack this turn. Walking Wall cannot attack the turn it comes under your control. Use this ability only once a turn.</t>
  </si>
  <si>
    <t>Wall of Bone / Barreira de Ossos</t>
  </si>
  <si>
    <t>Defender (This creature can't attack.) {B}: Regenerate this creature. (The next time this creature would be destroyed this turn, instead tap it, remove it from combat, and heal all damage on it.) / Defensor (Esta criatura não pode atacar.) {B}: Regenere Barreira de Ossos. (Na próxima vez em que esta criatura seria destruída neste turno, ela não será. Em vez disso, vire-a, remova todo o dano dela e remova-a do combate.)</t>
  </si>
  <si>
    <t>Wall of Deceit / Barreira Enganosa</t>
  </si>
  <si>
    <t>Defender (This creature can't attack.) {3}: Turn this creature face down. Morph {U} (You may cast this card face down as a 2/2 creature for {3}. Turn it face up any time for its morph cost.) / (As Barreiras não podem atacar.) {3}: Volte a face de Barreira Enganosa para baixo. Metamorfose {U} (Você pode baixar este card com a face voltada para baixo como uma criatura 2/2 por {3}. Volte sua face para cima a qualquer momento pagando seu custo de metamorfose.)</t>
  </si>
  <si>
    <t>Wall of Denial / Barreira da Negação</t>
  </si>
  <si>
    <t>Defender, flying Shroud (This creature can't be the target of spells or abilities.) / Defensor, voar, manto</t>
  </si>
  <si>
    <t>0/8</t>
  </si>
  <si>
    <t>Wall of Dust / Barreira de Pó</t>
  </si>
  <si>
    <t>Defender (This creature can't attack.) Whenever this creature blocks a creature, that creature can't attack during its controller's next turn.</t>
  </si>
  <si>
    <t>Wall of Fire / Barreira de Fogo</t>
  </si>
  <si>
    <t>Defender (This creature can't attack.) {R}: This creature gets +1/+0 until end of turn. / Defensor (Esta criatura não pode atacar.) {R}: Barreira de Fogo recebe +1/+0 até o final do turno.</t>
  </si>
  <si>
    <t>Wall of Heat</t>
  </si>
  <si>
    <t>Defender (This creature can't attack.)</t>
  </si>
  <si>
    <t>Wall of Lava / Barreira de Lava</t>
  </si>
  <si>
    <t>Defender (This creature can't attack.) {R}: This creature gets +1/+1 until end of turn.</t>
  </si>
  <si>
    <t>Wall of Lost Thoughts / Barreira dos Pensamentos Perdidos</t>
  </si>
  <si>
    <t>Defender (This creature can't attack.) When this creature enters, target player mills four cards. (They put the top four cards of their library into their graveyard.) / Defensor Quando Barreira dos Pensamentos Perdidos entra no campo de batalha, o jogador alvo coloca os quatro cards do topo do próprio grimório no próprio cemitério.</t>
  </si>
  <si>
    <t>Wall of Opposition</t>
  </si>
  <si>
    <t>Defender (This creature can't attack.) {1}: This creature gets +1/+0 until end of turn.</t>
  </si>
  <si>
    <t>Wall of Resistance / Barreira de Resistência</t>
  </si>
  <si>
    <t>Defender (This creature can't attack.) Flying At the beginning of each end step, if this creature was dealt damage this turn, put a +0/+1 counter on it.</t>
  </si>
  <si>
    <t>Wall of Shadows</t>
  </si>
  <si>
    <t>Defender (This creature can't attack.) Prevent all damage that would be dealt to this creature by creatures it's blocking. This creature can't be the target of spells that can target only Walls or of abilities that can target only Walls.</t>
  </si>
  <si>
    <t>Wall of Spears / Barreira de Lanças</t>
  </si>
  <si>
    <t>Defender (This creature can't attack.) First strike / (As Barreiras não podem atacar.) Iniciativa (Esta criatura causa dano de combate antes de criaturas sem a habilidade de iniciativa.)</t>
  </si>
  <si>
    <t>Wall of Stone / Barreira de Pedra</t>
  </si>
  <si>
    <t>Defender (This creature can't attack.) / (As Barreiras não podem atacar.)</t>
  </si>
  <si>
    <t>Wall of Tanglecord / Barreira de Corda do Emaranhado</t>
  </si>
  <si>
    <t>Defender {G}: This creature gains reach until end of turn. (It can block creatures with flying.) / Defensor {G}: Barreira de Corda do Emaranhado ganha alcance até o final do turno. (Ela pode bloquear criaturas com voar.)</t>
  </si>
  <si>
    <t>Walltop Sentries</t>
  </si>
  <si>
    <t>Reach, deathtouch When this creature dies, if there's a Lesson card in your graveyard, you gain 2 life.</t>
  </si>
  <si>
    <t>Wander Off / Desviar-se</t>
  </si>
  <si>
    <t>Wanderbrine Preacher</t>
  </si>
  <si>
    <t>Creature — Merfolk Cleric</t>
  </si>
  <si>
    <t>Whenever this creature becomes tapped, you gain 2 life.</t>
  </si>
  <si>
    <t>Wanderbrine Rootcutters / Corta-Raízes de Salmorerrante</t>
  </si>
  <si>
    <t>This creature can't be blocked by green creatures. / Corta-Raízes de Salmorerrante não pode ser bloqueado por criaturas verdes.</t>
  </si>
  <si>
    <t>{2}{U/B}{U/B}</t>
  </si>
  <si>
    <t>Wanderer's Intervention / Intervenção da Errante</t>
  </si>
  <si>
    <t>Wanderer's Intervention deals 4 damage to target attacking or blocking creature. / Intervenção da Errante causa 4 pontos de dano à criatura atacante ou bloqueadora alvo.</t>
  </si>
  <si>
    <t>Wandering Champion / Campeão Errante</t>
  </si>
  <si>
    <t>Whenever this creature deals combat damage to a player, if you control a blue or red permanent, you may discard a card. If you do, draw a card. / Toda vez que Campeão Errante causar dano de combate a um jogador, se você controlar uma permanente azul ou vermelha, você poderá descartar um card. Se fizer isso, compre um card.</t>
  </si>
  <si>
    <t>Wandering Mind / Mente Vagante</t>
  </si>
  <si>
    <t>Flying When this creature enters, look at the top six cards of your library. You may reveal a noncreature, nonland card from among them and put it into your hand. Put the rest on the bottom of your library in a random order. / Voar Quando Mente Vagante entrar no campo de batalha, olhe os seis cards do topo de seu grimório. Você pode revelar um card não de criatura e não de terreno dentre eles e colocá-lo em sua mão. Coloque o restante no fundo de seu grimório em ordem aleatória.</t>
  </si>
  <si>
    <t>Wandering Musicians</t>
  </si>
  <si>
    <t>Creature — Human Bard Ally</t>
  </si>
  <si>
    <t>Whenever this creature attacks, creatures you control get +1/+0 until end of turn.</t>
  </si>
  <si>
    <t>{3}{R/W}</t>
  </si>
  <si>
    <t>Wanderlight Spirit / Espírito da Luz Vagante</t>
  </si>
  <si>
    <t>Flying This creature can block only creatures with flying. / Voar Espírito da Luz Vagante só pode bloquear criaturas com voar.</t>
  </si>
  <si>
    <t>War Balloon</t>
  </si>
  <si>
    <t>Flying {1}: Put a fire counter on this Vehicle. As long as this Vehicle has three or more fire counters on it, it's an artifact creature. Crew 3 (Tap any number of creatures you control with total power 3 or more: This Vehicle becomes an artifact creature until end of turn.)</t>
  </si>
  <si>
    <t>War Chariot</t>
  </si>
  <si>
    <t>{3}, {T}: Target creature gains trample until end of turn.</t>
  </si>
  <si>
    <t>War Elephant / Elefante de Guerra</t>
  </si>
  <si>
    <t>Summon Elephant</t>
  </si>
  <si>
    <t>Banding, trample</t>
  </si>
  <si>
    <t>War Machine, James Rhodes</t>
  </si>
  <si>
    <t>Flying (This creature can't be blocked except by creatures with flying or reach.) Whenever War Machine attacks, tap up to one target creature.</t>
  </si>
  <si>
    <t>War Machine, Legacy of Iron / Máquina de Combate, Legado de Ferro</t>
  </si>
  <si>
    <t>Criatura Artefato Lendária — Humano Herói</t>
  </si>
  <si>
    <t>Voar. No início do combate no seu turno, outra criatura alvo que você controla recebe +X/+0 até o final do turno, onde X é o poder de Máquina de Combate.</t>
  </si>
  <si>
    <t>2{R/W}</t>
  </si>
  <si>
    <t>War Mammoth / Mamute de Guerra</t>
  </si>
  <si>
    <t>Creature — Elephant</t>
  </si>
  <si>
    <t>War Oracle / Oráculo da Guerra</t>
  </si>
  <si>
    <t>Lifelink (Damage dealt by this creature also causes you to gain that much life.) Renown 1 (When this creature deals combat damage to a player, if it isn't renowned, put a +1/+1 counter on it and it becomes renowned.) / Vínculo com a vida (O dano causado por esta criatura faz com que você ganhe uma quantidade equivalente de pontos de vida.)Renome 1 (Quando esta criatura causar dano de combate a um jogador, se ela não for renomada, coloque um marcador +1/+1 nela e ela se tornará renomada.)</t>
  </si>
  <si>
    <t>War Squeak</t>
  </si>
  <si>
    <t>Enchant creature When this Aura enters, target creature an opponent controls can't block this turn. Enchanted creature gets +1/+1 and has haste.</t>
  </si>
  <si>
    <t>War-Name Aspirant / Aspirante a Nome de Guerra</t>
  </si>
  <si>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</si>
  <si>
    <t>War-Wing Siren / Sirena Asa-de-guerra</t>
  </si>
  <si>
    <t>Criatura — Sirena Soldado</t>
  </si>
  <si>
    <t>Voar Heroico — Toda vez que você conjura uma mágica cujo alvo seja Sirena Asa-de-guerra, coloque um marcador +1/+1 em Sirena Asa-de-guerra.</t>
  </si>
  <si>
    <t>Warbreak Trumpeter / Trombeteiro Irrompe-Guerra</t>
  </si>
  <si>
    <t>Morph {X}{X}{R} (You may cast this card face down as a 2/2 creature for {3}. Turn it face up any time for its morph cost.) When this creature is turned face up, create X 1/1 red Goblin creature tokens. / Metamorfose {X}{X}{R} (Você pode baixar este card com a face voltada para baixo como uma criatura 2/2 por {3}. Volte sua face para cima a qualquer momento pagando seu custo de metamorfose.) Quando a face de Trombeteiro Irrompe-Guerra for voltada para cima, coloque em jogo X fichas de criatura vermelha 1/1 do tipo Goblin.</t>
  </si>
  <si>
    <t>Warchanter of Mogis / Cantador de Guerra de Mogis</t>
  </si>
  <si>
    <t>Inspired — Whenever this creature becomes untapped, target creature you control gains intimidate until end of turn. (A creature with intimidate can't be blocked except by artifact creatures and/or creatures that share a color with it.) / Inspirado — Toda vez que Cantador de Guerra de Mogis se torna desvirado, a criatura alvo que você controla ganha intimidar até o final do turno. (Uma criatura com intimidar só pode ser bloqueada por criaturas artefato e/ou criaturas que compartilhem uma cor com ela.)</t>
  </si>
  <si>
    <t>Warclamp Mastiff / Mastim Torno-de-Guerra</t>
  </si>
  <si>
    <t>First strike (This creature deals combat damage before creatures without first strike.) / Iniciativa (Esta criatura causa dano de combate antes das criaturas sem iniciativa.)</t>
  </si>
  <si>
    <t>Wardscale Dragon / Dragão de Escama Defletora</t>
  </si>
  <si>
    <t>Flying As long as this creature is attacking, defending player can't cast spells. / Voar Enquanto Dragão de Escama Defletora estiver atacando, o jogador defensor não poderá conjurar mágicas.</t>
  </si>
  <si>
    <t>Warehouse Thief / Ladrão de Armazéns</t>
  </si>
  <si>
    <t>Creature — Tiefling Rogue / Criatura — Tiferino Ladino</t>
  </si>
  <si>
    <t>{2}, {T}, Sacrifice an artifact or creature: Exile the top card of your library. Until the end of your next turn, you may play that card. / {2}, {T}, sacrifique um artefato ou uma criatura: Exile o card do topo de seu grimório. Até o final do seu próximo turno, você pode jogar aquele card.</t>
  </si>
  <si>
    <t>Warlord's Axe / Machado do Senhor da Guerra</t>
  </si>
  <si>
    <t>Equipped creature gets +3/+1. Equip {4} ({4}: Attach to target creature you control. Equip only as a sorcery.) / A criatura equipada recebe +3/+1. Equipar {4} ({4}: Anexe à criatura alvo que você controla. Equipe somente quando puder jogar um feitiço.)</t>
  </si>
  <si>
    <t>Warlord's Fury / Fúria da Senhora da Guerra</t>
  </si>
  <si>
    <t>Creatures you control gain first strike until end of turn. Draw a card. / As criaturas que você controla ganham iniciativa até o final do turno. Compre um card.</t>
  </si>
  <si>
    <t>Warp Artifact / Deformar Artefato</t>
  </si>
  <si>
    <t>Enchant artifact At the beginning of the upkeep of enchanted artifact's controller, this Aura deals 1 damage to that player.</t>
  </si>
  <si>
    <t>Warrant // Warden / Permissão // Proteção</t>
  </si>
  <si>
    <t>Warrant: Put target attacking or blocking creature on top of its owner's library. // Warden: Create a 4/4 white and blue Sphinx creature token with flying and vigilance. / Coloque a criatura alvo atacante ou bloqueadora no topo do grimório de seu dono. // Crie uma ficha de criatura branca e azul 4/4 do tipo Esfinge com voar e vigilância.</t>
  </si>
  <si>
    <t>{W/U}{W/U} // {3}{W}{U}</t>
  </si>
  <si>
    <t>Warrior's Charge</t>
  </si>
  <si>
    <t>All your creatures get +1/+1 until the end of the turn.</t>
  </si>
  <si>
    <t>Warrior's Sword / Espada do Guerreiro</t>
  </si>
  <si>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</si>
  <si>
    <t>Wartime Protestors</t>
  </si>
  <si>
    <t>Haste Whenever another Ally you control enters, put a +1/+1 counter on that creature and it gains haste until end of turn.</t>
  </si>
  <si>
    <t>Wary Farmer</t>
  </si>
  <si>
    <t>At the beginning of your end step, if another creature entered the battlefield under your control this turn, surveil 1. (Look at the top card of your library. You may put it into your graveyard.)</t>
  </si>
  <si>
    <t>{1}{G/W}{G/W}</t>
  </si>
  <si>
    <t>Wary Thespian / Ator Desconfiado</t>
  </si>
  <si>
    <t>Creature — Cat Druid / Criatura — Felino Druida</t>
  </si>
  <si>
    <t>When this creature enters or dies, surveil 1. (Look at the top card of your library. You may put it into your graveyard.) / Quando Ator Desconfiado entrar no campo de batalha ou morrer, use vigiar 1. (Olhe o card do topo de seu grimório. Você pode colocar aquele card em seu cemitério.)</t>
  </si>
  <si>
    <t>Wash Away / Lavar</t>
  </si>
  <si>
    <t>Cleave {1}{U}{U} (You may cast this spell for its cleave cost. If you do, remove the words in square brackets.) Counter target spell [that wasn't cast from its owner's hand]. / Remover {1}{U}{U} (Você pode conjurar esta mágica pagando seu custo de remover. Se fizer isso, remova as palavras entre colchetes.) Anule a mágica alvo que não tenha sido conjurada da mão de seu dono.</t>
  </si>
  <si>
    <t>Wasp Lancer / Lanceiro de Vespa</t>
  </si>
  <si>
    <t>Wasteland Scorpion / Escorpião dos Ermos</t>
  </si>
  <si>
    <t>Deathtouch Cycling {2} ({2}, Discard this card: Draw a card.) / Toque mortífero Reciclar {2} ({2}, Descarte este card: Compre um card.)</t>
  </si>
  <si>
    <t>Wasteland Strangler / Estrangulador dos Ermos</t>
  </si>
  <si>
    <t>Devoid (This card has no color.) When this creature enters, you may put a card an opponent owns from exile into that player's graveyard. If you do, target creature gets -3/-3 until end of turn. / Desprovido (Este card não tem cor.)Quando Estrangulador dos Ermos entra no campo de batalha, você pode colocar um card exilado de um oponente no cemitério dele. Se fizer isso, a criatura alvo receberá -3/-3 até o final do turno.</t>
  </si>
  <si>
    <t>Water Tribe Captain</t>
  </si>
  <si>
    <t>{5}: Creatures you control get +1/+1 until end of turn.</t>
  </si>
  <si>
    <t>Water Tribe Rallier</t>
  </si>
  <si>
    <t>Waterbend {5}: Look at the top four cards of your library. You may reveal a creature card with power 3 or less from among them and put it into your hand. Put the rest on the bottom of your library in a random order. (While paying a waterbend cost, you can tap your artifacts and creatures to help. Each one pays for {1}.)</t>
  </si>
  <si>
    <t>Waterbending Lesson</t>
  </si>
  <si>
    <t>Draw three cards. Then discard a card unless you waterbend {2}. (While paying a waterbend cost, you can tap your artifacts and creatures to help. Each one pays for {1}.)</t>
  </si>
  <si>
    <t>Waterbending Scroll</t>
  </si>
  <si>
    <t>{6}, {T}: Draw a card. This ability costs {1} less to activate for each Island you control.</t>
  </si>
  <si>
    <t>Watercourser / Cursor D'água</t>
  </si>
  <si>
    <t>{U}: This creature gets +1/-1 until end of turn. / {U}: Cursor D'água recebe +1/-1 até o final do turno.</t>
  </si>
  <si>
    <t>Waterknot / Nó D'água</t>
  </si>
  <si>
    <t>Enchant creature When this Aura enters, tap enchanted creature. Enchanted creature doesn't untap during its controller's untap step. / Encantar criatura Quando Nó D'água entrar no campo de batalha, vire a criatura encantada. A criatura encantada não é desvirada durante a etapa de desvirar de seu controlador.</t>
  </si>
  <si>
    <t>Watery Grasp</t>
  </si>
  <si>
    <t>Enchant creature Enchanted creature doesn't untap during its controller's untap step. Waterbend {5}: Enchanted creature's owner shuffles it into their library. (While paying a waterbend cost, you can tap your artifacts and creatures to help. Each one pays for {1}.)</t>
  </si>
  <si>
    <t>Wave-Wing Elemental / Elemental Asa-de-onda</t>
  </si>
  <si>
    <t>Flying Landfall — Whenever a land you control enters, this creature gets +2/+2 until end of turn. / VoarAterragem — Toda vez que um terreno entra no campo de batalha sob seu controle, Elemental Asa-de-onda recebe +2/+2 até o final do turno.</t>
  </si>
  <si>
    <t>Wavesifter / Ondo-peneirador</t>
  </si>
  <si>
    <t>Flying When this creature enters, investigate twice. (To investigate, create a Clue token. It's an artifact with "{2}, Sacrifice this token: Draw a card.") Evoke {G}{U} (You may cast this spell for its evoke cost. If you do, it's sacrificed when it enters.) / Voar Quando Ondo-peneirador entrar no campo de batalha, investigue duas vezes. (Para investigar, crie uma ficha de artefato Pista incolor com "{2}, sacrifique este artefato: Compre um card".) Evocar {G}{U} (Você pode conjurar esta mágica pagando seu custo de evocar. Se fizer isso, ela será sacrificada quando entrar no campo de batalha.)</t>
  </si>
  <si>
    <t>Wayfarer's Bauble / Bijuteria do Viajante</t>
  </si>
  <si>
    <t>{2}, {T}, Sacrifice this artifact: Search your library for a basic land card, put that card onto the battlefield tapped, then shuffle. / {2}, {T}, sacrifique Bijuteria do Viajante: Procure em seu grimório um card de terreno básico, coloque-o no campo de batalha virado e depois embaralhe.</t>
  </si>
  <si>
    <t>Wayward Giant / Gigante Errático</t>
  </si>
  <si>
    <t>Menace / Ameaçar</t>
  </si>
  <si>
    <t>Weakness / Fraqueza</t>
  </si>
  <si>
    <t>Enchant creature Enchanted creature gets -2/-1. / Encantar criatura A criatura encantada recebe -2/-1.</t>
  </si>
  <si>
    <t>Weakstone's Subjugation / Subjugação da Pedra de Fraqueza</t>
  </si>
  <si>
    <t>Enchant artifact or creature When this Aura enters, you may pay {3}. If you do, tap enchanted permanent. Enchanted permanent doesn't untap during its controller's untap step. / Encantar artefato ou criatura Quando Subjugação da Pedra de Fraqueza entra no campo de batalha, você pode pagar {3}. Se fizer isso, vire a permanente encantada. A permanente encantada não desvira durante a etapa de desvirar de seu controlador.</t>
  </si>
  <si>
    <t>Weapon Rack / Cavalete de Armas</t>
  </si>
  <si>
    <t>Weapon Rack enters the battlefield with three +1/+1 counters on it. {T}: Move a +1/+1 counter from Weapon Rack onto target creature. Activate only as a sorcery.</t>
  </si>
  <si>
    <t>Weapons Vendor / Vendedor de Armas</t>
  </si>
  <si>
    <t>Quando esta criatura entrar, compre um card. No início do combate no seu turno, se você controlar um Equipamento, você pode pagar {1}. Quando fizer isso, anexe o Equipamento alvo que você controla à criatura alvo que você controla.</t>
  </si>
  <si>
    <t>Weary Prisoner / Prisioneira Fatigada</t>
  </si>
  <si>
    <t>Defender Daybound (If a player casts no spells during their own turn, it becomes night next turn.) / Defensor Diurno (Se um jogador não conjura nenhuma mágica durante o próprio turno, torna-se noite no turno seguinte.)</t>
  </si>
  <si>
    <t>Weaver of Currents / Tecelã de Correntes</t>
  </si>
  <si>
    <t>{T}: Add {C}{C}. / {T}: Adicione {C}{C} à sua reserva de mana.</t>
  </si>
  <si>
    <t>Weaver of Lightning / Tecelão de Raios</t>
  </si>
  <si>
    <t>Reach (This creature can block creatures with flying.) Whenever you cast an instant or sorcery spell, this creature deals 1 damage to target creature an opponent controls. / Alcance Toda vez que você conjura uma mágica instantânea ou um feitiço, Tecelão de Raios causa 1 ponto de dano à criatura alvo que um oponente controla.</t>
  </si>
  <si>
    <t>Weed-Pruner Poplar / Choupo Poda-Praga</t>
  </si>
  <si>
    <t>Creature — Treefolk Assassin / Criatura — Ent Assassino</t>
  </si>
  <si>
    <t>At the beginning of your upkeep, target creature other than this creature gets -1/-1 until end of turn. / No início de sua manutenção, a criatura alvo que não seja Choupo Poda-Praga recebe -1/-1 até o final do turno.</t>
  </si>
  <si>
    <t>Weight of the Underworld / Peso do Submundo</t>
  </si>
  <si>
    <t>Enchant creature Enchanted creature gets -3/-2. / Encantar criaturaA criatura encantada recebe -3/-2.</t>
  </si>
  <si>
    <t>Welcoming Vampire / Vampira da Recepção</t>
  </si>
  <si>
    <t>Flying Whenever one or more other creatures you control with power 2 or less enter, draw a card. This ability triggers only once each turn. / Voar Toda vez que uma ou mais outras criaturas com poder igual ou inferior a 2 entrarem no campo de batalha sob seu controle, compre um card. Esta habilidade é desencadeada apenas uma vez a cada turno.</t>
  </si>
  <si>
    <t>Weldfast Wingsmith / Aseiro de Soldafirme</t>
  </si>
  <si>
    <t>Whenever an artifact you control enters, this creature gains flying until end of turn. / Toda vez que um artefato entra no campo de batalha sob seu controle, Aseiro de Soldafirme ganha voar até o final do turno.</t>
  </si>
  <si>
    <t>Welding Sparks / Centelhas da Solda</t>
  </si>
  <si>
    <t>Welding Sparks deals X damage to target creature, where X is 3 plus the number of artifacts you control. / Centelhas da Solda causa X pontos de dano à criatura alvo, sendo X 3 mais o número de artefatos que você controla.</t>
  </si>
  <si>
    <t>Wellwisher / Desejador do Bem</t>
  </si>
  <si>
    <t>Creature — Elf / Criatura — Elfo</t>
  </si>
  <si>
    <t>{T}: You gain 1 life for each Elf on the battlefield. / {T}: Você ganha 1 ponto de vida para cada Elfo em jogo.</t>
  </si>
  <si>
    <t>West Wind Avatar</t>
  </si>
  <si>
    <t>Creature — Cat Spirit Avatar</t>
  </si>
  <si>
    <t>Trample Whenever this creature enters or attacks, you may sacrifice a token or a land. If you do, you gain 3 life. Disappear — At the beginning of your end step, if a permanent left the battlefield under your control this turn, draw a card.</t>
  </si>
  <si>
    <t>Wetland Sambar / Sâmbar do Charco</t>
  </si>
  <si>
    <t>Whalebone Glider / Planador de Ossos de Baleia</t>
  </si>
  <si>
    <t>{2}, {T}: Target creature with power 3 or less gains flying until end of turn.</t>
  </si>
  <si>
    <t>Whimwader / Andarilho Mental</t>
  </si>
  <si>
    <t>This creature can't attack unless defending player controls a blue permanent. / Andarilho Mental não pode atacar, a menos que o jogador defensor controle uma permanente azul.</t>
  </si>
  <si>
    <t>Whiplash Trap / Armadilha do Efeito Chicote</t>
  </si>
  <si>
    <t>Se um oponente teve duas ou mais criaturas entrando no campo de batalha sob o controle dele ou dela este turno, você pode pagar {U} em vez de pagar o custo de mana de Armadilha do Efeito Chicote. Devolva duas criaturas alvo para as mãos de seus donos.</t>
  </si>
  <si>
    <t>Whirler Rogue / Ladra dos Turbilinos</t>
  </si>
  <si>
    <t>Creature — Human Rogue Artificer / Criatura — Humano Ladino Artesão</t>
  </si>
  <si>
    <t>When this creature enters, create two 1/1 colorless Thopter artifact creature tokens with flying. Tap two untapped artifacts you control: Target creature can't be blocked this turn. / Quando Ladra dos Turbilinos entrar no campo de batalha, coloque no campo de batalha duas fichas de criatura artefato incolor 1/1 do tipo Tóptero com voar.Vire dois artefatos desvirados que você controla: A criatura alvo não pode ser bloqueada neste turno.</t>
  </si>
  <si>
    <t>Whirler Virtuoso / Virtuose dos Turbilinos</t>
  </si>
  <si>
    <t>When this creature enters, you get {E}{E}{E} (three energy counters). Pay {E}{E}{E}: Create a 1/1 colorless Thopter artifact creature token with flying. / Quando Virtuose dos Turbilinos entra no campo de batalha, você recebe {E}{E}{E} (três marcadores de energia). Pague {E}{E}{E}: Crie uma ficha de criatura artefato incolor 1/1 do tipo Tóptero com voar.</t>
  </si>
  <si>
    <t>Whirlpool Whelm / Inundar em Redemoinho</t>
  </si>
  <si>
    <t>Clash with an opponent, then return target creature to its owner's hand. If you win, you may put that creature on top of its owner's library instead. (Each clashing player reveals the top card of their library, then puts that card on their choice of the top or bottom. A player wins if their card had a greater mana value.) / Confronte um oponente, depois devolva a criatura alvo para a mão de seu dono. Se você vencer, você pode colocar aquela criatura no topo do grimório de seu dono. (Cada jogador confrontante revela o card do topo de seu próprio grimório, e então coloca aquele card no topo ou no fundo deste. Vence o jogador que tiver o card com o maior custo de mana convertido.)</t>
  </si>
  <si>
    <t>Whisper of the Dross / Sussurro de Dross</t>
  </si>
  <si>
    <t>Target creature gets -1/-1 until end of turn. Proliferate. (Choose any number of permanents and/or players, then give each another counter of each kind already there.) / A criatura alvo recebe -1/-1 até o final do turno. Prolifere. (Escolha qualquer número de permanentes e/ou jogadores. Em seguida, dê a cada um deles outro marcador de cada tipo que eles já tenham.)</t>
  </si>
  <si>
    <t>Whisper, Blood Liturgist / Sussurro, Liturgista do Sangue</t>
  </si>
  <si>
    <t>Legendary Creature — Human Cleric / Criatura Lendária — Humano Clérigo</t>
  </si>
  <si>
    <t>{T}, Sacrifice two creatures: Return target creature card from your graveyard to the battlefield. / {T}, sacrifique duas criaturas: Devolva o card de criatura alvo de seu cemitério para o campo de batalha.</t>
  </si>
  <si>
    <t>Whispering Madness / Loucura Sussurrante</t>
  </si>
  <si>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</si>
  <si>
    <t>2{U}{B}</t>
  </si>
  <si>
    <t>Gatecrash</t>
  </si>
  <si>
    <t>White Auracite / Auracita Branca</t>
  </si>
  <si>
    <t>Quando este artefato entrar, exile a permanente alvo que não seja um terreno que um oponente controla até que este artefato deixe o campo de batalha. {T}: Adicione {W}.</t>
  </si>
  <si>
    <t>2{W}{W}</t>
  </si>
  <si>
    <t>White Knight / Cavaleiro Branco</t>
  </si>
  <si>
    <t>First strike (This creature deals combat damage before creatures without first strike.) Protection from black (This creature can't be blocked, targeted, dealt damage, or enchanted by anything black.) / Iniciativa (Esta criatura causa dano de combate antes das criaturas sem iniciativa.) Proteção contra o preto (Esta criatura não pode ser bloqueada, ser alvo, sofrer dano nem ser encantada por qualquer coisa da cor preta.)</t>
  </si>
  <si>
    <t>White Lotus Hideout</t>
  </si>
  <si>
    <t>{T}: Add {C}. {T}: Add one mana of any color. Spend this mana only to cast a Lesson or Shrine spell. {1}, {T}: Add one mana of any color.</t>
  </si>
  <si>
    <t>White Lotus Reinforcements</t>
  </si>
  <si>
    <t>Vigilance Other Allies you control get +1/+1.</t>
  </si>
  <si>
    <t>Whitemane Lion / Leão de Juba Branca</t>
  </si>
  <si>
    <t>Flash When this creature enters, return a creature you control to its owner's hand. / Lampejo Quando Leão de Juba Branca entrar no campo de batalha, devolva uma criatura que você controla para a mão de seu dono.</t>
  </si>
  <si>
    <t>Whitewater Naiads / Náiades das Corredeiras</t>
  </si>
  <si>
    <t>Constelação — Toda vez que Náiades das Corredeiras ou outro encantamento entrar no campo de batalha sob seu controle, a criatura alvo não poderá ser bloqueada neste turno.</t>
  </si>
  <si>
    <t>Wicked Slumber / Sono Maldito</t>
  </si>
  <si>
    <t>Convoke (Your creatures can help cast this spell. Each creature you tap while casting this spell pays for {1} or one mana of that creature's color.) Tap up to two target creatures. Put a stun counter on either of them. Then put a stun counter on either of them. (If a permanent with a stun counter would become untapped, remove one from it instead.) / Convocar (Suas criaturas podem ajudar a conjurar esta mágica. Cada criatura que você vira ao conjurar esta mágica paga {1} ou um mana da cor daquela criatura.) Vire até duas criaturas alvo. Coloque um marcador de atordoamento em uma delas. Em seguida, coloque um marcador de atordoamento em uma delas. (Se uma permanente com um marcador de atordoamento se tornaria desvirada, em vez disso, remova um marcador de atordoamento dela.)</t>
  </si>
  <si>
    <t>Wicker Witch / Bruxa de Vime</t>
  </si>
  <si>
    <t>Wickerfolk Indomitable</t>
  </si>
  <si>
    <t>Artifact Creature — Scarecrow</t>
  </si>
  <si>
    <t>You may cast this card from your graveyard by paying 2 life and sacrificing an artifact or creature in addition to paying its other costs.</t>
  </si>
  <si>
    <t>Wild Aesthir</t>
  </si>
  <si>
    <t>Criatura — Aesthir / Summon Aesthir</t>
  </si>
  <si>
    <t>Flying, first strike {W}{W}: +2/+0 until end of turn. You cannot spend more than {W}{W} in this way each turn.</t>
  </si>
  <si>
    <t>Wild Beastmaster / Mestra de Feras Selvagem</t>
  </si>
  <si>
    <t>Whenever this creature attacks, each other creature you control gets +X/+X until end of turn, where X is this creature's power. / Quando Mestra de Feras Selvagem ataca, cada outra criatura que você controla recebe +X/+X até o final do turno, sendo X igual ao poder de Mestra de Feras Selvagem.</t>
  </si>
  <si>
    <t>Wild Celebrants / Celebrantes Selvagens</t>
  </si>
  <si>
    <t>When this creature enters, you may destroy target artifact. / Quando Celebrantes Selvagens entra no campo de batalha, você pode destruir o artefato alvo.</t>
  </si>
  <si>
    <t>Wild Hypothesis / Hipótese Selvagem</t>
  </si>
  <si>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</si>
  <si>
    <t>Wild Instincts / Instintos Selvagens</t>
  </si>
  <si>
    <t>Target creature you control gets +2/+2 until end of turn. It fights target creature an opponent controls. (Each deals damage equal to its power to the other.) / A criatura alvo que você controla recebe +2/+2 até o final do turno. Ela luta contra a criatura alvo que um oponente controla. (Cada uma causa dano igual ao seu poder à outra.)</t>
  </si>
  <si>
    <t>Wild-Field Scarecrow / Espantalho do Campo Selvagem</t>
  </si>
  <si>
    <t>Defender {2}, Sacrifice this creature: Search your library for up to two basic land cards, reveal them, put them into your hand, then shuffle. / Defensor {2}, Sacrifique Espantalho do Campo Selvagem: Procure em seu grimório até dois cards de terreno básico, revele-os e coloque-os em sua mão. Depois, embaralhe seu grimório.</t>
  </si>
  <si>
    <t>Wildvine Pummeler</t>
  </si>
  <si>
    <t>Creature — Giant Berserker</t>
  </si>
  <si>
    <t>Vivid — This spell costs {1} less to cast for each color among permanents you control. Reach, trample</t>
  </si>
  <si>
    <t>Wildwood Rebirth / Renascimento Arborescente</t>
  </si>
  <si>
    <t>Wildwood Tracker / Rastreador do Bosque Selvagem</t>
  </si>
  <si>
    <t>Whenever this creature attacks or blocks, if you control another non-Human creature, this creature gets +1/+1 until end of turn. / Toda vez que Rastreador do Bosque Selvagem ataca ou bloqueia, se você controla outra criatura que não seja do tipo Humano, Rastreador do Bosque Selvagem recebe +1/+1 até o final do turno.</t>
  </si>
  <si>
    <t>Will of the All-Hunter / Vontade do Onicaçador</t>
  </si>
  <si>
    <t>Target creature gets +2/+2 until end of turn. If it's blocking, instead put two +1/+1 counters on it. Cycling {2} ({2}, Discard this card: Draw a card.) / A criatura alvo recebe +2/+2 até o final do turno. Se ela estiver bloqueando, em vez disso, coloque dois marcadores +1/+1 nela. Reciclar {2} ({2}, descarte este card: Compre um card.)</t>
  </si>
  <si>
    <t>Willbender / Dobrador de Vontades</t>
  </si>
  <si>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</si>
  <si>
    <t>Wilt in the Heat / Murchar no Calor</t>
  </si>
  <si>
    <t>Esta mágica custa {2} menos para ser conjurada se um ou mais cards tiverem deixado o seu cemitério neste turno. Murchar no Calor causa 5 pontos de dano à criatura alvo. Se aquela criatura fosse morrer neste turno, em vez disso, exile-a.</t>
  </si>
  <si>
    <t>Wind Drake / Dragonete do Vento</t>
  </si>
  <si>
    <t>Labirinto do Dragão</t>
  </si>
  <si>
    <t>Wind-Kin Raiders / Salteadores Eolinos</t>
  </si>
  <si>
    <t>Improvise (Your artifacts can help cast this spell. Each artifact you tap after you're done activating mana abilities pays for {1}.) Flying / Improvisar (Seus artefatos podem ajudar a conjurar esta mágica. Cada artefato que você vira após terminar de ativar habilidades de mana paga por {1}.) Voar</t>
  </si>
  <si>
    <t>Windgrace Acolyte / Acólito de Windgrace</t>
  </si>
  <si>
    <t>Flying When this creature enters, mill three cards and you gain 3 life. / Voar Quando Acólito de Windgrace entrar no campo de batalha, coloque os três cards do topo de seu grimório em seu cemitério. Você ganha 3 pontos de vida.</t>
  </si>
  <si>
    <t>Winding Way / Caminho Tortuoso</t>
  </si>
  <si>
    <t>Choose creature or land. Reveal the top four cards of your library. Put all cards of the chosen type revealed this way into your hand and the rest into your graveyard. / Escolha criatura ou terreno. Revele os quatro cards do topo de seu grimório. Coloque todos os cards com o tipo escolhido revelados desta forma em sua mão e o restante em seu cemitério.</t>
  </si>
  <si>
    <t>Winds of Rebuke / Ventos da Repreensão</t>
  </si>
  <si>
    <t>Return target nonland permanent to its owner's hand. Each player mills two cards. / Devolva a permanente alvo que não seja terreno para a mão de seu dono. Cada jogador coloca os dois cards do topo do próprio grimório no próprio cemitério.</t>
  </si>
  <si>
    <t>Windurst, Federation Center / Windurst, Centro da Federação</t>
  </si>
  <si>
    <t>Este terreno entra virado. {T}: Adicione {G} ou {W}.</t>
  </si>
  <si>
    <t>Wingnut, Bat on the Belfry</t>
  </si>
  <si>
    <t>Legendary Creature — Bat Mutant</t>
  </si>
  <si>
    <t>Alliance — Whenever another creature you control enters, Wingnut gains your choice of flying, menace, or haste until end of turn. Whenever Wingnut attacks, each other attacking creature gets +1/+0 until end of turn.</t>
  </si>
  <si>
    <t>Wings of Aesthir / Asas de Aesthir</t>
  </si>
  <si>
    <t>Enchant creature Enchanted creature gets +1/+0 and has flying and first strike.</t>
  </si>
  <si>
    <t>Winter's Intervention</t>
  </si>
  <si>
    <t>Winter's Intervention deals 2 damage to target creature. You gain 2 life.</t>
  </si>
  <si>
    <t>Wit's End / Limite da Razão</t>
  </si>
  <si>
    <t>Target player discards their hand. / O jogador alvo descarta sua própria mão.</t>
  </si>
  <si>
    <t>Witch Hunter</t>
  </si>
  <si>
    <t>Criatura — Caçador / Summon Hunter</t>
  </si>
  <si>
    <t>{T}: Witch Hunter deals 1 damage to target player. {1}{W}{W}, {T}: Return target creature any opponent controls to owner's hand.</t>
  </si>
  <si>
    <t>Witch's Cauldron / Caldeirão da Bruxa</t>
  </si>
  <si>
    <t>{1}{B}, {T}, Sacrifice a creature: You gain 1 life and draw a card. / {1}{B}, {T}: sacrifique uma criatura: Você ganha 1 ponto de vida e compra um card.</t>
  </si>
  <si>
    <t>Witch's Familiar / Familiar da Bruxa</t>
  </si>
  <si>
    <t>Witch's Web / Teia da Bruxa</t>
  </si>
  <si>
    <t>Target creature gets +3/+3 and gains reach until end of turn. Untap it. / A criatura alvo recebe +3/+3 e ganha alcance até o final do turno. Desvire-a.</t>
  </si>
  <si>
    <t>Witching Well / Poço das Bruxarias</t>
  </si>
  <si>
    <t>When this artifact enters, scry 2. (Look at the top two cards of your library, then put any number of them on the bottom and the rest on top in any order.) {3}{U}, Sacrifice this artifact: Draw two cards. / Quando Poço das Bruxarias entrar no campo de batalha, use vidência 2. (Olhe os dois cards do topo do seu grimório. Depois, coloque qualquer número deles no fundo do seu grimório e o restante no topo em qualquer ordem.) {3}{U}, sacrifique Poço das Bruxarias: Compre dois cards.</t>
  </si>
  <si>
    <t>Withering Wisps / Ardentias Mortíferas</t>
  </si>
  <si>
    <t>At the beginning of the end step, if no creatures are on the battlefield, sacrifice this enchantment. {B}: This enchantment deals 1 damage to each creature and each player. Activate no more times each turn than the number of snow Swamps you control.</t>
  </si>
  <si>
    <t>Witness Protection / Proteção de Testemunhas</t>
  </si>
  <si>
    <t>Enchant creature Enchanted creature loses all abilities and is a green and white Citizen creature with base power and toughness 1/1 named Legitimate Businessperson. (It loses all other colors, card types, creature types, and names.) / Encantar criatura A criatura encantada perde todas as habilidades e é uma criatura Cidadão verde e branca com poder e resistência básicos 1/1 com o nome Comerciante Respeitável. (Ele perde todas as outras cores, tipos de card, tipos de criatura e nomes.)</t>
  </si>
  <si>
    <t>Woeleecher / Suga-Desgraça</t>
  </si>
  <si>
    <t>{W}, {T}: Remove a -1/-1 counter from target creature. If you do, you gain 2 life. / {W}, {T}: Remova um marcador -1/-1 da criatura alvo. Se fizer isso, você ganhará 2 pontos de vida.</t>
  </si>
  <si>
    <t>Wolfbat</t>
  </si>
  <si>
    <t>Creature — Wolf Bat</t>
  </si>
  <si>
    <t>Flying Whenever you draw your second card each turn, you may pay {B}. If you do, return this card from your graveyard to the battlefield with a finality counter on it. (If a creature with a finality counter on it would die, exile it instead.)</t>
  </si>
  <si>
    <t>Wolfbitten Captive / Prisioneiro Mordido</t>
  </si>
  <si>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</si>
  <si>
    <t>Wondrous Revival</t>
  </si>
  <si>
    <t>Return up to three target Hero creature cards from your graveyard to the battlefield.</t>
  </si>
  <si>
    <t>Wood Elves / Elfos da Floresta</t>
  </si>
  <si>
    <t>When Wood Elves comes into play, search your library for a Forest card and put that card into play. Then shuffle your library. / Quando Elfos da Floresta entra em jogo, procure um card de Floresta em seu grimório e coloque-o em jogo. Depois, embaralhe seu grimório.</t>
  </si>
  <si>
    <t>Woodborn Behemoth / Behemot Lígneo</t>
  </si>
  <si>
    <t>As long as you control eight or more lands, this creature gets +4/+4 and has trample. (It can deal excess combat damage to the player or planeswalker it's attacking.) / Contanto que você controle oito ou mais terrenos, Behemot Lígneo receberá +4/+4 e terá atropelar. (Se esta criatura for atribuir dano suficiente para destruir seus bloqueadores, você poderá fazer com que ela atribua o resto de seu dano ao planeswalker ou jogador defensor.)</t>
  </si>
  <si>
    <t>Wooden Cane / Bengala de Madeira</t>
  </si>
  <si>
    <t>Quando este Equipamento entrar, crie uma ficha de criatura Mutante vermelha 2/2 e depois anexe este Equipamento a ela. A criatura equipada recebe +2/+1. Equipar {3} ({3}: Anexe à criatura alvo que você controla. Equipe somente como um feitiço.)</t>
  </si>
  <si>
    <t>Wooden Sphere / Esfera de Madeira</t>
  </si>
  <si>
    <t>Whenever a player casts a green spell, you may pay {1}. If you do, you gain 1 life. / Toda vez que um jogador jogar uma mágica verde, você pode pagar {1}. Se o fizer, você ganha 1 ponto de vida.</t>
  </si>
  <si>
    <t>Woodland Sleuth / Detetive da Floresta</t>
  </si>
  <si>
    <t>Morbid — When this creature enters, if a creature died this turn, return a creature card at random from your graveyard to your hand. / Mórbido — Quando Detetive da Floresta entrar no campo de batalha, se uma criatura tiver morrido neste turno, devolva um card de criatura aleatoriamente de seu cemitério para sua mão.</t>
  </si>
  <si>
    <t>Word of Binding / Palavras de Poder</t>
  </si>
  <si>
    <t>Tap X target creatures.</t>
  </si>
  <si>
    <t>Word of Blasting / Palavra de Detonação</t>
  </si>
  <si>
    <t>Destroy target Wall. It can't be regenerated. Word of Blasting deals damage equal to that Wall's mana value to the Wall's controller.</t>
  </si>
  <si>
    <t>World Map</t>
  </si>
  <si>
    <t>1, T, Sacrifice this artifact: Search your library for a basic land card, reveal it, put it into your hand, then shuffle. 3, T, Sacrifice this artifact: Search your library for a land card, reveal it, put it into your hand, then shuffle.</t>
  </si>
  <si>
    <t>Final Fantasy (FFI)</t>
  </si>
  <si>
    <t>Worldsoul Colossus / Colosso da Anima Mundi</t>
  </si>
  <si>
    <t>Convoke (Your creatures can help cast this spell. Each creature you tap while casting this spell pays for {1} or one mana of that creature's color.) This creature enters with X +1/+1 counters on it. / Convocar (Suas criaturas podem ajudar a conjurar esta mágica. Cada criatura que você vira ao conjurar esta mágica paga {1} ou um mana da cor daquela criatura.) Colosso da Anima Mundi entra no campo de batalha com X marcadores +1/+1.</t>
  </si>
  <si>
    <t>{X}{G}{W}</t>
  </si>
  <si>
    <t>Wormfang Newt / Salamandra Dentígera</t>
  </si>
  <si>
    <t>Creature — Nightmare Salamander Beast / Criatura — Besta Pesadelo</t>
  </si>
  <si>
    <t>When this creature enters, exile a land you control. When this creature leaves the battlefield, return the exiled card to the battlefield under its owner's control. / Quando Salamandra Dentígera entra em jogo, remova de jogo um terreno que você controla. Quando Salamandra Dentígera sai de jogo, devolva o card removido para o jogo sob o controle de seu dono.</t>
  </si>
  <si>
    <t>Wormfang Turtle / Tartaruga Dentígera</t>
  </si>
  <si>
    <t>Creature — Nightmare Turtle Beast / Criatura — Besta Pesadelo</t>
  </si>
  <si>
    <t>When this creature enters, exile a land you control. When this creature leaves the battlefield, return the exiled card to the battlefield under its owner's control. / Quando Tartaruga Dentígera entra em jogo, remova de jogo um terreno que você controla. Quando Tartaruga Dentígera sai de jogo, devolva o card removido para o jogo sob o controle de seu dono.</t>
  </si>
  <si>
    <t>Worship / Adoração</t>
  </si>
  <si>
    <t>If you control a creature, damage that would reduce your life total to less than 1 reduces it to 1 instead. / Se você controlar uma criatura, o dano que reduziria seu total de pontos de vida para menos do que 1, em vez disso, o reduzirá para 1.</t>
  </si>
  <si>
    <t>Signature Spellbook: Gideon (SS2)</t>
  </si>
  <si>
    <t>Worthy Knight / Cavaleira Digna</t>
  </si>
  <si>
    <t>Whenever you cast a Knight spell, create a 1/1 white Human creature token. / Toda vez que você conjurar uma mágica de Cavaleiro, crie uma ficha de criatura branca 1/1 do tipo Humano.</t>
  </si>
  <si>
    <t>Wreck Remover</t>
  </si>
  <si>
    <t>Whenever this creature enters or attacks, exile up to one target card from a graveyard. You gain 1 life. Cycling {2} ({2}, Discard this card: Draw a card.)</t>
  </si>
  <si>
    <t>Wrench / Chave Ajustável</t>
  </si>
  <si>
    <t>Artifact — Clue Equipment / Artefato — Pista Equipamento</t>
  </si>
  <si>
    <t>Equipped creature gets +1/+1 and has vigilance and "{3}, {T}: Tap target creature." {2}, Sacrifice this Equipment: Draw a card. Equip {2} / A criatura equipada recebe +1/+1 e tem vigilância e "{3}, {T}: Vire a criatura alvo". {2}, sacrifique Chave Ajustável: Compre um card. Equipar {2}</t>
  </si>
  <si>
    <t>Wretched Camel / Camelo Nefasto</t>
  </si>
  <si>
    <t>Creature — Zombie Camel / Criatura — Zumbi Camelo</t>
  </si>
  <si>
    <t>When this creature dies, if you control a Desert or there is a Desert card in your graveyard, target player discards a card. / Quando Camelo Nefasto morre, se você controla um Deserto ou há um card de Deserto em seu cemitério, o jogador alvo descarta um card.</t>
  </si>
  <si>
    <t>Wretched Throng / Multidão Abominável</t>
  </si>
  <si>
    <t>When this creature dies, you may search your library for a card named Wretched Throng, reveal it, put it into your hand, then shuffle. / Quando Multidão Abominável morre, você pode procurar em seu grimório um card com o nome Multidão Abominável, revelá-lo, colocá-lo em sua mão e depois embaralhar.</t>
  </si>
  <si>
    <t>Writhing Necromass / Necromassa Contorcida</t>
  </si>
  <si>
    <t>Creature — Zombie Giant / Criatura — Zumbi Gigante</t>
  </si>
  <si>
    <t>This spell costs {1} less to cast for each creature card in your graveyard. Deathtouch / Esta mágica custa {1} a menos para ser conjurada para cada card de criatura em seu cemitério. Toque mortífero</t>
  </si>
  <si>
    <t>Wumpus Aberration / Wumpus Aberração</t>
  </si>
  <si>
    <t>Creature — Eldrazi Beast / Criatura — Eldrazi Besta</t>
  </si>
  <si>
    <t>Devoid (This card has no color.) When you cast this spell, if {C} wasn't spent to cast it, target opponent may put a creature card from their hand onto the battlefield. Trample / Desprovido (Este card não tem cor.) Quando você conjura esta mágica, se {C} não tiver sido gasto para conjurá-la, o oponente alvo pode colocar um card de criatura da própria mão no campo de batalha. Atropelar</t>
  </si>
  <si>
    <t>Wurm's Tooth / Dente de Vorme</t>
  </si>
  <si>
    <t>Whenever a player casts a green spell, you may gain 1 life. / Toda vez que um jogador conjura uma mágica verde, você pode ganhar 1 ponto de vida.</t>
  </si>
  <si>
    <t>Wurmwall Sweeper</t>
  </si>
  <si>
    <t>Artifact — Spacecraft</t>
  </si>
  <si>
    <t>When this Spacecraft enters, surveil 2. Station (Tap another creature you control: Put charge counters equal to its power on this Spacecraft. Station only as a sorcery. It's an artifact creature at 4+.) Flying</t>
  </si>
  <si>
    <t>Wurmwall Sweeper / Varredor da Muralha de Vermes</t>
  </si>
  <si>
    <t>Quando esta Nave Espacial entrar, vigie 2. Estação (Vire outra criatura que você controla: Coloque marcadores de carga iguais ao poder dela nesta Nave Espacial. Estacione somente como um feitiço. É uma criatura artefato enquanto tiver 4+.) Voar</t>
  </si>
  <si>
    <t>Xu-Ifit, Osteoharmonist</t>
  </si>
  <si>
    <t>Legendary Creature — Human Wizard</t>
  </si>
  <si>
    <t>{T}: Return target creature card from your graveyard to the battlefield. It's a Skeleton in addition to its other types and has no abilities. Activate only as a sorcery.</t>
  </si>
  <si>
    <t>Yahenni, Undying Partisan / Yahenni, Guerrilheiro Imortal</t>
  </si>
  <si>
    <t>Legendary Creature — Aetherborn Vampire / Criatura Lendária — Etergênito Vampiro</t>
  </si>
  <si>
    <t>Haste Whenever a creature an opponent controls dies, put a +1/+1 counter on Yahenni. Sacrifice another creature: Yahenni gains indestructible until end of turn. / Ímpeto Toda vez que uma criatura que um oponente controla morrer, coloque um marcador +1/+1 em Yahenni, Guerrilheiro Imortal. Sacrifique outra criatura: Yahenni ganha indestrutível até o final do turno.</t>
  </si>
  <si>
    <t>Yahenni's Expertise / Especialidade de Yahenni</t>
  </si>
  <si>
    <t>All creatures get -3/-3 until end of turn. You may cast a spell with mana value 3 or less from your hand without paying its mana cost. / Todas as criaturas recebem -3/-3 até o final do turno. Você pode conjurar um card com custo de mana convertido igual ou inferior a 3 da sua mão sem pagar seu custo de mana.</t>
  </si>
  <si>
    <t>Yargle, Glutton of Urborg / Yargle, Glutão de Urborg</t>
  </si>
  <si>
    <t>Legendary Creature — Frog Spirit / Criatura Lendária — Sapo Espírito</t>
  </si>
  <si>
    <t>Yavimaya Elder / Ancião de Yavimaya</t>
  </si>
  <si>
    <t>When this creature dies, you may search your library for up to two basic land cards, reveal them, put them into your hand, then shuffle. {2}, Sacrifice this creature: Draw a card. / Quando Ancião de Yavimaya morre, você pode procurar até dois cards de terreno básico em seu grimório, revelá-los e colocá-los em sua mão. Depois, embaralhe. {2}, sacrifique Ancião de Yavimaya: Compre um card.</t>
  </si>
  <si>
    <t>Yavimaya Iconoclast / Iconoclasta de Yavimaya</t>
  </si>
  <si>
    <t>Kicker {R} (You may pay an additional {R} as you cast this spell.) Trample When this creature enters, if it was kicked, it gets +1/+1 and gains haste until end of turn. / Reforçar {R} (Você pode pagar um custo adicional de {R} ao conjurar esta mágica.) Atropelar Quando Iconoclasta de Yavimaya entra no campo de batalha, se ela foi reforçada, ela recebe +1/+1 e ganha ímpeto até o final do turno.</t>
  </si>
  <si>
    <t>Yawgmoth's Vile Offering / Oferenda Vil de Yawgmoth</t>
  </si>
  <si>
    <t>(You may cast a legendary sorcery only if you control a legendary creature or planeswalker.) Put up to one target creature or planeswalker card from a graveyard onto the battlefield under your control. Destroy up to one target creature or planeswalker. Exile Yawgmoth's Vile Offering. / (Você só pode conjurar um feitiço lendário se controlar uma criatura lendária ou um planeswalker lendário.) Coloque até um card de criatura ou planeswalker alvo de um cemitério no campo de batalha sob o seu controle. Destrua até uma criatura ou planeswalker alvo. Exile Oferenda Vil de Yawgmoth.</t>
  </si>
  <si>
    <t>Yawgmoth's Will / Determinação de Yawgmoth</t>
  </si>
  <si>
    <t>Until end of turn, you may play lands and cast spells from your graveyard. If a card would be put into your graveyard from anywhere this turn, exile that card instead.</t>
  </si>
  <si>
    <t>Yeva's Forcemage / Mago da Força de Yeva</t>
  </si>
  <si>
    <t>When this creature enters, target creature gets +2/+2 until end of turn. / Quando Mago da Força de Yeva entra no campo de batalha, a criatura alvo recebe +2/+2 até o final do turno.</t>
  </si>
  <si>
    <t>Yip Yip!</t>
  </si>
  <si>
    <t>Target creature you control gets +2/+2 until end of turn. If that creature is an Ally, it also gains flying until end of turn.</t>
  </si>
  <si>
    <t>Yoke of the Damned / Brida do Maldito</t>
  </si>
  <si>
    <t>Enchant creature When a creature dies, destroy enchanted creature. / Encantar criatura Toda vez que uma criatura for colocada num cemitério vinda do jogo, destrua a criatura encantada.</t>
  </si>
  <si>
    <t>Yoked Ox / Boi Jungido</t>
  </si>
  <si>
    <t>Creature — Ox / Criatura — Boi</t>
  </si>
  <si>
    <t>Yoked Plowbeast / Besta Lavradora Bridada</t>
  </si>
  <si>
    <t>Cycling {2} ({2}, Discard this card: Draw a card.) / Reciclar {2} ({2}, Descarte este card: Compre um card.)</t>
  </si>
  <si>
    <t>Yotia Declares War / Yotia Declara Guerra</t>
  </si>
  <si>
    <t>Read ahead (Choose a chapter and start with that many lore counters. Add one after your draw step. Skipped chapters don't trigger. Sacrifice after III.) I — Create a 0/2 colorless Thopter artifact creature token with flying named Ornithopter. II — Tap any number of untapped artifacts you control. When you do, this Saga deals that much damage to target creature or planeswalker. III — Up to one target artifact you control becomes an artifact creature with base power and toughness 4/4 until end of turn. / Adiantar leitura (Escolha um capítulo e comece com aquela quantidade de marcadores de conhecimento. Adicione um após sua etapa de compra. Os capítulos pulados não são desencadeados. Sacrifique-a após III.) I — Crie uma ficha de criatura artefato Tóptero incolor 0/2 com voar com o nome Ornitóptero. II — Vire qualquer número de artefatos desvirados que você controla. Quando faz isso, Yotia Declara Guerra causa aquela quantidade de dano à criatura ou ao planeswalker alvo. III — Até um artefato alvo que você controla se torna uma criatura com poder e resistência básicos 4/4 até o final do turno.</t>
  </si>
  <si>
    <t>Yotian Soldier / Soldado Yotiano</t>
  </si>
  <si>
    <t>Vigilance / Soldado Yotiano não é virado para atacar.</t>
  </si>
  <si>
    <t>You Hear Something on Watch / Vocês Ouvem Algo Enquanto Vigiam</t>
  </si>
  <si>
    <t>Choose one — • Rouse the Party — Creatures you control get +1/+1 until end of turn. • Set Off Traps — This spell deals 5 damage to target attacking creature. / Escolha um — • Instigar o grupo — As criaturas que você controla recebem +1/+1 até o final do turno. • Disparar armadilhas — Esta mágica causa 5 pontos de dano à criatura atacante alvo.</t>
  </si>
  <si>
    <t>You Meet in a Tavern / Vocês se Encontram numa Taverna</t>
  </si>
  <si>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</si>
  <si>
    <t>You're Not Alone</t>
  </si>
  <si>
    <t>Target creature gets +2/+2 until end of turn. If you control three or more creatures, it gets +4/+4 until end of turn instead.</t>
  </si>
  <si>
    <t>Young Pyromancer / Piromante Jovem</t>
  </si>
  <si>
    <t>Whenever you cast an instant or sorcery spell, create a 1/1 red Elemental creature token. / Toda vez que você conjurar uma mágica instantânea ou feitiço, coloque no campo de batalha uma ficha de criatura vermelha 1/1 do tipo Elemental.</t>
  </si>
  <si>
    <t>Your Temple Is Under Attack / Seu Templo Está Sendo Atacado</t>
  </si>
  <si>
    <t>Choose one — • Pray for Protection — Creatures you control gain indestructible until end of turn. • Strike a Deal — You and target opponent each draw two cards. / Escolha um — • Rezar pedindo proteção — As criaturas que você controla ganham indestrutível até o final do turno. • Fazer um acordo — Você e o oponente alvo compram dois cards cada um.</t>
  </si>
  <si>
    <t>Yuyan Archers</t>
  </si>
  <si>
    <t>Creature — Human Archer</t>
  </si>
  <si>
    <t>Reach When this creature enters, you may discard a card. If you do, draw a card.</t>
  </si>
  <si>
    <t>Zack Fair / Zack Fair</t>
  </si>
  <si>
    <t>Zack Fair entra no campo de batalha com um marcador +1/+1. {1}, Sacrifique Zack Fair: A criatura alvo que você controla ganha indestrutível até o final do turno. Coloque os marcadores de Zack Fair naquela criatura e anexe um Equipamento que estava anexado a Zack Fair a ela.</t>
  </si>
  <si>
    <t>Zaffai and the Tempests</t>
  </si>
  <si>
    <t>Legendary Creature — Human Bard Sorcerer</t>
  </si>
  <si>
    <t>Once during each of your turns, you may cast an instant or sorcery spell from your hand without paying its mana cost.</t>
  </si>
  <si>
    <t>Zahid, Djinn of the Lamp / Zahid, Gênio da Lâmpada</t>
  </si>
  <si>
    <t>Legendary Creature — Djinn / Criatura Lendária — Gênio</t>
  </si>
  <si>
    <t>You may pay {3}{U} and tap an untapped artifact you control rather than pay this spell's mana cost. Flying / Você pode pagar {3}{U} e virar um artefato desvirado sob seu controle em vez de pagar o custo de mana desta mágica. Voar</t>
  </si>
  <si>
    <t>Zealous Lorecaster / Transmissor de Conhecimento Zeloso</t>
  </si>
  <si>
    <t>Creature — Giant Sorcerer / Criatura — Gigante Feiticeiro</t>
  </si>
  <si>
    <t>When this creature enters, return target instant or sorcery card from your graveyard to your hand. / Quando esta criatura entra, devolva o card de mágica instantânea ou de feitiço alvo de seu cemitério para sua mão.</t>
  </si>
  <si>
    <t>Zealous Persecution / Perseguição Fervorosa</t>
  </si>
  <si>
    <t>Until end of turn, creatures you control get +1/+1 and creatures your opponents control get -1/-1. / Até o final do turno, as criaturas que você controla recebem +1/+1 e as criaturas que seus oponentes controlam recebem -1/-1.</t>
  </si>
  <si>
    <t>Zealous Strike / Golpe Zeloso</t>
  </si>
  <si>
    <t>Target creature gets +2/+2 and gains first strike until end of turn. / A criatura alvo recebe +2/+2 e ganha iniciativa até o final do turno.</t>
  </si>
  <si>
    <t>Zelyon Sword</t>
  </si>
  <si>
    <t>You may choose not to untap this artifact during your untap step. {3}, {T}: Target creature gets +2/+0 for as long as this artifact remains tapped.</t>
  </si>
  <si>
    <t>Zephyr Sprite / Silfo Zéfiro</t>
  </si>
  <si>
    <t>Zero Point Ballad / Balada do Ponto Zero</t>
  </si>
  <si>
    <t>Destrua todas as criaturas com resistência X ou menos. Você perde X pontos de vida. Se X for 6 ou mais, devolva um card de criatura colocado em um cemitério desta forma para o campo de batalha sob o seu controle.</t>
  </si>
  <si>
    <t>Zhalfirin Decoy / Chamariz Zhalfiriano</t>
  </si>
  <si>
    <t>{T}: Tap target creature. Activate only if you had a creature enter the battlefield under your control this turn. / {T}: Vire a criatura alvo. Ative esta habilidade somente se uma criatura tiver entrado no campo de batalha sob o seu controle neste turno.</t>
  </si>
  <si>
    <t>Zhalfirin Void / Vazio Zhalfiriano</t>
  </si>
  <si>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</si>
  <si>
    <t>Zhentarim Bandit / Bandido Zentharim</t>
  </si>
  <si>
    <t>Creature — Halfling Rogue / Criatura — Pequenino Ladino</t>
  </si>
  <si>
    <t>Whenever this creature attacks, you may pay 1 life. If you do, create a Treasure token. (It's an artifact with "{T}, Sacrifice this token: Add one mana of any color.") / Toda vez que Bandido Zentharim ataca, você pode pagar 1 ponto de vida. Se fizer isso, crie uma ficha de Tesouro. (Ela é um artefato com "{T}, sacrifique este artefato: Adicione um mana de qualquer cor".)</t>
  </si>
  <si>
    <t>Zhur-Taa Druid / Druida Zhur-Taa</t>
  </si>
  <si>
    <t>{T}: Add {G}. Whenever you tap this creature for mana, it deals 1 damage to each opponent. / {T}: Adicione {G} à sua reserva de mana. Toda vez que você virar Druida Zhur-Taa para gerar mana, ele causará 1 ponto de dano a cada oponente.</t>
  </si>
  <si>
    <t>Zhur-Taa Goblin / Goblin Zhur-Taa</t>
  </si>
  <si>
    <t>Riot (This creature enters with your choice of a +1/+1 counter or haste.) / Tumulto (Esta criatura entra no campo de batalha com um marcador +1/+1 ou ímpeto, à sua escolha.)</t>
  </si>
  <si>
    <t>Zibelina de Bronze / Bronze Sable</t>
  </si>
  <si>
    <t>Artifact Creature — Sable / Criatura Artefato — Zibelina</t>
  </si>
  <si>
    <t>Not found / Não encontrada</t>
  </si>
  <si>
    <t>Zidane, Tantalus Thief / Zidane, Ladrão do Tantalus</t>
  </si>
  <si>
    <t>Criatura Lendária — Humano Mutante Batedor</t>
  </si>
  <si>
    <t>Quando Zidane entrar, ganhe o controle da criatura alvo que um oponente controla até o final do turno. Desvire-a. Ela ganha vínculo com a vida e ímpeto até o final do turno. Sempre que um oponente ganhar o controle de uma permanente sua, crie uma ficha de Tesouro.</t>
  </si>
  <si>
    <t>3RW</t>
  </si>
  <si>
    <t>Zoetic Cavern / Caverna Zoética</t>
  </si>
  <si>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</si>
  <si>
    <t>Zog, Triceraton Castaway</t>
  </si>
  <si>
    <t>Legendary Creature — Dinosaur Soldier</t>
  </si>
  <si>
    <t>Reach, trample When Zog enters, target creature can't block this turn. Mountaincycling {2} ({2}, Discard this card: Search your library for a Mountain card, reveal it, put it into your hand, then shuffle.)</t>
  </si>
  <si>
    <t>Zombie Cutthroat / Zumbi Degolador</t>
  </si>
  <si>
    <t>Morph—Pay 5 life. (You may cast this card face down as a 2/2 creature for {3}. Turn it face up any time for its morph cost.) / Metamorfose—Pague 5 pontos de vida. (Você pode baixar este card com a face voltada para baixo como uma criatura 2/2 por {3}. Volte sua face para cima a qualquer momento pagando seu custo de metamorfose.)</t>
  </si>
  <si>
    <t>Zombie Goliath / Golias Zumbi</t>
  </si>
  <si>
    <t>Zombie Musher</t>
  </si>
  <si>
    <t>Snow Creature — Zombie</t>
  </si>
  <si>
    <t>Snow landwalk. {S}: Regenerate Zombie Musher. ({S} can be paid with one mana from a snow permanent.)</t>
  </si>
  <si>
    <t>Zoo Escapees</t>
  </si>
  <si>
    <t>Creature — Boar Rhino</t>
  </si>
  <si>
    <t>When this creature leaves the battlefield, create a Mutagen token. (It's an artifact with "{1}, {T}, Sacrifice this token: Put a +1/+1 counter on target creature. Activate only as a sorcery.")</t>
  </si>
  <si>
    <t>Zuko, Conflicted</t>
  </si>
  <si>
    <t>At the beginning of your first main phase, choose one that hasn't been chosen and you lose 2 life — • Draw a card. • Put a +1/+1 counter on Zuko. • Add {R}. • Exile Zuko, then return him to the battlefield under an opponent's control.</t>
  </si>
  <si>
    <t>Zuko, Exiled Prince</t>
  </si>
  <si>
    <t>Firebending 3 (Whenever this creature attacks, add {R}{R}{R}. This mana lasts until end of combat.) {3}: Exile the top card of your library. You may play that card this turn.</t>
  </si>
  <si>
    <t>Zurgo Helmsmasher / Zurgo Destruidor de Elmos</t>
  </si>
  <si>
    <t>Criatura Lendária — Orc Guerreiro</t>
  </si>
  <si>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</si>
  <si>
    <t>2RWB</t>
  </si>
  <si>
    <t>Zurgo, Thunder's Decree</t>
  </si>
  <si>
    <t>Legendary Creature — Orc Warrior</t>
  </si>
  <si>
    <t>Mobilize 2 (Whenever this creature attacks, create two tapped and attacking 1/1 red Warrior creature tokens. Sacrifice them at the beginning of the next end step.) During your end step, Warrior tokens you control have "This token can't be sacrificed."</t>
  </si>
  <si>
    <t>{R}{W}{B}</t>
  </si>
  <si>
    <t>Tarkir: Dragonstorm Promos (PTDM)</t>
  </si>
  <si>
    <t>Jund Panorama / Panorama de Jund</t>
  </si>
  <si>
    <t>{T}: Add {C}. {1}, {T}, Sacrifice this land: Search your library for a basic Swamp, Mountain, or Forest card, put it onto the battlefield tapped, then shuffle. / {T}: Adicione {C}. {1}, {T}, sacrifique Panorama de Jund: Procure um card de Pântano, Montanha ou Floresta básica em seu grimório, coloque-o no campo de batalha virado e depois embaralhe.</t>
  </si>
  <si>
    <t>Dross Hopper / Saltarilho de Escória</t>
  </si>
  <si>
    <t>Creature — Phyrexian Insect Horror / Criatura — Inseto Horror</t>
  </si>
  <si>
    <t>Sacrifice a creature: This creature gains flying until end of turn. / Sacrifique uma criatura: Saltarilho de Escória ganha voar até o final do turno.</t>
  </si>
  <si>
    <t>Chosen by Heliod / Escolhido de Heliode</t>
  </si>
  <si>
    <t>Enchant creature When this Aura enters, draw a card. Enchanted creature gets +0/+2. / Encantar criatura Quando Escolhido de Heliode entrar no campo de batalha, compre um card. A criatura encantada recebe +0/+2.</t>
  </si>
  <si>
    <t>Mortal's Ardor / Ardor dos Mortais</t>
  </si>
  <si>
    <t>Target creature gets +1/+1 and gains lifelink until end of turn. (Damage dealt by the creature also causes its controller to gain that much life.) / A criatura alvo recebe +1/+1 e ganha vínculo com a vida até o final do turno. (O dano causado pela criatura também faz com que seu controlador ganhe uma quantidade equivalente de pontos de vida.)</t>
  </si>
  <si>
    <t>Entangling Trap / Armadilha Envolvente</t>
  </si>
  <si>
    <t>Whenever you clash, tap target creature an opponent controls. If you won, that creature doesn't untap during its controller's next untap step. (This ability triggers after the clash ends.) / Toda vez que você confrontar, vire a criatura alvo que um oponente controla. Se você vencer, aquela criatura não será desvirada durante a próxima etapa de desvirar de seu controlador. (Esta habilidade é desencadeada depois que o confronto termina.)</t>
  </si>
  <si>
    <t>Call to Serve / Chamado a Servir</t>
  </si>
  <si>
    <t>Enchant nonblack creature Enchanted creature gets +1/+2, has flying, and is an Angel in addition to its other types. / Encantar criatura que não seja preta A criatura encantada recebe +1/+2, tem voar e é um Anjo além de seus outros tipos.</t>
  </si>
  <si>
    <t>Arrest / Prender</t>
  </si>
  <si>
    <t>Enchant creature Enchanted creature can't attack or block, and its activated abilities can't be activated. / Encantar criatura A criatura encantada não pode atacar nem bloquear e as habilidades ativadas dela não podem ser ativadas.</t>
  </si>
  <si>
    <t>Remember the Fallen / Recordar os Tombados</t>
  </si>
  <si>
    <t>Choose one or both — • Return target creature card from your graveyard to your hand. • Return target artifact card from your graveyard to your hand. / Escolha um ou ambos — Devolva o card de criatura alvo de seu cemitério para sua mão; e/ou devolva o card de artefato alvo de seu cemitério para sua mão.</t>
  </si>
  <si>
    <t>Mine Excavation / Escavação de Mina</t>
  </si>
  <si>
    <t>Return target artifact or enchantment card from a graveyard to its owner's hand. Conspire (As you cast this spell, you may tap two untapped creatures you control that share a color with it. When you do, copy it and you may choose a new target for the copy.) / Devolva para a mão de seu dono o card de artefato ou encantamento alvo num cemitério. Conspirar (Conforme você joga essa mágica, você pode virar duas criaturas desviradas que você controla e que compartilhem uma cor com ela. Quando fizer isso, faça uma cópia dela e você poderá escolher um novo alvo para a cópia.)</t>
  </si>
  <si>
    <t>Iona's Judgment / Julgamento de Iona</t>
  </si>
  <si>
    <t>Exile target creature or enchantment. / Exile a criatura ou o encantamento alvo.</t>
  </si>
  <si>
    <t>Glare of Heresy / Fulgor da Heresia</t>
  </si>
  <si>
    <t>Exile target white permanent. / Exile a permanente branca alvo.</t>
  </si>
  <si>
    <t>Solemn Offering / Oferenda Solene</t>
  </si>
  <si>
    <t>Destroy target artifact or enchantment. You gain 4 life. / Destrua o artefato ou encantamento alvo. Você ganha 4 pontos de vida.</t>
  </si>
  <si>
    <t>Asceticism / Asceticismo</t>
  </si>
  <si>
    <t>Creatures you control have hexproof. {1}{G}: Regenerate target creature. (The next time it would be destroyed this turn, instead tap it, remove it from combat, and heal all damage on it.) / As criaturas que você controla não podem ser alvos de mágicas nem de habilidades controladas por seus oponentes. {1}{G}: Regenere a criatura alvo.</t>
  </si>
  <si>
    <t>Drove of Elves / Bando de Elfos</t>
  </si>
  <si>
    <t>Hexproof Drove of Elves's power and toughness are each equal to the number of green permanents you control. / O poder e resistência de Bando de Elfos são ambos iguais ao número de permanentes verdes que você controla. Bando de Elfos não pode ser alvo de mágicas nem de habilidades controladas por seus oponentes.</t>
  </si>
  <si>
    <t>Ezuri, Renegade Leader / Ezuri, Líder Renegado</t>
  </si>
  <si>
    <t>{G}: Regenerate another target Elf. {2}{G}{G}{G}: Elf creatures you control get +3/+3 and gain trample until end of turn. / {G}: Regenere outro Elfo alvo. {2}{G}{G}{G}: As criaturas do tipo Elfo que você controla recebem +3/+3 e ganham atropelar até o final do turno.</t>
  </si>
  <si>
    <t>Pitfall Trap / Armadilha de Alçapão</t>
  </si>
  <si>
    <t>If exactly one creature is attacking, you may pay {W} rather than pay this spell's mana cost. Destroy target attacking creature without flying. / Se houver exatamente uma criatura atacando, você poderá pagar {W} em vez de pagar o custo de mana de Armadilha de Alçapão. Destrua a criatura atacante alvo sem voar.</t>
  </si>
  <si>
    <t>Moment of Heroism / Momento de Heroísmo</t>
  </si>
  <si>
    <t>Target creature gets +2/+2 and gains lifelink until end of turn. (Damage dealt by the creature also causes its controller to gain that much life.) / A criatura alvo recebe +2/+2 e ganha vínculo com a vida até o final do turno. (O dano causado pela criatura também faz com que seu controlador ganhe uma quantidade equivalente de pontos de vida.)</t>
  </si>
  <si>
    <t>Master's Call / Chamado do Mestre</t>
  </si>
  <si>
    <t>Create two 1/1 colorless Myr artifact creature tokens. / Coloque no campo de batalha duas fichas de criatura artefato incolores 1/1 do tipo Myr.</t>
  </si>
  <si>
    <t>Fulgent Distraction / Distração Fulgente</t>
  </si>
  <si>
    <t>Choose two target creatures. Tap those creatures, then unattach all Equipment from them. / Escolha duas criaturas alvo. Vire essas criaturas e depois solte todos os Equipamentos anexados a elas.</t>
  </si>
  <si>
    <t>Divine Offering / Oferenda Divina</t>
  </si>
  <si>
    <t>Destroy target artifact. You gain life equal to its mana value. / Destrua o artefato alvo. Você ganha uma quantidade de pontos de vida igual ao seu custo de mana convertido.</t>
  </si>
  <si>
    <t>Bold Defense / Defesa Destemida</t>
  </si>
  <si>
    <t>Kicker {3}{W} (You may pay an additional {3}{W} as you cast this spell.) Creatures you control get +1/+1 until end of turn. If this spell was kicked, instead creatures you control get +2/+2 and gain first strike until end of turn. / Reforçar {3}{W} (Você pode pagar um custo adicional de {3}{W} ao conjurar esta mágica.) As criaturas que você controla recebem +1/+1 até o final do turno. Se Defesa Destemida foi reforçado, em vez disso, as criaturas que você controla recebem +2/+2 e ganham iniciativa até o final do turno.</t>
  </si>
  <si>
    <t>Show of Valor / Demonstração de Bravura</t>
  </si>
  <si>
    <t>Target creature gets +2/+4 until end of turn. / A criatura alvo recebe +2/+4 até o final do turno.</t>
  </si>
  <si>
    <t>Banishment Decree / Decreto de Expulsão</t>
  </si>
  <si>
    <t>Put target artifact, creature, or enchantment on top of its owner's library. / Coloque o artefato, a criatura ou o encantamento alvo no topo do grimório de seu dono.</t>
  </si>
  <si>
    <t>Coordinated Barrage / Bombardeio Coordenado</t>
  </si>
  <si>
    <t>Choose a creature type. Coordinated Barrage deals damage to target attacking or blocking creature equal to the number of permanents you control of the chosen type. / Escolha um tipo de criatura. Bombardeio Coordenado causa dano à criatura alvo atacante ou bloqueadora igual ao número de permanentes que você controla do tipo escolhido.</t>
  </si>
  <si>
    <t>Whitesun's Passage / Passagem do Sol Branco</t>
  </si>
  <si>
    <t>Inspired Charge / Ataque Inspirado</t>
  </si>
  <si>
    <t>Creatures you control get +2/+1 until end of turn. / As criaturas que você controla recebem +2/+1 até o final do turno.</t>
  </si>
  <si>
    <t>Niveous Wisps / Fogo-Fátuo Nevado</t>
  </si>
  <si>
    <t>Target creature becomes white until end of turn. Tap that creature. Draw a card. / A criatura alvo torna-se branca até o final do turno. Vire aquela criatura. Compre um card.</t>
  </si>
  <si>
    <t>Frantic Salvage / Salvamento Frenético</t>
  </si>
  <si>
    <t>Put any number of target artifact cards from your graveyard on top of your library. Draw a card. / Coloque qualquer número de cards de artefato alvo de seu cemitério no topo de seu grimório. Compre um card.</t>
  </si>
  <si>
    <t>Demystify / Desmistificar</t>
  </si>
  <si>
    <t>Destroy target enchantment. / Destrua o encantamento alvo.</t>
  </si>
  <si>
    <t>Stormfront Riders / Ginetes de Frentempestade</t>
  </si>
  <si>
    <t>Flying When this creature enters, return two creatures you control to their owner's hand. Whenever this creature or another creature is returned to your hand from the battlefield, create a 1/1 white Soldier creature token. / Voar Quando Ginetes de Frentempestade entrar no campo de batalha, devolva duas criaturas que você controla para a mão de seus donos. Toda vez que Ginetes de Frentempestade ou outra criatura for devolvida do campo de batalha para sua mão, crie uma ficha de criatura branca 1/1 do tipo Soldado.</t>
  </si>
  <si>
    <t>Loyal Pegasus / Pégaso Leal</t>
  </si>
  <si>
    <t>Flying This creature can't attack or block alone. / Voar Pégaso Leal não pode atacar nem bloquear sozinho.</t>
  </si>
  <si>
    <t>Loxodon Wayfarer / Viajante Loxodonte</t>
  </si>
  <si>
    <t>Creature — Elephant Monk / Criatura — Elefante Monge</t>
  </si>
  <si>
    <t>Oreskos Sun Guide / Guia do Sol de Oreskos</t>
  </si>
  <si>
    <t>Inspired — Whenever this creature becomes untapped, you gain 2 life. / Inspirado — Toda vez que Guia do Sol de Oreskos se torna desvirado, você ganha 2 pontos de vida.</t>
  </si>
  <si>
    <t>Burrenton Bombardier / Bombardeiro de Burrenton</t>
  </si>
  <si>
    <t>Flying Reinforce 2—{2}{W} ({2}{W}, Discard this card: Put two +1/+1 counters on target creature.) / Voar Reforçar 2 {2}{W} ({2}{W}, Descarte este card: Coloque dois marcadores +1/+1 na criatura alvo.)</t>
  </si>
  <si>
    <t>Benalish Veteran / Veterano de Benália</t>
  </si>
  <si>
    <t>Whenever this creature attacks, it gets +1/+1 until end of turn. / Toda vez que Veterano de Benália ataca, ele recebe +1/+1 até o final do turno.</t>
  </si>
  <si>
    <t>Blinding Mage / Mago Cegador</t>
  </si>
  <si>
    <t>Stormfront Pegasus / Pégaso da Tempestade</t>
  </si>
  <si>
    <t>Siege Mastodon / Mastodonte do Cerco</t>
  </si>
  <si>
    <t>Temple Acolyte</t>
  </si>
  <si>
    <t>Assault Griffin / Grifo de Assalto</t>
  </si>
  <si>
    <t>Safehold Sentry / Sentinela do Refúgio</t>
  </si>
  <si>
    <t>{2}{W}, {Q}: This creature gets +0/+2 until end of turn. ({Q} is the untap symbol.) / {2}{W}, {Q}: Sentinela do Refúgio recebe +0/+2 até o final do turno. ({Q} é o símbolo de desvirar.)</t>
  </si>
  <si>
    <t>Ardent Recruit / Recruta Fervoroso</t>
  </si>
  <si>
    <t>Metalcraft — This creature gets +2/+2 as long as you control three or more artifacts. / Maestria com Metais — Recruta Fervoroso receberá +2/+2 enquanto você controlar três ou mais artefatos.</t>
  </si>
  <si>
    <t>Kitesail Apprentice / Aprendiz de Aerovelismo</t>
  </si>
  <si>
    <t>As long as this creature is equipped, it gets +1/+1 and has flying. / Enquanto Aprendiz de Aerovelismo estiver equipado, ele receberá +1/+1 e terá voar.</t>
  </si>
  <si>
    <t>Cloud Crusader / Cruzado das Nuvens</t>
  </si>
  <si>
    <t>Flying First strike (This creature deals combat damage before creatures without first strike.) / Voar Iniciativa (Esta criatura causa dano de combate antes das criaturas sem iniciativa.)</t>
  </si>
  <si>
    <t>Pale Wayfarer / Caminhante Pálido</t>
  </si>
  <si>
    <t>Creature — Spirit Giant / Criatura — Espírito Gigante</t>
  </si>
  <si>
    <t>{2}{W}{W}, {Q}: Target creature gains protection from the color of its controller's choice until end of turn. ({Q} is the untap symbol.) / {2}{W}{W}, {Q}: A criatura alvo ganha proteção contra a cor da escolha de seu controlador até o final do turno. ({Q} é o símbolo de desvirar.)</t>
  </si>
  <si>
    <t>Kor Hookmaster / Mestre em Arpéu Kor</t>
  </si>
  <si>
    <t>When this creature enters, tap target creature an opponent controls. That creature doesn't untap during its controller's next untap step. / Quando Mestre em Arpéu Kor entrar no campo de batalha, vire uma criatura alvo que um oponente controla. Aquela criatura não poderá ser desvirada durante a próxima etapa de desvirar de seu controlador.</t>
  </si>
  <si>
    <t>Akroan Skyguard / Guardião Alado Acrosano</t>
  </si>
  <si>
    <t>Flying Heroic — Whenever you cast a spell that targets this creature, put a +1/+1 counter on this creature. / Voar Heroico — Toda vez que você conjurar uma mágica cujo alvo seja Guardião Alado Acrosano, coloque um marcador +1/+1 em Guardião Alado Acrosano.</t>
  </si>
  <si>
    <t>Barrenton Medic / Médico de Barrenton</t>
  </si>
  <si>
    <t>Creature — Kithkin Cleric / Criatura — Kithkin Clérigo</t>
  </si>
  <si>
    <t>{T}: Prevent the next 1 damage that would be dealt to any target this turn. Put a -1/-1 counter on this creature: Untap this creature. / {T}: Previna o próximo 1 ponto de dano que seria causado à criatura ou ao jogador alvo neste turno. Coloque um marcador -1/-1 em Médico de Barrenton: Desvire Médico de Barrenton.</t>
  </si>
  <si>
    <t>Tine Shrike / Picanço de Galhas</t>
  </si>
  <si>
    <t>Creature — Phyrexian Bird / Criatura — Ave</t>
  </si>
  <si>
    <t>Flying Infect (This creature deals damage to creatures in the form of -1/-1 counters and to players in the form of poison counters.) / Voar Infectar (Esta criatura causa dano a criaturas na forma de marcadores -1/-1 e a jogadores na forma de marcadores de veneno.)</t>
  </si>
  <si>
    <t>Village Bell-Ringer / Sineiro da Aldeia</t>
  </si>
  <si>
    <t>Flash (You may cast this spell any time you could cast an instant.) When this creature enters, untap all creatures you control. / Lampejo (Você poderá conjurar esta mágica a qualquer momento em que puder conjurar uma mágica instantânea.) Quando Sineiro da Aldeia entrar no campo de batalha, desvire todas as criaturas que você controla.</t>
  </si>
  <si>
    <t>Elite Skirmisher / Escaramuçador de Elite</t>
  </si>
  <si>
    <t>Heroic — Whenever you cast a spell that targets this creature, you may tap target creature. / Heroico — Toda vez que você conjurar uma mágica cujo alvo seja Escaramuçador de Elite, você poderá virar a criatura alvo.</t>
  </si>
  <si>
    <t>Cenn's Heir / Herdeiro do Cenn</t>
  </si>
  <si>
    <t>Whenever this creature attacks, it gets +1/+1 until end of turn for each other attacking Kithkin. / Toda vez que Herdeiro do Cenn ataca, ele recebe +1/+1 até o final do turno para cada outro Kithkin atacante.</t>
  </si>
  <si>
    <t>Mosquito Guard / Guarda Mosquito</t>
  </si>
  <si>
    <t>First strike Reinforce 1—{1}{W} ({1}{W}, Discard this card: Put a +1/+1 counter on target creature.) / Iniciativa Reforçar 1 {1}{W} ({1}{W}, Descarte este card: Coloque um marcador +1/+1 sobre a criatura alvo.)</t>
  </si>
  <si>
    <t>Alvorecer</t>
  </si>
  <si>
    <t>Kithkin Healer / Curandeiro Kithkin</t>
  </si>
  <si>
    <t>{T}: Prevent the next 1 damage that would be dealt to any target this turn. / {T}: Previna o próximo 1 ponto de dano que seria causado à criatura ou ao jogador alvo neste turno.</t>
  </si>
  <si>
    <t>Pillarfield Ox / Boi do Vale dos Pilares</t>
  </si>
  <si>
    <t>Thraben Sentry / Sentinela de Thraben</t>
  </si>
  <si>
    <t>Vigilance Whenever another creature you control dies, you may transform this creature. / Vigilância Toda vez que outra criatura que você controla morre, você pode transformar Sentinela de Thraben.</t>
  </si>
  <si>
    <t>Kor Aeronaut / Aeronauta Kor</t>
  </si>
  <si>
    <t>Kicker {1}{W} (You may pay an additional {1}{W} as you cast this spell.) Flying When this creature enters, if it was kicked, target creature gains flying until end of turn. / Reforçar {1}{W} (Você pode pagar um custo adicional de {1}{W} ao conjurar esta mágica.) Voar Quando Aeronauta Kor entra no campo de batalha, se ele foi reforçado, a criatura alvo ganha voar até o final do turno.</t>
  </si>
  <si>
    <t>Resplendent Mentor / Mentor Resplendente</t>
  </si>
  <si>
    <t>White creatures you control have "{T}: You gain 1 life." / As criaturas brancas que você controla têm "{T}: Você ganha 1 ponto de vida".</t>
  </si>
  <si>
    <t>Conclave Phalanx / Falange do Conclave</t>
  </si>
  <si>
    <t>Convoke (Your creatures can help cast this spell. Each creature you tap while casting this spell pays for {1} or one mana of that creature's color.) When this creature enters, you gain 1 life for each creature you control. / Convocar (Cada criatura que você vira ao jogar esta mágica reduz seu custo em {1} ou em um mana da cor daquela criatura.) Quando Falange do Conclave entra em jogo, você ganha 1 ponto de vida para cada criatura que você controla.</t>
  </si>
  <si>
    <t>Guardians of Akrasa / Guardiões de Akrasa</t>
  </si>
  <si>
    <t>Defender (This creature can't attack.) Exalted (Whenever a creature you control attacks alone, that creature gets +1/+1 until end of turn.) / Defensor (Esta criatura não pode atacar.) Exaltado (Toda vez que uma criatura que você controla ataca sozinha, ela recebe +1/+1 até o final do turno.)</t>
  </si>
  <si>
    <t>Tireless Missionaries / Missionários Incansáveis</t>
  </si>
  <si>
    <t>When this creature enters, you gain 3 life. / Quando Missionários Incansáveis entra no campo de batalha, você ganha 3 pontos de vida.</t>
  </si>
  <si>
    <t>Wandering Graybeard / Barba-Cinza Andarilho</t>
  </si>
  <si>
    <t>Creature — Giant Wizard / Criatura — Gigante Mago</t>
  </si>
  <si>
    <t>Kinship — At the beginning of your upkeep, you may look at the top card of your library. If it shares a creature type with this creature, you may reveal it. If you do, you gain 4 life. / Parentesco No início de sua manutenção, você pode olhar o card do topo do seu grimório. Se ele compartilhar um tipo de criatura com Barba-Cinza Andarilho, você poderá revelá-lo. Se fizer isso, você ganhará 4 pontos de vida.</t>
  </si>
  <si>
    <t>Welkin Guide / Guia do Firmamento</t>
  </si>
  <si>
    <t>Flying When this creature enters, target creature gets +2/+2 and gains flying until end of turn. / Voar Quando Guia do Firmamento entra em jogo, a criatura alvo recebe +2/+2 e ganha voar até o final do turno.</t>
  </si>
  <si>
    <t>Razor Hippogriff / Hipogrifo Laminado</t>
  </si>
  <si>
    <t>Creature — Hippogriff / Criatura — Hipogrifo</t>
  </si>
  <si>
    <t>Flying When this creature enters, return target artifact card from your graveyard to your hand. You gain life equal to that card's mana value. / Voar Quando Hipogrifo Laminado entrar no campo de batalha, devolva o card de artefato alvo de seu cemitério para sua mão. Você ganha uma quantidade de pontos de vida igual ao custo de mana convertido daquele card.</t>
  </si>
  <si>
    <t>Kemba's Legion / Legião de Kemba</t>
  </si>
  <si>
    <t>Vigilance This creature can block an additional creature each combat for each Equipment attached to this creature. / Vigilância Legião de Kemba pode bloquear uma criatura adicional para cada Equipamento anexado a Legião de Kemba.</t>
  </si>
  <si>
    <t>Shrieking Grotesque / Grotesco Berrante</t>
  </si>
  <si>
    <t>Creature — Gargoyle / Criatura — Gárgula</t>
  </si>
  <si>
    <t>Flying When this creature enters, if {B} was spent to cast it, target player discards a card. / Voar Quando Grotesco Berrante entra em jogo, se {B} foi gasto para jogar Grotesco Berrante, o jogador alvo descarta um card.</t>
  </si>
  <si>
    <t>Wispmare / Égua Celestial</t>
  </si>
  <si>
    <t>Flying When this creature enters, destroy target enchantment. Evoke {W} (You may cast this spell for its evoke cost. If you do, it's sacrificed when it enters.) / Voar Quando Égua Celestial entrar em jogo, destrua o encantamento alvo. Evocar {W} (Você pode jogar esta mágica pagando seu custo de evocar. Se fizer isso, ela será sacrificada quando entrar em jogo.)</t>
  </si>
  <si>
    <t>Wild Griffin / Grifo Selvagem</t>
  </si>
  <si>
    <t>Seasoned Marshal / Marechal Experiente</t>
  </si>
  <si>
    <t>Whenever this creature attacks, you may tap target creature. / Toda vez que Marechal Experiente atacar, você pode virar a criatura alvo.</t>
  </si>
  <si>
    <t>Elite Vanguard / Vanguarda de Elite</t>
  </si>
  <si>
    <t>Griffin Sentinel / Grifo Sentinela</t>
  </si>
  <si>
    <t>Flying Vigilance (Attacking doesn't cause this creature to tap.) / Voar Vigilância (Atacar não faz com que esta criatura seja virada.)</t>
  </si>
  <si>
    <t>Abuna Acolyte / Acólito Abuna</t>
  </si>
  <si>
    <t>{T}: Prevent the next 1 damage that would be dealt to any target this turn. {T}: Prevent the next 2 damage that would be dealt to target artifact creature this turn. / {T}: Previna o próximo 1 ponto de dano que seria causado à criatura ou ao jogador alvo neste turno. {T}: Previna os próximos 2 pontos de dano que seriam causados à criatura artefato alvo neste turno.</t>
  </si>
  <si>
    <t>Leonin Skyhunter / Caçadora Celeste Leonina</t>
  </si>
  <si>
    <t>Creature — Cat Knight / Criatura — Felino Cavaleiro</t>
  </si>
  <si>
    <t>Elder Cathar / Cátaro Ancião</t>
  </si>
  <si>
    <t>When this creature dies, put a +1/+1 counter on target creature you control. If that creature is a Human, put two +1/+1 counters on it instead. / Quando Cátaro Ancião morrer, coloque um marcador +1/+1 sobre a criatura alvo que você controla. Se aquela criatura for do tipo Humano, em vez disso, coloque dois marcadores +1/+1 sobre ela.</t>
  </si>
  <si>
    <t>Palace Guard / Guarda Palaciano</t>
  </si>
  <si>
    <t>This creature can block any number of creatures. / Guarda Palaciano pode bloquear um número qualquer de criaturas.</t>
  </si>
  <si>
    <t>Glory Seeker / Perseguidor da Glória</t>
  </si>
  <si>
    <t>Master of Diversion / Mestre da Distração</t>
  </si>
  <si>
    <t>Whenever this creature attacks, tap target creature defending player controls. / Toda vez que Mestre da Distração atacar, vire a criatura alvo que o jogador defensor controla.</t>
  </si>
  <si>
    <t>Ruin Ghost / Fantasma da Ruína</t>
  </si>
  <si>
    <t>{W}, {T}: Exile target land you control, then return it to the battlefield under your control. / {W}, {T}: Exile o terreno alvo que você controla e depois o devolva ao campo de batalha sob o seu controle.</t>
  </si>
  <si>
    <t>Order of the Golden Cricket / Ordem do Grilo Dourado</t>
  </si>
  <si>
    <t>Creature — Kithkin Knight / Criatura — Kithkin Cavaleiro</t>
  </si>
  <si>
    <t>Whenever this creature attacks, you may pay {W}. If you do, it gains flying until end of turn. / Toda vez que Ordem do Grilo Dourado ataca, você pode pagar {W}. Se fizer isso, ele ganhará a habilidade de voar até o final do turno.</t>
  </si>
  <si>
    <t>Wellgabber Apothecary / Boticário Tagarela de Poço</t>
  </si>
  <si>
    <t>Creature — Merfolk Cleric / Criatura — Tritão Clérigo</t>
  </si>
  <si>
    <t>{1}{W}: Prevent all damage that would be dealt to target tapped Merfolk or Kithkin creature this turn. / {1}{W}: Previna todo o dano que seria causado à criatura alvo virada Tritão ou Kithkin neste turno.</t>
  </si>
  <si>
    <t>Shinewend / Luminóbata</t>
  </si>
  <si>
    <t>Flying This creature enters with a +1/+1 counter on it. {1}{W}, Remove a +1/+1 counter from this creature: Destroy target enchantment. / Voar Luminóbata entra em jogo com um marcador +1/+1 sobre ele. {1}{W}, Remova um marcador +1/+1 de Luminóbata: Destrua o encantamento alvo.</t>
  </si>
  <si>
    <t>Salvage Scout / Batedor de Salvamento</t>
  </si>
  <si>
    <t>{W}, Sacrifice this creature: Return target artifact card from your graveyard to your hand. / {W}, Sacrifique Batedor de Salvamento: Devolva o card de artefato alvo de seu cemitério para sua mão.</t>
  </si>
  <si>
    <t>Kinsbaile Balloonist / Balonista de Kinsbaile</t>
  </si>
  <si>
    <t>Flying Whenever this creature attacks, you may have target creature gain flying until end of turn. / Voar Toda vez que Balonista de Kinsbaile ataca, você pode fazer com que a criatura alvo ganhe voar até o final do turno.</t>
  </si>
  <si>
    <t>Loxodon Convert / Loxodonte Convertido</t>
  </si>
  <si>
    <t>Creature — Phyrexian Elephant Soldier / Criatura — Elefante Soldado</t>
  </si>
  <si>
    <t>Sunspear Shikari / Sipaio da Lança Solar</t>
  </si>
  <si>
    <t>As long as this creature is equipped, it has first strike and lifelink. (It deals combat damage before creatures without first strike. Damage dealt by it also causes you to gain that much life.) / Enquanto Sipaio da Lança Solar estiver equipado, ele terá iniciativa e vínculo com a vida.</t>
  </si>
  <si>
    <t>Aspect of Hydra / Aspecto de Hidra</t>
  </si>
  <si>
    <t>Target creature gets +X/+X until end of turn, where X is your devotion to green. (Each {G} in the mana costs of permanents you control counts toward your devotion to green.) / A criatura alvo recebe +X/+X até o final do turno, sendo X a sua devoção ao verde. (Cada {G} nos custos de mana de permanentes que você controla conta para sua devoção ao verde.)</t>
  </si>
  <si>
    <t>Alpha Status / Status de Alfa</t>
  </si>
  <si>
    <t>Enchant creature Enchanted creature gets +2/+2 for each other creature on the battlefield that shares a creature type with it. / A criatura encantada recebe +2/+2 para cada outra criatura em jogo que compartilhar um tipo de criatura com ela.</t>
  </si>
  <si>
    <t>Caixa</t>
  </si>
  <si>
    <t>Blade of the Sixth Pride / Lâmina do Sexto Bando</t>
  </si>
  <si>
    <t>Creature — Cat Rebel / Criatura — Felino Rebelde</t>
  </si>
  <si>
    <t>Sapseep Forest / Floresta de Seiva Gotejante</t>
  </si>
  <si>
    <t>Land — Forest / Terreno — Floresta</t>
  </si>
  <si>
    <t>({T}: Add {G}.) This land enters tapped. {G}, {T}: You gain 1 life. Activate only if you control two or more green permanents. / ({T}: Adicione {G}.) Floresta da Seiva Gotejante entra no campo de batalha virada. {G}, {T}: Você ganha 1 ponto de vida. Ative somente se você controlar duas ou mais permanentes verdes.</t>
  </si>
  <si>
    <t>Ivy Lane Denizen / Habitante da Travessa da Hera</t>
  </si>
  <si>
    <t>Whenever another green creature you control enters, put a +1/+1 counter on target creature. / Toda vez que outra criatura verde entrar no campo de batalha sob seu controle, coloque um marcador +1/+1 na criatura alvo.</t>
  </si>
  <si>
    <t>Bulk old frame</t>
  </si>
  <si>
    <t>Bulk Vitor RJ</t>
  </si>
  <si>
    <t>Ok</t>
  </si>
  <si>
    <t>Bulk Leticia SC</t>
  </si>
  <si>
    <t>Bulk Sol</t>
  </si>
  <si>
    <t>Bulk Tiago SC</t>
  </si>
  <si>
    <t>Bulk Sapucaia</t>
  </si>
  <si>
    <t>Bulk Nissa</t>
  </si>
  <si>
    <t>Bulk Nat Poa</t>
  </si>
  <si>
    <t>Bulk Alex Cotia</t>
  </si>
  <si>
    <t>Bulk Macky SC</t>
  </si>
  <si>
    <t>Cor(cores)</t>
  </si>
  <si>
    <t>Item</t>
  </si>
  <si>
    <t>Quantidade</t>
  </si>
  <si>
    <t>Cor</t>
  </si>
  <si>
    <t>Total de cartas</t>
  </si>
  <si>
    <t>Cartas únicas</t>
  </si>
  <si>
    <t>Foil / Sim</t>
  </si>
  <si>
    <t>Não foil</t>
  </si>
  <si>
    <t>Valor total aproximado</t>
  </si>
  <si>
    <t>R$ 4,75</t>
  </si>
  <si>
    <t>Valor médio por carta</t>
  </si>
  <si>
    <t>R$ 0,09</t>
  </si>
  <si>
    <t>Raras</t>
  </si>
  <si>
    <t>Míticas</t>
  </si>
  <si>
    <t>Cor / Identidade exibida</t>
  </si>
  <si>
    <t>Criatura</t>
  </si>
  <si>
    <t>Instantânea</t>
  </si>
  <si>
    <t>The Wasp, Winsome Avenger</t>
  </si>
  <si>
    <t>Flash Flying When The Wasp enters, target Hero gains hexproof until end of turn. Whenever The Wasp attacks, tap target creature defending player controls.</t>
  </si>
  <si>
    <t>Austere Command / Comando Austero</t>
  </si>
  <si>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</si>
  <si>
    <t>Captain America, Team Leader</t>
  </si>
  <si>
    <t>Whenever another Hero you control enters, it gains vigilance and haste until end of turn. Put a +1/+1 counter on that Hero and a +1/+1 counter on Captain America.</t>
  </si>
  <si>
    <t>{R}{W}{U}</t>
  </si>
  <si>
    <t>Vermelho, Azul, Branco</t>
  </si>
  <si>
    <t>Vision, Synthezoid Avenger</t>
  </si>
  <si>
    <t>Legendary Artifact Creature — Robot Hero</t>
  </si>
  <si>
    <t>Flying Whenever a player casts a spell, if it isn't that player's turn, choose one — • Put a +1/+1 counter on Vision. • Vision phases out. (Treat him and anything attached to him as though they don't exist until your next turn.)</t>
  </si>
  <si>
    <t>Exotic Orchard / Pomar Exótico</t>
  </si>
  <si>
    <t>{T}: Add one mana of any color that a land an opponent controls could produce. / {T}: Adicione um mana de qualquer cor que um terreno controlado por um oponente possa gerar.</t>
  </si>
  <si>
    <t>Rip Apart / Fender</t>
  </si>
  <si>
    <t>Choose one — • Rip Apart deals 3 damage to target creature or planeswalker. • Destroy target artifact or enchantment. / Escolha um — • Fender causa 3 pontos de dano à criatura ou ao planeswalker alvo. • Destrua o artefato ou o encantamento alvo.</t>
  </si>
  <si>
    <t>Bastion Protector / Protetora do Bastião</t>
  </si>
  <si>
    <t>Commander creatures you control get +2/+2 and have indestructible. / As criaturas comandantes que você controla recebem +2/+2 e têm indestrutível.</t>
  </si>
  <si>
    <t>Plains // Plains / Planície</t>
  </si>
  <si>
    <t>Card // Card / Terreno Básico — Planície</t>
  </si>
  <si>
    <t>Branca</t>
  </si>
  <si>
    <t>Folk Hero / Herói do Povo</t>
  </si>
  <si>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</si>
  <si>
    <t>Scavenger Grounds / Território dos Necrófagos</t>
  </si>
  <si>
    <t>{T}: Add {C}. {2}, {T}, Sacrifice a Desert: Exile all graveyards. / {T}: Adicione {C} à sua reserva de mana. {2}, {T}, sacrifique um Deserto: Exile todos os cards de todos os cemitérios.</t>
  </si>
  <si>
    <t>Coastal Peak</t>
  </si>
  <si>
    <t>Land — Island Mountain</t>
  </si>
  <si>
    <t>({T}: Add {U} or {R}.) This land enters tapped. Cycling {2} ({2}, Discard this card: Draw a card.)</t>
  </si>
  <si>
    <t>Scarlet Witch, Chaotic Avenger</t>
  </si>
  <si>
    <t>Legendary Creature — Mutant Warlock Hero</t>
  </si>
  <si>
    <t>Flying Whenever Scarlet Witch deals combat damage to a player, look at the top two cards of your library, then exile them face down. Then you may cast a Hero or noncreature spell from among cards exiled with Scarlet Witch without paying its mana cost.</t>
  </si>
  <si>
    <t>Unclaimed Territory / Território Não Reivindicado</t>
  </si>
  <si>
    <t>As this land enters, choose a creature type. {T}: Add {C}. {T}: Add one mana of any color. Spend this mana only to cast a creature spell of the chosen type. / Conforme Território Não Reivindicado entra no campo de batalha, escolha um tipo de criatura. {T}: Adicione {C} à sua reserva de mana. {T}: Adicione um mana de qualquer cor à sua reserva de mana. Gaste este mana apenas para conjurar uma mágica de criatura do tipo escolhido.</t>
  </si>
  <si>
    <t>Captain Mar-Vell, Space-Born</t>
  </si>
  <si>
    <t>Legendary Creature — Kree Soldier Hero</t>
  </si>
  <si>
    <t>Flying, vigilance Cosmic Awareness — As long as an opponent has cast a spell this turn, you may cast spells as though they had flash.</t>
  </si>
  <si>
    <t>This land enters tapped. {T}: Add {U}, {R}, or {W}. / Monastério Místico entra no campo de batalha virado. {T}: Adicione {U}, {R} ou {W} à sua reserva de mana.</t>
  </si>
  <si>
    <t>Thor, Asgard's Avenger</t>
  </si>
  <si>
    <t>Legendary Creature — God Warrior Hero</t>
  </si>
  <si>
    <t>Flying If another source you control would deal damage to an opponent or a permanent an opponent controls, it deals that much damage plus 1 instead.</t>
  </si>
  <si>
    <t>Avengers Quinjet</t>
  </si>
  <si>
    <t>Flying Whenever this Vehicle enters or attacks, choose one — • You may put a Hero creature card from your hand onto the battlefield. • Return target Hero creature card from your graveyard to your hand. Crew 3</t>
  </si>
  <si>
    <t>Hulkbuster Armor</t>
  </si>
  <si>
    <t>Legendary Artifact — Equipment</t>
  </si>
  <si>
    <t>Equipped creature has base power and toughness 9/9 and has flying. Equip Hero {3} Equip {6}</t>
  </si>
  <si>
    <t>Port Town / Cidade Portuária</t>
  </si>
  <si>
    <t>As this land enters, you may reveal a Plains or Island card from your hand. If you don't, this land enters tapped. {T}: Add {W} or {U}. / Conforme Cidade Portuária entra no campo de batalha, você pode revelar um card de Planície ou Ilha de sua mão. Se não fizer isso, Cidade Portuária entrará no campo de batalha virada. {T}: Adicione {W} ou {U} à sua reserva de mana.</t>
  </si>
  <si>
    <t>Thought Vessel / Receptáculo de Pensamentos</t>
  </si>
  <si>
    <t>You have no maximum hand size. {T}: Add {C}. / Não há limite para o número máximo de cards em sua mão. {T}: Adicione {C}.</t>
  </si>
  <si>
    <t>Jocasta, Automaton Avenger</t>
  </si>
  <si>
    <t>Flying Whenever your commander deals combat damage to a player, put a +1/+1 counter on Jocasta. Whenever you attack with your commander, if this card is in your graveyard, you may return it to the battlefield tapped and attacking.</t>
  </si>
  <si>
    <t>Raise the Palisade / Erguer a Paliçada</t>
  </si>
  <si>
    <t>Choose a creature type. Return all creatures that aren't of the chosen type to their owners' hands. / Escolha um tipo de criatura. Devolva todas as criaturas que não sejam do tipo escolhido para a mão de seus donos.</t>
  </si>
  <si>
    <t>Shang-Chi and the Ten Rings</t>
  </si>
  <si>
    <t>First strike Whenever you draw a card, put a +1/+1 counter on Shang-Chi. When the tenth +1/+1 counter is put on Shang-Chi, you draw five cards and gain 5 life.</t>
  </si>
  <si>
    <t>Door of Destinies / Porta dos Destinos</t>
  </si>
  <si>
    <t>As this artifact enters, choose a creature type. Whenever you cast a spell of the chosen type, put a charge counter on this artifact. Creatures you control of the chosen type get +1/+1 for each charge counter on this artifact. / Conforme Porta dos Destinos entra no campo de batalha, escolha um tipo de criatura.Toda vez que você conjurar uma mágica do tipo escolhido, coloque um marcador de carga em Porta dos Destinos.As criaturas que você controla do tipo escolhido recebem +1/+1 para cada marcador de carga em Porta dos Destinos.</t>
  </si>
  <si>
    <t>Glacial Fortress / Fortaleza Glacial</t>
  </si>
  <si>
    <t>This land enters tapped unless you control a Plains or an Island. {T}: Add {W} or {U}. / Fortaleza Glacial entra no campo de batalha virado a menos que você controle uma Planície ou uma Ilha. {T}: Adicione {W} ou {U} à sua reserva de mana.</t>
  </si>
  <si>
    <t>Tome of Legends</t>
  </si>
  <si>
    <t>Artifact — Book</t>
  </si>
  <si>
    <t>This artifact enters with a page counter on it. Whenever your commander enters or attacks, put a page counter on this artifact. {1}, {T}, Remove a page counter from this artifact: Draw a card.</t>
  </si>
  <si>
    <t>Dismantling Wave / Onda Desmanteladora</t>
  </si>
  <si>
    <t>For each opponent, destroy up to one target artifact or enchantment that player controls. Cycling {6}{W}{W} ({6}{W}{W}, Discard this card: Draw a card.) When you cycle this card, destroy all artifacts and enchantments. / Para cada oponente, destrua até um artefato ou encantamento alvo que aquele jogador controla. Reciclar {6}{W}{W} ({6}{W}{W}, descarte este card: Compre um card.) Quando reciclar Onda Desmanteladora, destrua todos os artefatos e encantamentos.</t>
  </si>
  <si>
    <t>Rescue, Pepper Potts</t>
  </si>
  <si>
    <t>Flash Flying When Rescue enters, return up to one other target artifact or creature you control to its owner's hand. If it was an artifact, put a +1/+1 counter on Rescue.</t>
  </si>
  <si>
    <t>Command Tower / Torre de Comando</t>
  </si>
  <si>
    <t>{T}: Add one mana of any color in your commander's color identity. / {T}: Adicione um mana de qualquer cor da identidade de cor de seu comandante.</t>
  </si>
  <si>
    <t>Quicksilver, Speedster</t>
  </si>
  <si>
    <t>Flash Double strike, haste As long as Quicksilver is tapped, you may cast spells as though they had flash.</t>
  </si>
  <si>
    <t>Secluded Courtyard / Pátio Reservado</t>
  </si>
  <si>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</si>
  <si>
    <t>Love on the Battlefield</t>
  </si>
  <si>
    <t>Whenever you attack with exactly two creatures, those creatures gain first strike until end of turn, then draw a card. Whenever either of those creatures deals combat damage to a player this combat, put a +1/+1 counter on it.</t>
  </si>
  <si>
    <t>Gift of Immortality / Dádiva da Imortalidade</t>
  </si>
  <si>
    <t>Enchant creature When enchanted creature dies, return that card to the battlefield under its owner's control. Return this card to the battlefield attached to that creature at the beginning of the next end step. / Encantar criatura Quando a criatura encantada morrer, devolva aquele card ao campo de batalha sob o controle de seu dono. Devolva Dádiva da Imortalidade ao campo de batalha anexada àquela criatura no início da próxima etapa final.</t>
  </si>
  <si>
    <t>Path of Ancestry / Caminho da Ascendência</t>
  </si>
  <si>
    <t>This land enters tapped. {T}: Add one mana of any color in your commander's color identity. When that mana is spent to cast a creature spell that shares a creature type with your commander, scry 1. (Look at the top card of your library. You may put that card on the bottom.) / Caminho da Ascendência entra no campo de batalha virado. {T}: Adicione um mana de qualquer cor da identidade de cor de seu comandante. Quando aquele mana for gasto para conjurar uma mágica de criatura que compartilhe um tipo de criatura com seu comandante, use vidência 1.</t>
  </si>
  <si>
    <t>Frostboil Snarl / Liame da Pirogeada</t>
  </si>
  <si>
    <t>As this land enters, you may reveal an Island or Mountain card from your hand. If you don't, this land enters tapped. {T}: Add {U} or {R}. / Conforme Liame da Pirogeada entra no campo de batalha, você pode revelar um card de Ilha ou Montanha de sua mão. Se não fizer isso, Liame da Pirogeada entrará no campo de batalha virado. {T}: Adicione {U} ou {R}.</t>
  </si>
  <si>
    <t>Photon, Mighty Marvel</t>
  </si>
  <si>
    <t>Flying Whenever Photon deals combat damage to a player, add that much mana of any one color. Until end of turn, you don't lose this mana as steps and phases end.</t>
  </si>
  <si>
    <t>Hawkeye, Avenging Archer</t>
  </si>
  <si>
    <t>Reach Whenever a creature an opponent controls dies, if Hawkeye dealt damage to it this turn, draw a card. {T}: Hawkeye deals 1 damage to any target.</t>
  </si>
  <si>
    <t>Swords to Plowshares / Espadas em Arados</t>
  </si>
  <si>
    <t>Exile target creature. Its controller gains life equal to its power. / Exile a criatura alvo. O controlador da criatura ganha uma quantidade de pontos de vida igual ao poder dela.</t>
  </si>
  <si>
    <t>Glittering Massif</t>
  </si>
  <si>
    <t>Land — Mountain Plains</t>
  </si>
  <si>
    <t>({T}: Add {R} or {W}.) This land enters tapped. Cycling {2} ({2}, Discard this card: Draw a card.)</t>
  </si>
  <si>
    <t>Talisman of Progress / Talismã do Progresso</t>
  </si>
  <si>
    <t>{T}: Add {C}. {T}: Add {W} or {U}. This artifact deals 1 damage to you. / {T}: Adicione {C}. {T}: Adicione {W} ou {U}. Talismã do Progresso causa 1 ponto de dano a você.</t>
  </si>
  <si>
    <t>Director Nick Fury</t>
  </si>
  <si>
    <t>Hero spells you cast cost {1} less to cast. Whenever you attack, look at the top four cards of your library. You may reveal a Hero card from among them and put that card into your hand. Put the rest on the bottom of your library in a random order.</t>
  </si>
  <si>
    <t>{U}{R}{W}</t>
  </si>
  <si>
    <t>Scorched Geyser</t>
  </si>
  <si>
    <t>({T}: Add {U} or {R}.) This land enters tapped unless you control two or more basic lands.</t>
  </si>
  <si>
    <t>Furycalm Snarl / Liame da Calmafuriosa</t>
  </si>
  <si>
    <t>As this land enters, you may reveal a Mountain or Plains card from your hand. If you don't, this land enters tapped. {T}: Add {R} or {W}. / Conforme Liame da Calmafuriosa entra no campo de batalha, você pode revelar um card de Montanha ou Planície de sua mão. Se não fizer isso, Liame da Calmafuriosa entrará no campo de batalha virado. {T}: Adicione {R} ou {W}.</t>
  </si>
  <si>
    <t>Captain Marvel, Apex Avenger</t>
  </si>
  <si>
    <t>Legendary Creature — Human Kree Hero</t>
  </si>
  <si>
    <t>Flying, double strike, indestructible Whenever you put one or more counters on another creature, if it's not a Kree, you may put the same number and kind of counters on Captain Marvel.</t>
  </si>
  <si>
    <t>{5}{R}{W}</t>
  </si>
  <si>
    <t>Black Widow, Agile Avenger</t>
  </si>
  <si>
    <t>Menace Whenever an opponent draws their second card each turn, put a +1/+1 counter on Black Widow and you draw a card.</t>
  </si>
  <si>
    <t>Ant-Man, Elusive Avenger</t>
  </si>
  <si>
    <t>Legendary Creature — Human Rogue Hero</t>
  </si>
  <si>
    <t>Ant-Man can't be blocked by creatures with greater power. Whenever Ant-Man deals combat damage to a player, create that many Treasure tokens.</t>
  </si>
  <si>
    <t>Prairie Stream / Riacho da Pradaria</t>
  </si>
  <si>
    <t>Land — Plains Island / Terreno — Planície Ilha</t>
  </si>
  <si>
    <t>({T}: Add {W} or {U}.) This land enters tapped unless you control two or more basic lands. / ({T}: Adicione {W} ou {U} à sua reserva de mana.)Riacho da Pradaria entra no campo de batalha virado a menos que você controle dois ou mais terrenos básicos.</t>
  </si>
  <si>
    <t>Arcane Denial / Contradição Arcana</t>
  </si>
  <si>
    <t>Counter target spell. Its controller may draw up to two cards at the beginning of the next turn's upkeep. You draw a card at the beginning of the next turn's upkeep. / Anule a mágica alvo. Seu controlador pode comprar até dois cards no início da manutenção do próximo turno. Você compra um card no início da manutenção do próximo turno.</t>
  </si>
  <si>
    <t>Avengers Tower</t>
  </si>
  <si>
    <t>{T}: Add {C}. {T}: Add one mana of any color. Spend this mana only to cast a Hero spell or to activate an ability of a Hero source. {4}, {T}: Look at the top three cards of your library. You may reveal a Hero card from among them and put it into your hand. Put the rest on the bottom of your library in any order.</t>
  </si>
  <si>
    <t>War Machine, Avenging Arsenal</t>
  </si>
  <si>
    <t>Flying Whenever War Machine attacks, attacking modified creatures you control gain double strike until end of turn. (Equipment, Auras you control, and counters are modifications.)</t>
  </si>
  <si>
    <t>Kindred Discovery / Descoberta da Estirpe</t>
  </si>
  <si>
    <t>As this enchantment enters, choose a creature type. Whenever a creature you control of the chosen type enters or attacks, draw a card. / Conforme Descoberta da Estirpe entra no campo de batalha, escolha um tipo de criatura. Toda vez que uma criatura que você controla do tipo escolhido entrar no campo de batalha ou atacar, compre um card.</t>
  </si>
  <si>
    <t>She-Hulk, Wallbreaker</t>
  </si>
  <si>
    <t>Legendary Creature — Gamma Hero</t>
  </si>
  <si>
    <t>Trample Other Heroes you control have trample. Whenever a Hero you control becomes blocked, put a +1/+1 counter on that Hero for each creature blocking it.</t>
  </si>
  <si>
    <t>Arcane Signet / Sinete Arcano</t>
  </si>
  <si>
    <t>Clifftop Retreat / Retiro da Falésia</t>
  </si>
  <si>
    <t>This land enters tapped unless you control a Mountain or a Plains. {T}: Add {R} or {W}. / Retiro da Falésia entra no campo de batalha virado, a menos que você controle uma Montanha ou uma Planície. {T}: Adicione {R} ou {W} à sua reserva de mana.</t>
  </si>
  <si>
    <t>Firebird, Blazing Ranger</t>
  </si>
  <si>
    <t>Legendary Creature — Human Ranger Hero</t>
  </si>
  <si>
    <t>Flying Whenever Firebird attacks, other attacking creatures get +X/+0 until end of turn, where X is Firebird's power.</t>
  </si>
  <si>
    <t>Relic of Legends / Relíquia das Lendas</t>
  </si>
  <si>
    <t>{T}: Add one mana of any color. Tap an untapped legendary creature you control: Add one mana of any color. / {T}: Adicione um mana de qualquer cor. Vire uma criatura lendária desvirada que você controla: Adicione um mana de qualquer cor.</t>
  </si>
  <si>
    <t>West Coast Expansion</t>
  </si>
  <si>
    <t>Draw X cards. If X is 5 or more, you may cast a Hero spell from your hand without paying its mana cost.</t>
  </si>
  <si>
    <t>Metallic Mimic / Mímico Metálico</t>
  </si>
  <si>
    <t>As this creature enters, choose a creature type. This creature is the chosen type in addition to its other types. Each other creature you control of the chosen type enters with an additional +1/+1 counter on it. / Conforme Mímico Metálico entra no campo de batalha, escolha um tipo de criatura. Mímico Metálico é do tipo escolhido além de seus outros tipos. Cada outra criatura do tipo escolhido que você controla entra no campo de batalha com um marcador +1/+1 adicional.</t>
  </si>
  <si>
    <t>Spectator Seating / Lugar de Espectador</t>
  </si>
  <si>
    <t>This land enters tapped unless you have two or more opponents. {T}: Add {R} or {W}. / Lugar de Espectador entra no campo de batalha virado, a menos que você tenha dois ou mais oponentes. {T}: Adicione {R} ou {W}.</t>
  </si>
  <si>
    <t>Professor Hulk</t>
  </si>
  <si>
    <t>Trample Whenever Professor Hulk deals combat damage to a player, draw that many cards.</t>
  </si>
  <si>
    <t>Sulfur Falls / Cascata de Enxofre</t>
  </si>
  <si>
    <t>This land enters tapped unless you control an Island or a Mountain. {T}: Add {U} or {R}. / Cascata de Enxofre entra no campo de batalha virado, a menos que você controle uma Ilha ou uma Montanha. {T}: Adicione {U} ou {R} à sua reserva de mana.</t>
  </si>
  <si>
    <t>Reconnaissance Mission / Missão de Reconhecimento</t>
  </si>
  <si>
    <t>Whenever a creature you control deals combat damage to a player, you may draw a card. Cycling {2} ({2}, Discard this card: Draw a card.) / Toda vez que uma criatura que você controla causa dano de combate a um jogador, você pode comprar um card. Reciclar {2} ({2}, descarte este card: Compre um card.)</t>
  </si>
  <si>
    <t>Jarvis, Earth's Mightiest Butler</t>
  </si>
  <si>
    <t>Whenever you cast a Hero spell, draw a card.</t>
  </si>
  <si>
    <t>Iron Man, Armored Avenger</t>
  </si>
  <si>
    <t>Flying Whenever you draw a card, put a +1/+1 counter on target creature. Whenever Iron Man attacks, other attacking modified creatures gain flying until end of turn. (Equipment, Auras you control, and counters are modifications.)</t>
  </si>
  <si>
    <t>Radiant Summit</t>
  </si>
  <si>
    <t>({T}: Add {R} or {W}.) This land enters tapped unless you control two or more basic lands.</t>
  </si>
  <si>
    <t>Patriot, Shield Wielder</t>
  </si>
  <si>
    <t>{2}, {T}: Another target creature you control gets +2/+0 and gains hexproof until end of turn. (It can't be the target of spells or abilities your opponents control.)</t>
  </si>
  <si>
    <t>Talisman of Conviction / Talismã da Convicção</t>
  </si>
  <si>
    <t>{T}: Add {C}. {T}: Add {R} or {W}. This artifact deals 1 damage to you. / {T}: Adicione {C}. {T}: Adicione {R} ou {W}. Talismã da Convicção causa 1 ponto de dano a você.</t>
  </si>
  <si>
    <t>Irrigated Farmland / Fazendas Irrigadas</t>
  </si>
  <si>
    <t>({T}: Add {W} or {U}.) This land enters tapped. Cycling {2} ({2}, Discard this card: Draw a card.) / ({T}: Adicione {W} ou {U} à sua reserva de mana.) Fazendas Irrigadas entra no campo de batalha virada. Reciclar {2} ({2}, Descarte este card: Compre um card.)</t>
  </si>
  <si>
    <t>Plaza of Heroes / Praça dos Heróis</t>
  </si>
  <si>
    <t>{T}: Add {C}. {T}: Add one mana of any color. Spend this mana only to cast a legendary spell. {T}: Add one mana of any color among legendary permanents you control. {3}, {T}, Exile this land: Target legendary creature gains hexproof and indestructible until end of turn. / {T}: Adicione {C}. {T}: Adicione um mana de qualquer cor. Gaste este mana somente para conjurar uma mágica lendária. {T}: Adicione um mana de qualquer cor entre as permanentes lendárias que você controla. {3}, {T}, exile Praça dos Heróis: A criatura lendária alvo ganha resistência a magia e indestrutível até o final do turno.</t>
  </si>
  <si>
    <t>Hero's Blade / Lâmina do Herói</t>
  </si>
  <si>
    <t>Equipped creature gets +3/+2. Whenever a legendary creature you control enters, you may attach this Equipment to it. Equip {4} ({4}: Attach to target creature you control. Equip only as a sorcery.) / A criatura equipada recebe +3/+2. Toda vez que uma criatura lendária entra no campo de batalha sob seu controle, você pode anexar Lâmina do Herói a ela. Equipar {4}</t>
  </si>
  <si>
    <t>Winter Soldier, Reborn Avenger</t>
  </si>
  <si>
    <t>Whenever Winter Soldier attacks, return target creature card with mana value less than or equal to Winter Soldier's power from your graveyard to the battlefield. If a Hero enters this way, it enters with an additional +1/+1 counter on it.</t>
  </si>
  <si>
    <t>Methods of the Mighty</t>
  </si>
  <si>
    <t>Choose one or more — • Destroy target artifact. • Destroy target tapped creature. • Put a +1/+1 counter on each creature you control.</t>
  </si>
  <si>
    <t>Talisman of Creativity / Talismã da Criatividade</t>
  </si>
  <si>
    <t>{T}: Add {C}. {T}: Add {U} or {R}. This artifact deals 1 damage to you. / {T}: Adicione {C}. {T}: Adicione {U} ou {R}. Talismã da Criatividade causa 1 ponto de dano a você.</t>
  </si>
  <si>
    <t>Heroic Sacrifice</t>
  </si>
  <si>
    <t>Choose target creature you control. Until end of turn, all damage that would be dealt to you and creatures you control is dealt to the chosen creature instead (if it's still on the battlefield). When that creature dies this turn, put its counters on up to one target creature you control and draw a card.</t>
  </si>
  <si>
    <t>Heroic Return</t>
  </si>
  <si>
    <t>This spell costs {2} less to cast if a creature is attacking you. Return target creature card from your graveyard to the battlefield. If a Hero enters this way, it enters with two additional +1/+1 counters on it.</t>
  </si>
  <si>
    <t>Hercules, Olympian Hero</t>
  </si>
  <si>
    <t>Legendary Creature — Demigod Warrior Hero</t>
  </si>
  <si>
    <t>Whenever Hercules attacks, put a +1/+1 counter on him. He gains indestructible until end of turn. Whenever Hercules is dealt damage for the first time each turn, put that many +1/+1 counters on him. (He must survive the damage to get the counters.)</t>
  </si>
  <si>
    <t>Falcon and Redwing</t>
  </si>
  <si>
    <t>Legendary Creature — Human Bird Hero</t>
  </si>
  <si>
    <t>Flying Whenever Falcon and Redwing deal combat damage to a player, create that many 1/1 white Bird creature tokens with flying, then put a +1/+1 counter on Falcon and Redwing.</t>
  </si>
  <si>
    <t>Captain America, Living Legend</t>
  </si>
  <si>
    <t>Vigilance Whenever a creature you control becomes tapped during your turn, if it's the first time that creature has become tapped this turn, untap it.</t>
  </si>
  <si>
    <t>Avenge</t>
  </si>
  <si>
    <t>This spell costs {2} less to cast if a player attacked you during their last turn. Destroy all creatures. You gain 1 life for each creature destroyed this way.</t>
  </si>
  <si>
    <t>Herald's Horn / Corneta do Arauto</t>
  </si>
  <si>
    <t>As this artifact enters, choose a creature type. Creature spells you cast of the chosen type cost {1} less to cast. At the beginning of your upkeep, look at the top card of your library. If it's a creature card of the chosen type, you may reveal it and put it into your hand. / Conforme Corneta do Arauto entrar no campo de batalha, escolha um tipo de criatura. As mágicas de criatura com o tipo escolhido que você conjura custam {1} a menos para serem conjuradas. No início de sua manutenção, olhe o card do topo de seu grimório. Se for um card de criatura do tipo escolhido, você poderá revelá-lo e colocá-lo em sua mão.</t>
  </si>
  <si>
    <t>Magda, Brazen Outlaw / Magda, Criminosa Intrépida</t>
  </si>
  <si>
    <t>Legendary Creature — Dwarf Berserker / Criatura Lendária — Anão Amoque</t>
  </si>
  <si>
    <t>Other Dwarves you control get +1/+0. Whenever a Dwarf you control becomes tapped, create a Treasure token. Sacrifice five Treasures: Search your library for an artifact or Dragon card, put that card onto the battlefield, then shuffle. / Os outros Anões que você controla recebem +1/+0. Toda vez que um Anão que você controla for virado, crie uma ficha de Tesouro. Sacrifique cinco Tesouros: Procure em seu grimório um card de artefato ou de Dragão, coloque-o no campo de batalha e, depois, embaralhe seu grimório.</t>
  </si>
  <si>
    <t>Crashing Drawbridge / Ponte Levadiça Esmagadora</t>
  </si>
  <si>
    <t>Defender {T}: Creatures you control gain haste until end of turn. / Defensor {T}: As criaturas que você controla ganham ímpeto até o final do turno.</t>
  </si>
  <si>
    <t>Goblin Glasswright</t>
  </si>
  <si>
    <t>Criatura — Goblin Feiticeiro / Creature — Goblin Sorcerer</t>
  </si>
  <si>
    <t>This creature enters prepared. (While it's prepared, you may cast a copy of its spell. Doing so unprepares it.) / Craft with Pride {R}: Sorcery - Create a Treasure token.</t>
  </si>
  <si>
    <t>Vermelho / Red</t>
  </si>
  <si>
    <t>Dwarven Forge-Chanter / Cantor de Forja Anão</t>
  </si>
  <si>
    <t>Creature — Dwarf Wizard / Criatura — Anão Mago</t>
  </si>
  <si>
    <t>Ward—Pay 2 life. (Whenever this creature becomes the target of a spell or ability an opponent controls, counter it unless that player pays 2 life.) Prowess (Whenever you cast a noncreature spell, this creature gets +1/+1 until end of turn.) / Salvaguarda — Pague 2 pontos de vida. (Toda vez que esta criatura se tornar alvo de uma mágica ou habilidade que um oponente controla, anule-a, a menos que aquele jogador pague 2 pontos de vida.) Destreza (Toda vez que você conjura uma mágica não de criatura, esta criatura recebe +1/+1 até o final do turno.)</t>
  </si>
  <si>
    <t>Rimrock Knight // Boulder Rush / Cavaleiro de Rochabeira // Carga do Pedregulho</t>
  </si>
  <si>
    <t>Creature — Dwarf Knight // Instant — Adventure / Criatura — Anão Cavaleiro</t>
  </si>
  <si>
    <t>Rimrock Knight: This creature can't block. // Boulder Rush: Target creature gets +2/+0 until end of turn. (Then exile this card. You may cast the creature later from exile.) / Cavaleiro de Rochabeira não pode bloquear.</t>
  </si>
  <si>
    <t>{1}{R} // {R}</t>
  </si>
  <si>
    <t>Dragon's Fire / Fogo do Dragão</t>
  </si>
  <si>
    <t>As an additional cost to cast this spell, you may reveal a Dragon card from your hand or choose a Dragon you control. Dragon's Fire deals 3 damage to target creature or planeswalker. If you revealed a Dragon card or chose a Dragon as you cast this spell, Dragon's Fire deals damage equal to the power of that card or creature instead. / Como custo adicional para conjurar esta mágica, você pode revelar um card de Dragão de sua mão ou escolher um Dragão que você controla. Fogo do Dragão causa 3 pontos de dano à criatura ou ao planeswalker alvo. Se você revelou um card de Dragão ou escolheu um Dragão conforme conjurou esta mágica, em vez disso, Fogo do Dragão causa um dano igual ao poder daquele card ou criatura.</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</si>
</sst>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R$ -416]#,##0.00"/>
    <numFmt numFmtId="165" formatCode="[$R$ -416]#,##0.0000"/>
    <numFmt numFmtId="166" formatCode="d/m"/>
  </numFmts>
  <fonts count="4">
    <font>
      <sz val="10.0"/>
      <color rgb="FF000000"/>
      <name val="Arial"/>
      <scheme val="minor"/>
    </font>
    <font>
      <b/>
      <color theme="1"/>
      <name val="Arial"/>
      <scheme val="minor"/>
    </font>
    <font>
      <color theme="1"/>
      <name val="Arial"/>
      <scheme val="minor"/>
    </font>
    <font>
      <color theme="1"/>
      <name val="Arial"/>
    </font>
  </fonts>
  <fills count="4">
    <fill>
      <patternFill patternType="none"/>
    </fill>
    <fill>
      <patternFill patternType="lightGray"/>
    </fill>
    <fill>
      <patternFill patternType="solid">
        <fgColor rgb="FFF3F3F3"/>
        <bgColor rgb="FFF3F3F3"/>
      </patternFill>
    </fill>
    <fill>
      <patternFill patternType="solid">
        <fgColor theme="6"/>
        <bgColor theme="6"/>
      </patternFill>
    </fill>
  </fills>
  <borders count="1">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0" fontId="1" numFmtId="0" xfId="0" applyAlignment="1" applyFont="1">
      <alignment readingOrder="0"/>
    </xf>
    <xf borderId="0" fillId="0" fontId="1" numFmtId="164" xfId="0" applyAlignment="1" applyFont="1" applyNumberFormat="1">
      <alignment readingOrder="0"/>
    </xf>
    <xf borderId="0" fillId="0" fontId="1" numFmtId="164" xfId="0" applyFont="1" applyNumberFormat="1"/>
    <xf borderId="0" fillId="0" fontId="1" numFmtId="0" xfId="0" applyFont="1"/>
    <xf borderId="0" fillId="0" fontId="1" numFmtId="165" xfId="0" applyFont="1" applyNumberFormat="1"/>
    <xf borderId="0" fillId="0" fontId="2" numFmtId="0" xfId="0" applyAlignment="1" applyFont="1">
      <alignment readingOrder="0"/>
    </xf>
    <xf borderId="0" fillId="0" fontId="2" numFmtId="164" xfId="0" applyAlignment="1" applyFont="1" applyNumberFormat="1">
      <alignment readingOrder="0"/>
    </xf>
    <xf borderId="0" fillId="0" fontId="2" numFmtId="164" xfId="0" applyFont="1" applyNumberFormat="1"/>
    <xf borderId="0" fillId="0" fontId="2" numFmtId="165" xfId="0" applyFont="1" applyNumberFormat="1"/>
    <xf borderId="0" fillId="0" fontId="2" numFmtId="166" xfId="0" applyAlignment="1" applyFont="1" applyNumberFormat="1">
      <alignment readingOrder="0"/>
    </xf>
    <xf borderId="0" fillId="0" fontId="2" numFmtId="0" xfId="0" applyFont="1"/>
    <xf borderId="0" fillId="0" fontId="3" numFmtId="0" xfId="0" applyAlignment="1" applyFont="1">
      <alignment vertical="bottom"/>
    </xf>
    <xf borderId="0" fillId="0" fontId="3" numFmtId="0" xfId="0" applyAlignment="1" applyFont="1">
      <alignment horizontal="right" readingOrder="0" vertical="bottom"/>
    </xf>
    <xf borderId="0" fillId="2" fontId="1" numFmtId="0" xfId="0" applyAlignment="1" applyFill="1" applyFont="1">
      <alignment horizontal="left" readingOrder="0"/>
    </xf>
    <xf borderId="0" fillId="0" fontId="2" numFmtId="0" xfId="0" applyAlignment="1" applyFont="1">
      <alignment horizontal="right" readingOrder="0"/>
    </xf>
    <xf borderId="0" fillId="2" fontId="1" numFmtId="0" xfId="0" applyAlignment="1" applyFont="1">
      <alignment horizontal="right" readingOrder="0"/>
    </xf>
    <xf borderId="0" fillId="3" fontId="2" numFmtId="0" xfId="0" applyAlignment="1" applyFill="1" applyFont="1">
      <alignment readingOrder="0"/>
    </xf>
    <xf borderId="0" fillId="3" fontId="2" numFmtId="166" xfId="0" applyAlignment="1" applyFont="1" applyNumberFormat="1">
      <alignment readingOrder="0"/>
    </xf>
    <xf borderId="0" fillId="3"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63"/>
    <col customWidth="1" min="2" max="2" width="16.75"/>
    <col customWidth="1" min="3" max="3" width="12.75"/>
    <col customWidth="1" min="4" max="4" width="14.25"/>
    <col customWidth="1" min="5" max="5" width="11.13"/>
    <col customWidth="1" min="6" max="6" width="21.88"/>
    <col customWidth="1" min="7" max="7" width="12.0"/>
    <col customWidth="1" min="8" max="8" width="40.0"/>
    <col customWidth="1" min="9" max="9" width="6.13"/>
    <col customWidth="1" min="10" max="10" width="4.75"/>
    <col customWidth="1" min="11" max="11" width="5.75"/>
    <col customWidth="1" min="12" max="12" width="3.88"/>
    <col customWidth="1" min="13" max="13" width="8.75"/>
    <col customWidth="1" min="14" max="14" width="16.0"/>
    <col customWidth="1" min="15" max="15" width="7.25"/>
    <col customWidth="1" min="16" max="16" width="11.25"/>
  </cols>
  <sheetData>
    <row r="1">
      <c r="A1" s="1" t="s">
        <v>0</v>
      </c>
      <c r="B1" s="1" t="s">
        <v>1</v>
      </c>
      <c r="C1" s="1" t="s">
        <v>2</v>
      </c>
      <c r="D1" s="1" t="s">
        <v>3</v>
      </c>
      <c r="E1" s="1" t="s">
        <v>4</v>
      </c>
      <c r="F1" s="1" t="s">
        <v>5</v>
      </c>
      <c r="G1" s="2" t="s">
        <v>6</v>
      </c>
      <c r="H1" s="1" t="s">
        <v>7</v>
      </c>
      <c r="I1" s="1" t="s">
        <v>8</v>
      </c>
      <c r="J1" s="1" t="s">
        <v>9</v>
      </c>
      <c r="K1" s="1" t="s">
        <v>10</v>
      </c>
      <c r="L1" s="1" t="s">
        <v>11</v>
      </c>
      <c r="M1" s="2" t="s">
        <v>12</v>
      </c>
      <c r="N1" s="3">
        <f>sum(M:M)</f>
        <v>3902.91</v>
      </c>
      <c r="O1" s="4">
        <f>sum(L:L)</f>
        <v>8866</v>
      </c>
      <c r="P1" s="5">
        <f>N1/O1</f>
        <v>0.4402109181</v>
      </c>
      <c r="Q1" s="4"/>
      <c r="R1" s="4"/>
      <c r="S1" s="4"/>
      <c r="T1" s="4"/>
      <c r="U1" s="4"/>
      <c r="V1" s="4"/>
      <c r="W1" s="4"/>
      <c r="X1" s="4"/>
      <c r="Y1" s="4"/>
    </row>
    <row r="2">
      <c r="A2" s="6" t="s">
        <v>13</v>
      </c>
      <c r="B2" s="6" t="s">
        <v>14</v>
      </c>
      <c r="C2" s="6" t="s">
        <v>15</v>
      </c>
      <c r="D2" s="6" t="s">
        <v>16</v>
      </c>
      <c r="E2" s="6" t="s">
        <v>17</v>
      </c>
      <c r="F2" s="6" t="s">
        <v>18</v>
      </c>
      <c r="G2" s="7">
        <v>0.25</v>
      </c>
      <c r="H2" s="6" t="s">
        <v>19</v>
      </c>
      <c r="I2" s="6" t="s">
        <v>20</v>
      </c>
      <c r="J2" s="6">
        <v>2023.0</v>
      </c>
      <c r="L2" s="6">
        <v>2.0</v>
      </c>
      <c r="M2" s="8">
        <f t="shared" ref="M2:M1460" si="1">L2*G2</f>
        <v>0.5</v>
      </c>
      <c r="P2" s="9"/>
    </row>
    <row r="3">
      <c r="A3" s="6" t="s">
        <v>21</v>
      </c>
      <c r="B3" s="6" t="s">
        <v>22</v>
      </c>
      <c r="C3" s="6" t="s">
        <v>23</v>
      </c>
      <c r="D3" s="6" t="s">
        <v>24</v>
      </c>
      <c r="E3" s="6" t="s">
        <v>25</v>
      </c>
      <c r="F3" s="6" t="s">
        <v>18</v>
      </c>
      <c r="G3" s="7">
        <v>4.03</v>
      </c>
      <c r="H3" s="6" t="s">
        <v>26</v>
      </c>
      <c r="I3" s="6" t="s">
        <v>20</v>
      </c>
      <c r="J3" s="6">
        <v>2026.0</v>
      </c>
      <c r="K3" s="10">
        <v>46083.0</v>
      </c>
      <c r="L3" s="6">
        <v>2.0</v>
      </c>
      <c r="M3" s="8">
        <f t="shared" si="1"/>
        <v>8.06</v>
      </c>
      <c r="P3" s="9"/>
    </row>
    <row r="4">
      <c r="A4" s="6" t="s">
        <v>27</v>
      </c>
      <c r="B4" s="6" t="s">
        <v>28</v>
      </c>
      <c r="C4" s="6" t="s">
        <v>23</v>
      </c>
      <c r="D4" s="6" t="s">
        <v>29</v>
      </c>
      <c r="E4" s="6" t="s">
        <v>30</v>
      </c>
      <c r="F4" s="6" t="s">
        <v>18</v>
      </c>
      <c r="G4" s="7">
        <v>0.09</v>
      </c>
      <c r="H4" s="6" t="s">
        <v>31</v>
      </c>
      <c r="I4" s="6" t="s">
        <v>20</v>
      </c>
      <c r="J4" s="6">
        <v>2026.0</v>
      </c>
      <c r="K4" s="10">
        <v>46084.0</v>
      </c>
      <c r="L4" s="6">
        <v>1.0</v>
      </c>
      <c r="M4" s="8">
        <f t="shared" si="1"/>
        <v>0.09</v>
      </c>
      <c r="P4" s="9"/>
    </row>
    <row r="5">
      <c r="A5" s="6" t="s">
        <v>32</v>
      </c>
      <c r="B5" s="6" t="s">
        <v>33</v>
      </c>
      <c r="C5" s="6" t="s">
        <v>34</v>
      </c>
      <c r="D5" s="6" t="s">
        <v>35</v>
      </c>
      <c r="E5" s="6" t="s">
        <v>36</v>
      </c>
      <c r="F5" s="6" t="s">
        <v>37</v>
      </c>
      <c r="G5" s="7">
        <v>0.13</v>
      </c>
      <c r="H5" s="6" t="s">
        <v>38</v>
      </c>
      <c r="I5" s="6" t="s">
        <v>20</v>
      </c>
      <c r="J5" s="6">
        <v>2026.0</v>
      </c>
      <c r="K5" s="10">
        <v>46082.0</v>
      </c>
      <c r="L5" s="6">
        <v>1.0</v>
      </c>
      <c r="M5" s="8">
        <f t="shared" si="1"/>
        <v>0.13</v>
      </c>
      <c r="P5" s="9"/>
    </row>
    <row r="6">
      <c r="A6" s="6" t="s">
        <v>39</v>
      </c>
      <c r="B6" s="6" t="s">
        <v>40</v>
      </c>
      <c r="C6" s="6" t="s">
        <v>41</v>
      </c>
      <c r="D6" s="6" t="s">
        <v>42</v>
      </c>
      <c r="E6" s="6" t="s">
        <v>43</v>
      </c>
      <c r="F6" s="6" t="s">
        <v>44</v>
      </c>
      <c r="G6" s="7">
        <v>4.5</v>
      </c>
      <c r="H6" s="6" t="s">
        <v>45</v>
      </c>
      <c r="I6" s="6" t="s">
        <v>20</v>
      </c>
      <c r="J6" s="6">
        <v>2025.0</v>
      </c>
      <c r="K6" s="10">
        <v>46084.0</v>
      </c>
      <c r="L6" s="6">
        <v>1.0</v>
      </c>
      <c r="M6" s="8">
        <f t="shared" si="1"/>
        <v>4.5</v>
      </c>
      <c r="P6" s="9"/>
    </row>
    <row r="7">
      <c r="A7" s="6" t="s">
        <v>46</v>
      </c>
      <c r="B7" s="6" t="s">
        <v>47</v>
      </c>
      <c r="C7" s="6" t="s">
        <v>48</v>
      </c>
      <c r="D7" s="6" t="s">
        <v>49</v>
      </c>
      <c r="E7" s="6" t="s">
        <v>50</v>
      </c>
      <c r="F7" s="6" t="s">
        <v>51</v>
      </c>
      <c r="G7" s="7">
        <v>0.15</v>
      </c>
      <c r="H7" s="6" t="s">
        <v>45</v>
      </c>
      <c r="I7" s="6" t="s">
        <v>20</v>
      </c>
      <c r="J7" s="6">
        <v>2025.0</v>
      </c>
      <c r="K7" s="10">
        <v>46056.0</v>
      </c>
      <c r="L7" s="6">
        <v>1.0</v>
      </c>
      <c r="M7" s="8">
        <f t="shared" si="1"/>
        <v>0.15</v>
      </c>
      <c r="P7" s="9"/>
    </row>
    <row r="8">
      <c r="A8" s="6" t="s">
        <v>52</v>
      </c>
      <c r="B8" s="6" t="s">
        <v>53</v>
      </c>
      <c r="C8" s="6" t="s">
        <v>23</v>
      </c>
      <c r="D8" s="6" t="s">
        <v>54</v>
      </c>
      <c r="E8" s="6" t="s">
        <v>36</v>
      </c>
      <c r="F8" s="6" t="s">
        <v>37</v>
      </c>
      <c r="G8" s="7">
        <v>0.17</v>
      </c>
      <c r="H8" s="6" t="s">
        <v>45</v>
      </c>
      <c r="I8" s="6" t="s">
        <v>20</v>
      </c>
      <c r="J8" s="6">
        <v>2025.0</v>
      </c>
      <c r="L8" s="6">
        <v>1.0</v>
      </c>
      <c r="M8" s="8">
        <f t="shared" si="1"/>
        <v>0.17</v>
      </c>
      <c r="P8" s="9"/>
    </row>
    <row r="9">
      <c r="A9" s="6" t="s">
        <v>52</v>
      </c>
      <c r="B9" s="6" t="s">
        <v>53</v>
      </c>
      <c r="C9" s="6" t="s">
        <v>23</v>
      </c>
      <c r="D9" s="6" t="s">
        <v>54</v>
      </c>
      <c r="E9" s="6" t="s">
        <v>36</v>
      </c>
      <c r="F9" s="6" t="s">
        <v>37</v>
      </c>
      <c r="G9" s="7">
        <v>0.4</v>
      </c>
      <c r="H9" s="6" t="s">
        <v>45</v>
      </c>
      <c r="I9" s="6" t="s">
        <v>55</v>
      </c>
      <c r="J9" s="6">
        <v>2025.0</v>
      </c>
      <c r="L9" s="6">
        <v>1.0</v>
      </c>
      <c r="M9" s="8">
        <f t="shared" si="1"/>
        <v>0.4</v>
      </c>
      <c r="P9" s="9"/>
    </row>
    <row r="10">
      <c r="A10" s="6" t="s">
        <v>56</v>
      </c>
      <c r="B10" s="6" t="s">
        <v>57</v>
      </c>
      <c r="C10" s="6" t="s">
        <v>23</v>
      </c>
      <c r="D10" s="6" t="s">
        <v>58</v>
      </c>
      <c r="E10" s="6" t="s">
        <v>59</v>
      </c>
      <c r="F10" s="6" t="s">
        <v>60</v>
      </c>
      <c r="G10" s="7">
        <v>6.27</v>
      </c>
      <c r="H10" s="6" t="s">
        <v>45</v>
      </c>
      <c r="I10" s="6" t="s">
        <v>20</v>
      </c>
      <c r="J10" s="6">
        <v>2025.0</v>
      </c>
      <c r="L10" s="6">
        <v>2.0</v>
      </c>
      <c r="M10" s="8">
        <f t="shared" si="1"/>
        <v>12.54</v>
      </c>
      <c r="P10" s="9"/>
    </row>
    <row r="11">
      <c r="A11" s="6" t="s">
        <v>61</v>
      </c>
      <c r="B11" s="6" t="s">
        <v>62</v>
      </c>
      <c r="C11" s="6" t="s">
        <v>48</v>
      </c>
      <c r="D11" s="6" t="s">
        <v>63</v>
      </c>
      <c r="E11" s="6" t="s">
        <v>64</v>
      </c>
      <c r="F11" s="6" t="s">
        <v>65</v>
      </c>
      <c r="G11" s="7">
        <v>0.06</v>
      </c>
      <c r="H11" s="6" t="s">
        <v>66</v>
      </c>
      <c r="I11" s="6" t="s">
        <v>20</v>
      </c>
      <c r="J11" s="6">
        <v>2016.0</v>
      </c>
      <c r="L11" s="6">
        <v>1.0</v>
      </c>
      <c r="M11" s="8">
        <f t="shared" si="1"/>
        <v>0.06</v>
      </c>
      <c r="P11" s="9"/>
    </row>
    <row r="12">
      <c r="A12" s="6" t="s">
        <v>67</v>
      </c>
      <c r="B12" s="6" t="s">
        <v>68</v>
      </c>
      <c r="C12" s="6" t="s">
        <v>41</v>
      </c>
      <c r="D12" s="6" t="s">
        <v>69</v>
      </c>
      <c r="F12" s="6" t="s">
        <v>51</v>
      </c>
      <c r="G12" s="7">
        <v>40.0</v>
      </c>
      <c r="H12" s="6" t="s">
        <v>45</v>
      </c>
      <c r="I12" s="6" t="s">
        <v>20</v>
      </c>
      <c r="J12" s="6">
        <v>2025.0</v>
      </c>
      <c r="L12" s="6">
        <v>1.0</v>
      </c>
      <c r="M12" s="8">
        <f t="shared" si="1"/>
        <v>40</v>
      </c>
      <c r="P12" s="9"/>
    </row>
    <row r="13">
      <c r="A13" s="6" t="s">
        <v>70</v>
      </c>
      <c r="B13" s="6" t="s">
        <v>71</v>
      </c>
      <c r="C13" s="6" t="s">
        <v>72</v>
      </c>
      <c r="D13" s="6" t="s">
        <v>73</v>
      </c>
      <c r="E13" s="6" t="s">
        <v>74</v>
      </c>
      <c r="F13" s="6" t="s">
        <v>51</v>
      </c>
      <c r="G13" s="7">
        <v>0.09</v>
      </c>
      <c r="H13" s="6" t="s">
        <v>75</v>
      </c>
      <c r="I13" s="6" t="s">
        <v>20</v>
      </c>
      <c r="J13" s="6">
        <v>1995.0</v>
      </c>
      <c r="K13" s="10">
        <v>46115.0</v>
      </c>
      <c r="L13" s="6">
        <v>1.0</v>
      </c>
      <c r="M13" s="8">
        <f t="shared" si="1"/>
        <v>0.09</v>
      </c>
      <c r="P13" s="9"/>
    </row>
    <row r="14">
      <c r="A14" s="6" t="s">
        <v>76</v>
      </c>
      <c r="B14" s="6" t="s">
        <v>77</v>
      </c>
      <c r="C14" s="6" t="s">
        <v>23</v>
      </c>
      <c r="D14" s="6" t="s">
        <v>78</v>
      </c>
      <c r="E14" s="6" t="s">
        <v>79</v>
      </c>
      <c r="F14" s="6" t="s">
        <v>51</v>
      </c>
      <c r="G14" s="7">
        <v>0.1</v>
      </c>
      <c r="H14" s="6" t="s">
        <v>75</v>
      </c>
      <c r="I14" s="6" t="s">
        <v>20</v>
      </c>
      <c r="J14" s="6">
        <v>1995.0</v>
      </c>
      <c r="K14" s="10">
        <v>46082.0</v>
      </c>
      <c r="L14" s="6">
        <v>1.0</v>
      </c>
      <c r="M14" s="8">
        <f t="shared" si="1"/>
        <v>0.1</v>
      </c>
      <c r="P14" s="9"/>
    </row>
    <row r="15">
      <c r="A15" s="6" t="s">
        <v>76</v>
      </c>
      <c r="B15" s="6" t="s">
        <v>80</v>
      </c>
      <c r="C15" s="6" t="s">
        <v>23</v>
      </c>
      <c r="D15" s="6" t="s">
        <v>81</v>
      </c>
      <c r="E15" s="6" t="s">
        <v>79</v>
      </c>
      <c r="F15" s="6" t="s">
        <v>51</v>
      </c>
      <c r="G15" s="7">
        <v>0.05</v>
      </c>
      <c r="H15" s="6" t="s">
        <v>75</v>
      </c>
      <c r="I15" s="6" t="s">
        <v>20</v>
      </c>
      <c r="J15" s="6">
        <v>1995.0</v>
      </c>
      <c r="K15" s="10">
        <v>46082.0</v>
      </c>
      <c r="L15" s="6">
        <v>3.0</v>
      </c>
      <c r="M15" s="8">
        <f t="shared" si="1"/>
        <v>0.15</v>
      </c>
      <c r="P15" s="9"/>
    </row>
    <row r="16">
      <c r="A16" s="6" t="s">
        <v>82</v>
      </c>
      <c r="B16" s="6" t="s">
        <v>83</v>
      </c>
      <c r="C16" s="6" t="s">
        <v>84</v>
      </c>
      <c r="D16" s="6" t="s">
        <v>85</v>
      </c>
      <c r="E16" s="6" t="s">
        <v>86</v>
      </c>
      <c r="F16" s="6" t="s">
        <v>87</v>
      </c>
      <c r="G16" s="7">
        <v>0.3</v>
      </c>
      <c r="H16" s="6" t="s">
        <v>88</v>
      </c>
      <c r="I16" s="6" t="s">
        <v>20</v>
      </c>
      <c r="J16" s="6">
        <v>2013.0</v>
      </c>
      <c r="K16" s="6" t="s">
        <v>89</v>
      </c>
      <c r="L16" s="6">
        <v>1.0</v>
      </c>
      <c r="M16" s="8">
        <f t="shared" si="1"/>
        <v>0.3</v>
      </c>
      <c r="P16" s="9"/>
    </row>
    <row r="17">
      <c r="A17" s="6" t="s">
        <v>90</v>
      </c>
      <c r="B17" s="6" t="s">
        <v>91</v>
      </c>
      <c r="C17" s="6" t="s">
        <v>48</v>
      </c>
      <c r="D17" s="6" t="s">
        <v>92</v>
      </c>
      <c r="E17" s="6" t="s">
        <v>30</v>
      </c>
      <c r="F17" s="6" t="s">
        <v>18</v>
      </c>
      <c r="G17" s="7">
        <v>0.05</v>
      </c>
      <c r="H17" s="6" t="s">
        <v>93</v>
      </c>
      <c r="I17" s="6" t="s">
        <v>20</v>
      </c>
      <c r="J17" s="6">
        <v>2016.0</v>
      </c>
      <c r="K17" s="10">
        <v>46056.0</v>
      </c>
      <c r="L17" s="6">
        <v>2.0</v>
      </c>
      <c r="M17" s="8">
        <f t="shared" si="1"/>
        <v>0.1</v>
      </c>
      <c r="P17" s="9"/>
    </row>
    <row r="18">
      <c r="A18" s="6" t="s">
        <v>94</v>
      </c>
      <c r="B18" s="6" t="s">
        <v>95</v>
      </c>
      <c r="C18" s="6" t="s">
        <v>48</v>
      </c>
      <c r="D18" s="6" t="s">
        <v>96</v>
      </c>
      <c r="E18" s="6" t="s">
        <v>97</v>
      </c>
      <c r="F18" s="6" t="s">
        <v>98</v>
      </c>
      <c r="G18" s="7">
        <v>0.29</v>
      </c>
      <c r="H18" s="6" t="s">
        <v>99</v>
      </c>
      <c r="I18" s="6" t="s">
        <v>20</v>
      </c>
      <c r="J18" s="6">
        <v>2026.0</v>
      </c>
      <c r="K18" s="10">
        <v>46083.0</v>
      </c>
      <c r="L18" s="6">
        <v>1.0</v>
      </c>
      <c r="M18" s="8">
        <f t="shared" si="1"/>
        <v>0.29</v>
      </c>
      <c r="P18" s="9"/>
    </row>
    <row r="19">
      <c r="A19" s="6" t="s">
        <v>100</v>
      </c>
      <c r="B19" s="6" t="s">
        <v>62</v>
      </c>
      <c r="C19" s="6" t="s">
        <v>23</v>
      </c>
      <c r="D19" s="6" t="s">
        <v>101</v>
      </c>
      <c r="E19" s="6" t="s">
        <v>102</v>
      </c>
      <c r="F19" s="6" t="s">
        <v>103</v>
      </c>
      <c r="G19" s="7">
        <v>0.03</v>
      </c>
      <c r="H19" s="6" t="s">
        <v>104</v>
      </c>
      <c r="I19" s="6" t="s">
        <v>20</v>
      </c>
      <c r="J19" s="6">
        <v>2018.0</v>
      </c>
      <c r="L19" s="6">
        <v>1.0</v>
      </c>
      <c r="M19" s="8">
        <f t="shared" si="1"/>
        <v>0.03</v>
      </c>
      <c r="P19" s="9"/>
    </row>
    <row r="20">
      <c r="A20" s="6" t="s">
        <v>105</v>
      </c>
      <c r="B20" s="6" t="s">
        <v>106</v>
      </c>
      <c r="C20" s="6" t="s">
        <v>48</v>
      </c>
      <c r="D20" s="6" t="s">
        <v>107</v>
      </c>
      <c r="E20" s="6" t="s">
        <v>108</v>
      </c>
      <c r="F20" s="6" t="s">
        <v>103</v>
      </c>
      <c r="G20" s="7">
        <v>0.2</v>
      </c>
      <c r="H20" s="6" t="s">
        <v>109</v>
      </c>
      <c r="I20" s="6" t="s">
        <v>20</v>
      </c>
      <c r="J20" s="6">
        <v>1995.0</v>
      </c>
      <c r="K20" s="10">
        <v>46175.0</v>
      </c>
      <c r="L20" s="6">
        <v>1.0</v>
      </c>
      <c r="M20" s="8">
        <f t="shared" si="1"/>
        <v>0.2</v>
      </c>
      <c r="P20" s="9"/>
    </row>
    <row r="21">
      <c r="A21" s="6" t="s">
        <v>110</v>
      </c>
      <c r="B21" s="6" t="s">
        <v>62</v>
      </c>
      <c r="C21" s="6" t="s">
        <v>48</v>
      </c>
      <c r="D21" s="6" t="s">
        <v>111</v>
      </c>
      <c r="E21" s="6" t="s">
        <v>112</v>
      </c>
      <c r="F21" s="6" t="s">
        <v>65</v>
      </c>
      <c r="G21" s="7">
        <v>0.3</v>
      </c>
      <c r="H21" s="6" t="s">
        <v>113</v>
      </c>
      <c r="I21" s="6" t="s">
        <v>20</v>
      </c>
      <c r="J21" s="6">
        <v>2024.0</v>
      </c>
      <c r="L21" s="6">
        <v>1.0</v>
      </c>
      <c r="M21" s="8">
        <f t="shared" si="1"/>
        <v>0.3</v>
      </c>
      <c r="P21" s="9"/>
    </row>
    <row r="22">
      <c r="A22" s="6" t="s">
        <v>110</v>
      </c>
      <c r="B22" s="6" t="s">
        <v>62</v>
      </c>
      <c r="C22" s="6" t="s">
        <v>23</v>
      </c>
      <c r="D22" s="6" t="s">
        <v>111</v>
      </c>
      <c r="E22" s="6" t="s">
        <v>112</v>
      </c>
      <c r="F22" s="6" t="s">
        <v>65</v>
      </c>
      <c r="G22" s="7">
        <v>0.3</v>
      </c>
      <c r="H22" s="6" t="s">
        <v>114</v>
      </c>
      <c r="I22" s="6" t="s">
        <v>20</v>
      </c>
      <c r="J22" s="6">
        <v>2021.0</v>
      </c>
      <c r="L22" s="6">
        <v>3.0</v>
      </c>
      <c r="M22" s="8">
        <f t="shared" si="1"/>
        <v>0.9</v>
      </c>
      <c r="P22" s="9"/>
    </row>
    <row r="23">
      <c r="A23" s="6" t="s">
        <v>110</v>
      </c>
      <c r="B23" s="6" t="s">
        <v>62</v>
      </c>
      <c r="C23" s="6" t="s">
        <v>23</v>
      </c>
      <c r="D23" s="6" t="s">
        <v>111</v>
      </c>
      <c r="E23" s="6" t="s">
        <v>112</v>
      </c>
      <c r="F23" s="6" t="s">
        <v>65</v>
      </c>
      <c r="G23" s="7">
        <v>0.25</v>
      </c>
      <c r="H23" s="6" t="s">
        <v>114</v>
      </c>
      <c r="I23" s="6" t="s">
        <v>20</v>
      </c>
      <c r="J23" s="6">
        <v>2021.0</v>
      </c>
      <c r="L23" s="6">
        <v>1.0</v>
      </c>
      <c r="M23" s="8">
        <f t="shared" si="1"/>
        <v>0.25</v>
      </c>
      <c r="P23" s="9"/>
    </row>
    <row r="24">
      <c r="A24" s="6" t="s">
        <v>115</v>
      </c>
      <c r="B24" s="6" t="s">
        <v>116</v>
      </c>
      <c r="C24" s="6" t="s">
        <v>72</v>
      </c>
      <c r="D24" s="6" t="s">
        <v>117</v>
      </c>
      <c r="E24" s="6" t="s">
        <v>118</v>
      </c>
      <c r="F24" s="6" t="s">
        <v>51</v>
      </c>
      <c r="G24" s="7">
        <v>0.23</v>
      </c>
      <c r="H24" s="6" t="s">
        <v>119</v>
      </c>
      <c r="I24" s="6" t="s">
        <v>20</v>
      </c>
      <c r="J24" s="6">
        <v>1995.0</v>
      </c>
      <c r="K24" s="10">
        <v>46023.0</v>
      </c>
      <c r="L24" s="6">
        <v>2.0</v>
      </c>
      <c r="M24" s="8">
        <f t="shared" si="1"/>
        <v>0.46</v>
      </c>
      <c r="P24" s="9"/>
    </row>
    <row r="25">
      <c r="A25" s="6" t="s">
        <v>115</v>
      </c>
      <c r="B25" s="6" t="s">
        <v>116</v>
      </c>
      <c r="C25" s="6" t="s">
        <v>72</v>
      </c>
      <c r="D25" s="6" t="s">
        <v>117</v>
      </c>
      <c r="E25" s="6" t="s">
        <v>118</v>
      </c>
      <c r="F25" s="6" t="s">
        <v>51</v>
      </c>
      <c r="G25" s="7">
        <v>0.25</v>
      </c>
      <c r="H25" s="6" t="s">
        <v>120</v>
      </c>
      <c r="I25" s="6" t="s">
        <v>20</v>
      </c>
      <c r="J25" s="6">
        <v>1995.0</v>
      </c>
      <c r="K25" s="10">
        <v>46023.0</v>
      </c>
      <c r="L25" s="6">
        <v>2.0</v>
      </c>
      <c r="M25" s="8">
        <f t="shared" si="1"/>
        <v>0.5</v>
      </c>
      <c r="P25" s="9"/>
    </row>
    <row r="26">
      <c r="A26" s="6" t="s">
        <v>121</v>
      </c>
      <c r="B26" s="6" t="s">
        <v>122</v>
      </c>
      <c r="C26" s="6" t="s">
        <v>48</v>
      </c>
      <c r="D26" s="6" t="s">
        <v>123</v>
      </c>
      <c r="E26" s="6" t="s">
        <v>124</v>
      </c>
      <c r="F26" s="6" t="s">
        <v>103</v>
      </c>
      <c r="G26" s="7">
        <v>0.15</v>
      </c>
      <c r="H26" s="6" t="s">
        <v>125</v>
      </c>
      <c r="I26" s="6" t="s">
        <v>20</v>
      </c>
      <c r="J26" s="6">
        <v>1996.0</v>
      </c>
      <c r="K26" s="10">
        <v>46083.0</v>
      </c>
      <c r="L26" s="6">
        <v>1.0</v>
      </c>
      <c r="M26" s="8">
        <f t="shared" si="1"/>
        <v>0.15</v>
      </c>
      <c r="P26" s="9"/>
    </row>
    <row r="27">
      <c r="A27" s="6" t="s">
        <v>126</v>
      </c>
      <c r="B27" s="6" t="s">
        <v>127</v>
      </c>
      <c r="C27" s="6" t="s">
        <v>48</v>
      </c>
      <c r="D27" s="6" t="s">
        <v>128</v>
      </c>
      <c r="E27" s="6" t="s">
        <v>50</v>
      </c>
      <c r="F27" s="6" t="s">
        <v>51</v>
      </c>
      <c r="G27" s="7">
        <v>0.14</v>
      </c>
      <c r="H27" s="6" t="s">
        <v>129</v>
      </c>
      <c r="I27" s="6" t="s">
        <v>20</v>
      </c>
      <c r="J27" s="6">
        <v>2014.0</v>
      </c>
      <c r="K27" s="10">
        <v>46056.0</v>
      </c>
      <c r="L27" s="6">
        <v>1.0</v>
      </c>
      <c r="M27" s="8">
        <f t="shared" si="1"/>
        <v>0.14</v>
      </c>
      <c r="P27" s="9"/>
    </row>
    <row r="28">
      <c r="A28" s="6" t="s">
        <v>130</v>
      </c>
      <c r="B28" s="6" t="s">
        <v>131</v>
      </c>
      <c r="C28" s="6" t="s">
        <v>48</v>
      </c>
      <c r="D28" s="6" t="s">
        <v>132</v>
      </c>
      <c r="E28" s="6" t="s">
        <v>79</v>
      </c>
      <c r="F28" s="6" t="s">
        <v>51</v>
      </c>
      <c r="G28" s="7">
        <v>0.09</v>
      </c>
      <c r="H28" s="6" t="s">
        <v>129</v>
      </c>
      <c r="I28" s="6" t="s">
        <v>20</v>
      </c>
      <c r="J28" s="6">
        <v>2014.0</v>
      </c>
      <c r="K28" s="10">
        <v>46083.0</v>
      </c>
      <c r="L28" s="6">
        <v>1.0</v>
      </c>
      <c r="M28" s="8">
        <f t="shared" si="1"/>
        <v>0.09</v>
      </c>
      <c r="P28" s="9"/>
    </row>
    <row r="29">
      <c r="A29" s="6" t="s">
        <v>133</v>
      </c>
      <c r="B29" s="6" t="s">
        <v>134</v>
      </c>
      <c r="C29" s="6" t="s">
        <v>23</v>
      </c>
      <c r="D29" s="6" t="s">
        <v>135</v>
      </c>
      <c r="E29" s="6" t="s">
        <v>25</v>
      </c>
      <c r="F29" s="6" t="s">
        <v>18</v>
      </c>
      <c r="G29" s="7">
        <v>0.2</v>
      </c>
      <c r="H29" s="6" t="s">
        <v>136</v>
      </c>
      <c r="I29" s="6" t="s">
        <v>55</v>
      </c>
      <c r="J29" s="6">
        <v>2022.0</v>
      </c>
      <c r="K29" s="6" t="s">
        <v>137</v>
      </c>
      <c r="L29" s="6">
        <v>1.0</v>
      </c>
      <c r="M29" s="8">
        <f t="shared" si="1"/>
        <v>0.2</v>
      </c>
      <c r="P29" s="9"/>
    </row>
    <row r="30">
      <c r="A30" s="6" t="s">
        <v>138</v>
      </c>
      <c r="B30" s="6" t="s">
        <v>139</v>
      </c>
      <c r="C30" s="6" t="s">
        <v>41</v>
      </c>
      <c r="D30" s="6" t="s">
        <v>140</v>
      </c>
      <c r="E30" s="6" t="s">
        <v>79</v>
      </c>
      <c r="F30" s="6" t="s">
        <v>51</v>
      </c>
      <c r="G30" s="7">
        <v>0.65</v>
      </c>
      <c r="H30" s="6" t="s">
        <v>141</v>
      </c>
      <c r="I30" s="6" t="s">
        <v>55</v>
      </c>
      <c r="J30" s="6">
        <v>2019.0</v>
      </c>
      <c r="K30" s="10">
        <v>46084.0</v>
      </c>
      <c r="L30" s="6">
        <v>1.0</v>
      </c>
      <c r="M30" s="8">
        <f t="shared" si="1"/>
        <v>0.65</v>
      </c>
      <c r="P30" s="9"/>
    </row>
    <row r="31">
      <c r="A31" s="6" t="s">
        <v>142</v>
      </c>
      <c r="B31" s="6" t="s">
        <v>143</v>
      </c>
      <c r="C31" s="6" t="s">
        <v>23</v>
      </c>
      <c r="D31" s="6" t="s">
        <v>144</v>
      </c>
      <c r="E31" s="6" t="s">
        <v>145</v>
      </c>
      <c r="F31" s="6" t="s">
        <v>37</v>
      </c>
      <c r="G31" s="7">
        <v>0.14</v>
      </c>
      <c r="H31" s="6" t="s">
        <v>146</v>
      </c>
      <c r="I31" s="6" t="s">
        <v>20</v>
      </c>
      <c r="J31" s="6">
        <v>2010.0</v>
      </c>
      <c r="L31" s="6">
        <v>2.0</v>
      </c>
      <c r="M31" s="8">
        <f t="shared" si="1"/>
        <v>0.28</v>
      </c>
      <c r="P31" s="9"/>
    </row>
    <row r="32">
      <c r="A32" s="6" t="s">
        <v>147</v>
      </c>
      <c r="B32" s="6" t="s">
        <v>57</v>
      </c>
      <c r="C32" s="6" t="s">
        <v>48</v>
      </c>
      <c r="D32" s="6" t="s">
        <v>148</v>
      </c>
      <c r="E32" s="6" t="s">
        <v>149</v>
      </c>
      <c r="F32" s="6" t="s">
        <v>18</v>
      </c>
      <c r="G32" s="7">
        <v>5.7</v>
      </c>
      <c r="H32" s="6" t="s">
        <v>45</v>
      </c>
      <c r="I32" s="6" t="s">
        <v>55</v>
      </c>
      <c r="J32" s="6">
        <v>2025.0</v>
      </c>
      <c r="L32" s="6">
        <v>1.0</v>
      </c>
      <c r="M32" s="8">
        <f t="shared" si="1"/>
        <v>5.7</v>
      </c>
      <c r="P32" s="9"/>
    </row>
    <row r="33">
      <c r="A33" s="6" t="s">
        <v>150</v>
      </c>
      <c r="B33" s="6" t="s">
        <v>151</v>
      </c>
      <c r="C33" s="6" t="s">
        <v>23</v>
      </c>
      <c r="D33" s="6" t="s">
        <v>152</v>
      </c>
      <c r="E33" s="6" t="s">
        <v>153</v>
      </c>
      <c r="F33" s="6" t="s">
        <v>103</v>
      </c>
      <c r="G33" s="7">
        <v>0.06</v>
      </c>
      <c r="H33" s="6" t="s">
        <v>154</v>
      </c>
      <c r="I33" s="6" t="s">
        <v>20</v>
      </c>
      <c r="J33" s="6">
        <v>2013.0</v>
      </c>
      <c r="K33" s="10">
        <v>46056.0</v>
      </c>
      <c r="L33" s="6">
        <v>2.0</v>
      </c>
      <c r="M33" s="8">
        <f t="shared" si="1"/>
        <v>0.12</v>
      </c>
      <c r="P33" s="9"/>
    </row>
    <row r="34">
      <c r="A34" s="6" t="s">
        <v>155</v>
      </c>
      <c r="B34" s="6" t="s">
        <v>156</v>
      </c>
      <c r="C34" s="6" t="s">
        <v>48</v>
      </c>
      <c r="D34" s="6" t="s">
        <v>157</v>
      </c>
      <c r="E34" s="6" t="s">
        <v>158</v>
      </c>
      <c r="F34" s="6" t="s">
        <v>159</v>
      </c>
      <c r="G34" s="7">
        <v>0.06</v>
      </c>
      <c r="H34" s="6" t="s">
        <v>146</v>
      </c>
      <c r="I34" s="6" t="s">
        <v>20</v>
      </c>
      <c r="J34" s="6">
        <v>2010.0</v>
      </c>
      <c r="K34" s="10">
        <v>46145.0</v>
      </c>
      <c r="L34" s="6">
        <v>1.0</v>
      </c>
      <c r="M34" s="8">
        <f t="shared" si="1"/>
        <v>0.06</v>
      </c>
      <c r="P34" s="9"/>
    </row>
    <row r="35">
      <c r="A35" s="6" t="s">
        <v>160</v>
      </c>
      <c r="B35" s="6" t="s">
        <v>161</v>
      </c>
      <c r="C35" s="6" t="s">
        <v>48</v>
      </c>
      <c r="D35" s="6" t="s">
        <v>162</v>
      </c>
      <c r="E35" s="6" t="s">
        <v>158</v>
      </c>
      <c r="F35" s="6" t="s">
        <v>159</v>
      </c>
      <c r="G35" s="7">
        <v>0.25</v>
      </c>
      <c r="H35" s="6" t="s">
        <v>163</v>
      </c>
      <c r="I35" s="6" t="s">
        <v>20</v>
      </c>
      <c r="J35" s="6">
        <v>2023.0</v>
      </c>
      <c r="K35" s="10">
        <v>46055.0</v>
      </c>
      <c r="L35" s="6">
        <v>1.0</v>
      </c>
      <c r="M35" s="8">
        <f t="shared" si="1"/>
        <v>0.25</v>
      </c>
      <c r="P35" s="9"/>
    </row>
    <row r="36">
      <c r="A36" s="6" t="s">
        <v>164</v>
      </c>
      <c r="B36" s="6" t="s">
        <v>165</v>
      </c>
      <c r="C36" s="6" t="s">
        <v>34</v>
      </c>
      <c r="D36" s="6" t="s">
        <v>166</v>
      </c>
      <c r="E36" s="6" t="s">
        <v>167</v>
      </c>
      <c r="F36" s="6" t="s">
        <v>103</v>
      </c>
      <c r="G36" s="7">
        <v>0.59</v>
      </c>
      <c r="H36" s="6" t="s">
        <v>19</v>
      </c>
      <c r="I36" s="6" t="s">
        <v>55</v>
      </c>
      <c r="J36" s="6">
        <v>2023.0</v>
      </c>
      <c r="L36" s="6">
        <v>1.0</v>
      </c>
      <c r="M36" s="8">
        <f t="shared" si="1"/>
        <v>0.59</v>
      </c>
      <c r="P36" s="9"/>
    </row>
    <row r="37">
      <c r="A37" s="6" t="s">
        <v>164</v>
      </c>
      <c r="B37" s="6" t="s">
        <v>165</v>
      </c>
      <c r="C37" s="6" t="s">
        <v>34</v>
      </c>
      <c r="D37" s="6" t="s">
        <v>166</v>
      </c>
      <c r="E37" s="6" t="s">
        <v>167</v>
      </c>
      <c r="F37" s="6" t="s">
        <v>103</v>
      </c>
      <c r="G37" s="7">
        <v>0.18</v>
      </c>
      <c r="H37" s="6" t="s">
        <v>19</v>
      </c>
      <c r="I37" s="6" t="s">
        <v>20</v>
      </c>
      <c r="J37" s="6">
        <v>2023.0</v>
      </c>
      <c r="L37" s="6">
        <v>3.0</v>
      </c>
      <c r="M37" s="8">
        <f t="shared" si="1"/>
        <v>0.54</v>
      </c>
      <c r="P37" s="9"/>
    </row>
    <row r="38">
      <c r="A38" s="6" t="s">
        <v>168</v>
      </c>
      <c r="B38" s="6" t="s">
        <v>169</v>
      </c>
      <c r="C38" s="6" t="s">
        <v>84</v>
      </c>
      <c r="D38" s="6" t="s">
        <v>170</v>
      </c>
      <c r="E38" s="6" t="s">
        <v>149</v>
      </c>
      <c r="F38" s="6" t="s">
        <v>18</v>
      </c>
      <c r="G38" s="7">
        <v>2.9</v>
      </c>
      <c r="H38" s="6" t="s">
        <v>171</v>
      </c>
      <c r="I38" s="6" t="s">
        <v>55</v>
      </c>
      <c r="J38" s="6">
        <v>2021.0</v>
      </c>
      <c r="L38" s="6">
        <v>1.0</v>
      </c>
      <c r="M38" s="8">
        <f t="shared" si="1"/>
        <v>2.9</v>
      </c>
      <c r="N38" s="6" t="s">
        <v>172</v>
      </c>
      <c r="P38" s="9"/>
    </row>
    <row r="39">
      <c r="A39" s="6" t="s">
        <v>173</v>
      </c>
      <c r="B39" s="6" t="s">
        <v>62</v>
      </c>
      <c r="C39" s="6" t="s">
        <v>23</v>
      </c>
      <c r="D39" s="6" t="s">
        <v>174</v>
      </c>
      <c r="E39" s="6" t="s">
        <v>175</v>
      </c>
      <c r="F39" s="6" t="s">
        <v>51</v>
      </c>
      <c r="G39" s="7">
        <v>0.15</v>
      </c>
      <c r="H39" s="6" t="s">
        <v>176</v>
      </c>
      <c r="I39" s="6" t="s">
        <v>20</v>
      </c>
      <c r="J39" s="6">
        <v>2025.0</v>
      </c>
      <c r="L39" s="6">
        <v>1.0</v>
      </c>
      <c r="M39" s="8">
        <f t="shared" si="1"/>
        <v>0.15</v>
      </c>
      <c r="P39" s="9"/>
    </row>
    <row r="40">
      <c r="A40" s="6" t="s">
        <v>177</v>
      </c>
      <c r="B40" s="6" t="s">
        <v>165</v>
      </c>
      <c r="C40" s="6" t="s">
        <v>34</v>
      </c>
      <c r="D40" s="6" t="s">
        <v>178</v>
      </c>
      <c r="E40" s="6" t="s">
        <v>179</v>
      </c>
      <c r="F40" s="6" t="s">
        <v>65</v>
      </c>
      <c r="G40" s="7">
        <v>0.13</v>
      </c>
      <c r="H40" s="6" t="s">
        <v>180</v>
      </c>
      <c r="I40" s="6" t="s">
        <v>20</v>
      </c>
      <c r="J40" s="6">
        <v>2014.0</v>
      </c>
      <c r="L40" s="6">
        <v>1.0</v>
      </c>
      <c r="M40" s="8">
        <f t="shared" si="1"/>
        <v>0.13</v>
      </c>
      <c r="P40" s="9"/>
    </row>
    <row r="41">
      <c r="A41" s="6" t="s">
        <v>177</v>
      </c>
      <c r="B41" s="6" t="s">
        <v>165</v>
      </c>
      <c r="C41" s="6" t="s">
        <v>34</v>
      </c>
      <c r="D41" s="6" t="s">
        <v>178</v>
      </c>
      <c r="E41" s="6" t="s">
        <v>179</v>
      </c>
      <c r="F41" s="6" t="s">
        <v>65</v>
      </c>
      <c r="G41" s="7">
        <v>0.03</v>
      </c>
      <c r="H41" s="6" t="s">
        <v>181</v>
      </c>
      <c r="I41" s="6" t="s">
        <v>20</v>
      </c>
      <c r="J41" s="6">
        <v>2019.0</v>
      </c>
      <c r="L41" s="6">
        <v>1.0</v>
      </c>
      <c r="M41" s="8">
        <f t="shared" si="1"/>
        <v>0.03</v>
      </c>
      <c r="P41" s="9"/>
    </row>
    <row r="42">
      <c r="A42" s="6" t="s">
        <v>177</v>
      </c>
      <c r="B42" s="6" t="s">
        <v>182</v>
      </c>
      <c r="C42" s="6" t="s">
        <v>23</v>
      </c>
      <c r="D42" s="6" t="s">
        <v>183</v>
      </c>
      <c r="E42" s="6" t="s">
        <v>64</v>
      </c>
      <c r="F42" s="6" t="s">
        <v>65</v>
      </c>
      <c r="G42" s="7">
        <v>0.05</v>
      </c>
      <c r="H42" s="6" t="s">
        <v>184</v>
      </c>
      <c r="I42" s="6" t="s">
        <v>20</v>
      </c>
      <c r="J42" s="6">
        <v>2015.0</v>
      </c>
      <c r="L42" s="6">
        <v>12.0</v>
      </c>
      <c r="M42" s="8">
        <f t="shared" si="1"/>
        <v>0.6</v>
      </c>
      <c r="P42" s="9"/>
    </row>
    <row r="43">
      <c r="A43" s="6" t="s">
        <v>177</v>
      </c>
      <c r="B43" s="6" t="s">
        <v>182</v>
      </c>
      <c r="C43" s="6" t="s">
        <v>23</v>
      </c>
      <c r="D43" s="6" t="s">
        <v>183</v>
      </c>
      <c r="E43" s="6" t="s">
        <v>64</v>
      </c>
      <c r="F43" s="6" t="s">
        <v>65</v>
      </c>
      <c r="G43" s="7">
        <v>0.05</v>
      </c>
      <c r="H43" s="6" t="s">
        <v>185</v>
      </c>
      <c r="I43" s="6" t="s">
        <v>20</v>
      </c>
      <c r="J43" s="6">
        <v>2019.0</v>
      </c>
      <c r="L43" s="6">
        <v>1.0</v>
      </c>
      <c r="M43" s="8">
        <f t="shared" si="1"/>
        <v>0.05</v>
      </c>
      <c r="P43" s="9"/>
    </row>
    <row r="44">
      <c r="A44" s="6" t="s">
        <v>186</v>
      </c>
      <c r="B44" s="6" t="s">
        <v>182</v>
      </c>
      <c r="C44" s="6" t="s">
        <v>48</v>
      </c>
      <c r="D44" s="6" t="s">
        <v>187</v>
      </c>
      <c r="E44" s="6" t="s">
        <v>64</v>
      </c>
      <c r="F44" s="6" t="s">
        <v>65</v>
      </c>
      <c r="G44" s="7">
        <v>2.5</v>
      </c>
      <c r="H44" s="6" t="s">
        <v>188</v>
      </c>
      <c r="I44" s="6" t="s">
        <v>20</v>
      </c>
      <c r="J44" s="6">
        <v>2014.0</v>
      </c>
      <c r="L44" s="6">
        <v>4.0</v>
      </c>
      <c r="M44" s="8">
        <f t="shared" si="1"/>
        <v>10</v>
      </c>
      <c r="N44" s="6" t="s">
        <v>172</v>
      </c>
      <c r="P44" s="9"/>
    </row>
    <row r="45">
      <c r="A45" s="6" t="s">
        <v>189</v>
      </c>
      <c r="B45" s="6" t="s">
        <v>190</v>
      </c>
      <c r="C45" s="6" t="s">
        <v>23</v>
      </c>
      <c r="D45" s="6" t="s">
        <v>191</v>
      </c>
      <c r="E45" s="6" t="s">
        <v>118</v>
      </c>
      <c r="F45" s="6" t="s">
        <v>51</v>
      </c>
      <c r="G45" s="7">
        <v>0.1</v>
      </c>
      <c r="H45" s="6" t="s">
        <v>192</v>
      </c>
      <c r="I45" s="6" t="s">
        <v>20</v>
      </c>
      <c r="J45" s="6">
        <v>2026.0</v>
      </c>
      <c r="K45" s="10">
        <v>46055.0</v>
      </c>
      <c r="L45" s="6">
        <v>2.0</v>
      </c>
      <c r="M45" s="8">
        <f t="shared" si="1"/>
        <v>0.2</v>
      </c>
      <c r="P45" s="9"/>
    </row>
    <row r="46">
      <c r="A46" s="6" t="s">
        <v>193</v>
      </c>
      <c r="B46" s="6" t="s">
        <v>194</v>
      </c>
      <c r="C46" s="6" t="s">
        <v>23</v>
      </c>
      <c r="D46" s="6" t="s">
        <v>195</v>
      </c>
      <c r="E46" s="6" t="s">
        <v>196</v>
      </c>
      <c r="F46" s="6" t="s">
        <v>65</v>
      </c>
      <c r="G46" s="7">
        <v>1.43</v>
      </c>
      <c r="H46" s="6" t="s">
        <v>197</v>
      </c>
      <c r="I46" s="6" t="s">
        <v>20</v>
      </c>
      <c r="J46" s="6">
        <v>1995.0</v>
      </c>
      <c r="L46" s="6">
        <v>2.0</v>
      </c>
      <c r="M46" s="8">
        <f t="shared" si="1"/>
        <v>2.86</v>
      </c>
      <c r="P46" s="9"/>
    </row>
    <row r="47">
      <c r="A47" s="6" t="s">
        <v>198</v>
      </c>
      <c r="B47" s="6" t="s">
        <v>62</v>
      </c>
      <c r="C47" s="6" t="s">
        <v>23</v>
      </c>
      <c r="D47" s="6" t="s">
        <v>199</v>
      </c>
      <c r="E47" s="6" t="s">
        <v>118</v>
      </c>
      <c r="F47" s="6" t="s">
        <v>51</v>
      </c>
      <c r="G47" s="7">
        <v>0.3</v>
      </c>
      <c r="H47" s="6" t="s">
        <v>200</v>
      </c>
      <c r="I47" s="6" t="s">
        <v>55</v>
      </c>
      <c r="J47" s="6">
        <v>2018.0</v>
      </c>
      <c r="L47" s="6">
        <v>1.0</v>
      </c>
      <c r="M47" s="8">
        <f t="shared" si="1"/>
        <v>0.3</v>
      </c>
      <c r="P47" s="9"/>
    </row>
    <row r="48">
      <c r="A48" s="6" t="s">
        <v>201</v>
      </c>
      <c r="B48" s="6" t="s">
        <v>202</v>
      </c>
      <c r="C48" s="6" t="s">
        <v>48</v>
      </c>
      <c r="D48" s="6" t="s">
        <v>203</v>
      </c>
      <c r="E48" s="6" t="s">
        <v>158</v>
      </c>
      <c r="F48" s="6" t="s">
        <v>159</v>
      </c>
      <c r="G48" s="7">
        <v>0.19</v>
      </c>
      <c r="H48" s="6" t="s">
        <v>204</v>
      </c>
      <c r="I48" s="6" t="s">
        <v>20</v>
      </c>
      <c r="J48" s="6">
        <v>2026.0</v>
      </c>
      <c r="L48" s="6">
        <v>1.0</v>
      </c>
      <c r="M48" s="8">
        <f t="shared" si="1"/>
        <v>0.19</v>
      </c>
      <c r="P48" s="9"/>
    </row>
    <row r="49">
      <c r="A49" s="6" t="s">
        <v>205</v>
      </c>
      <c r="B49" s="6" t="s">
        <v>206</v>
      </c>
      <c r="C49" s="6" t="s">
        <v>15</v>
      </c>
      <c r="D49" s="6" t="s">
        <v>207</v>
      </c>
      <c r="E49" s="6" t="s">
        <v>208</v>
      </c>
      <c r="F49" s="6" t="s">
        <v>51</v>
      </c>
      <c r="G49" s="7">
        <v>0.11</v>
      </c>
      <c r="H49" s="6" t="s">
        <v>209</v>
      </c>
      <c r="I49" s="6" t="s">
        <v>20</v>
      </c>
      <c r="J49" s="6">
        <v>2025.0</v>
      </c>
      <c r="K49" s="10">
        <v>46024.0</v>
      </c>
      <c r="L49" s="6">
        <v>1.0</v>
      </c>
      <c r="M49" s="8">
        <f t="shared" si="1"/>
        <v>0.11</v>
      </c>
      <c r="P49" s="9"/>
    </row>
    <row r="50">
      <c r="A50" s="6" t="s">
        <v>205</v>
      </c>
      <c r="B50" s="6" t="s">
        <v>206</v>
      </c>
      <c r="C50" s="6" t="s">
        <v>15</v>
      </c>
      <c r="D50" s="6" t="s">
        <v>207</v>
      </c>
      <c r="E50" s="6" t="s">
        <v>208</v>
      </c>
      <c r="F50" s="6" t="s">
        <v>51</v>
      </c>
      <c r="G50" s="7">
        <v>0.99</v>
      </c>
      <c r="H50" s="6" t="s">
        <v>209</v>
      </c>
      <c r="I50" s="6" t="s">
        <v>55</v>
      </c>
      <c r="J50" s="6">
        <v>2025.0</v>
      </c>
      <c r="K50" s="10">
        <v>46024.0</v>
      </c>
      <c r="L50" s="6">
        <v>1.0</v>
      </c>
      <c r="M50" s="8">
        <f t="shared" si="1"/>
        <v>0.99</v>
      </c>
      <c r="P50" s="9"/>
    </row>
    <row r="51">
      <c r="A51" s="6" t="s">
        <v>210</v>
      </c>
      <c r="B51" s="6" t="s">
        <v>211</v>
      </c>
      <c r="C51" s="6" t="s">
        <v>212</v>
      </c>
      <c r="D51" s="6" t="s">
        <v>213</v>
      </c>
      <c r="E51" s="6" t="s">
        <v>214</v>
      </c>
      <c r="F51" s="6" t="s">
        <v>215</v>
      </c>
      <c r="G51" s="7">
        <v>0.75</v>
      </c>
      <c r="H51" s="6" t="s">
        <v>216</v>
      </c>
      <c r="I51" s="6" t="s">
        <v>20</v>
      </c>
      <c r="J51" s="6">
        <v>2024.0</v>
      </c>
      <c r="L51" s="6">
        <v>1.0</v>
      </c>
      <c r="M51" s="8">
        <f t="shared" si="1"/>
        <v>0.75</v>
      </c>
      <c r="P51" s="9"/>
    </row>
    <row r="52">
      <c r="A52" s="6" t="s">
        <v>217</v>
      </c>
      <c r="B52" s="6" t="s">
        <v>218</v>
      </c>
      <c r="C52" s="6" t="s">
        <v>48</v>
      </c>
      <c r="D52" s="6" t="s">
        <v>219</v>
      </c>
      <c r="E52" s="6" t="s">
        <v>220</v>
      </c>
      <c r="F52" s="6" t="s">
        <v>18</v>
      </c>
      <c r="G52" s="7">
        <v>0.1</v>
      </c>
      <c r="H52" s="6" t="s">
        <v>66</v>
      </c>
      <c r="I52" s="6" t="s">
        <v>20</v>
      </c>
      <c r="J52" s="6">
        <v>2016.0</v>
      </c>
      <c r="K52" s="10">
        <v>46115.0</v>
      </c>
      <c r="L52" s="6">
        <v>1.0</v>
      </c>
      <c r="M52" s="8">
        <f t="shared" si="1"/>
        <v>0.1</v>
      </c>
      <c r="P52" s="9"/>
    </row>
    <row r="53">
      <c r="A53" s="6" t="s">
        <v>221</v>
      </c>
      <c r="B53" s="6" t="s">
        <v>182</v>
      </c>
      <c r="C53" s="6" t="s">
        <v>23</v>
      </c>
      <c r="D53" s="6" t="s">
        <v>222</v>
      </c>
      <c r="E53" s="6" t="s">
        <v>223</v>
      </c>
      <c r="F53" s="6" t="s">
        <v>159</v>
      </c>
      <c r="G53" s="7">
        <v>0.05</v>
      </c>
      <c r="H53" s="6" t="s">
        <v>224</v>
      </c>
      <c r="I53" s="6" t="s">
        <v>20</v>
      </c>
      <c r="J53" s="6">
        <v>2020.0</v>
      </c>
      <c r="L53" s="6">
        <v>1.0</v>
      </c>
      <c r="M53" s="8">
        <f t="shared" si="1"/>
        <v>0.05</v>
      </c>
      <c r="P53" s="9"/>
    </row>
    <row r="54">
      <c r="A54" s="6" t="s">
        <v>225</v>
      </c>
      <c r="B54" s="6" t="s">
        <v>226</v>
      </c>
      <c r="C54" s="6" t="s">
        <v>34</v>
      </c>
      <c r="D54" s="6" t="s">
        <v>227</v>
      </c>
      <c r="E54" s="6">
        <v>3.0</v>
      </c>
      <c r="F54" s="6" t="s">
        <v>37</v>
      </c>
      <c r="G54" s="7">
        <v>0.05</v>
      </c>
      <c r="H54" s="6" t="s">
        <v>209</v>
      </c>
      <c r="I54" s="6" t="s">
        <v>20</v>
      </c>
      <c r="J54" s="6">
        <v>2025.0</v>
      </c>
      <c r="K54" s="10">
        <v>46056.0</v>
      </c>
      <c r="L54" s="6">
        <v>7.0</v>
      </c>
      <c r="M54" s="8">
        <f t="shared" si="1"/>
        <v>0.35</v>
      </c>
      <c r="P54" s="9"/>
    </row>
    <row r="55">
      <c r="A55" s="6" t="s">
        <v>228</v>
      </c>
      <c r="B55" s="6" t="s">
        <v>229</v>
      </c>
      <c r="C55" s="6" t="s">
        <v>34</v>
      </c>
      <c r="D55" s="6" t="s">
        <v>230</v>
      </c>
      <c r="E55" s="6" t="s">
        <v>231</v>
      </c>
      <c r="F55" s="6" t="s">
        <v>37</v>
      </c>
      <c r="G55" s="7">
        <v>0.25</v>
      </c>
      <c r="H55" s="6" t="s">
        <v>209</v>
      </c>
      <c r="I55" s="6" t="s">
        <v>20</v>
      </c>
      <c r="J55" s="6">
        <v>2025.0</v>
      </c>
      <c r="L55" s="6">
        <v>5.0</v>
      </c>
      <c r="M55" s="8">
        <f t="shared" si="1"/>
        <v>1.25</v>
      </c>
      <c r="P55" s="9"/>
    </row>
    <row r="56">
      <c r="A56" s="6" t="s">
        <v>232</v>
      </c>
      <c r="B56" s="6" t="s">
        <v>233</v>
      </c>
      <c r="C56" s="6" t="s">
        <v>23</v>
      </c>
      <c r="D56" s="6" t="s">
        <v>234</v>
      </c>
      <c r="E56" s="6" t="s">
        <v>235</v>
      </c>
      <c r="F56" s="6" t="s">
        <v>103</v>
      </c>
      <c r="G56" s="7">
        <v>0.09</v>
      </c>
      <c r="H56" s="6" t="s">
        <v>204</v>
      </c>
      <c r="I56" s="6" t="s">
        <v>20</v>
      </c>
      <c r="J56" s="6">
        <v>2026.0</v>
      </c>
      <c r="K56" s="10">
        <v>46056.0</v>
      </c>
      <c r="L56" s="6">
        <v>1.0</v>
      </c>
      <c r="M56" s="8">
        <f t="shared" si="1"/>
        <v>0.09</v>
      </c>
      <c r="P56" s="9"/>
    </row>
    <row r="57">
      <c r="A57" s="6" t="s">
        <v>236</v>
      </c>
      <c r="B57" s="6" t="s">
        <v>182</v>
      </c>
      <c r="C57" s="6" t="s">
        <v>23</v>
      </c>
      <c r="D57" s="6" t="s">
        <v>237</v>
      </c>
      <c r="E57" s="6" t="s">
        <v>238</v>
      </c>
      <c r="F57" s="6" t="s">
        <v>159</v>
      </c>
      <c r="G57" s="7">
        <v>0.15</v>
      </c>
      <c r="H57" s="6" t="s">
        <v>239</v>
      </c>
      <c r="I57" s="6" t="s">
        <v>20</v>
      </c>
      <c r="J57" s="6">
        <v>2024.0</v>
      </c>
      <c r="L57" s="6">
        <v>1.0</v>
      </c>
      <c r="M57" s="8">
        <f t="shared" si="1"/>
        <v>0.15</v>
      </c>
      <c r="P57" s="9"/>
    </row>
    <row r="58">
      <c r="A58" s="6" t="s">
        <v>240</v>
      </c>
      <c r="B58" s="6" t="s">
        <v>241</v>
      </c>
      <c r="C58" s="6" t="s">
        <v>72</v>
      </c>
      <c r="D58" s="6" t="s">
        <v>242</v>
      </c>
      <c r="E58" s="6" t="s">
        <v>243</v>
      </c>
      <c r="F58" s="6" t="s">
        <v>244</v>
      </c>
      <c r="G58" s="7">
        <v>2.95</v>
      </c>
      <c r="H58" s="6" t="s">
        <v>245</v>
      </c>
      <c r="I58" s="6" t="s">
        <v>20</v>
      </c>
      <c r="J58" s="6">
        <v>1995.0</v>
      </c>
      <c r="L58" s="6">
        <v>1.0</v>
      </c>
      <c r="M58" s="8">
        <f t="shared" si="1"/>
        <v>2.95</v>
      </c>
      <c r="N58" s="6" t="s">
        <v>172</v>
      </c>
      <c r="P58" s="9"/>
    </row>
    <row r="59">
      <c r="A59" s="6" t="s">
        <v>246</v>
      </c>
      <c r="B59" s="6" t="s">
        <v>247</v>
      </c>
      <c r="C59" s="6" t="s">
        <v>23</v>
      </c>
      <c r="E59" s="6" t="s">
        <v>248</v>
      </c>
      <c r="F59" s="6" t="s">
        <v>18</v>
      </c>
      <c r="G59" s="7">
        <v>0.02</v>
      </c>
      <c r="H59" s="6" t="s">
        <v>113</v>
      </c>
      <c r="I59" s="6" t="s">
        <v>20</v>
      </c>
      <c r="J59" s="6">
        <v>2024.0</v>
      </c>
      <c r="K59" s="6" t="s">
        <v>137</v>
      </c>
      <c r="L59" s="6">
        <v>1.0</v>
      </c>
      <c r="M59" s="8">
        <f t="shared" si="1"/>
        <v>0.02</v>
      </c>
      <c r="P59" s="9"/>
    </row>
    <row r="60">
      <c r="A60" s="6" t="s">
        <v>249</v>
      </c>
      <c r="B60" s="6" t="s">
        <v>250</v>
      </c>
      <c r="C60" s="6" t="s">
        <v>41</v>
      </c>
      <c r="D60" s="6" t="s">
        <v>251</v>
      </c>
      <c r="E60" s="6" t="s">
        <v>36</v>
      </c>
      <c r="F60" s="6" t="s">
        <v>37</v>
      </c>
      <c r="G60" s="7">
        <v>7.92</v>
      </c>
      <c r="H60" s="6" t="s">
        <v>252</v>
      </c>
      <c r="I60" s="6" t="s">
        <v>20</v>
      </c>
      <c r="J60" s="6">
        <v>1994.0</v>
      </c>
      <c r="L60" s="6">
        <v>1.0</v>
      </c>
      <c r="M60" s="8">
        <f t="shared" si="1"/>
        <v>7.92</v>
      </c>
      <c r="N60" s="6" t="s">
        <v>172</v>
      </c>
      <c r="P60" s="9"/>
    </row>
    <row r="61">
      <c r="A61" s="6" t="s">
        <v>253</v>
      </c>
      <c r="B61" s="6" t="s">
        <v>22</v>
      </c>
      <c r="C61" s="6" t="s">
        <v>23</v>
      </c>
      <c r="D61" s="6" t="s">
        <v>254</v>
      </c>
      <c r="E61" s="6" t="s">
        <v>248</v>
      </c>
      <c r="F61" s="6" t="s">
        <v>18</v>
      </c>
      <c r="G61" s="7">
        <v>0.05</v>
      </c>
      <c r="H61" s="6" t="s">
        <v>31</v>
      </c>
      <c r="I61" s="6" t="s">
        <v>20</v>
      </c>
      <c r="J61" s="6">
        <v>2026.0</v>
      </c>
      <c r="K61" s="10">
        <v>46023.0</v>
      </c>
      <c r="L61" s="6">
        <v>2.0</v>
      </c>
      <c r="M61" s="8">
        <f t="shared" si="1"/>
        <v>0.1</v>
      </c>
      <c r="P61" s="9"/>
    </row>
    <row r="62">
      <c r="A62" s="6" t="s">
        <v>255</v>
      </c>
      <c r="B62" s="6" t="s">
        <v>33</v>
      </c>
      <c r="C62" s="6" t="s">
        <v>34</v>
      </c>
      <c r="D62" s="6" t="s">
        <v>256</v>
      </c>
      <c r="E62" s="6" t="s">
        <v>248</v>
      </c>
      <c r="F62" s="6" t="s">
        <v>18</v>
      </c>
      <c r="G62" s="7">
        <v>0.13</v>
      </c>
      <c r="H62" s="6" t="s">
        <v>38</v>
      </c>
      <c r="I62" s="6" t="s">
        <v>20</v>
      </c>
      <c r="J62" s="6">
        <v>2026.0</v>
      </c>
      <c r="K62" s="10">
        <v>46023.0</v>
      </c>
      <c r="L62" s="6">
        <v>2.0</v>
      </c>
      <c r="M62" s="8">
        <f t="shared" si="1"/>
        <v>0.26</v>
      </c>
      <c r="P62" s="9"/>
    </row>
    <row r="63">
      <c r="A63" s="6" t="s">
        <v>257</v>
      </c>
      <c r="B63" s="6" t="s">
        <v>258</v>
      </c>
      <c r="C63" s="6" t="s">
        <v>48</v>
      </c>
      <c r="D63" s="6" t="s">
        <v>259</v>
      </c>
      <c r="E63" s="6" t="s">
        <v>260</v>
      </c>
      <c r="F63" s="6" t="s">
        <v>261</v>
      </c>
      <c r="G63" s="7">
        <v>0.03</v>
      </c>
      <c r="H63" s="6" t="s">
        <v>104</v>
      </c>
      <c r="I63" s="6" t="s">
        <v>20</v>
      </c>
      <c r="J63" s="6">
        <v>2018.0</v>
      </c>
      <c r="K63" s="10">
        <v>46114.0</v>
      </c>
      <c r="L63" s="6">
        <v>1.0</v>
      </c>
      <c r="M63" s="8">
        <f t="shared" si="1"/>
        <v>0.03</v>
      </c>
      <c r="P63" s="9"/>
    </row>
    <row r="64">
      <c r="A64" s="6" t="s">
        <v>262</v>
      </c>
      <c r="B64" s="6" t="s">
        <v>263</v>
      </c>
      <c r="C64" s="6" t="s">
        <v>23</v>
      </c>
      <c r="D64" s="6" t="s">
        <v>264</v>
      </c>
      <c r="E64" s="6" t="s">
        <v>25</v>
      </c>
      <c r="F64" s="6" t="s">
        <v>18</v>
      </c>
      <c r="G64" s="7">
        <v>0.03</v>
      </c>
      <c r="H64" s="6" t="s">
        <v>265</v>
      </c>
      <c r="I64" s="6" t="s">
        <v>20</v>
      </c>
      <c r="J64" s="6">
        <v>2017.0</v>
      </c>
      <c r="K64" s="10">
        <v>46055.0</v>
      </c>
      <c r="L64" s="6">
        <v>3.0</v>
      </c>
      <c r="M64" s="8">
        <f t="shared" si="1"/>
        <v>0.09</v>
      </c>
      <c r="P64" s="9"/>
    </row>
    <row r="65">
      <c r="A65" s="6" t="s">
        <v>266</v>
      </c>
      <c r="B65" s="6" t="s">
        <v>62</v>
      </c>
      <c r="C65" s="6" t="s">
        <v>23</v>
      </c>
      <c r="D65" s="6" t="s">
        <v>267</v>
      </c>
      <c r="E65" s="6" t="s">
        <v>118</v>
      </c>
      <c r="F65" s="6" t="s">
        <v>51</v>
      </c>
      <c r="G65" s="7">
        <v>0.05</v>
      </c>
      <c r="H65" s="6" t="s">
        <v>88</v>
      </c>
      <c r="I65" s="6" t="s">
        <v>20</v>
      </c>
      <c r="J65" s="6">
        <v>2013.0</v>
      </c>
      <c r="L65" s="6">
        <v>1.0</v>
      </c>
      <c r="M65" s="8">
        <f t="shared" si="1"/>
        <v>0.05</v>
      </c>
      <c r="P65" s="9"/>
    </row>
    <row r="66">
      <c r="A66" s="6" t="s">
        <v>268</v>
      </c>
      <c r="B66" s="6" t="s">
        <v>62</v>
      </c>
      <c r="C66" s="6" t="s">
        <v>23</v>
      </c>
      <c r="D66" s="6" t="s">
        <v>269</v>
      </c>
      <c r="E66" s="6" t="s">
        <v>270</v>
      </c>
      <c r="F66" s="6" t="s">
        <v>159</v>
      </c>
      <c r="G66" s="7">
        <v>0.06</v>
      </c>
      <c r="H66" s="6" t="s">
        <v>271</v>
      </c>
      <c r="I66" s="6" t="s">
        <v>20</v>
      </c>
      <c r="J66" s="6">
        <v>2012.0</v>
      </c>
      <c r="L66" s="6">
        <v>2.0</v>
      </c>
      <c r="M66" s="8">
        <f t="shared" si="1"/>
        <v>0.12</v>
      </c>
      <c r="P66" s="9"/>
    </row>
    <row r="67">
      <c r="A67" s="6" t="s">
        <v>272</v>
      </c>
      <c r="B67" s="6" t="s">
        <v>62</v>
      </c>
      <c r="C67" s="6" t="s">
        <v>23</v>
      </c>
      <c r="D67" s="6" t="s">
        <v>273</v>
      </c>
      <c r="E67" s="6" t="s">
        <v>238</v>
      </c>
      <c r="F67" s="6" t="s">
        <v>159</v>
      </c>
      <c r="G67" s="7">
        <v>0.06</v>
      </c>
      <c r="H67" s="6" t="s">
        <v>184</v>
      </c>
      <c r="I67" s="6" t="s">
        <v>20</v>
      </c>
      <c r="J67" s="6">
        <v>2015.0</v>
      </c>
      <c r="L67" s="6">
        <v>2.0</v>
      </c>
      <c r="M67" s="8">
        <f t="shared" si="1"/>
        <v>0.12</v>
      </c>
      <c r="P67" s="9"/>
    </row>
    <row r="68">
      <c r="A68" s="6" t="s">
        <v>272</v>
      </c>
      <c r="B68" s="6" t="s">
        <v>62</v>
      </c>
      <c r="C68" s="6" t="s">
        <v>23</v>
      </c>
      <c r="D68" s="6" t="s">
        <v>273</v>
      </c>
      <c r="E68" s="6" t="s">
        <v>238</v>
      </c>
      <c r="F68" s="6" t="s">
        <v>159</v>
      </c>
      <c r="G68" s="7">
        <v>0.06</v>
      </c>
      <c r="H68" s="6" t="s">
        <v>184</v>
      </c>
      <c r="I68" s="6" t="s">
        <v>20</v>
      </c>
      <c r="J68" s="6">
        <v>2015.0</v>
      </c>
      <c r="L68" s="6">
        <v>1.0</v>
      </c>
      <c r="M68" s="8">
        <f t="shared" si="1"/>
        <v>0.06</v>
      </c>
      <c r="P68" s="9"/>
    </row>
    <row r="69">
      <c r="A69" s="6" t="s">
        <v>272</v>
      </c>
      <c r="B69" s="6" t="s">
        <v>62</v>
      </c>
      <c r="C69" s="6" t="s">
        <v>23</v>
      </c>
      <c r="D69" s="6" t="s">
        <v>273</v>
      </c>
      <c r="E69" s="6" t="s">
        <v>238</v>
      </c>
      <c r="F69" s="6" t="s">
        <v>159</v>
      </c>
      <c r="G69" s="7">
        <v>0.06</v>
      </c>
      <c r="H69" s="6" t="s">
        <v>184</v>
      </c>
      <c r="I69" s="6" t="s">
        <v>20</v>
      </c>
      <c r="J69" s="6">
        <v>2015.0</v>
      </c>
      <c r="L69" s="6">
        <v>2.0</v>
      </c>
      <c r="M69" s="8">
        <f t="shared" si="1"/>
        <v>0.12</v>
      </c>
      <c r="P69" s="9"/>
    </row>
    <row r="70">
      <c r="A70" s="6" t="s">
        <v>274</v>
      </c>
      <c r="B70" s="6" t="s">
        <v>127</v>
      </c>
      <c r="C70" s="6" t="s">
        <v>48</v>
      </c>
      <c r="D70" s="6" t="s">
        <v>275</v>
      </c>
      <c r="E70" s="6" t="s">
        <v>30</v>
      </c>
      <c r="F70" s="6" t="s">
        <v>18</v>
      </c>
      <c r="G70" s="7">
        <v>0.03</v>
      </c>
      <c r="H70" s="6" t="s">
        <v>276</v>
      </c>
      <c r="I70" s="6" t="s">
        <v>20</v>
      </c>
      <c r="J70" s="6">
        <v>2014.0</v>
      </c>
      <c r="K70" s="10">
        <v>46114.0</v>
      </c>
      <c r="L70" s="6">
        <v>1.0</v>
      </c>
      <c r="M70" s="8">
        <f t="shared" si="1"/>
        <v>0.03</v>
      </c>
      <c r="P70" s="9"/>
    </row>
    <row r="71">
      <c r="A71" s="6" t="s">
        <v>277</v>
      </c>
      <c r="B71" s="6" t="s">
        <v>165</v>
      </c>
      <c r="C71" s="6" t="s">
        <v>34</v>
      </c>
      <c r="D71" s="6" t="s">
        <v>278</v>
      </c>
      <c r="E71" s="6" t="s">
        <v>279</v>
      </c>
      <c r="F71" s="6" t="s">
        <v>51</v>
      </c>
      <c r="G71" s="7">
        <v>0.1</v>
      </c>
      <c r="H71" s="6" t="s">
        <v>209</v>
      </c>
      <c r="I71" s="6" t="s">
        <v>20</v>
      </c>
      <c r="J71" s="6">
        <v>2025.0</v>
      </c>
      <c r="L71" s="6">
        <v>10.0</v>
      </c>
      <c r="M71" s="8">
        <f t="shared" si="1"/>
        <v>1</v>
      </c>
      <c r="P71" s="9"/>
    </row>
    <row r="72">
      <c r="A72" s="6" t="s">
        <v>280</v>
      </c>
      <c r="B72" s="6" t="s">
        <v>281</v>
      </c>
      <c r="C72" s="6" t="s">
        <v>23</v>
      </c>
      <c r="D72" s="6" t="s">
        <v>282</v>
      </c>
      <c r="E72" s="6" t="s">
        <v>283</v>
      </c>
      <c r="F72" s="6" t="s">
        <v>284</v>
      </c>
      <c r="G72" s="7">
        <v>0.03</v>
      </c>
      <c r="H72" s="6" t="s">
        <v>185</v>
      </c>
      <c r="I72" s="6" t="s">
        <v>20</v>
      </c>
      <c r="J72" s="6">
        <v>2019.0</v>
      </c>
      <c r="K72" s="10">
        <v>46083.0</v>
      </c>
      <c r="L72" s="6">
        <v>2.0</v>
      </c>
      <c r="M72" s="8">
        <f t="shared" si="1"/>
        <v>0.06</v>
      </c>
      <c r="P72" s="9"/>
    </row>
    <row r="73">
      <c r="A73" s="6" t="s">
        <v>285</v>
      </c>
      <c r="B73" s="6" t="s">
        <v>286</v>
      </c>
      <c r="C73" s="6" t="s">
        <v>287</v>
      </c>
      <c r="D73" s="6" t="s">
        <v>288</v>
      </c>
      <c r="E73" s="6" t="s">
        <v>243</v>
      </c>
      <c r="F73" s="6" t="s">
        <v>244</v>
      </c>
      <c r="G73" s="7">
        <v>0.2</v>
      </c>
      <c r="H73" s="6" t="s">
        <v>289</v>
      </c>
      <c r="I73" s="6" t="s">
        <v>20</v>
      </c>
      <c r="J73" s="6">
        <v>1996.0</v>
      </c>
      <c r="K73" s="10">
        <v>46024.0</v>
      </c>
      <c r="L73" s="6">
        <v>1.0</v>
      </c>
      <c r="M73" s="8">
        <f t="shared" si="1"/>
        <v>0.2</v>
      </c>
      <c r="P73" s="9"/>
    </row>
    <row r="74">
      <c r="A74" s="6" t="s">
        <v>290</v>
      </c>
      <c r="B74" s="6" t="s">
        <v>291</v>
      </c>
      <c r="C74" s="6" t="s">
        <v>23</v>
      </c>
      <c r="D74" s="6" t="s">
        <v>292</v>
      </c>
      <c r="E74" s="6" t="s">
        <v>293</v>
      </c>
      <c r="F74" s="6" t="s">
        <v>18</v>
      </c>
      <c r="G74" s="7">
        <v>0.09</v>
      </c>
      <c r="H74" s="6" t="s">
        <v>294</v>
      </c>
      <c r="I74" s="6" t="s">
        <v>20</v>
      </c>
      <c r="J74" s="6">
        <v>2010.0</v>
      </c>
      <c r="K74" s="10">
        <v>46055.0</v>
      </c>
      <c r="L74" s="6">
        <v>1.0</v>
      </c>
      <c r="M74" s="8">
        <f t="shared" si="1"/>
        <v>0.09</v>
      </c>
      <c r="P74" s="9"/>
    </row>
    <row r="75">
      <c r="A75" s="6" t="s">
        <v>290</v>
      </c>
      <c r="B75" s="6" t="s">
        <v>291</v>
      </c>
      <c r="C75" s="6" t="s">
        <v>23</v>
      </c>
      <c r="D75" s="6" t="s">
        <v>292</v>
      </c>
      <c r="E75" s="6" t="s">
        <v>293</v>
      </c>
      <c r="F75" s="6" t="s">
        <v>18</v>
      </c>
      <c r="G75" s="7">
        <v>0.08</v>
      </c>
      <c r="H75" s="6" t="s">
        <v>294</v>
      </c>
      <c r="I75" s="6" t="s">
        <v>20</v>
      </c>
      <c r="J75" s="6">
        <v>2010.0</v>
      </c>
      <c r="K75" s="10">
        <v>46055.0</v>
      </c>
      <c r="L75" s="6">
        <v>2.0</v>
      </c>
      <c r="M75" s="8">
        <f t="shared" si="1"/>
        <v>0.16</v>
      </c>
      <c r="P75" s="9"/>
    </row>
    <row r="76">
      <c r="A76" s="6" t="s">
        <v>295</v>
      </c>
      <c r="B76" s="6" t="s">
        <v>296</v>
      </c>
      <c r="C76" s="6" t="s">
        <v>23</v>
      </c>
      <c r="D76" s="6" t="s">
        <v>297</v>
      </c>
      <c r="E76" s="6" t="s">
        <v>298</v>
      </c>
      <c r="F76" s="6" t="s">
        <v>159</v>
      </c>
      <c r="G76" s="7">
        <v>0.03</v>
      </c>
      <c r="H76" s="6" t="s">
        <v>299</v>
      </c>
      <c r="I76" s="6" t="s">
        <v>20</v>
      </c>
      <c r="J76" s="6">
        <v>2017.0</v>
      </c>
      <c r="K76" s="10">
        <v>46084.0</v>
      </c>
      <c r="L76" s="6">
        <v>2.0</v>
      </c>
      <c r="M76" s="8">
        <f t="shared" si="1"/>
        <v>0.06</v>
      </c>
      <c r="P76" s="9"/>
    </row>
    <row r="77">
      <c r="A77" s="6" t="s">
        <v>300</v>
      </c>
      <c r="B77" s="6" t="s">
        <v>301</v>
      </c>
      <c r="C77" s="6" t="s">
        <v>34</v>
      </c>
      <c r="D77" s="6" t="s">
        <v>302</v>
      </c>
      <c r="E77" s="6" t="s">
        <v>303</v>
      </c>
      <c r="F77" s="6" t="s">
        <v>37</v>
      </c>
      <c r="G77" s="7">
        <v>2.99</v>
      </c>
      <c r="H77" s="6" t="s">
        <v>304</v>
      </c>
      <c r="I77" s="6" t="s">
        <v>20</v>
      </c>
      <c r="J77" s="6">
        <v>2010.0</v>
      </c>
      <c r="L77" s="6">
        <v>2.0</v>
      </c>
      <c r="M77" s="8">
        <f t="shared" si="1"/>
        <v>5.98</v>
      </c>
      <c r="P77" s="9"/>
    </row>
    <row r="78">
      <c r="A78" s="6" t="s">
        <v>300</v>
      </c>
      <c r="B78" s="6" t="s">
        <v>301</v>
      </c>
      <c r="C78" s="6" t="s">
        <v>34</v>
      </c>
      <c r="D78" s="6" t="s">
        <v>302</v>
      </c>
      <c r="E78" s="6" t="s">
        <v>303</v>
      </c>
      <c r="F78" s="6" t="s">
        <v>37</v>
      </c>
      <c r="G78" s="7">
        <v>0.45</v>
      </c>
      <c r="H78" s="6" t="s">
        <v>305</v>
      </c>
      <c r="I78" s="6" t="s">
        <v>20</v>
      </c>
      <c r="J78" s="6">
        <v>2003.0</v>
      </c>
      <c r="L78" s="6">
        <v>1.0</v>
      </c>
      <c r="M78" s="8">
        <f t="shared" si="1"/>
        <v>0.45</v>
      </c>
      <c r="P78" s="9"/>
    </row>
    <row r="79">
      <c r="A79" s="6" t="s">
        <v>306</v>
      </c>
      <c r="B79" s="6" t="s">
        <v>307</v>
      </c>
      <c r="C79" s="6" t="s">
        <v>23</v>
      </c>
      <c r="D79" s="6" t="s">
        <v>308</v>
      </c>
      <c r="E79" s="6" t="s">
        <v>303</v>
      </c>
      <c r="F79" s="6" t="s">
        <v>18</v>
      </c>
      <c r="G79" s="7">
        <v>0.45</v>
      </c>
      <c r="H79" s="6" t="s">
        <v>309</v>
      </c>
      <c r="I79" s="6" t="s">
        <v>20</v>
      </c>
      <c r="J79" s="6">
        <v>2013.0</v>
      </c>
      <c r="L79" s="6">
        <v>2.0</v>
      </c>
      <c r="M79" s="8">
        <f t="shared" si="1"/>
        <v>0.9</v>
      </c>
      <c r="P79" s="9"/>
    </row>
    <row r="80">
      <c r="A80" s="6" t="s">
        <v>310</v>
      </c>
      <c r="B80" s="6" t="s">
        <v>311</v>
      </c>
      <c r="C80" s="6" t="s">
        <v>23</v>
      </c>
      <c r="D80" s="6" t="s">
        <v>312</v>
      </c>
      <c r="E80" s="6" t="s">
        <v>149</v>
      </c>
      <c r="F80" s="6" t="s">
        <v>18</v>
      </c>
      <c r="G80" s="7">
        <v>0.06</v>
      </c>
      <c r="H80" s="6" t="s">
        <v>299</v>
      </c>
      <c r="I80" s="6" t="s">
        <v>20</v>
      </c>
      <c r="J80" s="6">
        <v>2017.0</v>
      </c>
      <c r="K80" s="10">
        <v>46054.0</v>
      </c>
      <c r="L80" s="6">
        <v>2.0</v>
      </c>
      <c r="M80" s="8">
        <f t="shared" si="1"/>
        <v>0.12</v>
      </c>
      <c r="P80" s="9"/>
    </row>
    <row r="81">
      <c r="A81" s="6" t="s">
        <v>313</v>
      </c>
      <c r="B81" s="6" t="s">
        <v>314</v>
      </c>
      <c r="C81" s="6" t="s">
        <v>23</v>
      </c>
      <c r="D81" s="6" t="s">
        <v>315</v>
      </c>
      <c r="E81" s="6" t="s">
        <v>149</v>
      </c>
      <c r="F81" s="6" t="s">
        <v>18</v>
      </c>
      <c r="G81" s="7">
        <v>0.03</v>
      </c>
      <c r="H81" s="6" t="s">
        <v>316</v>
      </c>
      <c r="I81" s="6" t="s">
        <v>20</v>
      </c>
      <c r="J81" s="6">
        <v>2016.0</v>
      </c>
      <c r="K81" s="10">
        <v>46082.0</v>
      </c>
      <c r="L81" s="6">
        <v>2.0</v>
      </c>
      <c r="M81" s="8">
        <f t="shared" si="1"/>
        <v>0.06</v>
      </c>
      <c r="P81" s="9"/>
    </row>
    <row r="82">
      <c r="A82" s="6" t="s">
        <v>317</v>
      </c>
      <c r="B82" s="6" t="s">
        <v>62</v>
      </c>
      <c r="C82" s="6" t="s">
        <v>23</v>
      </c>
      <c r="D82" s="6" t="s">
        <v>318</v>
      </c>
      <c r="E82" s="6" t="s">
        <v>25</v>
      </c>
      <c r="F82" s="6" t="s">
        <v>18</v>
      </c>
      <c r="G82" s="7">
        <v>0.03</v>
      </c>
      <c r="H82" s="6" t="s">
        <v>316</v>
      </c>
      <c r="I82" s="6" t="s">
        <v>20</v>
      </c>
      <c r="J82" s="6">
        <v>2016.0</v>
      </c>
      <c r="L82" s="6">
        <v>1.0</v>
      </c>
      <c r="M82" s="8">
        <f t="shared" si="1"/>
        <v>0.03</v>
      </c>
      <c r="P82" s="9"/>
    </row>
    <row r="83">
      <c r="A83" s="6" t="s">
        <v>319</v>
      </c>
      <c r="B83" s="6" t="s">
        <v>62</v>
      </c>
      <c r="C83" s="6" t="s">
        <v>48</v>
      </c>
      <c r="D83" s="6" t="s">
        <v>320</v>
      </c>
      <c r="E83" s="6" t="s">
        <v>30</v>
      </c>
      <c r="F83" s="6" t="s">
        <v>18</v>
      </c>
      <c r="G83" s="7">
        <v>3.95</v>
      </c>
      <c r="H83" s="6" t="s">
        <v>113</v>
      </c>
      <c r="I83" s="6" t="s">
        <v>20</v>
      </c>
      <c r="J83" s="6">
        <v>2024.0</v>
      </c>
      <c r="L83" s="6">
        <v>1.0</v>
      </c>
      <c r="M83" s="8">
        <f t="shared" si="1"/>
        <v>3.95</v>
      </c>
      <c r="N83" s="6" t="s">
        <v>172</v>
      </c>
      <c r="P83" s="9"/>
    </row>
    <row r="84">
      <c r="A84" s="6" t="s">
        <v>321</v>
      </c>
      <c r="B84" s="6" t="s">
        <v>322</v>
      </c>
      <c r="C84" s="6" t="s">
        <v>23</v>
      </c>
      <c r="D84" s="6" t="s">
        <v>323</v>
      </c>
      <c r="E84" s="6" t="s">
        <v>243</v>
      </c>
      <c r="F84" s="6" t="s">
        <v>37</v>
      </c>
      <c r="G84" s="7">
        <v>0.05</v>
      </c>
      <c r="H84" s="6" t="s">
        <v>324</v>
      </c>
      <c r="I84" s="6" t="s">
        <v>20</v>
      </c>
      <c r="J84" s="6">
        <v>2025.0</v>
      </c>
      <c r="K84" s="10">
        <v>46024.0</v>
      </c>
      <c r="L84" s="6">
        <v>1.0</v>
      </c>
      <c r="M84" s="8">
        <f t="shared" si="1"/>
        <v>0.05</v>
      </c>
      <c r="P84" s="9"/>
    </row>
    <row r="85">
      <c r="A85" s="6" t="s">
        <v>325</v>
      </c>
      <c r="B85" s="6" t="s">
        <v>326</v>
      </c>
      <c r="C85" s="6" t="s">
        <v>23</v>
      </c>
      <c r="D85" s="6" t="s">
        <v>327</v>
      </c>
      <c r="E85" s="6" t="s">
        <v>328</v>
      </c>
      <c r="F85" s="6" t="s">
        <v>18</v>
      </c>
      <c r="G85" s="7">
        <v>0.08</v>
      </c>
      <c r="H85" s="6" t="s">
        <v>329</v>
      </c>
      <c r="I85" s="6" t="s">
        <v>20</v>
      </c>
      <c r="J85" s="6">
        <v>2011.0</v>
      </c>
      <c r="K85" s="10">
        <v>46116.0</v>
      </c>
      <c r="L85" s="6">
        <v>1.0</v>
      </c>
      <c r="M85" s="8">
        <f t="shared" si="1"/>
        <v>0.08</v>
      </c>
      <c r="P85" s="9"/>
    </row>
    <row r="86">
      <c r="A86" s="6" t="s">
        <v>330</v>
      </c>
      <c r="B86" s="6" t="s">
        <v>331</v>
      </c>
      <c r="C86" s="6" t="s">
        <v>23</v>
      </c>
      <c r="D86" s="6" t="s">
        <v>332</v>
      </c>
      <c r="E86" s="6" t="s">
        <v>270</v>
      </c>
      <c r="F86" s="6" t="s">
        <v>159</v>
      </c>
      <c r="G86" s="7">
        <v>0.03</v>
      </c>
      <c r="H86" s="6" t="s">
        <v>299</v>
      </c>
      <c r="I86" s="6" t="s">
        <v>20</v>
      </c>
      <c r="J86" s="6">
        <v>2017.0</v>
      </c>
      <c r="K86" s="10">
        <v>46083.0</v>
      </c>
      <c r="L86" s="6">
        <v>1.0</v>
      </c>
      <c r="M86" s="8">
        <f t="shared" si="1"/>
        <v>0.03</v>
      </c>
      <c r="P86" s="9"/>
    </row>
    <row r="87">
      <c r="A87" s="6" t="s">
        <v>330</v>
      </c>
      <c r="B87" s="6" t="s">
        <v>331</v>
      </c>
      <c r="C87" s="6" t="s">
        <v>23</v>
      </c>
      <c r="D87" s="6" t="s">
        <v>332</v>
      </c>
      <c r="E87" s="6" t="s">
        <v>270</v>
      </c>
      <c r="F87" s="6" t="s">
        <v>159</v>
      </c>
      <c r="G87" s="7">
        <v>0.03</v>
      </c>
      <c r="H87" s="6" t="s">
        <v>299</v>
      </c>
      <c r="I87" s="6" t="s">
        <v>20</v>
      </c>
      <c r="J87" s="6">
        <v>2017.0</v>
      </c>
      <c r="K87" s="10">
        <v>46083.0</v>
      </c>
      <c r="L87" s="6">
        <v>1.0</v>
      </c>
      <c r="M87" s="8">
        <f t="shared" si="1"/>
        <v>0.03</v>
      </c>
      <c r="P87" s="9"/>
    </row>
    <row r="88">
      <c r="A88" s="6" t="s">
        <v>333</v>
      </c>
      <c r="B88" s="6" t="s">
        <v>334</v>
      </c>
      <c r="C88" s="6" t="s">
        <v>23</v>
      </c>
      <c r="D88" s="6" t="s">
        <v>335</v>
      </c>
      <c r="E88" s="6" t="s">
        <v>79</v>
      </c>
      <c r="F88" s="6" t="s">
        <v>51</v>
      </c>
      <c r="G88" s="7">
        <v>0.05</v>
      </c>
      <c r="H88" s="6" t="s">
        <v>336</v>
      </c>
      <c r="I88" s="6" t="s">
        <v>20</v>
      </c>
      <c r="J88" s="6">
        <v>2016.0</v>
      </c>
      <c r="K88" s="10">
        <v>46113.0</v>
      </c>
      <c r="L88" s="6">
        <v>3.0</v>
      </c>
      <c r="M88" s="8">
        <f t="shared" si="1"/>
        <v>0.15</v>
      </c>
      <c r="P88" s="9"/>
    </row>
    <row r="89">
      <c r="A89" s="6" t="s">
        <v>337</v>
      </c>
      <c r="B89" s="6" t="s">
        <v>338</v>
      </c>
      <c r="C89" s="6" t="s">
        <v>41</v>
      </c>
      <c r="D89" s="6" t="s">
        <v>339</v>
      </c>
      <c r="E89" s="6" t="s">
        <v>235</v>
      </c>
      <c r="F89" s="6" t="s">
        <v>103</v>
      </c>
      <c r="G89" s="7">
        <v>0.94</v>
      </c>
      <c r="H89" s="6" t="s">
        <v>340</v>
      </c>
      <c r="I89" s="6" t="s">
        <v>20</v>
      </c>
      <c r="J89" s="6">
        <v>2010.0</v>
      </c>
      <c r="K89" s="6" t="s">
        <v>341</v>
      </c>
      <c r="L89" s="6">
        <v>2.0</v>
      </c>
      <c r="M89" s="8">
        <f t="shared" si="1"/>
        <v>1.88</v>
      </c>
      <c r="P89" s="9"/>
    </row>
    <row r="90">
      <c r="A90" s="6" t="s">
        <v>342</v>
      </c>
      <c r="B90" s="6" t="s">
        <v>343</v>
      </c>
      <c r="C90" s="6" t="s">
        <v>48</v>
      </c>
      <c r="D90" s="6" t="s">
        <v>344</v>
      </c>
      <c r="E90" s="6" t="s">
        <v>345</v>
      </c>
      <c r="F90" s="6" t="s">
        <v>18</v>
      </c>
      <c r="G90" s="7">
        <v>0.06</v>
      </c>
      <c r="H90" s="6" t="s">
        <v>346</v>
      </c>
      <c r="I90" s="6" t="s">
        <v>20</v>
      </c>
      <c r="J90" s="6">
        <v>2024.0</v>
      </c>
      <c r="K90" s="10">
        <v>46085.0</v>
      </c>
      <c r="L90" s="6">
        <v>1.0</v>
      </c>
      <c r="M90" s="8">
        <f t="shared" si="1"/>
        <v>0.06</v>
      </c>
      <c r="P90" s="9"/>
    </row>
    <row r="91">
      <c r="A91" s="6" t="s">
        <v>347</v>
      </c>
      <c r="B91" s="6" t="s">
        <v>348</v>
      </c>
      <c r="C91" s="6" t="s">
        <v>41</v>
      </c>
      <c r="D91" s="6" t="s">
        <v>349</v>
      </c>
      <c r="E91" s="6" t="s">
        <v>79</v>
      </c>
      <c r="F91" s="6" t="s">
        <v>51</v>
      </c>
      <c r="G91" s="7">
        <v>0.32</v>
      </c>
      <c r="H91" s="6" t="s">
        <v>192</v>
      </c>
      <c r="I91" s="6" t="s">
        <v>20</v>
      </c>
      <c r="J91" s="6">
        <v>2026.0</v>
      </c>
      <c r="K91" s="10">
        <v>46054.0</v>
      </c>
      <c r="L91" s="6">
        <v>1.0</v>
      </c>
      <c r="M91" s="8">
        <f t="shared" si="1"/>
        <v>0.32</v>
      </c>
      <c r="P91" s="9"/>
    </row>
    <row r="92">
      <c r="A92" s="6" t="s">
        <v>347</v>
      </c>
      <c r="B92" s="6" t="s">
        <v>348</v>
      </c>
      <c r="C92" s="6" t="s">
        <v>41</v>
      </c>
      <c r="D92" s="6" t="s">
        <v>349</v>
      </c>
      <c r="E92" s="6" t="s">
        <v>79</v>
      </c>
      <c r="F92" s="6" t="s">
        <v>51</v>
      </c>
      <c r="G92" s="7">
        <v>0.92</v>
      </c>
      <c r="H92" s="6" t="s">
        <v>192</v>
      </c>
      <c r="I92" s="6" t="s">
        <v>55</v>
      </c>
      <c r="J92" s="6">
        <v>2026.0</v>
      </c>
      <c r="K92" s="10">
        <v>46054.0</v>
      </c>
      <c r="L92" s="6">
        <v>1.0</v>
      </c>
      <c r="M92" s="8">
        <f t="shared" si="1"/>
        <v>0.92</v>
      </c>
      <c r="P92" s="9"/>
    </row>
    <row r="93">
      <c r="A93" s="6" t="s">
        <v>350</v>
      </c>
      <c r="B93" s="6" t="s">
        <v>351</v>
      </c>
      <c r="C93" s="6" t="s">
        <v>23</v>
      </c>
      <c r="D93" s="6" t="s">
        <v>352</v>
      </c>
      <c r="E93" s="6" t="s">
        <v>118</v>
      </c>
      <c r="F93" s="6" t="s">
        <v>51</v>
      </c>
      <c r="G93" s="7">
        <v>0.07</v>
      </c>
      <c r="H93" s="6" t="s">
        <v>31</v>
      </c>
      <c r="I93" s="6" t="s">
        <v>20</v>
      </c>
      <c r="J93" s="6">
        <v>2026.0</v>
      </c>
      <c r="K93" s="10">
        <v>46055.0</v>
      </c>
      <c r="L93" s="6">
        <v>1.0</v>
      </c>
      <c r="M93" s="8">
        <f t="shared" si="1"/>
        <v>0.07</v>
      </c>
      <c r="P93" s="9"/>
    </row>
    <row r="94">
      <c r="A94" s="6" t="s">
        <v>353</v>
      </c>
      <c r="B94" s="6" t="s">
        <v>354</v>
      </c>
      <c r="C94" s="6" t="s">
        <v>34</v>
      </c>
      <c r="D94" s="6" t="s">
        <v>355</v>
      </c>
      <c r="E94" s="6" t="s">
        <v>208</v>
      </c>
      <c r="F94" s="6" t="s">
        <v>51</v>
      </c>
      <c r="G94" s="7">
        <v>0.13</v>
      </c>
      <c r="H94" s="6" t="s">
        <v>38</v>
      </c>
      <c r="I94" s="6" t="s">
        <v>20</v>
      </c>
      <c r="J94" s="6">
        <v>2026.0</v>
      </c>
      <c r="K94" s="10">
        <v>46055.0</v>
      </c>
      <c r="L94" s="6">
        <v>1.0</v>
      </c>
      <c r="M94" s="8">
        <f t="shared" si="1"/>
        <v>0.13</v>
      </c>
      <c r="P94" s="9"/>
    </row>
    <row r="95">
      <c r="A95" s="6" t="s">
        <v>356</v>
      </c>
      <c r="B95" s="6" t="s">
        <v>357</v>
      </c>
      <c r="C95" s="6" t="s">
        <v>48</v>
      </c>
      <c r="D95" s="6" t="s">
        <v>358</v>
      </c>
      <c r="E95" s="6" t="s">
        <v>153</v>
      </c>
      <c r="F95" s="6" t="s">
        <v>103</v>
      </c>
      <c r="G95" s="7">
        <v>0.48</v>
      </c>
      <c r="H95" s="6" t="s">
        <v>359</v>
      </c>
      <c r="I95" s="6" t="s">
        <v>20</v>
      </c>
      <c r="J95" s="6">
        <v>2014.0</v>
      </c>
      <c r="K95" s="10">
        <v>46055.0</v>
      </c>
      <c r="L95" s="6">
        <v>2.0</v>
      </c>
      <c r="M95" s="8">
        <f t="shared" si="1"/>
        <v>0.96</v>
      </c>
      <c r="P95" s="9"/>
    </row>
    <row r="96">
      <c r="A96" s="6" t="s">
        <v>360</v>
      </c>
      <c r="B96" s="6" t="s">
        <v>351</v>
      </c>
      <c r="C96" s="6" t="s">
        <v>23</v>
      </c>
      <c r="D96" s="6" t="s">
        <v>361</v>
      </c>
      <c r="E96" s="6" t="s">
        <v>79</v>
      </c>
      <c r="F96" s="6" t="s">
        <v>51</v>
      </c>
      <c r="G96" s="7">
        <v>0.11</v>
      </c>
      <c r="H96" s="6" t="s">
        <v>31</v>
      </c>
      <c r="I96" s="6" t="s">
        <v>20</v>
      </c>
      <c r="J96" s="6">
        <v>2026.0</v>
      </c>
      <c r="K96" s="10">
        <v>46114.0</v>
      </c>
      <c r="L96" s="6">
        <v>1.0</v>
      </c>
      <c r="M96" s="8">
        <f t="shared" si="1"/>
        <v>0.11</v>
      </c>
      <c r="P96" s="9"/>
    </row>
    <row r="97">
      <c r="A97" s="6" t="s">
        <v>362</v>
      </c>
      <c r="B97" s="6" t="s">
        <v>354</v>
      </c>
      <c r="C97" s="6" t="s">
        <v>34</v>
      </c>
      <c r="D97" s="6" t="s">
        <v>363</v>
      </c>
      <c r="E97" s="6" t="s">
        <v>364</v>
      </c>
      <c r="F97" s="6" t="s">
        <v>51</v>
      </c>
      <c r="G97" s="7">
        <v>0.15</v>
      </c>
      <c r="H97" s="6" t="s">
        <v>38</v>
      </c>
      <c r="I97" s="6" t="s">
        <v>20</v>
      </c>
      <c r="J97" s="6">
        <v>2026.0</v>
      </c>
      <c r="K97" s="10">
        <v>46114.0</v>
      </c>
      <c r="L97" s="6">
        <v>1.0</v>
      </c>
      <c r="M97" s="8">
        <f t="shared" si="1"/>
        <v>0.15</v>
      </c>
      <c r="P97" s="9"/>
    </row>
    <row r="98">
      <c r="A98" s="6" t="s">
        <v>365</v>
      </c>
      <c r="B98" s="6" t="s">
        <v>366</v>
      </c>
      <c r="C98" s="6" t="s">
        <v>48</v>
      </c>
      <c r="D98" s="6" t="s">
        <v>367</v>
      </c>
      <c r="E98" s="6" t="s">
        <v>64</v>
      </c>
      <c r="F98" s="6" t="s">
        <v>65</v>
      </c>
      <c r="G98" s="7">
        <v>0.14</v>
      </c>
      <c r="H98" s="6" t="s">
        <v>245</v>
      </c>
      <c r="I98" s="6" t="s">
        <v>20</v>
      </c>
      <c r="J98" s="6">
        <v>1995.0</v>
      </c>
      <c r="L98" s="6">
        <v>1.0</v>
      </c>
      <c r="M98" s="8">
        <f t="shared" si="1"/>
        <v>0.14</v>
      </c>
      <c r="P98" s="9"/>
    </row>
    <row r="99">
      <c r="A99" s="6" t="s">
        <v>368</v>
      </c>
      <c r="B99" s="6" t="s">
        <v>366</v>
      </c>
      <c r="C99" s="6" t="s">
        <v>23</v>
      </c>
      <c r="D99" s="6" t="s">
        <v>369</v>
      </c>
      <c r="E99" s="6" t="s">
        <v>112</v>
      </c>
      <c r="F99" s="6" t="s">
        <v>65</v>
      </c>
      <c r="G99" s="7">
        <v>0.05</v>
      </c>
      <c r="H99" s="6" t="s">
        <v>370</v>
      </c>
      <c r="I99" s="6" t="s">
        <v>20</v>
      </c>
      <c r="J99" s="6">
        <v>1996.0</v>
      </c>
      <c r="L99" s="6">
        <v>1.0</v>
      </c>
      <c r="M99" s="8">
        <f t="shared" si="1"/>
        <v>0.05</v>
      </c>
      <c r="P99" s="9"/>
    </row>
    <row r="100">
      <c r="A100" s="6" t="s">
        <v>371</v>
      </c>
      <c r="B100" s="6" t="s">
        <v>372</v>
      </c>
      <c r="C100" s="6" t="s">
        <v>48</v>
      </c>
      <c r="D100" s="6" t="s">
        <v>373</v>
      </c>
      <c r="E100" s="6" t="s">
        <v>149</v>
      </c>
      <c r="F100" s="6" t="s">
        <v>18</v>
      </c>
      <c r="G100" s="7">
        <v>0.05</v>
      </c>
      <c r="H100" s="6" t="s">
        <v>88</v>
      </c>
      <c r="I100" s="6" t="s">
        <v>20</v>
      </c>
      <c r="J100" s="6">
        <v>2013.0</v>
      </c>
      <c r="L100" s="6">
        <v>1.0</v>
      </c>
      <c r="M100" s="8">
        <f t="shared" si="1"/>
        <v>0.05</v>
      </c>
      <c r="P100" s="9"/>
    </row>
    <row r="101">
      <c r="A101" s="6" t="s">
        <v>374</v>
      </c>
      <c r="B101" s="6" t="s">
        <v>375</v>
      </c>
      <c r="C101" s="6" t="s">
        <v>34</v>
      </c>
      <c r="D101" s="6" t="s">
        <v>376</v>
      </c>
      <c r="E101" s="6" t="s">
        <v>377</v>
      </c>
      <c r="F101" s="6" t="s">
        <v>103</v>
      </c>
      <c r="G101" s="7">
        <v>0.1</v>
      </c>
      <c r="H101" s="6" t="s">
        <v>209</v>
      </c>
      <c r="I101" s="6" t="s">
        <v>20</v>
      </c>
      <c r="J101" s="6">
        <v>2025.0</v>
      </c>
      <c r="K101" s="10">
        <v>46055.0</v>
      </c>
      <c r="L101" s="6">
        <v>11.0</v>
      </c>
      <c r="M101" s="8">
        <f t="shared" si="1"/>
        <v>1.1</v>
      </c>
      <c r="P101" s="9"/>
    </row>
    <row r="102">
      <c r="A102" s="6" t="s">
        <v>374</v>
      </c>
      <c r="B102" s="6" t="s">
        <v>375</v>
      </c>
      <c r="C102" s="6" t="s">
        <v>34</v>
      </c>
      <c r="D102" s="6" t="s">
        <v>376</v>
      </c>
      <c r="E102" s="6" t="s">
        <v>377</v>
      </c>
      <c r="F102" s="6" t="s">
        <v>103</v>
      </c>
      <c r="G102" s="7">
        <v>0.25</v>
      </c>
      <c r="H102" s="6" t="s">
        <v>209</v>
      </c>
      <c r="I102" s="6" t="s">
        <v>55</v>
      </c>
      <c r="J102" s="6">
        <v>2025.0</v>
      </c>
      <c r="K102" s="10">
        <v>46055.0</v>
      </c>
      <c r="L102" s="6">
        <v>1.0</v>
      </c>
      <c r="M102" s="8">
        <f t="shared" si="1"/>
        <v>0.25</v>
      </c>
      <c r="P102" s="9"/>
    </row>
    <row r="103">
      <c r="A103" s="6" t="s">
        <v>378</v>
      </c>
      <c r="B103" s="6" t="s">
        <v>62</v>
      </c>
      <c r="C103" s="6" t="s">
        <v>23</v>
      </c>
      <c r="D103" s="6" t="s">
        <v>379</v>
      </c>
      <c r="E103" s="6" t="s">
        <v>223</v>
      </c>
      <c r="F103" s="6" t="s">
        <v>159</v>
      </c>
      <c r="G103" s="7">
        <v>0.05</v>
      </c>
      <c r="H103" s="6" t="s">
        <v>380</v>
      </c>
      <c r="I103" s="6" t="s">
        <v>20</v>
      </c>
      <c r="J103" s="6">
        <v>2025.0</v>
      </c>
      <c r="L103" s="6">
        <v>1.0</v>
      </c>
      <c r="M103" s="8">
        <f t="shared" si="1"/>
        <v>0.05</v>
      </c>
      <c r="P103" s="9"/>
    </row>
    <row r="104">
      <c r="A104" s="6" t="s">
        <v>381</v>
      </c>
      <c r="B104" s="6" t="s">
        <v>382</v>
      </c>
      <c r="C104" s="6" t="s">
        <v>23</v>
      </c>
      <c r="D104" s="6" t="s">
        <v>383</v>
      </c>
      <c r="E104" s="6" t="s">
        <v>118</v>
      </c>
      <c r="F104" s="6" t="s">
        <v>51</v>
      </c>
      <c r="G104" s="7">
        <v>0.1</v>
      </c>
      <c r="H104" s="6" t="s">
        <v>384</v>
      </c>
      <c r="I104" s="6" t="s">
        <v>55</v>
      </c>
      <c r="J104" s="6">
        <v>2022.0</v>
      </c>
      <c r="K104" s="10">
        <v>46024.0</v>
      </c>
      <c r="L104" s="6">
        <v>1.0</v>
      </c>
      <c r="M104" s="8">
        <f t="shared" si="1"/>
        <v>0.1</v>
      </c>
      <c r="P104" s="9"/>
    </row>
    <row r="105">
      <c r="A105" s="6" t="s">
        <v>381</v>
      </c>
      <c r="B105" s="6" t="s">
        <v>382</v>
      </c>
      <c r="C105" s="6" t="s">
        <v>23</v>
      </c>
      <c r="D105" s="6" t="s">
        <v>383</v>
      </c>
      <c r="E105" s="6" t="s">
        <v>118</v>
      </c>
      <c r="F105" s="6" t="s">
        <v>51</v>
      </c>
      <c r="G105" s="7">
        <v>0.06</v>
      </c>
      <c r="H105" s="6" t="s">
        <v>129</v>
      </c>
      <c r="I105" s="6" t="s">
        <v>20</v>
      </c>
      <c r="J105" s="6">
        <v>2014.0</v>
      </c>
      <c r="K105" s="10">
        <v>46024.0</v>
      </c>
      <c r="L105" s="6">
        <v>1.0</v>
      </c>
      <c r="M105" s="8">
        <f t="shared" si="1"/>
        <v>0.06</v>
      </c>
      <c r="P105" s="9"/>
    </row>
    <row r="106">
      <c r="A106" s="6" t="s">
        <v>385</v>
      </c>
      <c r="B106" s="6" t="s">
        <v>57</v>
      </c>
      <c r="C106" s="6" t="s">
        <v>48</v>
      </c>
      <c r="D106" s="6" t="s">
        <v>386</v>
      </c>
      <c r="E106" s="6" t="s">
        <v>118</v>
      </c>
      <c r="F106" s="6" t="s">
        <v>51</v>
      </c>
      <c r="G106" s="7">
        <v>0.22</v>
      </c>
      <c r="H106" s="6" t="s">
        <v>45</v>
      </c>
      <c r="I106" s="6" t="s">
        <v>20</v>
      </c>
      <c r="J106" s="6">
        <v>2025.0</v>
      </c>
      <c r="L106" s="6">
        <v>1.0</v>
      </c>
      <c r="M106" s="8">
        <f t="shared" si="1"/>
        <v>0.22</v>
      </c>
      <c r="P106" s="9"/>
    </row>
    <row r="107">
      <c r="A107" s="6" t="s">
        <v>387</v>
      </c>
      <c r="B107" s="6" t="s">
        <v>57</v>
      </c>
      <c r="C107" s="6" t="s">
        <v>23</v>
      </c>
      <c r="D107" s="6" t="s">
        <v>388</v>
      </c>
      <c r="E107" s="6" t="s">
        <v>79</v>
      </c>
      <c r="F107" s="6" t="s">
        <v>51</v>
      </c>
      <c r="G107" s="7">
        <v>0.1</v>
      </c>
      <c r="H107" s="6" t="s">
        <v>45</v>
      </c>
      <c r="I107" s="6" t="s">
        <v>20</v>
      </c>
      <c r="J107" s="6">
        <v>2025.0</v>
      </c>
      <c r="L107" s="6">
        <v>5.0</v>
      </c>
      <c r="M107" s="8">
        <f t="shared" si="1"/>
        <v>0.5</v>
      </c>
      <c r="P107" s="9"/>
    </row>
    <row r="108">
      <c r="A108" s="6" t="s">
        <v>389</v>
      </c>
      <c r="B108" s="6" t="s">
        <v>194</v>
      </c>
      <c r="C108" s="6" t="s">
        <v>34</v>
      </c>
      <c r="D108" s="6" t="s">
        <v>390</v>
      </c>
      <c r="E108" s="6" t="s">
        <v>391</v>
      </c>
      <c r="F108" s="6" t="s">
        <v>159</v>
      </c>
      <c r="G108" s="7">
        <v>0.05</v>
      </c>
      <c r="H108" s="6" t="s">
        <v>392</v>
      </c>
      <c r="I108" s="6" t="s">
        <v>20</v>
      </c>
      <c r="J108" s="6">
        <v>2025.0</v>
      </c>
      <c r="L108" s="6">
        <v>10.0</v>
      </c>
      <c r="M108" s="8">
        <f t="shared" si="1"/>
        <v>0.5</v>
      </c>
      <c r="P108" s="9"/>
    </row>
    <row r="109">
      <c r="A109" s="6" t="s">
        <v>393</v>
      </c>
      <c r="B109" s="6" t="s">
        <v>394</v>
      </c>
      <c r="C109" s="6" t="s">
        <v>41</v>
      </c>
      <c r="D109" s="11" t="str">
        <f>+1: You gain 2 life. −1: Put a +1/+1 counter on each creature you control. Those creatures gain vigilance until end of turn. −6: Create a white Avatar creature token. It has "This token's power and toughness are each equal to your life total." / +1: Você ganha 2 pontos de vida. -1: Coloque um marcador +1/+1 sobre cada criatura que você controla. Aquelas criaturas ganham vigilância até o final do turno. -6: Coloque no campo de batalha uma ficha de criatura branca do tipo Avatar. Ela tem "O poder e a resistência desta criatura são ambos iguais ao seu total de pontos de vida."</f>
        <v>#ERROR!</v>
      </c>
      <c r="E109" s="6" t="s">
        <v>395</v>
      </c>
      <c r="F109" s="6" t="s">
        <v>51</v>
      </c>
      <c r="G109" s="7">
        <v>1.95</v>
      </c>
      <c r="H109" s="6" t="s">
        <v>396</v>
      </c>
      <c r="I109" s="6" t="s">
        <v>20</v>
      </c>
      <c r="J109" s="6">
        <v>2007.0</v>
      </c>
      <c r="L109" s="6">
        <v>1.0</v>
      </c>
      <c r="M109" s="8">
        <f t="shared" si="1"/>
        <v>1.95</v>
      </c>
      <c r="N109" s="6" t="s">
        <v>172</v>
      </c>
      <c r="P109" s="9"/>
    </row>
    <row r="110">
      <c r="A110" s="6" t="s">
        <v>397</v>
      </c>
      <c r="B110" s="6" t="s">
        <v>398</v>
      </c>
      <c r="C110" s="6" t="s">
        <v>41</v>
      </c>
      <c r="D110" s="6" t="s">
        <v>399</v>
      </c>
      <c r="E110" s="6" t="s">
        <v>395</v>
      </c>
      <c r="F110" s="6" t="s">
        <v>51</v>
      </c>
      <c r="G110" s="7">
        <v>0.45</v>
      </c>
      <c r="H110" s="6" t="s">
        <v>154</v>
      </c>
      <c r="I110" s="6" t="s">
        <v>20</v>
      </c>
      <c r="J110" s="6">
        <v>2013.0</v>
      </c>
      <c r="K110" s="10">
        <v>46084.0</v>
      </c>
      <c r="L110" s="6">
        <v>1.0</v>
      </c>
      <c r="M110" s="8">
        <f t="shared" si="1"/>
        <v>0.45</v>
      </c>
      <c r="P110" s="9"/>
    </row>
    <row r="111">
      <c r="A111" s="6" t="s">
        <v>400</v>
      </c>
      <c r="B111" s="6" t="s">
        <v>202</v>
      </c>
      <c r="C111" s="6" t="s">
        <v>41</v>
      </c>
      <c r="D111" s="6" t="s">
        <v>401</v>
      </c>
      <c r="E111" s="6" t="s">
        <v>395</v>
      </c>
      <c r="F111" s="6" t="s">
        <v>51</v>
      </c>
      <c r="G111" s="7">
        <v>0.77</v>
      </c>
      <c r="H111" s="6" t="s">
        <v>104</v>
      </c>
      <c r="I111" s="6" t="s">
        <v>55</v>
      </c>
      <c r="J111" s="6">
        <v>2018.0</v>
      </c>
      <c r="L111" s="6">
        <v>1.0</v>
      </c>
      <c r="M111" s="8">
        <f t="shared" si="1"/>
        <v>0.77</v>
      </c>
      <c r="N111" s="6" t="s">
        <v>172</v>
      </c>
      <c r="P111" s="9"/>
    </row>
    <row r="112">
      <c r="A112" s="6" t="s">
        <v>400</v>
      </c>
      <c r="B112" s="6" t="s">
        <v>202</v>
      </c>
      <c r="C112" s="6" t="s">
        <v>41</v>
      </c>
      <c r="D112" s="6" t="s">
        <v>401</v>
      </c>
      <c r="E112" s="6" t="s">
        <v>395</v>
      </c>
      <c r="F112" s="6" t="s">
        <v>51</v>
      </c>
      <c r="G112" s="7">
        <v>0.19</v>
      </c>
      <c r="H112" s="6" t="s">
        <v>104</v>
      </c>
      <c r="I112" s="6" t="s">
        <v>20</v>
      </c>
      <c r="J112" s="6">
        <v>2018.0</v>
      </c>
      <c r="L112" s="6">
        <v>2.0</v>
      </c>
      <c r="M112" s="8">
        <f t="shared" si="1"/>
        <v>0.38</v>
      </c>
      <c r="P112" s="9"/>
    </row>
    <row r="113">
      <c r="A113" s="6" t="s">
        <v>402</v>
      </c>
      <c r="B113" s="6" t="s">
        <v>62</v>
      </c>
      <c r="C113" s="6" t="s">
        <v>23</v>
      </c>
      <c r="D113" s="6" t="s">
        <v>403</v>
      </c>
      <c r="E113" s="6" t="s">
        <v>175</v>
      </c>
      <c r="F113" s="6" t="s">
        <v>51</v>
      </c>
      <c r="G113" s="7">
        <v>0.08</v>
      </c>
      <c r="H113" s="6" t="s">
        <v>359</v>
      </c>
      <c r="I113" s="6" t="s">
        <v>20</v>
      </c>
      <c r="J113" s="6">
        <v>2014.0</v>
      </c>
      <c r="L113" s="6">
        <v>5.0</v>
      </c>
      <c r="M113" s="8">
        <f t="shared" si="1"/>
        <v>0.4</v>
      </c>
      <c r="P113" s="9"/>
    </row>
    <row r="114">
      <c r="A114" s="6" t="s">
        <v>404</v>
      </c>
      <c r="B114" s="6" t="s">
        <v>398</v>
      </c>
      <c r="C114" s="6" t="s">
        <v>48</v>
      </c>
      <c r="D114" s="6" t="s">
        <v>405</v>
      </c>
      <c r="E114" s="6" t="s">
        <v>118</v>
      </c>
      <c r="F114" s="6" t="s">
        <v>51</v>
      </c>
      <c r="G114" s="7">
        <v>0.2</v>
      </c>
      <c r="H114" s="6" t="s">
        <v>406</v>
      </c>
      <c r="I114" s="6" t="s">
        <v>20</v>
      </c>
      <c r="J114" s="6">
        <v>2019.0</v>
      </c>
      <c r="K114" s="10">
        <v>46055.0</v>
      </c>
      <c r="L114" s="6">
        <v>1.0</v>
      </c>
      <c r="M114" s="8">
        <f t="shared" si="1"/>
        <v>0.2</v>
      </c>
      <c r="P114" s="9"/>
    </row>
    <row r="115">
      <c r="A115" s="6" t="s">
        <v>407</v>
      </c>
      <c r="B115" s="6" t="s">
        <v>408</v>
      </c>
      <c r="C115" s="6" t="s">
        <v>23</v>
      </c>
      <c r="D115" s="6" t="s">
        <v>409</v>
      </c>
      <c r="E115" s="6" t="s">
        <v>410</v>
      </c>
      <c r="F115" s="6" t="s">
        <v>51</v>
      </c>
      <c r="G115" s="7">
        <v>0.14</v>
      </c>
      <c r="H115" s="6" t="s">
        <v>411</v>
      </c>
      <c r="I115" s="6" t="s">
        <v>20</v>
      </c>
      <c r="J115" s="6">
        <v>2014.0</v>
      </c>
      <c r="K115" s="10">
        <v>46055.0</v>
      </c>
      <c r="L115" s="6">
        <v>1.0</v>
      </c>
      <c r="M115" s="8">
        <f t="shared" si="1"/>
        <v>0.14</v>
      </c>
      <c r="P115" s="9"/>
    </row>
    <row r="116">
      <c r="A116" s="6" t="s">
        <v>412</v>
      </c>
      <c r="B116" s="6" t="s">
        <v>413</v>
      </c>
      <c r="C116" s="6" t="s">
        <v>287</v>
      </c>
      <c r="D116" s="6" t="s">
        <v>414</v>
      </c>
      <c r="E116" s="6" t="s">
        <v>102</v>
      </c>
      <c r="F116" s="6" t="s">
        <v>103</v>
      </c>
      <c r="G116" s="7">
        <v>0.06</v>
      </c>
      <c r="H116" s="6" t="s">
        <v>406</v>
      </c>
      <c r="I116" s="6" t="s">
        <v>20</v>
      </c>
      <c r="J116" s="6">
        <v>2019.0</v>
      </c>
      <c r="L116" s="6">
        <v>4.0</v>
      </c>
      <c r="M116" s="8">
        <f t="shared" si="1"/>
        <v>0.24</v>
      </c>
      <c r="P116" s="9"/>
    </row>
    <row r="117">
      <c r="A117" s="6" t="s">
        <v>415</v>
      </c>
      <c r="B117" s="6" t="s">
        <v>416</v>
      </c>
      <c r="C117" s="6" t="s">
        <v>23</v>
      </c>
      <c r="D117" s="6" t="s">
        <v>417</v>
      </c>
      <c r="E117" s="6" t="s">
        <v>112</v>
      </c>
      <c r="F117" s="6" t="s">
        <v>65</v>
      </c>
      <c r="G117" s="7">
        <v>0.1</v>
      </c>
      <c r="H117" s="6" t="s">
        <v>418</v>
      </c>
      <c r="I117" s="6" t="s">
        <v>20</v>
      </c>
      <c r="J117" s="6">
        <v>2022.0</v>
      </c>
      <c r="K117" s="10">
        <v>46024.0</v>
      </c>
      <c r="L117" s="6">
        <v>1.0</v>
      </c>
      <c r="M117" s="8">
        <f t="shared" si="1"/>
        <v>0.1</v>
      </c>
      <c r="P117" s="9"/>
    </row>
    <row r="118">
      <c r="A118" s="6" t="s">
        <v>419</v>
      </c>
      <c r="B118" s="6" t="s">
        <v>420</v>
      </c>
      <c r="C118" s="6" t="s">
        <v>23</v>
      </c>
      <c r="D118" s="6" t="s">
        <v>421</v>
      </c>
      <c r="E118" s="6" t="s">
        <v>196</v>
      </c>
      <c r="F118" s="6" t="s">
        <v>65</v>
      </c>
      <c r="G118" s="7">
        <v>0.13</v>
      </c>
      <c r="H118" s="6" t="s">
        <v>224</v>
      </c>
      <c r="I118" s="6" t="s">
        <v>20</v>
      </c>
      <c r="J118" s="6">
        <v>2020.0</v>
      </c>
      <c r="K118" s="6" t="s">
        <v>422</v>
      </c>
      <c r="L118" s="6">
        <v>1.0</v>
      </c>
      <c r="M118" s="8">
        <f t="shared" si="1"/>
        <v>0.13</v>
      </c>
      <c r="P118" s="9"/>
    </row>
    <row r="119">
      <c r="A119" s="6" t="s">
        <v>423</v>
      </c>
      <c r="B119" s="6" t="s">
        <v>424</v>
      </c>
      <c r="C119" s="6" t="s">
        <v>48</v>
      </c>
      <c r="D119" s="6" t="s">
        <v>425</v>
      </c>
      <c r="F119" s="6" t="s">
        <v>426</v>
      </c>
      <c r="G119" s="7">
        <v>0.15</v>
      </c>
      <c r="H119" s="6" t="s">
        <v>427</v>
      </c>
      <c r="I119" s="6" t="s">
        <v>20</v>
      </c>
      <c r="J119" s="6">
        <v>2009.0</v>
      </c>
      <c r="L119" s="6">
        <v>1.0</v>
      </c>
      <c r="M119" s="8">
        <f t="shared" si="1"/>
        <v>0.15</v>
      </c>
      <c r="P119" s="9"/>
    </row>
    <row r="120">
      <c r="A120" s="6" t="s">
        <v>428</v>
      </c>
      <c r="B120" s="6" t="s">
        <v>131</v>
      </c>
      <c r="C120" s="6" t="s">
        <v>23</v>
      </c>
      <c r="D120" s="6" t="s">
        <v>429</v>
      </c>
      <c r="E120" s="6" t="s">
        <v>196</v>
      </c>
      <c r="F120" s="6" t="s">
        <v>65</v>
      </c>
      <c r="G120" s="7">
        <v>0.09</v>
      </c>
      <c r="H120" s="6" t="s">
        <v>430</v>
      </c>
      <c r="I120" s="6" t="s">
        <v>20</v>
      </c>
      <c r="J120" s="6">
        <v>2018.0</v>
      </c>
      <c r="K120" s="10">
        <v>46023.0</v>
      </c>
      <c r="L120" s="6">
        <v>1.0</v>
      </c>
      <c r="M120" s="8">
        <f t="shared" si="1"/>
        <v>0.09</v>
      </c>
      <c r="P120" s="9"/>
    </row>
    <row r="121">
      <c r="A121" s="6" t="s">
        <v>431</v>
      </c>
      <c r="B121" s="6" t="s">
        <v>131</v>
      </c>
      <c r="C121" s="6" t="s">
        <v>23</v>
      </c>
      <c r="D121" s="6" t="s">
        <v>432</v>
      </c>
      <c r="E121" s="6" t="s">
        <v>175</v>
      </c>
      <c r="F121" s="6" t="s">
        <v>51</v>
      </c>
      <c r="G121" s="7">
        <v>0.06</v>
      </c>
      <c r="H121" s="6" t="s">
        <v>184</v>
      </c>
      <c r="I121" s="6" t="s">
        <v>20</v>
      </c>
      <c r="J121" s="6">
        <v>2015.0</v>
      </c>
      <c r="K121" s="10">
        <v>46023.0</v>
      </c>
      <c r="L121" s="6">
        <v>4.0</v>
      </c>
      <c r="M121" s="8">
        <f t="shared" si="1"/>
        <v>0.24</v>
      </c>
      <c r="P121" s="9"/>
    </row>
    <row r="122">
      <c r="A122" s="6" t="s">
        <v>433</v>
      </c>
      <c r="B122" s="6" t="s">
        <v>434</v>
      </c>
      <c r="C122" s="6" t="s">
        <v>23</v>
      </c>
      <c r="D122" s="6" t="s">
        <v>435</v>
      </c>
      <c r="E122" s="6" t="s">
        <v>50</v>
      </c>
      <c r="F122" s="6" t="s">
        <v>51</v>
      </c>
      <c r="G122" s="7">
        <v>0.03</v>
      </c>
      <c r="H122" s="6" t="s">
        <v>359</v>
      </c>
      <c r="I122" s="6" t="s">
        <v>20</v>
      </c>
      <c r="J122" s="6">
        <v>2014.0</v>
      </c>
      <c r="K122" s="10">
        <v>46055.0</v>
      </c>
      <c r="L122" s="6">
        <v>5.0</v>
      </c>
      <c r="M122" s="8">
        <f t="shared" si="1"/>
        <v>0.15</v>
      </c>
      <c r="P122" s="9"/>
    </row>
    <row r="123">
      <c r="A123" s="6" t="s">
        <v>436</v>
      </c>
      <c r="B123" s="6" t="s">
        <v>131</v>
      </c>
      <c r="C123" s="6" t="s">
        <v>23</v>
      </c>
      <c r="D123" s="6" t="s">
        <v>437</v>
      </c>
      <c r="E123" s="6" t="s">
        <v>64</v>
      </c>
      <c r="F123" s="6" t="s">
        <v>65</v>
      </c>
      <c r="G123" s="7">
        <v>0.04</v>
      </c>
      <c r="H123" s="6" t="s">
        <v>184</v>
      </c>
      <c r="I123" s="6" t="s">
        <v>20</v>
      </c>
      <c r="J123" s="6">
        <v>2015.0</v>
      </c>
      <c r="K123" s="10">
        <v>46055.0</v>
      </c>
      <c r="L123" s="6">
        <v>2.0</v>
      </c>
      <c r="M123" s="8">
        <f t="shared" si="1"/>
        <v>0.08</v>
      </c>
      <c r="P123" s="9"/>
    </row>
    <row r="124">
      <c r="A124" s="6" t="s">
        <v>438</v>
      </c>
      <c r="B124" s="6" t="s">
        <v>439</v>
      </c>
      <c r="C124" s="6" t="s">
        <v>84</v>
      </c>
      <c r="D124" s="6" t="s">
        <v>440</v>
      </c>
      <c r="E124" s="6" t="s">
        <v>441</v>
      </c>
      <c r="F124" s="6" t="s">
        <v>51</v>
      </c>
      <c r="G124" s="7">
        <v>0.61</v>
      </c>
      <c r="H124" s="6" t="s">
        <v>75</v>
      </c>
      <c r="I124" s="6" t="s">
        <v>20</v>
      </c>
      <c r="J124" s="6">
        <v>1995.0</v>
      </c>
      <c r="K124" s="10">
        <v>46120.0</v>
      </c>
      <c r="L124" s="6">
        <v>1.0</v>
      </c>
      <c r="M124" s="8">
        <f t="shared" si="1"/>
        <v>0.61</v>
      </c>
      <c r="P124" s="9"/>
    </row>
    <row r="125">
      <c r="A125" s="6" t="s">
        <v>442</v>
      </c>
      <c r="B125" s="6" t="s">
        <v>443</v>
      </c>
      <c r="C125" s="6" t="s">
        <v>15</v>
      </c>
      <c r="D125" s="6" t="s">
        <v>444</v>
      </c>
      <c r="E125" s="6" t="s">
        <v>377</v>
      </c>
      <c r="F125" s="6" t="s">
        <v>103</v>
      </c>
      <c r="G125" s="7">
        <v>0.2</v>
      </c>
      <c r="H125" s="6" t="s">
        <v>209</v>
      </c>
      <c r="I125" s="6" t="s">
        <v>20</v>
      </c>
      <c r="J125" s="6">
        <v>2025.0</v>
      </c>
      <c r="K125" s="10">
        <v>46083.0</v>
      </c>
      <c r="L125" s="6">
        <v>2.0</v>
      </c>
      <c r="M125" s="8">
        <f t="shared" si="1"/>
        <v>0.4</v>
      </c>
      <c r="P125" s="9"/>
    </row>
    <row r="126">
      <c r="A126" s="6" t="s">
        <v>442</v>
      </c>
      <c r="B126" s="6" t="s">
        <v>443</v>
      </c>
      <c r="C126" s="6" t="s">
        <v>15</v>
      </c>
      <c r="D126" s="6" t="s">
        <v>444</v>
      </c>
      <c r="E126" s="6" t="s">
        <v>377</v>
      </c>
      <c r="F126" s="6" t="s">
        <v>103</v>
      </c>
      <c r="G126" s="7">
        <v>0.9</v>
      </c>
      <c r="H126" s="6" t="s">
        <v>209</v>
      </c>
      <c r="I126" s="6" t="s">
        <v>55</v>
      </c>
      <c r="J126" s="6">
        <v>2025.0</v>
      </c>
      <c r="K126" s="10">
        <v>46083.0</v>
      </c>
      <c r="L126" s="6">
        <v>1.0</v>
      </c>
      <c r="M126" s="8">
        <f t="shared" si="1"/>
        <v>0.9</v>
      </c>
      <c r="P126" s="9"/>
    </row>
    <row r="127">
      <c r="A127" s="6" t="s">
        <v>445</v>
      </c>
      <c r="B127" s="6" t="s">
        <v>446</v>
      </c>
      <c r="C127" s="6" t="s">
        <v>23</v>
      </c>
      <c r="D127" s="6" t="s">
        <v>447</v>
      </c>
      <c r="E127" s="6" t="s">
        <v>50</v>
      </c>
      <c r="F127" s="6" t="s">
        <v>51</v>
      </c>
      <c r="G127" s="7">
        <v>0.06</v>
      </c>
      <c r="H127" s="6" t="s">
        <v>129</v>
      </c>
      <c r="I127" s="6" t="s">
        <v>20</v>
      </c>
      <c r="J127" s="6">
        <v>2014.0</v>
      </c>
      <c r="K127" s="10">
        <v>46083.0</v>
      </c>
      <c r="L127" s="6">
        <v>1.0</v>
      </c>
      <c r="M127" s="8">
        <f t="shared" si="1"/>
        <v>0.06</v>
      </c>
      <c r="P127" s="9"/>
    </row>
    <row r="128">
      <c r="A128" s="6" t="s">
        <v>448</v>
      </c>
      <c r="B128" s="6" t="s">
        <v>250</v>
      </c>
      <c r="C128" s="6" t="s">
        <v>449</v>
      </c>
      <c r="D128" s="6" t="s">
        <v>450</v>
      </c>
      <c r="E128" s="6" t="s">
        <v>451</v>
      </c>
      <c r="F128" s="6" t="s">
        <v>452</v>
      </c>
      <c r="G128" s="7">
        <v>0.75</v>
      </c>
      <c r="H128" s="6" t="s">
        <v>453</v>
      </c>
      <c r="I128" s="6" t="s">
        <v>20</v>
      </c>
      <c r="J128" s="6">
        <v>1995.0</v>
      </c>
      <c r="L128" s="6">
        <v>1.0</v>
      </c>
      <c r="M128" s="8">
        <f t="shared" si="1"/>
        <v>0.75</v>
      </c>
      <c r="P128" s="9"/>
    </row>
    <row r="129">
      <c r="A129" s="6" t="s">
        <v>454</v>
      </c>
      <c r="B129" s="6" t="s">
        <v>250</v>
      </c>
      <c r="C129" s="6" t="s">
        <v>41</v>
      </c>
      <c r="D129" s="6" t="s">
        <v>455</v>
      </c>
      <c r="E129" s="6" t="s">
        <v>451</v>
      </c>
      <c r="F129" s="6" t="s">
        <v>37</v>
      </c>
      <c r="G129" s="7">
        <v>4.66</v>
      </c>
      <c r="H129" s="6" t="s">
        <v>120</v>
      </c>
      <c r="I129" s="6" t="s">
        <v>20</v>
      </c>
      <c r="J129" s="6">
        <v>1995.0</v>
      </c>
      <c r="L129" s="6">
        <v>1.0</v>
      </c>
      <c r="M129" s="8">
        <f t="shared" si="1"/>
        <v>4.66</v>
      </c>
      <c r="N129" s="6" t="s">
        <v>172</v>
      </c>
      <c r="P129" s="9"/>
    </row>
    <row r="130">
      <c r="A130" s="6" t="s">
        <v>456</v>
      </c>
      <c r="B130" s="6" t="s">
        <v>307</v>
      </c>
      <c r="C130" s="6" t="s">
        <v>41</v>
      </c>
      <c r="D130" s="6" t="s">
        <v>457</v>
      </c>
      <c r="E130" s="6" t="s">
        <v>458</v>
      </c>
      <c r="F130" s="6" t="s">
        <v>37</v>
      </c>
      <c r="G130" s="7">
        <v>3.59</v>
      </c>
      <c r="H130" s="6" t="s">
        <v>459</v>
      </c>
      <c r="I130" s="6" t="s">
        <v>20</v>
      </c>
      <c r="J130" s="6">
        <v>1993.0</v>
      </c>
      <c r="L130" s="6">
        <v>1.0</v>
      </c>
      <c r="M130" s="8">
        <f t="shared" si="1"/>
        <v>3.59</v>
      </c>
      <c r="N130" s="6" t="s">
        <v>172</v>
      </c>
      <c r="P130" s="9"/>
    </row>
    <row r="131">
      <c r="A131" s="6" t="s">
        <v>460</v>
      </c>
      <c r="B131" s="6" t="s">
        <v>307</v>
      </c>
      <c r="C131" s="6" t="s">
        <v>23</v>
      </c>
      <c r="D131" s="6" t="s">
        <v>461</v>
      </c>
      <c r="E131" s="6" t="s">
        <v>36</v>
      </c>
      <c r="F131" s="6" t="s">
        <v>37</v>
      </c>
      <c r="G131" s="7">
        <v>0.08</v>
      </c>
      <c r="H131" s="6" t="s">
        <v>184</v>
      </c>
      <c r="I131" s="6" t="s">
        <v>20</v>
      </c>
      <c r="J131" s="6">
        <v>2015.0</v>
      </c>
      <c r="L131" s="6">
        <v>2.0</v>
      </c>
      <c r="M131" s="8">
        <f t="shared" si="1"/>
        <v>0.16</v>
      </c>
      <c r="P131" s="9"/>
    </row>
    <row r="132">
      <c r="A132" s="6" t="s">
        <v>462</v>
      </c>
      <c r="B132" s="6" t="s">
        <v>463</v>
      </c>
      <c r="C132" s="6" t="s">
        <v>48</v>
      </c>
      <c r="D132" s="6" t="s">
        <v>464</v>
      </c>
      <c r="E132" s="6" t="s">
        <v>196</v>
      </c>
      <c r="F132" s="6" t="s">
        <v>65</v>
      </c>
      <c r="G132" s="7">
        <v>0.23</v>
      </c>
      <c r="H132" s="6" t="s">
        <v>119</v>
      </c>
      <c r="I132" s="6" t="s">
        <v>20</v>
      </c>
      <c r="J132" s="6">
        <v>1995.0</v>
      </c>
      <c r="K132" s="10">
        <v>46023.0</v>
      </c>
      <c r="L132" s="6">
        <v>2.0</v>
      </c>
      <c r="M132" s="8">
        <f t="shared" si="1"/>
        <v>0.46</v>
      </c>
      <c r="P132" s="9"/>
    </row>
    <row r="133">
      <c r="A133" s="6" t="s">
        <v>465</v>
      </c>
      <c r="B133" s="6" t="s">
        <v>194</v>
      </c>
      <c r="C133" s="6" t="s">
        <v>23</v>
      </c>
      <c r="D133" s="6" t="s">
        <v>466</v>
      </c>
      <c r="E133" s="6" t="s">
        <v>112</v>
      </c>
      <c r="F133" s="6" t="s">
        <v>65</v>
      </c>
      <c r="G133" s="7">
        <v>0.08</v>
      </c>
      <c r="H133" s="6" t="s">
        <v>75</v>
      </c>
      <c r="I133" s="6" t="s">
        <v>20</v>
      </c>
      <c r="J133" s="6">
        <v>1995.0</v>
      </c>
      <c r="L133" s="6">
        <v>1.0</v>
      </c>
      <c r="M133" s="8">
        <f t="shared" si="1"/>
        <v>0.08</v>
      </c>
      <c r="P133" s="9"/>
    </row>
    <row r="134">
      <c r="A134" s="6" t="s">
        <v>465</v>
      </c>
      <c r="B134" s="6" t="s">
        <v>194</v>
      </c>
      <c r="C134" s="6" t="s">
        <v>23</v>
      </c>
      <c r="D134" s="6" t="s">
        <v>466</v>
      </c>
      <c r="E134" s="6" t="s">
        <v>112</v>
      </c>
      <c r="F134" s="6" t="s">
        <v>65</v>
      </c>
      <c r="G134" s="7">
        <v>0.06</v>
      </c>
      <c r="H134" s="6" t="s">
        <v>75</v>
      </c>
      <c r="I134" s="6" t="s">
        <v>20</v>
      </c>
      <c r="J134" s="6">
        <v>1995.0</v>
      </c>
      <c r="L134" s="6">
        <v>1.0</v>
      </c>
      <c r="M134" s="8">
        <f t="shared" si="1"/>
        <v>0.06</v>
      </c>
      <c r="P134" s="9"/>
    </row>
    <row r="135">
      <c r="A135" s="6" t="s">
        <v>467</v>
      </c>
      <c r="B135" s="6" t="s">
        <v>62</v>
      </c>
      <c r="C135" s="6" t="s">
        <v>23</v>
      </c>
      <c r="D135" s="6" t="s">
        <v>468</v>
      </c>
      <c r="E135" s="6" t="s">
        <v>175</v>
      </c>
      <c r="F135" s="6" t="s">
        <v>51</v>
      </c>
      <c r="G135" s="7">
        <v>0.04</v>
      </c>
      <c r="H135" s="6" t="s">
        <v>299</v>
      </c>
      <c r="I135" s="6" t="s">
        <v>20</v>
      </c>
      <c r="J135" s="6">
        <v>2017.0</v>
      </c>
      <c r="L135" s="6">
        <v>1.0</v>
      </c>
      <c r="M135" s="8">
        <f t="shared" si="1"/>
        <v>0.04</v>
      </c>
      <c r="P135" s="9"/>
    </row>
    <row r="136">
      <c r="A136" s="6" t="s">
        <v>469</v>
      </c>
      <c r="B136" s="6" t="s">
        <v>194</v>
      </c>
      <c r="C136" s="6" t="s">
        <v>48</v>
      </c>
      <c r="D136" s="6" t="s">
        <v>470</v>
      </c>
      <c r="E136" s="6" t="s">
        <v>270</v>
      </c>
      <c r="F136" s="6" t="s">
        <v>159</v>
      </c>
      <c r="G136" s="7">
        <v>0.12</v>
      </c>
      <c r="H136" s="6" t="s">
        <v>45</v>
      </c>
      <c r="I136" s="6" t="s">
        <v>20</v>
      </c>
      <c r="J136" s="6">
        <v>2025.0</v>
      </c>
      <c r="L136" s="6">
        <v>2.0</v>
      </c>
      <c r="M136" s="8">
        <f t="shared" si="1"/>
        <v>0.24</v>
      </c>
      <c r="P136" s="9"/>
    </row>
    <row r="137">
      <c r="A137" s="6" t="s">
        <v>471</v>
      </c>
      <c r="B137" s="6" t="s">
        <v>472</v>
      </c>
      <c r="C137" s="6" t="s">
        <v>48</v>
      </c>
      <c r="D137" s="6" t="s">
        <v>473</v>
      </c>
      <c r="E137" s="6" t="s">
        <v>64</v>
      </c>
      <c r="F137" s="6" t="s">
        <v>65</v>
      </c>
      <c r="G137" s="7">
        <v>0.09</v>
      </c>
      <c r="H137" s="6" t="s">
        <v>114</v>
      </c>
      <c r="I137" s="6" t="s">
        <v>20</v>
      </c>
      <c r="J137" s="6">
        <v>2021.0</v>
      </c>
      <c r="K137" s="10">
        <v>46083.0</v>
      </c>
      <c r="L137" s="6">
        <v>1.0</v>
      </c>
      <c r="M137" s="8">
        <f t="shared" si="1"/>
        <v>0.09</v>
      </c>
      <c r="P137" s="9"/>
    </row>
    <row r="138">
      <c r="A138" s="6" t="s">
        <v>474</v>
      </c>
      <c r="B138" s="6" t="s">
        <v>475</v>
      </c>
      <c r="C138" s="6" t="s">
        <v>23</v>
      </c>
      <c r="D138" s="6" t="s">
        <v>476</v>
      </c>
      <c r="E138" s="6" t="s">
        <v>238</v>
      </c>
      <c r="F138" s="6" t="s">
        <v>159</v>
      </c>
      <c r="G138" s="7">
        <v>0.04</v>
      </c>
      <c r="H138" s="6" t="s">
        <v>477</v>
      </c>
      <c r="I138" s="6" t="s">
        <v>20</v>
      </c>
      <c r="J138" s="6">
        <v>2020.0</v>
      </c>
      <c r="K138" s="10">
        <v>46023.0</v>
      </c>
      <c r="L138" s="6">
        <v>1.0</v>
      </c>
      <c r="M138" s="8">
        <f t="shared" si="1"/>
        <v>0.04</v>
      </c>
      <c r="P138" s="9"/>
    </row>
    <row r="139">
      <c r="A139" s="6" t="s">
        <v>478</v>
      </c>
      <c r="B139" s="6" t="s">
        <v>479</v>
      </c>
      <c r="C139" s="6" t="s">
        <v>48</v>
      </c>
      <c r="D139" s="6" t="s">
        <v>480</v>
      </c>
      <c r="E139" s="6" t="s">
        <v>223</v>
      </c>
      <c r="F139" s="6" t="s">
        <v>159</v>
      </c>
      <c r="G139" s="7">
        <v>0.19</v>
      </c>
      <c r="H139" s="6" t="s">
        <v>216</v>
      </c>
      <c r="I139" s="6" t="s">
        <v>20</v>
      </c>
      <c r="J139" s="6">
        <v>2024.0</v>
      </c>
      <c r="K139" s="10">
        <v>46056.0</v>
      </c>
      <c r="L139" s="6">
        <v>1.0</v>
      </c>
      <c r="M139" s="8">
        <f t="shared" si="1"/>
        <v>0.19</v>
      </c>
      <c r="P139" s="9"/>
    </row>
    <row r="140">
      <c r="A140" s="6" t="s">
        <v>481</v>
      </c>
      <c r="B140" s="6" t="s">
        <v>301</v>
      </c>
      <c r="C140" s="6" t="s">
        <v>15</v>
      </c>
      <c r="D140" s="6" t="s">
        <v>482</v>
      </c>
      <c r="E140" s="6">
        <v>2.0</v>
      </c>
      <c r="F140" s="6" t="s">
        <v>37</v>
      </c>
      <c r="G140" s="7">
        <v>0.05</v>
      </c>
      <c r="H140" s="6" t="s">
        <v>483</v>
      </c>
      <c r="I140" s="6" t="s">
        <v>20</v>
      </c>
      <c r="J140" s="6">
        <v>2014.0</v>
      </c>
      <c r="L140" s="6">
        <v>1.0</v>
      </c>
      <c r="M140" s="8">
        <f t="shared" si="1"/>
        <v>0.05</v>
      </c>
      <c r="P140" s="9"/>
    </row>
    <row r="141">
      <c r="A141" s="6" t="s">
        <v>481</v>
      </c>
      <c r="B141" s="6" t="s">
        <v>301</v>
      </c>
      <c r="C141" s="6" t="s">
        <v>15</v>
      </c>
      <c r="D141" s="6" t="s">
        <v>482</v>
      </c>
      <c r="E141" s="6">
        <v>2.0</v>
      </c>
      <c r="F141" s="6" t="s">
        <v>37</v>
      </c>
      <c r="G141" s="7">
        <v>0.25</v>
      </c>
      <c r="H141" s="6" t="s">
        <v>483</v>
      </c>
      <c r="I141" s="6" t="s">
        <v>55</v>
      </c>
      <c r="J141" s="6">
        <v>2014.0</v>
      </c>
      <c r="L141" s="6">
        <v>1.0</v>
      </c>
      <c r="M141" s="8">
        <f t="shared" si="1"/>
        <v>0.25</v>
      </c>
      <c r="P141" s="9"/>
    </row>
    <row r="142">
      <c r="A142" s="6" t="s">
        <v>484</v>
      </c>
      <c r="B142" s="6" t="s">
        <v>485</v>
      </c>
      <c r="C142" s="6" t="s">
        <v>486</v>
      </c>
      <c r="D142" s="6" t="s">
        <v>487</v>
      </c>
      <c r="E142" s="6" t="s">
        <v>108</v>
      </c>
      <c r="F142" s="6" t="s">
        <v>103</v>
      </c>
      <c r="G142" s="7">
        <v>0.85</v>
      </c>
      <c r="H142" s="6" t="s">
        <v>488</v>
      </c>
      <c r="I142" s="6" t="s">
        <v>20</v>
      </c>
      <c r="J142" s="6">
        <v>2025.0</v>
      </c>
      <c r="K142" s="10">
        <v>46084.0</v>
      </c>
      <c r="L142" s="6">
        <v>1.0</v>
      </c>
      <c r="M142" s="8">
        <f t="shared" si="1"/>
        <v>0.85</v>
      </c>
      <c r="P142" s="9"/>
    </row>
    <row r="143">
      <c r="A143" s="6" t="s">
        <v>489</v>
      </c>
      <c r="B143" s="6" t="s">
        <v>62</v>
      </c>
      <c r="C143" s="6" t="s">
        <v>23</v>
      </c>
      <c r="D143" s="6" t="s">
        <v>490</v>
      </c>
      <c r="E143" s="6" t="s">
        <v>102</v>
      </c>
      <c r="F143" s="6" t="s">
        <v>103</v>
      </c>
      <c r="G143" s="7">
        <v>0.1</v>
      </c>
      <c r="H143" s="6" t="s">
        <v>491</v>
      </c>
      <c r="I143" s="6" t="s">
        <v>20</v>
      </c>
      <c r="J143" s="6">
        <v>2011.0</v>
      </c>
      <c r="L143" s="6">
        <v>1.0</v>
      </c>
      <c r="M143" s="8">
        <f t="shared" si="1"/>
        <v>0.1</v>
      </c>
      <c r="P143" s="9"/>
    </row>
    <row r="144">
      <c r="A144" s="6" t="s">
        <v>489</v>
      </c>
      <c r="B144" s="6" t="s">
        <v>62</v>
      </c>
      <c r="C144" s="6" t="s">
        <v>23</v>
      </c>
      <c r="D144" s="6" t="s">
        <v>490</v>
      </c>
      <c r="E144" s="6" t="s">
        <v>102</v>
      </c>
      <c r="F144" s="6" t="s">
        <v>103</v>
      </c>
      <c r="G144" s="7">
        <v>0.09</v>
      </c>
      <c r="H144" s="6" t="s">
        <v>154</v>
      </c>
      <c r="I144" s="6" t="s">
        <v>20</v>
      </c>
      <c r="J144" s="6">
        <v>2013.0</v>
      </c>
      <c r="L144" s="6">
        <v>2.0</v>
      </c>
      <c r="M144" s="8">
        <f t="shared" si="1"/>
        <v>0.18</v>
      </c>
      <c r="P144" s="9"/>
    </row>
    <row r="145">
      <c r="A145" s="6" t="s">
        <v>492</v>
      </c>
      <c r="B145" s="6" t="s">
        <v>182</v>
      </c>
      <c r="C145" s="6" t="s">
        <v>48</v>
      </c>
      <c r="D145" s="6" t="s">
        <v>493</v>
      </c>
      <c r="E145" s="6" t="s">
        <v>153</v>
      </c>
      <c r="F145" s="6" t="s">
        <v>103</v>
      </c>
      <c r="G145" s="7">
        <v>0.48</v>
      </c>
      <c r="H145" s="6" t="s">
        <v>494</v>
      </c>
      <c r="I145" s="6" t="s">
        <v>55</v>
      </c>
      <c r="J145" s="6">
        <v>2003.0</v>
      </c>
      <c r="L145" s="6">
        <v>1.0</v>
      </c>
      <c r="M145" s="8">
        <f t="shared" si="1"/>
        <v>0.48</v>
      </c>
      <c r="P145" s="9"/>
    </row>
    <row r="146">
      <c r="A146" s="6" t="s">
        <v>495</v>
      </c>
      <c r="B146" s="6" t="s">
        <v>496</v>
      </c>
      <c r="C146" s="6" t="s">
        <v>15</v>
      </c>
      <c r="D146" s="6" t="s">
        <v>497</v>
      </c>
      <c r="E146" s="6" t="s">
        <v>208</v>
      </c>
      <c r="F146" s="6" t="s">
        <v>51</v>
      </c>
      <c r="G146" s="7">
        <v>0.24</v>
      </c>
      <c r="H146" s="6" t="s">
        <v>209</v>
      </c>
      <c r="I146" s="6" t="s">
        <v>20</v>
      </c>
      <c r="J146" s="6">
        <v>2025.0</v>
      </c>
      <c r="K146" s="10">
        <v>46055.0</v>
      </c>
      <c r="L146" s="6">
        <v>2.0</v>
      </c>
      <c r="M146" s="8">
        <f t="shared" si="1"/>
        <v>0.48</v>
      </c>
      <c r="P146" s="9"/>
    </row>
    <row r="147">
      <c r="A147" s="6" t="s">
        <v>498</v>
      </c>
      <c r="B147" s="6" t="s">
        <v>62</v>
      </c>
      <c r="C147" s="6" t="s">
        <v>23</v>
      </c>
      <c r="D147" s="6" t="s">
        <v>499</v>
      </c>
      <c r="E147" s="6" t="s">
        <v>270</v>
      </c>
      <c r="F147" s="6" t="s">
        <v>159</v>
      </c>
      <c r="G147" s="7">
        <v>0.03</v>
      </c>
      <c r="H147" s="6" t="s">
        <v>265</v>
      </c>
      <c r="I147" s="6" t="s">
        <v>20</v>
      </c>
      <c r="J147" s="6">
        <v>2017.0</v>
      </c>
      <c r="L147" s="6">
        <v>1.0</v>
      </c>
      <c r="M147" s="8">
        <f t="shared" si="1"/>
        <v>0.03</v>
      </c>
      <c r="P147" s="9"/>
    </row>
    <row r="148">
      <c r="A148" s="6" t="s">
        <v>498</v>
      </c>
      <c r="B148" s="6" t="s">
        <v>62</v>
      </c>
      <c r="C148" s="6" t="s">
        <v>23</v>
      </c>
      <c r="D148" s="6" t="s">
        <v>499</v>
      </c>
      <c r="E148" s="6" t="s">
        <v>270</v>
      </c>
      <c r="F148" s="6" t="s">
        <v>159</v>
      </c>
      <c r="G148" s="7">
        <v>0.03</v>
      </c>
      <c r="H148" s="6" t="s">
        <v>265</v>
      </c>
      <c r="I148" s="6" t="s">
        <v>20</v>
      </c>
      <c r="J148" s="6">
        <v>2017.0</v>
      </c>
      <c r="L148" s="6">
        <v>1.0</v>
      </c>
      <c r="M148" s="8">
        <f t="shared" si="1"/>
        <v>0.03</v>
      </c>
      <c r="P148" s="9"/>
    </row>
    <row r="149">
      <c r="A149" s="6" t="s">
        <v>498</v>
      </c>
      <c r="B149" s="6" t="s">
        <v>62</v>
      </c>
      <c r="C149" s="6" t="s">
        <v>23</v>
      </c>
      <c r="D149" s="6" t="s">
        <v>499</v>
      </c>
      <c r="E149" s="6" t="s">
        <v>270</v>
      </c>
      <c r="F149" s="6" t="s">
        <v>159</v>
      </c>
      <c r="G149" s="7">
        <v>0.03</v>
      </c>
      <c r="H149" s="6" t="s">
        <v>265</v>
      </c>
      <c r="I149" s="6" t="s">
        <v>20</v>
      </c>
      <c r="J149" s="6">
        <v>2017.0</v>
      </c>
      <c r="L149" s="6">
        <v>1.0</v>
      </c>
      <c r="M149" s="8">
        <f t="shared" si="1"/>
        <v>0.03</v>
      </c>
      <c r="P149" s="9"/>
    </row>
    <row r="150">
      <c r="A150" s="6" t="s">
        <v>500</v>
      </c>
      <c r="B150" s="6" t="s">
        <v>463</v>
      </c>
      <c r="C150" s="6" t="s">
        <v>23</v>
      </c>
      <c r="D150" s="6" t="s">
        <v>501</v>
      </c>
      <c r="E150" s="6" t="s">
        <v>502</v>
      </c>
      <c r="F150" s="6" t="s">
        <v>65</v>
      </c>
      <c r="G150" s="7">
        <v>0.06</v>
      </c>
      <c r="H150" s="6" t="s">
        <v>75</v>
      </c>
      <c r="I150" s="6" t="s">
        <v>20</v>
      </c>
      <c r="J150" s="6">
        <v>1995.0</v>
      </c>
      <c r="K150" s="10">
        <v>46025.0</v>
      </c>
      <c r="L150" s="6">
        <v>1.0</v>
      </c>
      <c r="M150" s="8">
        <f t="shared" si="1"/>
        <v>0.06</v>
      </c>
      <c r="P150" s="9"/>
    </row>
    <row r="151">
      <c r="A151" s="6" t="s">
        <v>503</v>
      </c>
      <c r="B151" s="6" t="s">
        <v>504</v>
      </c>
      <c r="C151" s="6" t="s">
        <v>23</v>
      </c>
      <c r="D151" s="6" t="s">
        <v>505</v>
      </c>
      <c r="E151" s="6" t="s">
        <v>270</v>
      </c>
      <c r="F151" s="6" t="s">
        <v>159</v>
      </c>
      <c r="G151" s="7">
        <v>0.05</v>
      </c>
      <c r="H151" s="6" t="s">
        <v>113</v>
      </c>
      <c r="I151" s="6" t="s">
        <v>20</v>
      </c>
      <c r="J151" s="6">
        <v>2024.0</v>
      </c>
      <c r="K151" s="10">
        <v>46057.0</v>
      </c>
      <c r="L151" s="6">
        <v>1.0</v>
      </c>
      <c r="M151" s="8">
        <f t="shared" si="1"/>
        <v>0.05</v>
      </c>
      <c r="P151" s="9"/>
    </row>
    <row r="152">
      <c r="A152" s="6" t="s">
        <v>506</v>
      </c>
      <c r="B152" s="6" t="s">
        <v>507</v>
      </c>
      <c r="C152" s="6" t="s">
        <v>48</v>
      </c>
      <c r="D152" s="6" t="s">
        <v>508</v>
      </c>
      <c r="E152" s="6" t="s">
        <v>112</v>
      </c>
      <c r="F152" s="6" t="s">
        <v>65</v>
      </c>
      <c r="G152" s="7">
        <v>0.16</v>
      </c>
      <c r="H152" s="6" t="s">
        <v>509</v>
      </c>
      <c r="I152" s="6" t="s">
        <v>55</v>
      </c>
      <c r="J152" s="6">
        <v>2024.0</v>
      </c>
      <c r="K152" s="10">
        <v>46024.0</v>
      </c>
      <c r="L152" s="6">
        <v>1.0</v>
      </c>
      <c r="M152" s="8">
        <f t="shared" si="1"/>
        <v>0.16</v>
      </c>
      <c r="P152" s="9"/>
    </row>
    <row r="153">
      <c r="A153" s="6" t="s">
        <v>510</v>
      </c>
      <c r="B153" s="6" t="s">
        <v>511</v>
      </c>
      <c r="C153" s="6" t="s">
        <v>512</v>
      </c>
      <c r="D153" s="6" t="s">
        <v>513</v>
      </c>
      <c r="E153" s="6" t="s">
        <v>514</v>
      </c>
      <c r="F153" s="6" t="s">
        <v>65</v>
      </c>
      <c r="G153" s="7">
        <v>0.05</v>
      </c>
      <c r="H153" s="6" t="s">
        <v>515</v>
      </c>
      <c r="I153" s="6" t="s">
        <v>20</v>
      </c>
      <c r="J153" s="6">
        <v>2019.0</v>
      </c>
      <c r="K153" s="10">
        <v>46023.0</v>
      </c>
      <c r="L153" s="6">
        <v>1.0</v>
      </c>
      <c r="M153" s="8">
        <f t="shared" si="1"/>
        <v>0.05</v>
      </c>
      <c r="P153" s="9"/>
    </row>
    <row r="154">
      <c r="A154" s="6" t="s">
        <v>516</v>
      </c>
      <c r="B154" s="6" t="s">
        <v>131</v>
      </c>
      <c r="C154" s="6" t="s">
        <v>23</v>
      </c>
      <c r="D154" s="6" t="s">
        <v>517</v>
      </c>
      <c r="E154" s="6" t="s">
        <v>395</v>
      </c>
      <c r="F154" s="6" t="s">
        <v>51</v>
      </c>
      <c r="G154" s="7">
        <v>0.06</v>
      </c>
      <c r="H154" s="6" t="s">
        <v>184</v>
      </c>
      <c r="I154" s="6" t="s">
        <v>20</v>
      </c>
      <c r="J154" s="6">
        <v>2015.0</v>
      </c>
      <c r="K154" s="10">
        <v>46084.0</v>
      </c>
      <c r="L154" s="6">
        <v>1.0</v>
      </c>
      <c r="M154" s="8">
        <f t="shared" si="1"/>
        <v>0.06</v>
      </c>
      <c r="N154" s="6" t="s">
        <v>518</v>
      </c>
      <c r="P154" s="9"/>
    </row>
    <row r="155">
      <c r="A155" s="6" t="s">
        <v>516</v>
      </c>
      <c r="B155" s="6" t="s">
        <v>131</v>
      </c>
      <c r="C155" s="6" t="s">
        <v>23</v>
      </c>
      <c r="D155" s="6" t="s">
        <v>517</v>
      </c>
      <c r="E155" s="6" t="s">
        <v>395</v>
      </c>
      <c r="F155" s="6" t="s">
        <v>51</v>
      </c>
      <c r="G155" s="7">
        <v>0.06</v>
      </c>
      <c r="H155" s="6" t="s">
        <v>184</v>
      </c>
      <c r="I155" s="6" t="s">
        <v>20</v>
      </c>
      <c r="J155" s="6">
        <v>2015.0</v>
      </c>
      <c r="K155" s="10">
        <v>46084.0</v>
      </c>
      <c r="L155" s="6">
        <v>3.0</v>
      </c>
      <c r="M155" s="8">
        <f t="shared" si="1"/>
        <v>0.18</v>
      </c>
      <c r="P155" s="9"/>
    </row>
    <row r="156">
      <c r="A156" s="6" t="s">
        <v>516</v>
      </c>
      <c r="B156" s="6" t="s">
        <v>131</v>
      </c>
      <c r="C156" s="6" t="s">
        <v>23</v>
      </c>
      <c r="D156" s="6" t="s">
        <v>517</v>
      </c>
      <c r="E156" s="6" t="s">
        <v>395</v>
      </c>
      <c r="F156" s="6" t="s">
        <v>51</v>
      </c>
      <c r="G156" s="7">
        <v>0.06</v>
      </c>
      <c r="H156" s="6" t="s">
        <v>184</v>
      </c>
      <c r="I156" s="6" t="s">
        <v>20</v>
      </c>
      <c r="J156" s="6">
        <v>2015.0</v>
      </c>
      <c r="K156" s="10">
        <v>46084.0</v>
      </c>
      <c r="L156" s="6">
        <v>1.0</v>
      </c>
      <c r="M156" s="8">
        <f t="shared" si="1"/>
        <v>0.06</v>
      </c>
      <c r="P156" s="9"/>
    </row>
    <row r="157">
      <c r="A157" s="6" t="s">
        <v>519</v>
      </c>
      <c r="B157" s="6" t="s">
        <v>250</v>
      </c>
      <c r="C157" s="6" t="s">
        <v>23</v>
      </c>
      <c r="D157" s="6" t="s">
        <v>520</v>
      </c>
      <c r="E157" s="6" t="s">
        <v>36</v>
      </c>
      <c r="F157" s="6" t="s">
        <v>37</v>
      </c>
      <c r="G157" s="7">
        <v>0.05</v>
      </c>
      <c r="H157" s="6" t="s">
        <v>119</v>
      </c>
      <c r="I157" s="6" t="s">
        <v>20</v>
      </c>
      <c r="J157" s="6">
        <v>1995.0</v>
      </c>
      <c r="L157" s="6">
        <v>2.0</v>
      </c>
      <c r="M157" s="8">
        <f t="shared" si="1"/>
        <v>0.1</v>
      </c>
      <c r="P157" s="9"/>
    </row>
    <row r="158">
      <c r="A158" s="6" t="s">
        <v>519</v>
      </c>
      <c r="B158" s="6" t="s">
        <v>250</v>
      </c>
      <c r="C158" s="6" t="s">
        <v>23</v>
      </c>
      <c r="D158" s="6" t="s">
        <v>520</v>
      </c>
      <c r="E158" s="6" t="s">
        <v>36</v>
      </c>
      <c r="F158" s="6" t="s">
        <v>37</v>
      </c>
      <c r="G158" s="7">
        <v>0.18</v>
      </c>
      <c r="H158" s="6" t="s">
        <v>120</v>
      </c>
      <c r="I158" s="6" t="s">
        <v>20</v>
      </c>
      <c r="J158" s="6">
        <v>1995.0</v>
      </c>
      <c r="L158" s="6">
        <v>3.0</v>
      </c>
      <c r="M158" s="8">
        <f t="shared" si="1"/>
        <v>0.54</v>
      </c>
      <c r="P158" s="9"/>
    </row>
    <row r="159">
      <c r="A159" s="6" t="s">
        <v>519</v>
      </c>
      <c r="B159" s="6" t="s">
        <v>250</v>
      </c>
      <c r="C159" s="6" t="s">
        <v>521</v>
      </c>
      <c r="D159" s="6" t="s">
        <v>522</v>
      </c>
      <c r="E159" s="6" t="s">
        <v>36</v>
      </c>
      <c r="F159" s="6" t="s">
        <v>452</v>
      </c>
      <c r="G159" s="7">
        <v>0.09</v>
      </c>
      <c r="H159" s="6" t="s">
        <v>523</v>
      </c>
      <c r="I159" s="6" t="s">
        <v>20</v>
      </c>
      <c r="J159" s="6">
        <v>1997.0</v>
      </c>
      <c r="L159" s="6">
        <v>1.0</v>
      </c>
      <c r="M159" s="8">
        <f t="shared" si="1"/>
        <v>0.09</v>
      </c>
      <c r="P159" s="9"/>
    </row>
    <row r="160">
      <c r="A160" s="6" t="s">
        <v>519</v>
      </c>
      <c r="B160" s="6" t="s">
        <v>250</v>
      </c>
      <c r="C160" s="6" t="s">
        <v>521</v>
      </c>
      <c r="D160" s="6" t="s">
        <v>522</v>
      </c>
      <c r="E160" s="6" t="s">
        <v>36</v>
      </c>
      <c r="F160" s="6" t="s">
        <v>452</v>
      </c>
      <c r="G160" s="7">
        <v>0.05</v>
      </c>
      <c r="H160" s="6" t="s">
        <v>523</v>
      </c>
      <c r="I160" s="6" t="s">
        <v>20</v>
      </c>
      <c r="J160" s="6">
        <v>1995.0</v>
      </c>
      <c r="L160" s="6">
        <v>1.0</v>
      </c>
      <c r="M160" s="8">
        <f t="shared" si="1"/>
        <v>0.05</v>
      </c>
      <c r="P160" s="9"/>
    </row>
    <row r="161">
      <c r="A161" s="6" t="s">
        <v>524</v>
      </c>
      <c r="B161" s="6" t="s">
        <v>301</v>
      </c>
      <c r="C161" s="6" t="s">
        <v>34</v>
      </c>
      <c r="D161" s="6" t="s">
        <v>525</v>
      </c>
      <c r="E161" s="6" t="s">
        <v>303</v>
      </c>
      <c r="F161" s="6" t="s">
        <v>37</v>
      </c>
      <c r="G161" s="7">
        <v>0.04</v>
      </c>
      <c r="H161" s="6" t="s">
        <v>526</v>
      </c>
      <c r="I161" s="6" t="s">
        <v>20</v>
      </c>
      <c r="J161" s="6">
        <v>2020.0</v>
      </c>
      <c r="L161" s="6">
        <v>1.0</v>
      </c>
      <c r="M161" s="8">
        <f t="shared" si="1"/>
        <v>0.04</v>
      </c>
      <c r="P161" s="9"/>
    </row>
    <row r="162">
      <c r="A162" s="6" t="s">
        <v>527</v>
      </c>
      <c r="B162" s="6" t="s">
        <v>528</v>
      </c>
      <c r="C162" s="6" t="s">
        <v>41</v>
      </c>
      <c r="D162" s="6" t="s">
        <v>529</v>
      </c>
      <c r="E162" s="6" t="s">
        <v>112</v>
      </c>
      <c r="F162" s="6" t="s">
        <v>65</v>
      </c>
      <c r="G162" s="7">
        <v>3.0</v>
      </c>
      <c r="H162" s="6" t="s">
        <v>75</v>
      </c>
      <c r="I162" s="6" t="s">
        <v>20</v>
      </c>
      <c r="J162" s="6">
        <v>1995.0</v>
      </c>
      <c r="K162" s="10">
        <v>46023.0</v>
      </c>
      <c r="L162" s="6">
        <v>1.0</v>
      </c>
      <c r="M162" s="8">
        <f t="shared" si="1"/>
        <v>3</v>
      </c>
      <c r="P162" s="9"/>
    </row>
    <row r="163">
      <c r="A163" s="6" t="s">
        <v>530</v>
      </c>
      <c r="B163" s="6" t="s">
        <v>531</v>
      </c>
      <c r="C163" s="6" t="s">
        <v>23</v>
      </c>
      <c r="D163" s="6" t="s">
        <v>532</v>
      </c>
      <c r="E163" s="6" t="s">
        <v>533</v>
      </c>
      <c r="F163" s="6" t="s">
        <v>65</v>
      </c>
      <c r="G163" s="7">
        <v>0.05</v>
      </c>
      <c r="H163" s="6" t="s">
        <v>75</v>
      </c>
      <c r="I163" s="6" t="s">
        <v>20</v>
      </c>
      <c r="J163" s="6">
        <v>1995.0</v>
      </c>
      <c r="K163" s="10">
        <v>46083.0</v>
      </c>
      <c r="L163" s="6">
        <v>2.0</v>
      </c>
      <c r="M163" s="8">
        <f t="shared" si="1"/>
        <v>0.1</v>
      </c>
      <c r="P163" s="9"/>
    </row>
    <row r="164">
      <c r="A164" s="6" t="s">
        <v>534</v>
      </c>
      <c r="B164" s="6" t="s">
        <v>535</v>
      </c>
      <c r="C164" s="6" t="s">
        <v>23</v>
      </c>
      <c r="D164" s="6" t="s">
        <v>536</v>
      </c>
      <c r="E164" s="6" t="s">
        <v>533</v>
      </c>
      <c r="F164" s="6" t="s">
        <v>65</v>
      </c>
      <c r="G164" s="7">
        <v>0.06</v>
      </c>
      <c r="H164" s="6" t="s">
        <v>75</v>
      </c>
      <c r="I164" s="6" t="s">
        <v>20</v>
      </c>
      <c r="J164" s="6">
        <v>1995.0</v>
      </c>
      <c r="K164" s="10">
        <v>46055.0</v>
      </c>
      <c r="L164" s="6">
        <v>3.0</v>
      </c>
      <c r="M164" s="8">
        <f t="shared" si="1"/>
        <v>0.18</v>
      </c>
      <c r="P164" s="9"/>
    </row>
    <row r="165">
      <c r="A165" s="6" t="s">
        <v>537</v>
      </c>
      <c r="B165" s="6" t="s">
        <v>182</v>
      </c>
      <c r="C165" s="6" t="s">
        <v>23</v>
      </c>
      <c r="D165" s="6" t="s">
        <v>538</v>
      </c>
      <c r="E165" s="6" t="s">
        <v>196</v>
      </c>
      <c r="F165" s="6" t="s">
        <v>65</v>
      </c>
      <c r="G165" s="7">
        <v>0.07</v>
      </c>
      <c r="H165" s="6" t="s">
        <v>204</v>
      </c>
      <c r="I165" s="6" t="s">
        <v>20</v>
      </c>
      <c r="J165" s="6">
        <v>2026.0</v>
      </c>
      <c r="L165" s="6">
        <v>1.0</v>
      </c>
      <c r="M165" s="8">
        <f t="shared" si="1"/>
        <v>0.07</v>
      </c>
      <c r="P165" s="9"/>
    </row>
    <row r="166">
      <c r="A166" s="6" t="s">
        <v>539</v>
      </c>
      <c r="B166" s="6" t="s">
        <v>143</v>
      </c>
      <c r="C166" s="6" t="s">
        <v>48</v>
      </c>
      <c r="D166" s="6" t="s">
        <v>540</v>
      </c>
      <c r="E166" s="6" t="s">
        <v>118</v>
      </c>
      <c r="F166" s="6" t="s">
        <v>51</v>
      </c>
      <c r="G166" s="7">
        <v>0.06</v>
      </c>
      <c r="H166" s="6" t="s">
        <v>541</v>
      </c>
      <c r="I166" s="6" t="s">
        <v>20</v>
      </c>
      <c r="J166" s="6">
        <v>2019.0</v>
      </c>
      <c r="L166" s="6">
        <v>1.0</v>
      </c>
      <c r="M166" s="8">
        <f t="shared" si="1"/>
        <v>0.06</v>
      </c>
      <c r="P166" s="9"/>
    </row>
    <row r="167">
      <c r="A167" s="6" t="s">
        <v>542</v>
      </c>
      <c r="B167" s="6" t="s">
        <v>543</v>
      </c>
      <c r="C167" s="6" t="s">
        <v>41</v>
      </c>
      <c r="D167" s="6" t="s">
        <v>544</v>
      </c>
      <c r="E167" s="6" t="s">
        <v>545</v>
      </c>
      <c r="F167" s="6" t="s">
        <v>18</v>
      </c>
      <c r="G167" s="7">
        <v>0.18</v>
      </c>
      <c r="H167" s="6" t="s">
        <v>546</v>
      </c>
      <c r="I167" s="6" t="s">
        <v>20</v>
      </c>
      <c r="J167" s="6">
        <v>2001.0</v>
      </c>
      <c r="L167" s="6">
        <v>1.0</v>
      </c>
      <c r="M167" s="8">
        <f t="shared" si="1"/>
        <v>0.18</v>
      </c>
      <c r="P167" s="9"/>
    </row>
    <row r="168">
      <c r="A168" s="6" t="s">
        <v>547</v>
      </c>
      <c r="B168" s="6" t="s">
        <v>548</v>
      </c>
      <c r="C168" s="6" t="s">
        <v>23</v>
      </c>
      <c r="D168" s="6" t="s">
        <v>549</v>
      </c>
      <c r="E168" s="6" t="s">
        <v>124</v>
      </c>
      <c r="F168" s="6" t="s">
        <v>103</v>
      </c>
      <c r="G168" s="7">
        <v>0.1</v>
      </c>
      <c r="H168" s="6" t="s">
        <v>192</v>
      </c>
      <c r="I168" s="6" t="s">
        <v>20</v>
      </c>
      <c r="J168" s="6">
        <v>2026.0</v>
      </c>
      <c r="L168" s="6">
        <v>4.0</v>
      </c>
      <c r="M168" s="8">
        <f t="shared" si="1"/>
        <v>0.4</v>
      </c>
      <c r="P168" s="9"/>
    </row>
    <row r="169">
      <c r="A169" s="6" t="s">
        <v>550</v>
      </c>
      <c r="B169" s="6" t="s">
        <v>62</v>
      </c>
      <c r="C169" s="6" t="s">
        <v>23</v>
      </c>
      <c r="D169" s="6" t="s">
        <v>551</v>
      </c>
      <c r="E169" s="6" t="s">
        <v>223</v>
      </c>
      <c r="F169" s="6" t="s">
        <v>159</v>
      </c>
      <c r="G169" s="7">
        <v>0.05</v>
      </c>
      <c r="H169" s="6" t="s">
        <v>552</v>
      </c>
      <c r="I169" s="6" t="s">
        <v>20</v>
      </c>
      <c r="J169" s="6">
        <v>2020.0</v>
      </c>
      <c r="L169" s="6">
        <v>2.0</v>
      </c>
      <c r="M169" s="8">
        <f t="shared" si="1"/>
        <v>0.1</v>
      </c>
      <c r="P169" s="9"/>
    </row>
    <row r="170">
      <c r="A170" s="6" t="s">
        <v>553</v>
      </c>
      <c r="B170" s="6" t="s">
        <v>507</v>
      </c>
      <c r="C170" s="6" t="s">
        <v>23</v>
      </c>
      <c r="E170" s="6" t="s">
        <v>554</v>
      </c>
      <c r="F170" s="6" t="s">
        <v>159</v>
      </c>
      <c r="G170" s="7">
        <v>0.03</v>
      </c>
      <c r="H170" s="6" t="s">
        <v>555</v>
      </c>
      <c r="I170" s="6" t="s">
        <v>20</v>
      </c>
      <c r="J170" s="6">
        <v>2017.0</v>
      </c>
      <c r="K170" s="10">
        <v>46274.0</v>
      </c>
      <c r="L170" s="6">
        <v>2.0</v>
      </c>
      <c r="M170" s="8">
        <f t="shared" si="1"/>
        <v>0.06</v>
      </c>
      <c r="P170" s="9"/>
    </row>
    <row r="171">
      <c r="A171" s="6" t="s">
        <v>556</v>
      </c>
      <c r="B171" s="6" t="s">
        <v>557</v>
      </c>
      <c r="C171" s="6" t="s">
        <v>23</v>
      </c>
      <c r="E171" s="6" t="s">
        <v>558</v>
      </c>
      <c r="F171" s="6" t="s">
        <v>18</v>
      </c>
      <c r="G171" s="7">
        <v>0.05</v>
      </c>
      <c r="H171" s="6" t="s">
        <v>559</v>
      </c>
      <c r="I171" s="6" t="s">
        <v>20</v>
      </c>
      <c r="J171" s="6">
        <v>2015.0</v>
      </c>
      <c r="K171" s="10">
        <v>46144.0</v>
      </c>
      <c r="L171" s="6">
        <v>1.0</v>
      </c>
      <c r="M171" s="8">
        <f t="shared" si="1"/>
        <v>0.05</v>
      </c>
      <c r="P171" s="9"/>
    </row>
    <row r="172">
      <c r="A172" s="6" t="s">
        <v>560</v>
      </c>
      <c r="B172" s="6" t="s">
        <v>561</v>
      </c>
      <c r="C172" s="6" t="s">
        <v>23</v>
      </c>
      <c r="E172" s="6" t="s">
        <v>293</v>
      </c>
      <c r="F172" s="6" t="s">
        <v>18</v>
      </c>
      <c r="G172" s="7">
        <v>0.03</v>
      </c>
      <c r="H172" s="6" t="s">
        <v>562</v>
      </c>
      <c r="I172" s="6" t="s">
        <v>20</v>
      </c>
      <c r="J172" s="6">
        <v>2017.0</v>
      </c>
      <c r="K172" s="10">
        <v>46143.0</v>
      </c>
      <c r="L172" s="6">
        <v>2.0</v>
      </c>
      <c r="M172" s="8">
        <f t="shared" si="1"/>
        <v>0.06</v>
      </c>
      <c r="P172" s="9"/>
    </row>
    <row r="173">
      <c r="A173" s="6" t="s">
        <v>560</v>
      </c>
      <c r="B173" s="6" t="s">
        <v>561</v>
      </c>
      <c r="C173" s="6" t="s">
        <v>23</v>
      </c>
      <c r="E173" s="6" t="s">
        <v>293</v>
      </c>
      <c r="F173" s="6" t="s">
        <v>18</v>
      </c>
      <c r="G173" s="7">
        <v>0.05</v>
      </c>
      <c r="H173" s="6" t="s">
        <v>336</v>
      </c>
      <c r="I173" s="6" t="s">
        <v>20</v>
      </c>
      <c r="J173" s="6">
        <v>2016.0</v>
      </c>
      <c r="K173" s="10">
        <v>46143.0</v>
      </c>
      <c r="L173" s="6">
        <v>3.0</v>
      </c>
      <c r="M173" s="8">
        <f t="shared" si="1"/>
        <v>0.15</v>
      </c>
      <c r="P173" s="9"/>
    </row>
    <row r="174">
      <c r="A174" s="6" t="s">
        <v>563</v>
      </c>
      <c r="B174" s="6" t="s">
        <v>62</v>
      </c>
      <c r="C174" s="6" t="s">
        <v>23</v>
      </c>
      <c r="D174" s="6" t="s">
        <v>564</v>
      </c>
      <c r="E174" s="6" t="s">
        <v>112</v>
      </c>
      <c r="F174" s="6" t="s">
        <v>65</v>
      </c>
      <c r="G174" s="7">
        <v>0.3</v>
      </c>
      <c r="H174" s="6" t="s">
        <v>565</v>
      </c>
      <c r="I174" s="6" t="s">
        <v>20</v>
      </c>
      <c r="J174" s="6">
        <v>2020.0</v>
      </c>
      <c r="L174" s="6">
        <v>2.0</v>
      </c>
      <c r="M174" s="8">
        <f t="shared" si="1"/>
        <v>0.6</v>
      </c>
      <c r="P174" s="9"/>
    </row>
    <row r="175">
      <c r="A175" s="6" t="s">
        <v>566</v>
      </c>
      <c r="B175" s="6" t="s">
        <v>567</v>
      </c>
      <c r="C175" s="6" t="s">
        <v>41</v>
      </c>
      <c r="D175" s="6" t="s">
        <v>568</v>
      </c>
      <c r="E175" s="6" t="s">
        <v>441</v>
      </c>
      <c r="F175" s="6" t="s">
        <v>51</v>
      </c>
      <c r="G175" s="7">
        <v>0.3</v>
      </c>
      <c r="H175" s="6" t="s">
        <v>93</v>
      </c>
      <c r="I175" s="6" t="s">
        <v>55</v>
      </c>
      <c r="J175" s="6">
        <v>2016.0</v>
      </c>
      <c r="K175" s="10">
        <v>46179.0</v>
      </c>
      <c r="L175" s="6">
        <v>1.0</v>
      </c>
      <c r="M175" s="8">
        <f t="shared" si="1"/>
        <v>0.3</v>
      </c>
      <c r="P175" s="9"/>
    </row>
    <row r="176">
      <c r="A176" s="6" t="s">
        <v>569</v>
      </c>
      <c r="B176" s="6" t="s">
        <v>570</v>
      </c>
      <c r="C176" s="6" t="s">
        <v>571</v>
      </c>
      <c r="D176" s="6" t="s">
        <v>572</v>
      </c>
      <c r="E176" s="6" t="s">
        <v>573</v>
      </c>
      <c r="F176" s="6" t="s">
        <v>51</v>
      </c>
      <c r="G176" s="7">
        <v>0.15</v>
      </c>
      <c r="H176" s="6" t="s">
        <v>574</v>
      </c>
      <c r="I176" s="6" t="s">
        <v>20</v>
      </c>
      <c r="J176" s="6">
        <v>2000.0</v>
      </c>
      <c r="K176" s="10">
        <v>46084.0</v>
      </c>
      <c r="L176" s="6">
        <v>2.0</v>
      </c>
      <c r="M176" s="8">
        <f t="shared" si="1"/>
        <v>0.3</v>
      </c>
      <c r="P176" s="9"/>
    </row>
    <row r="177">
      <c r="A177" s="6" t="s">
        <v>575</v>
      </c>
      <c r="B177" s="6" t="s">
        <v>567</v>
      </c>
      <c r="C177" s="6" t="s">
        <v>23</v>
      </c>
      <c r="D177" s="6" t="s">
        <v>576</v>
      </c>
      <c r="E177" s="6" t="s">
        <v>573</v>
      </c>
      <c r="F177" s="6" t="s">
        <v>51</v>
      </c>
      <c r="G177" s="7">
        <v>0.08</v>
      </c>
      <c r="H177" s="6" t="s">
        <v>577</v>
      </c>
      <c r="I177" s="6" t="s">
        <v>20</v>
      </c>
      <c r="J177" s="6">
        <v>2017.0</v>
      </c>
      <c r="K177" s="10">
        <v>46084.0</v>
      </c>
      <c r="L177" s="6">
        <v>4.0</v>
      </c>
      <c r="M177" s="8">
        <f t="shared" si="1"/>
        <v>0.32</v>
      </c>
      <c r="P177" s="9"/>
    </row>
    <row r="178">
      <c r="A178" s="6" t="s">
        <v>578</v>
      </c>
      <c r="B178" s="6" t="s">
        <v>579</v>
      </c>
      <c r="C178" s="6" t="s">
        <v>48</v>
      </c>
      <c r="D178" s="6" t="s">
        <v>580</v>
      </c>
      <c r="E178" s="6" t="s">
        <v>118</v>
      </c>
      <c r="F178" s="6" t="s">
        <v>51</v>
      </c>
      <c r="G178" s="7">
        <v>0.8</v>
      </c>
      <c r="H178" s="6" t="s">
        <v>581</v>
      </c>
      <c r="I178" s="6" t="s">
        <v>20</v>
      </c>
      <c r="J178" s="6">
        <v>2022.0</v>
      </c>
      <c r="K178" s="10">
        <v>46023.0</v>
      </c>
      <c r="L178" s="6">
        <v>1.0</v>
      </c>
      <c r="M178" s="8">
        <f t="shared" si="1"/>
        <v>0.8</v>
      </c>
      <c r="P178" s="9"/>
    </row>
    <row r="179">
      <c r="A179" s="6" t="s">
        <v>582</v>
      </c>
      <c r="B179" s="6" t="s">
        <v>202</v>
      </c>
      <c r="C179" s="6" t="s">
        <v>48</v>
      </c>
      <c r="D179" s="6" t="s">
        <v>583</v>
      </c>
      <c r="E179" s="6" t="s">
        <v>50</v>
      </c>
      <c r="F179" s="6" t="s">
        <v>51</v>
      </c>
      <c r="G179" s="7">
        <v>0.04</v>
      </c>
      <c r="H179" s="6" t="s">
        <v>185</v>
      </c>
      <c r="I179" s="6" t="s">
        <v>20</v>
      </c>
      <c r="J179" s="6">
        <v>2019.0</v>
      </c>
      <c r="L179" s="6">
        <v>1.0</v>
      </c>
      <c r="M179" s="8">
        <f t="shared" si="1"/>
        <v>0.04</v>
      </c>
      <c r="P179" s="9"/>
    </row>
    <row r="180">
      <c r="A180" s="6" t="s">
        <v>584</v>
      </c>
      <c r="B180" s="6" t="s">
        <v>194</v>
      </c>
      <c r="C180" s="6" t="s">
        <v>449</v>
      </c>
      <c r="D180" s="6" t="s">
        <v>585</v>
      </c>
      <c r="E180" s="6" t="s">
        <v>50</v>
      </c>
      <c r="F180" s="6" t="s">
        <v>51</v>
      </c>
      <c r="G180" s="7">
        <v>0.75</v>
      </c>
      <c r="H180" s="6" t="s">
        <v>586</v>
      </c>
      <c r="I180" s="6" t="s">
        <v>20</v>
      </c>
      <c r="J180" s="6">
        <v>2000.0</v>
      </c>
      <c r="L180" s="6">
        <v>1.0</v>
      </c>
      <c r="M180" s="8">
        <f t="shared" si="1"/>
        <v>0.75</v>
      </c>
      <c r="P180" s="9"/>
    </row>
    <row r="181">
      <c r="A181" s="6" t="s">
        <v>587</v>
      </c>
      <c r="B181" s="6" t="s">
        <v>570</v>
      </c>
      <c r="C181" s="6" t="s">
        <v>48</v>
      </c>
      <c r="D181" s="6" t="s">
        <v>588</v>
      </c>
      <c r="E181" s="6" t="s">
        <v>50</v>
      </c>
      <c r="F181" s="6" t="s">
        <v>51</v>
      </c>
      <c r="G181" s="7">
        <v>0.3</v>
      </c>
      <c r="H181" s="6" t="s">
        <v>581</v>
      </c>
      <c r="I181" s="6" t="s">
        <v>20</v>
      </c>
      <c r="J181" s="6">
        <v>2022.0</v>
      </c>
      <c r="K181" s="10">
        <v>46055.0</v>
      </c>
      <c r="L181" s="6">
        <v>1.0</v>
      </c>
      <c r="M181" s="8">
        <f t="shared" si="1"/>
        <v>0.3</v>
      </c>
      <c r="P181" s="9"/>
    </row>
    <row r="182">
      <c r="A182" s="6" t="s">
        <v>589</v>
      </c>
      <c r="B182" s="6" t="s">
        <v>182</v>
      </c>
      <c r="C182" s="6" t="s">
        <v>23</v>
      </c>
      <c r="D182" s="6" t="s">
        <v>590</v>
      </c>
      <c r="E182" s="6" t="s">
        <v>79</v>
      </c>
      <c r="F182" s="6" t="s">
        <v>51</v>
      </c>
      <c r="G182" s="7">
        <v>0.05</v>
      </c>
      <c r="H182" s="6" t="s">
        <v>93</v>
      </c>
      <c r="I182" s="6" t="s">
        <v>20</v>
      </c>
      <c r="J182" s="6">
        <v>2016.0</v>
      </c>
      <c r="L182" s="6">
        <v>1.0</v>
      </c>
      <c r="M182" s="8">
        <f t="shared" si="1"/>
        <v>0.05</v>
      </c>
      <c r="N182" s="6" t="s">
        <v>518</v>
      </c>
      <c r="P182" s="9"/>
    </row>
    <row r="183">
      <c r="A183" s="6" t="s">
        <v>591</v>
      </c>
      <c r="B183" s="6" t="s">
        <v>592</v>
      </c>
      <c r="C183" s="6" t="s">
        <v>23</v>
      </c>
      <c r="D183" s="6" t="s">
        <v>593</v>
      </c>
      <c r="E183" s="6" t="s">
        <v>118</v>
      </c>
      <c r="F183" s="6" t="s">
        <v>51</v>
      </c>
      <c r="G183" s="7">
        <v>0.75</v>
      </c>
      <c r="H183" s="6" t="s">
        <v>523</v>
      </c>
      <c r="I183" s="6" t="s">
        <v>20</v>
      </c>
      <c r="J183" s="6">
        <v>1997.0</v>
      </c>
      <c r="L183" s="6">
        <v>1.0</v>
      </c>
      <c r="M183" s="8">
        <f t="shared" si="1"/>
        <v>0.75</v>
      </c>
      <c r="P183" s="9"/>
    </row>
    <row r="184">
      <c r="A184" s="6" t="s">
        <v>594</v>
      </c>
      <c r="B184" s="6" t="s">
        <v>134</v>
      </c>
      <c r="C184" s="6" t="s">
        <v>23</v>
      </c>
      <c r="D184" s="6" t="s">
        <v>595</v>
      </c>
      <c r="E184" s="6" t="s">
        <v>118</v>
      </c>
      <c r="F184" s="6" t="s">
        <v>51</v>
      </c>
      <c r="G184" s="7">
        <v>0.08</v>
      </c>
      <c r="H184" s="6" t="s">
        <v>596</v>
      </c>
      <c r="I184" s="6" t="s">
        <v>20</v>
      </c>
      <c r="J184" s="6">
        <v>2012.0</v>
      </c>
      <c r="K184" s="6" t="s">
        <v>597</v>
      </c>
      <c r="L184" s="6">
        <v>5.0</v>
      </c>
      <c r="M184" s="8">
        <f t="shared" si="1"/>
        <v>0.4</v>
      </c>
      <c r="P184" s="9"/>
    </row>
    <row r="185">
      <c r="A185" s="6" t="s">
        <v>594</v>
      </c>
      <c r="B185" s="6" t="s">
        <v>134</v>
      </c>
      <c r="C185" s="6" t="s">
        <v>23</v>
      </c>
      <c r="D185" s="6" t="s">
        <v>595</v>
      </c>
      <c r="E185" s="6" t="s">
        <v>118</v>
      </c>
      <c r="F185" s="6" t="s">
        <v>51</v>
      </c>
      <c r="G185" s="7">
        <v>0.08</v>
      </c>
      <c r="H185" s="6" t="s">
        <v>154</v>
      </c>
      <c r="I185" s="6" t="s">
        <v>20</v>
      </c>
      <c r="J185" s="6">
        <v>2013.0</v>
      </c>
      <c r="K185" s="6" t="s">
        <v>597</v>
      </c>
      <c r="L185" s="6">
        <v>1.0</v>
      </c>
      <c r="M185" s="8">
        <f t="shared" si="1"/>
        <v>0.08</v>
      </c>
      <c r="P185" s="9"/>
    </row>
    <row r="186">
      <c r="A186" s="6" t="s">
        <v>598</v>
      </c>
      <c r="B186" s="6" t="s">
        <v>263</v>
      </c>
      <c r="C186" s="6" t="s">
        <v>48</v>
      </c>
      <c r="D186" s="6" t="s">
        <v>599</v>
      </c>
      <c r="E186" s="6" t="s">
        <v>345</v>
      </c>
      <c r="F186" s="6" t="s">
        <v>18</v>
      </c>
      <c r="G186" s="7">
        <v>0.06</v>
      </c>
      <c r="H186" s="6" t="s">
        <v>562</v>
      </c>
      <c r="I186" s="6" t="s">
        <v>20</v>
      </c>
      <c r="J186" s="6">
        <v>2017.0</v>
      </c>
      <c r="K186" s="10">
        <v>46116.0</v>
      </c>
      <c r="L186" s="6">
        <v>2.0</v>
      </c>
      <c r="M186" s="8">
        <f t="shared" si="1"/>
        <v>0.12</v>
      </c>
      <c r="P186" s="9"/>
    </row>
    <row r="187">
      <c r="A187" s="6" t="s">
        <v>598</v>
      </c>
      <c r="B187" s="6" t="s">
        <v>263</v>
      </c>
      <c r="C187" s="6" t="s">
        <v>48</v>
      </c>
      <c r="D187" s="6" t="s">
        <v>599</v>
      </c>
      <c r="E187" s="6" t="s">
        <v>345</v>
      </c>
      <c r="F187" s="6" t="s">
        <v>18</v>
      </c>
      <c r="G187" s="7">
        <v>0.06</v>
      </c>
      <c r="H187" s="6" t="s">
        <v>562</v>
      </c>
      <c r="I187" s="6" t="s">
        <v>20</v>
      </c>
      <c r="J187" s="6">
        <v>2017.0</v>
      </c>
      <c r="K187" s="10">
        <v>46116.0</v>
      </c>
      <c r="L187" s="6">
        <v>2.0</v>
      </c>
      <c r="M187" s="8">
        <f t="shared" si="1"/>
        <v>0.12</v>
      </c>
      <c r="P187" s="9"/>
    </row>
    <row r="188">
      <c r="A188" s="6" t="s">
        <v>600</v>
      </c>
      <c r="B188" s="6" t="s">
        <v>182</v>
      </c>
      <c r="C188" s="6" t="s">
        <v>48</v>
      </c>
      <c r="D188" s="6" t="s">
        <v>601</v>
      </c>
      <c r="E188" s="6" t="s">
        <v>602</v>
      </c>
      <c r="F188" s="6" t="s">
        <v>159</v>
      </c>
      <c r="G188" s="7">
        <v>0.15</v>
      </c>
      <c r="H188" s="6" t="s">
        <v>163</v>
      </c>
      <c r="I188" s="6" t="s">
        <v>20</v>
      </c>
      <c r="J188" s="6">
        <v>2023.0</v>
      </c>
      <c r="L188" s="6">
        <v>1.0</v>
      </c>
      <c r="M188" s="8">
        <f t="shared" si="1"/>
        <v>0.15</v>
      </c>
      <c r="P188" s="9"/>
    </row>
    <row r="189">
      <c r="A189" s="6" t="s">
        <v>603</v>
      </c>
      <c r="B189" s="6" t="s">
        <v>604</v>
      </c>
      <c r="C189" s="6" t="s">
        <v>287</v>
      </c>
      <c r="D189" s="6" t="s">
        <v>605</v>
      </c>
      <c r="E189" s="6" t="s">
        <v>64</v>
      </c>
      <c r="F189" s="6" t="s">
        <v>65</v>
      </c>
      <c r="G189" s="7">
        <v>0.05</v>
      </c>
      <c r="H189" s="6" t="s">
        <v>606</v>
      </c>
      <c r="I189" s="6" t="s">
        <v>20</v>
      </c>
      <c r="J189" s="6">
        <v>1995.0</v>
      </c>
      <c r="K189" s="10">
        <v>46023.0</v>
      </c>
      <c r="L189" s="6">
        <v>5.0</v>
      </c>
      <c r="M189" s="8">
        <f t="shared" si="1"/>
        <v>0.25</v>
      </c>
      <c r="P189" s="9"/>
    </row>
    <row r="190">
      <c r="A190" s="6" t="s">
        <v>603</v>
      </c>
      <c r="B190" s="6" t="s">
        <v>604</v>
      </c>
      <c r="C190" s="6" t="s">
        <v>287</v>
      </c>
      <c r="D190" s="6" t="s">
        <v>605</v>
      </c>
      <c r="E190" s="6" t="s">
        <v>64</v>
      </c>
      <c r="F190" s="6" t="s">
        <v>65</v>
      </c>
      <c r="G190" s="7">
        <v>0.16</v>
      </c>
      <c r="H190" s="6" t="s">
        <v>120</v>
      </c>
      <c r="I190" s="6" t="s">
        <v>20</v>
      </c>
      <c r="J190" s="6">
        <v>1995.0</v>
      </c>
      <c r="K190" s="10">
        <v>46023.0</v>
      </c>
      <c r="L190" s="6">
        <v>1.0</v>
      </c>
      <c r="M190" s="8">
        <f t="shared" si="1"/>
        <v>0.16</v>
      </c>
      <c r="P190" s="9"/>
    </row>
    <row r="191">
      <c r="A191" s="6" t="s">
        <v>603</v>
      </c>
      <c r="B191" s="6" t="s">
        <v>604</v>
      </c>
      <c r="C191" s="6" t="s">
        <v>287</v>
      </c>
      <c r="D191" s="6" t="s">
        <v>605</v>
      </c>
      <c r="E191" s="6" t="s">
        <v>64</v>
      </c>
      <c r="F191" s="6" t="s">
        <v>65</v>
      </c>
      <c r="G191" s="7">
        <v>0.12</v>
      </c>
      <c r="H191" s="6" t="s">
        <v>607</v>
      </c>
      <c r="I191" s="6" t="s">
        <v>20</v>
      </c>
      <c r="J191" s="6">
        <v>1994.0</v>
      </c>
      <c r="K191" s="10">
        <v>46023.0</v>
      </c>
      <c r="L191" s="6">
        <v>1.0</v>
      </c>
      <c r="M191" s="8">
        <f t="shared" si="1"/>
        <v>0.12</v>
      </c>
      <c r="P191" s="9"/>
    </row>
    <row r="192">
      <c r="A192" s="6" t="s">
        <v>608</v>
      </c>
      <c r="B192" s="6" t="s">
        <v>609</v>
      </c>
      <c r="C192" s="6" t="s">
        <v>23</v>
      </c>
      <c r="D192" s="6" t="s">
        <v>610</v>
      </c>
      <c r="E192" s="6" t="s">
        <v>611</v>
      </c>
      <c r="F192" s="6" t="s">
        <v>103</v>
      </c>
      <c r="G192" s="7">
        <v>0.03</v>
      </c>
      <c r="H192" s="6" t="s">
        <v>555</v>
      </c>
      <c r="I192" s="6" t="s">
        <v>20</v>
      </c>
      <c r="J192" s="6">
        <v>2017.0</v>
      </c>
      <c r="K192" s="10">
        <v>46084.0</v>
      </c>
      <c r="L192" s="6">
        <v>1.0</v>
      </c>
      <c r="M192" s="8">
        <f t="shared" si="1"/>
        <v>0.03</v>
      </c>
      <c r="P192" s="9"/>
    </row>
    <row r="193">
      <c r="A193" s="6" t="s">
        <v>612</v>
      </c>
      <c r="B193" s="6" t="s">
        <v>613</v>
      </c>
      <c r="C193" s="6" t="s">
        <v>23</v>
      </c>
      <c r="D193" s="6" t="s">
        <v>614</v>
      </c>
      <c r="E193" s="6" t="s">
        <v>118</v>
      </c>
      <c r="F193" s="6" t="s">
        <v>51</v>
      </c>
      <c r="G193" s="7">
        <v>1.0</v>
      </c>
      <c r="H193" s="6" t="s">
        <v>26</v>
      </c>
      <c r="I193" s="6" t="s">
        <v>20</v>
      </c>
      <c r="J193" s="6">
        <v>2026.0</v>
      </c>
      <c r="K193" s="10">
        <v>46055.0</v>
      </c>
      <c r="L193" s="6">
        <v>1.0</v>
      </c>
      <c r="M193" s="8">
        <f t="shared" si="1"/>
        <v>1</v>
      </c>
      <c r="P193" s="9"/>
    </row>
    <row r="194">
      <c r="A194" s="6" t="s">
        <v>615</v>
      </c>
      <c r="B194" s="6" t="s">
        <v>616</v>
      </c>
      <c r="C194" s="6" t="s">
        <v>34</v>
      </c>
      <c r="D194" s="6" t="s">
        <v>617</v>
      </c>
      <c r="E194" s="6" t="s">
        <v>618</v>
      </c>
      <c r="F194" s="6" t="s">
        <v>159</v>
      </c>
      <c r="G194" s="7">
        <v>0.13</v>
      </c>
      <c r="H194" s="6" t="s">
        <v>38</v>
      </c>
      <c r="I194" s="6" t="s">
        <v>20</v>
      </c>
      <c r="J194" s="6">
        <v>2026.0</v>
      </c>
      <c r="K194" s="10">
        <v>46056.0</v>
      </c>
      <c r="L194" s="6">
        <v>1.0</v>
      </c>
      <c r="M194" s="8">
        <f t="shared" si="1"/>
        <v>0.13</v>
      </c>
      <c r="P194" s="9"/>
    </row>
    <row r="195">
      <c r="A195" s="6" t="s">
        <v>619</v>
      </c>
      <c r="B195" s="6" t="s">
        <v>62</v>
      </c>
      <c r="C195" s="6" t="s">
        <v>23</v>
      </c>
      <c r="D195" s="6" t="s">
        <v>620</v>
      </c>
      <c r="E195" s="6" t="s">
        <v>149</v>
      </c>
      <c r="F195" s="6" t="s">
        <v>18</v>
      </c>
      <c r="G195" s="7">
        <v>0.06</v>
      </c>
      <c r="H195" s="6" t="s">
        <v>621</v>
      </c>
      <c r="I195" s="6" t="s">
        <v>20</v>
      </c>
      <c r="J195" s="6">
        <v>2015.0</v>
      </c>
      <c r="L195" s="6">
        <v>1.0</v>
      </c>
      <c r="M195" s="8">
        <f t="shared" si="1"/>
        <v>0.06</v>
      </c>
      <c r="P195" s="9"/>
    </row>
    <row r="196">
      <c r="A196" s="6" t="s">
        <v>622</v>
      </c>
      <c r="B196" s="6" t="s">
        <v>623</v>
      </c>
      <c r="C196" s="6" t="s">
        <v>48</v>
      </c>
      <c r="D196" s="6" t="s">
        <v>624</v>
      </c>
      <c r="E196" s="6" t="s">
        <v>625</v>
      </c>
      <c r="F196" s="6" t="s">
        <v>37</v>
      </c>
      <c r="G196" s="7">
        <v>0.05</v>
      </c>
      <c r="H196" s="6" t="s">
        <v>626</v>
      </c>
      <c r="I196" s="6" t="s">
        <v>20</v>
      </c>
      <c r="J196" s="6">
        <v>2013.0</v>
      </c>
      <c r="K196" s="10">
        <v>46024.0</v>
      </c>
      <c r="L196" s="6">
        <v>1.0</v>
      </c>
      <c r="M196" s="8">
        <f t="shared" si="1"/>
        <v>0.05</v>
      </c>
      <c r="P196" s="9"/>
    </row>
    <row r="197">
      <c r="A197" s="6" t="s">
        <v>622</v>
      </c>
      <c r="B197" s="6" t="s">
        <v>623</v>
      </c>
      <c r="C197" s="6" t="s">
        <v>48</v>
      </c>
      <c r="D197" s="6" t="s">
        <v>624</v>
      </c>
      <c r="E197" s="6" t="s">
        <v>625</v>
      </c>
      <c r="F197" s="6" t="s">
        <v>37</v>
      </c>
      <c r="G197" s="7">
        <v>0.05</v>
      </c>
      <c r="H197" s="6" t="s">
        <v>626</v>
      </c>
      <c r="I197" s="6" t="s">
        <v>20</v>
      </c>
      <c r="J197" s="6">
        <v>2013.0</v>
      </c>
      <c r="K197" s="10">
        <v>46024.0</v>
      </c>
      <c r="L197" s="6">
        <v>1.0</v>
      </c>
      <c r="M197" s="8">
        <f t="shared" si="1"/>
        <v>0.05</v>
      </c>
      <c r="P197" s="9"/>
    </row>
    <row r="198">
      <c r="A198" s="6" t="s">
        <v>627</v>
      </c>
      <c r="B198" s="6" t="s">
        <v>628</v>
      </c>
      <c r="C198" s="6" t="s">
        <v>23</v>
      </c>
      <c r="D198" s="6" t="s">
        <v>629</v>
      </c>
      <c r="E198" s="6" t="s">
        <v>79</v>
      </c>
      <c r="F198" s="6" t="s">
        <v>51</v>
      </c>
      <c r="G198" s="7">
        <v>0.06</v>
      </c>
      <c r="H198" s="6" t="s">
        <v>411</v>
      </c>
      <c r="I198" s="6" t="s">
        <v>20</v>
      </c>
      <c r="J198" s="6">
        <v>2014.0</v>
      </c>
      <c r="K198" s="10">
        <v>46055.0</v>
      </c>
      <c r="L198" s="6">
        <v>1.0</v>
      </c>
      <c r="M198" s="8">
        <f t="shared" si="1"/>
        <v>0.06</v>
      </c>
      <c r="P198" s="9"/>
    </row>
    <row r="199">
      <c r="A199" s="6" t="s">
        <v>630</v>
      </c>
      <c r="B199" s="6" t="s">
        <v>543</v>
      </c>
      <c r="C199" s="6" t="s">
        <v>521</v>
      </c>
      <c r="D199" s="6" t="s">
        <v>631</v>
      </c>
      <c r="E199" s="6" t="s">
        <v>153</v>
      </c>
      <c r="F199" s="6" t="s">
        <v>103</v>
      </c>
      <c r="G199" s="7">
        <v>5.85</v>
      </c>
      <c r="H199" s="7" t="s">
        <v>632</v>
      </c>
      <c r="I199" s="6" t="s">
        <v>55</v>
      </c>
      <c r="J199" s="6">
        <v>2002.0</v>
      </c>
      <c r="L199" s="6">
        <v>1.0</v>
      </c>
      <c r="M199" s="8">
        <f t="shared" si="1"/>
        <v>5.85</v>
      </c>
      <c r="P199" s="9"/>
    </row>
    <row r="200">
      <c r="A200" s="6" t="s">
        <v>633</v>
      </c>
      <c r="B200" s="6" t="s">
        <v>62</v>
      </c>
      <c r="C200" s="6" t="s">
        <v>23</v>
      </c>
      <c r="D200" s="6" t="s">
        <v>634</v>
      </c>
      <c r="E200" s="6" t="s">
        <v>635</v>
      </c>
      <c r="F200" s="6" t="s">
        <v>51</v>
      </c>
      <c r="G200" s="7">
        <v>2.48</v>
      </c>
      <c r="H200" s="6" t="s">
        <v>636</v>
      </c>
      <c r="I200" s="6" t="s">
        <v>20</v>
      </c>
      <c r="J200" s="6">
        <v>2015.0</v>
      </c>
      <c r="L200" s="6">
        <v>4.0</v>
      </c>
      <c r="M200" s="8">
        <f t="shared" si="1"/>
        <v>9.92</v>
      </c>
      <c r="P200" s="9"/>
    </row>
    <row r="201">
      <c r="A201" s="6" t="s">
        <v>637</v>
      </c>
      <c r="B201" s="6" t="s">
        <v>151</v>
      </c>
      <c r="C201" s="6" t="s">
        <v>23</v>
      </c>
      <c r="D201" s="6" t="s">
        <v>638</v>
      </c>
      <c r="E201" s="6" t="s">
        <v>50</v>
      </c>
      <c r="F201" s="6" t="s">
        <v>51</v>
      </c>
      <c r="G201" s="7">
        <v>0.06</v>
      </c>
      <c r="H201" s="6" t="s">
        <v>93</v>
      </c>
      <c r="I201" s="6" t="s">
        <v>20</v>
      </c>
      <c r="J201" s="6">
        <v>2016.0</v>
      </c>
      <c r="K201" s="10">
        <v>46083.0</v>
      </c>
      <c r="L201" s="6">
        <v>1.0</v>
      </c>
      <c r="M201" s="8">
        <f t="shared" si="1"/>
        <v>0.06</v>
      </c>
      <c r="P201" s="9"/>
    </row>
    <row r="202">
      <c r="A202" s="6" t="s">
        <v>639</v>
      </c>
      <c r="B202" s="6" t="s">
        <v>194</v>
      </c>
      <c r="C202" s="6" t="s">
        <v>23</v>
      </c>
      <c r="D202" s="6" t="s">
        <v>640</v>
      </c>
      <c r="E202" s="6" t="s">
        <v>50</v>
      </c>
      <c r="F202" s="6" t="s">
        <v>51</v>
      </c>
      <c r="G202" s="7">
        <v>0.05</v>
      </c>
      <c r="H202" s="6" t="s">
        <v>641</v>
      </c>
      <c r="I202" s="6" t="s">
        <v>20</v>
      </c>
      <c r="J202" s="6">
        <v>2026.0</v>
      </c>
      <c r="L202" s="6">
        <v>1.0</v>
      </c>
      <c r="M202" s="8">
        <f t="shared" si="1"/>
        <v>0.05</v>
      </c>
      <c r="P202" s="9"/>
    </row>
    <row r="203">
      <c r="A203" s="6" t="s">
        <v>642</v>
      </c>
      <c r="B203" s="6" t="s">
        <v>643</v>
      </c>
      <c r="C203" s="6" t="s">
        <v>23</v>
      </c>
      <c r="D203" s="6" t="s">
        <v>644</v>
      </c>
      <c r="E203" s="6" t="s">
        <v>235</v>
      </c>
      <c r="F203" s="6" t="s">
        <v>103</v>
      </c>
      <c r="G203" s="7">
        <v>0.17</v>
      </c>
      <c r="H203" s="6" t="s">
        <v>645</v>
      </c>
      <c r="I203" s="6" t="s">
        <v>55</v>
      </c>
      <c r="J203" s="6">
        <v>2024.0</v>
      </c>
      <c r="K203" s="10">
        <v>46056.0</v>
      </c>
      <c r="L203" s="6">
        <v>1.0</v>
      </c>
      <c r="M203" s="8">
        <f t="shared" si="1"/>
        <v>0.17</v>
      </c>
      <c r="P203" s="9"/>
    </row>
    <row r="204">
      <c r="A204" s="6" t="s">
        <v>646</v>
      </c>
      <c r="B204" s="6" t="s">
        <v>62</v>
      </c>
      <c r="C204" s="6" t="s">
        <v>23</v>
      </c>
      <c r="D204" s="6" t="s">
        <v>647</v>
      </c>
      <c r="E204" s="6" t="s">
        <v>270</v>
      </c>
      <c r="F204" s="6" t="s">
        <v>159</v>
      </c>
      <c r="G204" s="7">
        <v>0.03</v>
      </c>
      <c r="H204" s="6" t="s">
        <v>316</v>
      </c>
      <c r="I204" s="6" t="s">
        <v>20</v>
      </c>
      <c r="J204" s="6">
        <v>2016.0</v>
      </c>
      <c r="L204" s="6">
        <v>3.0</v>
      </c>
      <c r="M204" s="8">
        <f t="shared" si="1"/>
        <v>0.09</v>
      </c>
      <c r="P204" s="9"/>
    </row>
    <row r="205">
      <c r="A205" s="6" t="s">
        <v>648</v>
      </c>
      <c r="B205" s="6" t="s">
        <v>62</v>
      </c>
      <c r="C205" s="6" t="s">
        <v>23</v>
      </c>
      <c r="D205" s="6" t="s">
        <v>649</v>
      </c>
      <c r="E205" s="6" t="s">
        <v>650</v>
      </c>
      <c r="F205" s="6" t="s">
        <v>284</v>
      </c>
      <c r="G205" s="7">
        <v>0.05</v>
      </c>
      <c r="H205" s="6" t="s">
        <v>185</v>
      </c>
      <c r="I205" s="6" t="s">
        <v>20</v>
      </c>
      <c r="J205" s="6">
        <v>2019.0</v>
      </c>
      <c r="L205" s="6">
        <v>1.0</v>
      </c>
      <c r="M205" s="8">
        <f t="shared" si="1"/>
        <v>0.05</v>
      </c>
      <c r="P205" s="9"/>
    </row>
    <row r="206">
      <c r="A206" s="6" t="s">
        <v>651</v>
      </c>
      <c r="B206" s="6" t="s">
        <v>652</v>
      </c>
      <c r="C206" s="6" t="s">
        <v>23</v>
      </c>
      <c r="D206" s="6" t="s">
        <v>653</v>
      </c>
      <c r="E206" s="6" t="s">
        <v>270</v>
      </c>
      <c r="F206" s="6" t="s">
        <v>159</v>
      </c>
      <c r="G206" s="7">
        <v>0.09</v>
      </c>
      <c r="H206" s="6" t="s">
        <v>114</v>
      </c>
      <c r="I206" s="6" t="s">
        <v>20</v>
      </c>
      <c r="J206" s="6">
        <v>2021.0</v>
      </c>
      <c r="K206" s="10">
        <v>46113.0</v>
      </c>
      <c r="L206" s="6">
        <v>2.0</v>
      </c>
      <c r="M206" s="8">
        <f t="shared" si="1"/>
        <v>0.18</v>
      </c>
      <c r="P206" s="9"/>
    </row>
    <row r="207">
      <c r="A207" s="6" t="s">
        <v>654</v>
      </c>
      <c r="B207" s="6" t="s">
        <v>655</v>
      </c>
      <c r="C207" s="6" t="s">
        <v>23</v>
      </c>
      <c r="D207" s="6" t="s">
        <v>656</v>
      </c>
      <c r="E207" s="6" t="s">
        <v>118</v>
      </c>
      <c r="F207" s="6" t="s">
        <v>51</v>
      </c>
      <c r="G207" s="7">
        <v>0.1</v>
      </c>
      <c r="H207" s="6" t="s">
        <v>192</v>
      </c>
      <c r="I207" s="6" t="s">
        <v>20</v>
      </c>
      <c r="J207" s="6">
        <v>2026.0</v>
      </c>
      <c r="K207" s="10">
        <v>46055.0</v>
      </c>
      <c r="L207" s="6">
        <v>5.0</v>
      </c>
      <c r="M207" s="8">
        <f t="shared" si="1"/>
        <v>0.5</v>
      </c>
      <c r="P207" s="9"/>
    </row>
    <row r="208">
      <c r="A208" s="6" t="s">
        <v>654</v>
      </c>
      <c r="B208" s="6" t="s">
        <v>655</v>
      </c>
      <c r="C208" s="6" t="s">
        <v>23</v>
      </c>
      <c r="D208" s="6" t="s">
        <v>656</v>
      </c>
      <c r="E208" s="6" t="s">
        <v>118</v>
      </c>
      <c r="F208" s="6" t="s">
        <v>51</v>
      </c>
      <c r="G208" s="7">
        <v>0.1</v>
      </c>
      <c r="H208" s="6" t="s">
        <v>192</v>
      </c>
      <c r="I208" s="6" t="s">
        <v>20</v>
      </c>
      <c r="J208" s="6">
        <v>2026.0</v>
      </c>
      <c r="K208" s="10">
        <v>46055.0</v>
      </c>
      <c r="L208" s="6">
        <v>2.0</v>
      </c>
      <c r="M208" s="8">
        <f t="shared" si="1"/>
        <v>0.2</v>
      </c>
      <c r="P208" s="9"/>
    </row>
    <row r="209">
      <c r="A209" s="6" t="s">
        <v>657</v>
      </c>
      <c r="B209" s="6" t="s">
        <v>658</v>
      </c>
      <c r="C209" s="6" t="s">
        <v>48</v>
      </c>
      <c r="D209" s="6" t="s">
        <v>659</v>
      </c>
      <c r="E209" s="6" t="s">
        <v>25</v>
      </c>
      <c r="F209" s="6" t="s">
        <v>18</v>
      </c>
      <c r="G209" s="7">
        <v>0.15</v>
      </c>
      <c r="H209" s="6" t="s">
        <v>192</v>
      </c>
      <c r="I209" s="6" t="s">
        <v>20</v>
      </c>
      <c r="J209" s="6">
        <v>2026.0</v>
      </c>
      <c r="K209" s="10">
        <v>46055.0</v>
      </c>
      <c r="L209" s="6">
        <v>2.0</v>
      </c>
      <c r="M209" s="8">
        <f t="shared" si="1"/>
        <v>0.3</v>
      </c>
      <c r="P209" s="9"/>
    </row>
    <row r="210">
      <c r="A210" s="6" t="s">
        <v>660</v>
      </c>
      <c r="B210" s="6" t="s">
        <v>661</v>
      </c>
      <c r="C210" s="6" t="s">
        <v>23</v>
      </c>
      <c r="D210" s="6" t="s">
        <v>662</v>
      </c>
      <c r="E210" s="6" t="s">
        <v>149</v>
      </c>
      <c r="F210" s="6" t="s">
        <v>18</v>
      </c>
      <c r="G210" s="7">
        <v>0.14</v>
      </c>
      <c r="H210" s="6" t="s">
        <v>663</v>
      </c>
      <c r="I210" s="6" t="s">
        <v>20</v>
      </c>
      <c r="J210" s="6">
        <v>2023.0</v>
      </c>
      <c r="K210" s="10">
        <v>46082.0</v>
      </c>
      <c r="L210" s="6">
        <v>1.0</v>
      </c>
      <c r="M210" s="8">
        <f t="shared" si="1"/>
        <v>0.14</v>
      </c>
      <c r="P210" s="9"/>
    </row>
    <row r="211">
      <c r="A211" s="6" t="s">
        <v>664</v>
      </c>
      <c r="B211" s="6" t="s">
        <v>665</v>
      </c>
      <c r="C211" s="6" t="s">
        <v>34</v>
      </c>
      <c r="D211" s="6" t="s">
        <v>666</v>
      </c>
      <c r="E211" s="6" t="s">
        <v>667</v>
      </c>
      <c r="F211" s="6" t="s">
        <v>18</v>
      </c>
      <c r="G211" s="7">
        <v>0.06</v>
      </c>
      <c r="H211" s="6" t="s">
        <v>180</v>
      </c>
      <c r="I211" s="6" t="s">
        <v>20</v>
      </c>
      <c r="J211" s="6">
        <v>2014.0</v>
      </c>
      <c r="K211" s="6" t="s">
        <v>89</v>
      </c>
      <c r="L211" s="6">
        <v>2.0</v>
      </c>
      <c r="M211" s="8">
        <f t="shared" si="1"/>
        <v>0.12</v>
      </c>
      <c r="P211" s="9"/>
    </row>
    <row r="212">
      <c r="A212" s="6" t="s">
        <v>668</v>
      </c>
      <c r="B212" s="6" t="s">
        <v>372</v>
      </c>
      <c r="C212" s="6" t="s">
        <v>23</v>
      </c>
      <c r="D212" s="6" t="s">
        <v>669</v>
      </c>
      <c r="E212" s="6" t="s">
        <v>248</v>
      </c>
      <c r="F212" s="6" t="s">
        <v>18</v>
      </c>
      <c r="G212" s="7">
        <v>0.43</v>
      </c>
      <c r="H212" s="6" t="s">
        <v>626</v>
      </c>
      <c r="I212" s="6" t="s">
        <v>20</v>
      </c>
      <c r="J212" s="6">
        <v>2013.0</v>
      </c>
      <c r="L212" s="6">
        <v>1.0</v>
      </c>
      <c r="M212" s="8">
        <f t="shared" si="1"/>
        <v>0.43</v>
      </c>
      <c r="P212" s="9"/>
    </row>
    <row r="213">
      <c r="A213" s="6" t="s">
        <v>668</v>
      </c>
      <c r="B213" s="6" t="s">
        <v>372</v>
      </c>
      <c r="C213" s="6" t="s">
        <v>23</v>
      </c>
      <c r="D213" s="6" t="s">
        <v>669</v>
      </c>
      <c r="E213" s="6" t="s">
        <v>248</v>
      </c>
      <c r="F213" s="6" t="s">
        <v>18</v>
      </c>
      <c r="G213" s="7">
        <v>0.29</v>
      </c>
      <c r="H213" s="6" t="s">
        <v>626</v>
      </c>
      <c r="I213" s="6" t="s">
        <v>20</v>
      </c>
      <c r="J213" s="6">
        <v>2013.0</v>
      </c>
      <c r="L213" s="6">
        <v>2.0</v>
      </c>
      <c r="M213" s="8">
        <f t="shared" si="1"/>
        <v>0.58</v>
      </c>
      <c r="P213" s="9"/>
    </row>
    <row r="214">
      <c r="A214" s="6" t="s">
        <v>668</v>
      </c>
      <c r="B214" s="6" t="s">
        <v>372</v>
      </c>
      <c r="C214" s="6" t="s">
        <v>23</v>
      </c>
      <c r="D214" s="6" t="s">
        <v>669</v>
      </c>
      <c r="E214" s="6" t="s">
        <v>248</v>
      </c>
      <c r="F214" s="6" t="s">
        <v>18</v>
      </c>
      <c r="G214" s="7">
        <v>3.49</v>
      </c>
      <c r="H214" s="6" t="s">
        <v>626</v>
      </c>
      <c r="I214" s="6" t="s">
        <v>55</v>
      </c>
      <c r="J214" s="6">
        <v>2013.0</v>
      </c>
      <c r="L214" s="6">
        <v>4.0</v>
      </c>
      <c r="M214" s="8">
        <f t="shared" si="1"/>
        <v>13.96</v>
      </c>
      <c r="N214" s="6" t="s">
        <v>172</v>
      </c>
      <c r="P214" s="9"/>
    </row>
    <row r="215">
      <c r="A215" s="6" t="s">
        <v>670</v>
      </c>
      <c r="B215" s="6" t="s">
        <v>366</v>
      </c>
      <c r="C215" s="6" t="s">
        <v>521</v>
      </c>
      <c r="D215" s="6" t="s">
        <v>671</v>
      </c>
      <c r="E215" s="6" t="s">
        <v>149</v>
      </c>
      <c r="F215" s="6" t="s">
        <v>18</v>
      </c>
      <c r="G215" s="7">
        <v>0.1</v>
      </c>
      <c r="H215" s="6" t="s">
        <v>641</v>
      </c>
      <c r="I215" s="6" t="s">
        <v>20</v>
      </c>
      <c r="J215" s="6">
        <v>2026.0</v>
      </c>
      <c r="L215" s="6">
        <v>1.0</v>
      </c>
      <c r="M215" s="8">
        <f t="shared" si="1"/>
        <v>0.1</v>
      </c>
      <c r="P215" s="9"/>
    </row>
    <row r="216">
      <c r="A216" s="6" t="s">
        <v>672</v>
      </c>
      <c r="B216" s="6" t="s">
        <v>673</v>
      </c>
      <c r="C216" s="6" t="s">
        <v>23</v>
      </c>
      <c r="D216" s="6" t="s">
        <v>674</v>
      </c>
      <c r="E216" s="6" t="s">
        <v>50</v>
      </c>
      <c r="F216" s="6" t="s">
        <v>51</v>
      </c>
      <c r="G216" s="7">
        <v>0.05</v>
      </c>
      <c r="H216" s="6" t="s">
        <v>675</v>
      </c>
      <c r="I216" s="6" t="s">
        <v>20</v>
      </c>
      <c r="J216" s="6">
        <v>2025.0</v>
      </c>
      <c r="K216" s="10">
        <v>46115.0</v>
      </c>
      <c r="L216" s="6">
        <v>2.0</v>
      </c>
      <c r="M216" s="8">
        <f t="shared" si="1"/>
        <v>0.1</v>
      </c>
      <c r="P216" s="9"/>
    </row>
    <row r="217">
      <c r="A217" s="6" t="s">
        <v>676</v>
      </c>
      <c r="B217" s="6" t="s">
        <v>677</v>
      </c>
      <c r="C217" s="6" t="s">
        <v>48</v>
      </c>
      <c r="D217" s="6" t="s">
        <v>678</v>
      </c>
      <c r="E217" s="6" t="s">
        <v>158</v>
      </c>
      <c r="F217" s="6" t="s">
        <v>159</v>
      </c>
      <c r="G217" s="7">
        <v>0.06</v>
      </c>
      <c r="H217" s="6" t="s">
        <v>316</v>
      </c>
      <c r="I217" s="6" t="s">
        <v>20</v>
      </c>
      <c r="J217" s="6">
        <v>2016.0</v>
      </c>
      <c r="K217" s="10">
        <v>46117.0</v>
      </c>
      <c r="L217" s="6">
        <v>4.0</v>
      </c>
      <c r="M217" s="8">
        <f t="shared" si="1"/>
        <v>0.24</v>
      </c>
      <c r="P217" s="9"/>
    </row>
    <row r="218">
      <c r="A218" s="6" t="s">
        <v>679</v>
      </c>
      <c r="B218" s="6" t="s">
        <v>165</v>
      </c>
      <c r="C218" s="6" t="s">
        <v>15</v>
      </c>
      <c r="D218" s="6" t="s">
        <v>680</v>
      </c>
      <c r="E218" s="6" t="s">
        <v>681</v>
      </c>
      <c r="F218" s="6" t="s">
        <v>65</v>
      </c>
      <c r="G218" s="7">
        <v>0.09</v>
      </c>
      <c r="H218" s="6" t="s">
        <v>180</v>
      </c>
      <c r="I218" s="6" t="s">
        <v>20</v>
      </c>
      <c r="J218" s="6">
        <v>2014.0</v>
      </c>
      <c r="L218" s="6">
        <v>1.0</v>
      </c>
      <c r="M218" s="8">
        <f t="shared" si="1"/>
        <v>0.09</v>
      </c>
      <c r="P218" s="9"/>
    </row>
    <row r="219">
      <c r="A219" s="6" t="s">
        <v>682</v>
      </c>
      <c r="B219" s="6" t="s">
        <v>683</v>
      </c>
      <c r="C219" s="6" t="s">
        <v>684</v>
      </c>
      <c r="D219" s="6" t="s">
        <v>685</v>
      </c>
      <c r="E219" s="6" t="s">
        <v>686</v>
      </c>
      <c r="F219" s="6" t="s">
        <v>18</v>
      </c>
      <c r="G219" s="7">
        <v>3.5</v>
      </c>
      <c r="H219" s="6" t="s">
        <v>180</v>
      </c>
      <c r="I219" s="6" t="s">
        <v>55</v>
      </c>
      <c r="J219" s="6">
        <v>2014.0</v>
      </c>
      <c r="K219" s="10">
        <v>46115.0</v>
      </c>
      <c r="L219" s="6">
        <v>1.0</v>
      </c>
      <c r="M219" s="8">
        <f t="shared" si="1"/>
        <v>3.5</v>
      </c>
      <c r="P219" s="9"/>
    </row>
    <row r="220">
      <c r="A220" s="6" t="s">
        <v>687</v>
      </c>
      <c r="B220" s="6" t="s">
        <v>623</v>
      </c>
      <c r="C220" s="6" t="s">
        <v>48</v>
      </c>
      <c r="D220" s="6" t="s">
        <v>688</v>
      </c>
      <c r="E220" s="6" t="s">
        <v>689</v>
      </c>
      <c r="F220" s="6" t="s">
        <v>261</v>
      </c>
      <c r="G220" s="7">
        <v>0.1</v>
      </c>
      <c r="H220" s="6" t="s">
        <v>141</v>
      </c>
      <c r="I220" s="6" t="s">
        <v>20</v>
      </c>
      <c r="J220" s="6">
        <v>2019.0</v>
      </c>
      <c r="K220" s="10">
        <v>46084.0</v>
      </c>
      <c r="L220" s="6">
        <v>1.0</v>
      </c>
      <c r="M220" s="8">
        <f t="shared" si="1"/>
        <v>0.1</v>
      </c>
      <c r="P220" s="9"/>
    </row>
    <row r="221">
      <c r="A221" s="6" t="s">
        <v>690</v>
      </c>
      <c r="B221" s="6" t="s">
        <v>691</v>
      </c>
      <c r="C221" s="6" t="s">
        <v>48</v>
      </c>
      <c r="D221" s="6" t="s">
        <v>692</v>
      </c>
      <c r="E221" s="6" t="s">
        <v>175</v>
      </c>
      <c r="F221" s="6" t="s">
        <v>51</v>
      </c>
      <c r="G221" s="7">
        <v>0.1</v>
      </c>
      <c r="H221" s="6" t="s">
        <v>171</v>
      </c>
      <c r="I221" s="6" t="s">
        <v>20</v>
      </c>
      <c r="J221" s="6">
        <v>2021.0</v>
      </c>
      <c r="K221" s="6" t="s">
        <v>422</v>
      </c>
      <c r="L221" s="6">
        <v>1.0</v>
      </c>
      <c r="M221" s="8">
        <f t="shared" si="1"/>
        <v>0.1</v>
      </c>
      <c r="P221" s="9"/>
    </row>
    <row r="222">
      <c r="A222" s="6" t="s">
        <v>693</v>
      </c>
      <c r="B222" s="6" t="s">
        <v>694</v>
      </c>
      <c r="C222" s="6" t="s">
        <v>48</v>
      </c>
      <c r="D222" s="6" t="s">
        <v>695</v>
      </c>
      <c r="E222" s="6" t="s">
        <v>696</v>
      </c>
      <c r="F222" s="6" t="s">
        <v>37</v>
      </c>
      <c r="G222" s="7">
        <v>0.13</v>
      </c>
      <c r="H222" s="6" t="s">
        <v>309</v>
      </c>
      <c r="I222" s="6" t="s">
        <v>20</v>
      </c>
      <c r="J222" s="6">
        <v>2013.0</v>
      </c>
      <c r="K222" s="6" t="s">
        <v>697</v>
      </c>
      <c r="L222" s="6">
        <v>1.0</v>
      </c>
      <c r="M222" s="8">
        <f t="shared" si="1"/>
        <v>0.13</v>
      </c>
      <c r="P222" s="9"/>
    </row>
    <row r="223">
      <c r="A223" s="6" t="s">
        <v>698</v>
      </c>
      <c r="B223" s="6" t="s">
        <v>291</v>
      </c>
      <c r="C223" s="6" t="s">
        <v>23</v>
      </c>
      <c r="D223" s="6" t="s">
        <v>699</v>
      </c>
      <c r="E223" s="6" t="s">
        <v>700</v>
      </c>
      <c r="F223" s="6" t="s">
        <v>18</v>
      </c>
      <c r="G223" s="7">
        <v>0.24</v>
      </c>
      <c r="H223" s="6" t="s">
        <v>701</v>
      </c>
      <c r="I223" s="6" t="s">
        <v>20</v>
      </c>
      <c r="J223" s="6">
        <v>2012.0</v>
      </c>
      <c r="K223" s="10">
        <v>46054.0</v>
      </c>
      <c r="L223" s="6">
        <v>1.0</v>
      </c>
      <c r="M223" s="8">
        <f t="shared" si="1"/>
        <v>0.24</v>
      </c>
      <c r="P223" s="9"/>
    </row>
    <row r="224">
      <c r="A224" s="6" t="s">
        <v>702</v>
      </c>
      <c r="B224" s="6" t="s">
        <v>703</v>
      </c>
      <c r="C224" s="6" t="s">
        <v>23</v>
      </c>
      <c r="D224" s="6" t="s">
        <v>704</v>
      </c>
      <c r="E224" s="6" t="s">
        <v>298</v>
      </c>
      <c r="F224" s="6" t="s">
        <v>159</v>
      </c>
      <c r="G224" s="7">
        <v>0.05</v>
      </c>
      <c r="H224" s="6" t="s">
        <v>705</v>
      </c>
      <c r="I224" s="6" t="s">
        <v>20</v>
      </c>
      <c r="J224" s="6">
        <v>2015.0</v>
      </c>
      <c r="K224" s="10">
        <v>46058.0</v>
      </c>
      <c r="L224" s="6">
        <v>1.0</v>
      </c>
      <c r="M224" s="8">
        <f t="shared" si="1"/>
        <v>0.05</v>
      </c>
      <c r="P224" s="9"/>
    </row>
    <row r="225">
      <c r="A225" s="6" t="s">
        <v>706</v>
      </c>
      <c r="B225" s="6" t="s">
        <v>134</v>
      </c>
      <c r="C225" s="6" t="s">
        <v>23</v>
      </c>
      <c r="D225" s="6" t="s">
        <v>707</v>
      </c>
      <c r="E225" s="6" t="s">
        <v>223</v>
      </c>
      <c r="F225" s="6" t="s">
        <v>159</v>
      </c>
      <c r="G225" s="7">
        <v>0.05</v>
      </c>
      <c r="H225" s="6" t="s">
        <v>129</v>
      </c>
      <c r="I225" s="6" t="s">
        <v>20</v>
      </c>
      <c r="J225" s="6">
        <v>2014.0</v>
      </c>
      <c r="K225" s="6" t="s">
        <v>137</v>
      </c>
      <c r="L225" s="6">
        <v>1.0</v>
      </c>
      <c r="M225" s="8">
        <f t="shared" si="1"/>
        <v>0.05</v>
      </c>
      <c r="P225" s="9"/>
    </row>
    <row r="226">
      <c r="A226" s="6" t="s">
        <v>708</v>
      </c>
      <c r="B226" s="6" t="s">
        <v>709</v>
      </c>
      <c r="C226" s="6" t="s">
        <v>41</v>
      </c>
      <c r="D226" s="6" t="s">
        <v>710</v>
      </c>
      <c r="E226" s="6" t="s">
        <v>108</v>
      </c>
      <c r="F226" s="6" t="s">
        <v>103</v>
      </c>
      <c r="G226" s="7">
        <v>4.99</v>
      </c>
      <c r="H226" s="6" t="s">
        <v>705</v>
      </c>
      <c r="I226" s="6" t="s">
        <v>20</v>
      </c>
      <c r="J226" s="6">
        <v>2015.0</v>
      </c>
      <c r="K226" s="10">
        <v>46117.0</v>
      </c>
      <c r="L226" s="6">
        <v>1.0</v>
      </c>
      <c r="M226" s="8">
        <f t="shared" si="1"/>
        <v>4.99</v>
      </c>
      <c r="N226" s="6" t="s">
        <v>172</v>
      </c>
      <c r="P226" s="9"/>
    </row>
    <row r="227">
      <c r="A227" s="6" t="s">
        <v>711</v>
      </c>
      <c r="B227" s="6" t="s">
        <v>709</v>
      </c>
      <c r="C227" s="6" t="s">
        <v>41</v>
      </c>
      <c r="D227" s="6" t="s">
        <v>712</v>
      </c>
      <c r="E227" s="6" t="s">
        <v>108</v>
      </c>
      <c r="F227" s="6" t="s">
        <v>103</v>
      </c>
      <c r="G227" s="7">
        <v>3.25</v>
      </c>
      <c r="H227" s="6" t="s">
        <v>562</v>
      </c>
      <c r="I227" s="6" t="s">
        <v>20</v>
      </c>
      <c r="J227" s="6">
        <v>2017.0</v>
      </c>
      <c r="K227" s="10">
        <v>46117.0</v>
      </c>
      <c r="L227" s="6">
        <v>2.0</v>
      </c>
      <c r="M227" s="8">
        <f t="shared" si="1"/>
        <v>6.5</v>
      </c>
      <c r="N227" s="6" t="s">
        <v>172</v>
      </c>
      <c r="P227" s="9"/>
    </row>
    <row r="228">
      <c r="A228" s="6" t="s">
        <v>713</v>
      </c>
      <c r="B228" s="6" t="s">
        <v>714</v>
      </c>
      <c r="C228" s="6" t="s">
        <v>23</v>
      </c>
      <c r="D228" s="6" t="s">
        <v>715</v>
      </c>
      <c r="E228" s="6" t="s">
        <v>716</v>
      </c>
      <c r="F228" s="6" t="s">
        <v>717</v>
      </c>
      <c r="G228" s="7">
        <v>0.45</v>
      </c>
      <c r="H228" s="6" t="s">
        <v>718</v>
      </c>
      <c r="I228" s="6" t="s">
        <v>20</v>
      </c>
      <c r="J228" s="6">
        <v>2009.0</v>
      </c>
      <c r="K228" s="10">
        <v>46084.0</v>
      </c>
      <c r="L228" s="6">
        <v>1.0</v>
      </c>
      <c r="M228" s="8">
        <f t="shared" si="1"/>
        <v>0.45</v>
      </c>
      <c r="P228" s="9"/>
    </row>
    <row r="229">
      <c r="A229" s="6" t="s">
        <v>719</v>
      </c>
      <c r="B229" s="6" t="s">
        <v>567</v>
      </c>
      <c r="C229" s="6" t="s">
        <v>48</v>
      </c>
      <c r="D229" s="6" t="s">
        <v>720</v>
      </c>
      <c r="E229" s="6" t="s">
        <v>721</v>
      </c>
      <c r="F229" s="6" t="s">
        <v>51</v>
      </c>
      <c r="G229" s="7">
        <v>0.08</v>
      </c>
      <c r="H229" s="6" t="s">
        <v>185</v>
      </c>
      <c r="I229" s="6" t="s">
        <v>20</v>
      </c>
      <c r="J229" s="6">
        <v>2019.0</v>
      </c>
      <c r="K229" s="10">
        <v>46115.0</v>
      </c>
      <c r="L229" s="6">
        <v>1.0</v>
      </c>
      <c r="M229" s="8">
        <f t="shared" si="1"/>
        <v>0.08</v>
      </c>
      <c r="P229" s="9"/>
    </row>
    <row r="230">
      <c r="A230" s="6" t="s">
        <v>722</v>
      </c>
      <c r="B230" s="6" t="s">
        <v>156</v>
      </c>
      <c r="C230" s="6" t="s">
        <v>48</v>
      </c>
      <c r="D230" s="6" t="s">
        <v>723</v>
      </c>
      <c r="E230" s="6" t="s">
        <v>724</v>
      </c>
      <c r="F230" s="6" t="s">
        <v>159</v>
      </c>
      <c r="G230" s="7">
        <v>0.06</v>
      </c>
      <c r="H230" s="6" t="s">
        <v>271</v>
      </c>
      <c r="I230" s="6" t="s">
        <v>20</v>
      </c>
      <c r="J230" s="6">
        <v>2012.0</v>
      </c>
      <c r="K230" s="10">
        <v>46147.0</v>
      </c>
      <c r="L230" s="6">
        <v>1.0</v>
      </c>
      <c r="M230" s="8">
        <f t="shared" si="1"/>
        <v>0.06</v>
      </c>
      <c r="P230" s="9"/>
    </row>
    <row r="231">
      <c r="A231" s="6" t="s">
        <v>725</v>
      </c>
      <c r="B231" s="6" t="s">
        <v>726</v>
      </c>
      <c r="C231" s="6" t="s">
        <v>23</v>
      </c>
      <c r="D231" s="6" t="s">
        <v>727</v>
      </c>
      <c r="E231" s="6" t="s">
        <v>118</v>
      </c>
      <c r="F231" s="6" t="s">
        <v>51</v>
      </c>
      <c r="G231" s="7">
        <v>0.09</v>
      </c>
      <c r="H231" s="6" t="s">
        <v>574</v>
      </c>
      <c r="I231" s="6" t="s">
        <v>20</v>
      </c>
      <c r="J231" s="6">
        <v>2000.0</v>
      </c>
      <c r="K231" s="10">
        <v>46054.0</v>
      </c>
      <c r="L231" s="6">
        <v>1.0</v>
      </c>
      <c r="M231" s="8">
        <f t="shared" si="1"/>
        <v>0.09</v>
      </c>
      <c r="P231" s="9"/>
    </row>
    <row r="232">
      <c r="A232" s="6" t="s">
        <v>728</v>
      </c>
      <c r="B232" s="6" t="s">
        <v>729</v>
      </c>
      <c r="C232" s="6" t="s">
        <v>23</v>
      </c>
      <c r="D232" s="6" t="s">
        <v>730</v>
      </c>
      <c r="E232" s="6" t="s">
        <v>118</v>
      </c>
      <c r="F232" s="6" t="s">
        <v>51</v>
      </c>
      <c r="G232" s="7">
        <v>4.49</v>
      </c>
      <c r="H232" s="6" t="s">
        <v>574</v>
      </c>
      <c r="I232" s="6" t="s">
        <v>55</v>
      </c>
      <c r="J232" s="6">
        <v>2000.0</v>
      </c>
      <c r="K232" s="10">
        <v>46054.0</v>
      </c>
      <c r="L232" s="6">
        <v>1.0</v>
      </c>
      <c r="M232" s="8">
        <f t="shared" si="1"/>
        <v>4.49</v>
      </c>
      <c r="N232" s="6" t="s">
        <v>172</v>
      </c>
      <c r="P232" s="9"/>
    </row>
    <row r="233">
      <c r="A233" s="6" t="s">
        <v>731</v>
      </c>
      <c r="B233" s="6" t="s">
        <v>732</v>
      </c>
      <c r="C233" s="6" t="s">
        <v>212</v>
      </c>
      <c r="D233" s="6" t="s">
        <v>733</v>
      </c>
      <c r="E233" s="6" t="s">
        <v>734</v>
      </c>
      <c r="F233" s="6" t="s">
        <v>103</v>
      </c>
      <c r="G233" s="7">
        <v>4.79</v>
      </c>
      <c r="H233" s="6" t="s">
        <v>209</v>
      </c>
      <c r="I233" s="6" t="s">
        <v>20</v>
      </c>
      <c r="J233" s="6">
        <v>2025.0</v>
      </c>
      <c r="K233" s="10">
        <v>46116.0</v>
      </c>
      <c r="L233" s="6">
        <v>1.0</v>
      </c>
      <c r="M233" s="8">
        <f t="shared" si="1"/>
        <v>4.79</v>
      </c>
      <c r="P233" s="9"/>
    </row>
    <row r="234">
      <c r="A234" s="6" t="s">
        <v>735</v>
      </c>
      <c r="B234" s="6" t="s">
        <v>736</v>
      </c>
      <c r="C234" s="6" t="s">
        <v>72</v>
      </c>
      <c r="D234" s="6" t="s">
        <v>737</v>
      </c>
      <c r="E234" s="6" t="s">
        <v>738</v>
      </c>
      <c r="F234" s="6" t="s">
        <v>51</v>
      </c>
      <c r="G234" s="7">
        <v>0.05</v>
      </c>
      <c r="H234" s="6" t="s">
        <v>119</v>
      </c>
      <c r="I234" s="6" t="s">
        <v>20</v>
      </c>
      <c r="J234" s="6">
        <v>1995.0</v>
      </c>
      <c r="L234" s="6">
        <v>2.0</v>
      </c>
      <c r="M234" s="8">
        <f t="shared" si="1"/>
        <v>0.1</v>
      </c>
      <c r="P234" s="9"/>
    </row>
    <row r="235">
      <c r="A235" s="6" t="s">
        <v>735</v>
      </c>
      <c r="B235" s="6" t="s">
        <v>736</v>
      </c>
      <c r="C235" s="6" t="s">
        <v>72</v>
      </c>
      <c r="D235" s="6" t="s">
        <v>737</v>
      </c>
      <c r="E235" s="6" t="s">
        <v>738</v>
      </c>
      <c r="F235" s="6" t="s">
        <v>51</v>
      </c>
      <c r="G235" s="7">
        <v>0.19</v>
      </c>
      <c r="H235" s="6" t="s">
        <v>120</v>
      </c>
      <c r="I235" s="6" t="s">
        <v>20</v>
      </c>
      <c r="J235" s="6">
        <v>1995.0</v>
      </c>
      <c r="L235" s="6">
        <v>4.0</v>
      </c>
      <c r="M235" s="8">
        <f t="shared" si="1"/>
        <v>0.76</v>
      </c>
      <c r="P235" s="9"/>
    </row>
    <row r="236">
      <c r="A236" s="6" t="s">
        <v>739</v>
      </c>
      <c r="B236" s="6" t="s">
        <v>740</v>
      </c>
      <c r="C236" s="6" t="s">
        <v>23</v>
      </c>
      <c r="D236" s="6" t="s">
        <v>741</v>
      </c>
      <c r="E236" s="6" t="s">
        <v>533</v>
      </c>
      <c r="F236" s="6" t="s">
        <v>65</v>
      </c>
      <c r="G236" s="7">
        <v>0.03</v>
      </c>
      <c r="H236" s="6" t="s">
        <v>526</v>
      </c>
      <c r="I236" s="6" t="s">
        <v>20</v>
      </c>
      <c r="J236" s="6">
        <v>2020.0</v>
      </c>
      <c r="K236" s="10">
        <v>46084.0</v>
      </c>
      <c r="L236" s="6">
        <v>1.0</v>
      </c>
      <c r="M236" s="8">
        <f t="shared" si="1"/>
        <v>0.03</v>
      </c>
      <c r="P236" s="9"/>
    </row>
    <row r="237">
      <c r="A237" s="6" t="s">
        <v>742</v>
      </c>
      <c r="B237" s="6" t="s">
        <v>736</v>
      </c>
      <c r="C237" s="6" t="s">
        <v>72</v>
      </c>
      <c r="D237" s="6" t="s">
        <v>743</v>
      </c>
      <c r="E237" s="6" t="s">
        <v>79</v>
      </c>
      <c r="F237" s="6" t="s">
        <v>51</v>
      </c>
      <c r="G237" s="7">
        <v>0.01</v>
      </c>
      <c r="H237" s="6" t="s">
        <v>245</v>
      </c>
      <c r="I237" s="6" t="s">
        <v>20</v>
      </c>
      <c r="J237" s="6">
        <v>1995.0</v>
      </c>
      <c r="L237" s="6">
        <v>2.0</v>
      </c>
      <c r="M237" s="8">
        <f t="shared" si="1"/>
        <v>0.02</v>
      </c>
      <c r="P237" s="9"/>
    </row>
    <row r="238">
      <c r="A238" s="6" t="s">
        <v>744</v>
      </c>
      <c r="B238" s="6" t="s">
        <v>286</v>
      </c>
      <c r="C238" s="6" t="s">
        <v>287</v>
      </c>
      <c r="D238" s="6" t="s">
        <v>745</v>
      </c>
      <c r="E238" s="6" t="s">
        <v>36</v>
      </c>
      <c r="F238" s="6" t="s">
        <v>37</v>
      </c>
      <c r="G238" s="7">
        <v>0.05</v>
      </c>
      <c r="H238" s="6" t="s">
        <v>119</v>
      </c>
      <c r="I238" s="6" t="s">
        <v>20</v>
      </c>
      <c r="J238" s="6">
        <v>1995.0</v>
      </c>
      <c r="K238" s="10">
        <v>46023.0</v>
      </c>
      <c r="L238" s="6">
        <v>5.0</v>
      </c>
      <c r="M238" s="8">
        <f t="shared" si="1"/>
        <v>0.25</v>
      </c>
      <c r="P238" s="9"/>
    </row>
    <row r="239">
      <c r="A239" s="6" t="s">
        <v>744</v>
      </c>
      <c r="B239" s="6" t="s">
        <v>286</v>
      </c>
      <c r="C239" s="6" t="s">
        <v>287</v>
      </c>
      <c r="D239" s="6" t="s">
        <v>745</v>
      </c>
      <c r="E239" s="6" t="s">
        <v>36</v>
      </c>
      <c r="F239" s="6" t="s">
        <v>37</v>
      </c>
      <c r="G239" s="7">
        <v>0.08</v>
      </c>
      <c r="H239" s="6" t="s">
        <v>120</v>
      </c>
      <c r="I239" s="6" t="s">
        <v>20</v>
      </c>
      <c r="J239" s="6">
        <v>1995.0</v>
      </c>
      <c r="K239" s="10">
        <v>46023.0</v>
      </c>
      <c r="L239" s="6">
        <v>6.0</v>
      </c>
      <c r="M239" s="8">
        <f t="shared" si="1"/>
        <v>0.48</v>
      </c>
      <c r="P239" s="9"/>
    </row>
    <row r="240">
      <c r="A240" s="6" t="s">
        <v>746</v>
      </c>
      <c r="B240" s="6" t="s">
        <v>747</v>
      </c>
      <c r="C240" s="6" t="s">
        <v>34</v>
      </c>
      <c r="D240" s="6" t="s">
        <v>748</v>
      </c>
      <c r="E240" s="6" t="s">
        <v>175</v>
      </c>
      <c r="F240" s="6" t="s">
        <v>51</v>
      </c>
      <c r="G240" s="7">
        <v>0.17</v>
      </c>
      <c r="H240" s="6" t="s">
        <v>453</v>
      </c>
      <c r="I240" s="6" t="s">
        <v>20</v>
      </c>
      <c r="J240" s="6">
        <v>1995.0</v>
      </c>
      <c r="L240" s="6">
        <v>2.0</v>
      </c>
      <c r="M240" s="8">
        <f t="shared" si="1"/>
        <v>0.34</v>
      </c>
      <c r="P240" s="9"/>
    </row>
    <row r="241">
      <c r="A241" s="6" t="s">
        <v>749</v>
      </c>
      <c r="B241" s="6" t="s">
        <v>241</v>
      </c>
      <c r="C241" s="6" t="s">
        <v>84</v>
      </c>
      <c r="D241" s="6" t="s">
        <v>750</v>
      </c>
      <c r="E241" s="6" t="s">
        <v>696</v>
      </c>
      <c r="F241" s="6" t="s">
        <v>37</v>
      </c>
      <c r="G241" s="7">
        <v>0.43</v>
      </c>
      <c r="H241" s="6" t="s">
        <v>119</v>
      </c>
      <c r="I241" s="6" t="s">
        <v>20</v>
      </c>
      <c r="J241" s="6">
        <v>1995.0</v>
      </c>
      <c r="L241" s="6">
        <v>1.0</v>
      </c>
      <c r="M241" s="8">
        <f t="shared" si="1"/>
        <v>0.43</v>
      </c>
      <c r="P241" s="9"/>
    </row>
    <row r="242">
      <c r="A242" s="6" t="s">
        <v>751</v>
      </c>
      <c r="B242" s="6" t="s">
        <v>752</v>
      </c>
      <c r="C242" s="6" t="s">
        <v>41</v>
      </c>
      <c r="D242" s="6" t="s">
        <v>753</v>
      </c>
      <c r="E242" s="6" t="s">
        <v>754</v>
      </c>
      <c r="F242" s="6" t="s">
        <v>103</v>
      </c>
      <c r="G242" s="7">
        <v>0.95</v>
      </c>
      <c r="H242" s="6" t="s">
        <v>192</v>
      </c>
      <c r="I242" s="6" t="s">
        <v>20</v>
      </c>
      <c r="J242" s="6">
        <v>2026.0</v>
      </c>
      <c r="K242" s="10">
        <v>46182.0</v>
      </c>
      <c r="L242" s="6">
        <v>1.0</v>
      </c>
      <c r="M242" s="8">
        <f t="shared" si="1"/>
        <v>0.95</v>
      </c>
      <c r="P242" s="9"/>
    </row>
    <row r="243">
      <c r="A243" s="6" t="s">
        <v>755</v>
      </c>
      <c r="B243" s="6" t="s">
        <v>372</v>
      </c>
      <c r="C243" s="6" t="s">
        <v>23</v>
      </c>
      <c r="D243" s="6" t="s">
        <v>756</v>
      </c>
      <c r="E243" s="6" t="s">
        <v>79</v>
      </c>
      <c r="F243" s="6" t="s">
        <v>51</v>
      </c>
      <c r="G243" s="7">
        <v>0.06</v>
      </c>
      <c r="H243" s="6" t="s">
        <v>359</v>
      </c>
      <c r="I243" s="6" t="s">
        <v>20</v>
      </c>
      <c r="J243" s="6">
        <v>2014.0</v>
      </c>
      <c r="L243" s="6">
        <v>2.0</v>
      </c>
      <c r="M243" s="8">
        <f t="shared" si="1"/>
        <v>0.12</v>
      </c>
      <c r="P243" s="9"/>
    </row>
    <row r="244">
      <c r="A244" s="6" t="s">
        <v>757</v>
      </c>
      <c r="B244" s="6" t="s">
        <v>758</v>
      </c>
      <c r="C244" s="6" t="s">
        <v>23</v>
      </c>
      <c r="D244" s="6" t="s">
        <v>759</v>
      </c>
      <c r="E244" s="6" t="s">
        <v>573</v>
      </c>
      <c r="F244" s="6" t="s">
        <v>51</v>
      </c>
      <c r="G244" s="7">
        <v>0.05</v>
      </c>
      <c r="H244" s="6" t="s">
        <v>113</v>
      </c>
      <c r="I244" s="6" t="s">
        <v>20</v>
      </c>
      <c r="J244" s="6">
        <v>2024.0</v>
      </c>
      <c r="K244" s="10">
        <v>46116.0</v>
      </c>
      <c r="L244" s="6">
        <v>1.0</v>
      </c>
      <c r="M244" s="8">
        <f t="shared" si="1"/>
        <v>0.05</v>
      </c>
      <c r="P244" s="9"/>
    </row>
    <row r="245">
      <c r="A245" s="6" t="s">
        <v>760</v>
      </c>
      <c r="B245" s="6" t="s">
        <v>761</v>
      </c>
      <c r="C245" s="6" t="s">
        <v>287</v>
      </c>
      <c r="D245" s="6" t="s">
        <v>762</v>
      </c>
      <c r="E245" s="6" t="s">
        <v>175</v>
      </c>
      <c r="F245" s="6" t="s">
        <v>51</v>
      </c>
      <c r="G245" s="7">
        <v>0.01</v>
      </c>
      <c r="H245" s="6" t="s">
        <v>245</v>
      </c>
      <c r="I245" s="6" t="s">
        <v>20</v>
      </c>
      <c r="J245" s="6">
        <v>1995.0</v>
      </c>
      <c r="L245" s="6">
        <v>1.0</v>
      </c>
      <c r="M245" s="8">
        <f t="shared" si="1"/>
        <v>0.01</v>
      </c>
      <c r="P245" s="9"/>
    </row>
    <row r="246">
      <c r="A246" s="6" t="s">
        <v>763</v>
      </c>
      <c r="B246" s="6" t="s">
        <v>764</v>
      </c>
      <c r="C246" s="6" t="s">
        <v>48</v>
      </c>
      <c r="D246" s="6" t="s">
        <v>765</v>
      </c>
      <c r="E246" s="6" t="s">
        <v>298</v>
      </c>
      <c r="F246" s="6" t="s">
        <v>159</v>
      </c>
      <c r="G246" s="7">
        <v>0.25</v>
      </c>
      <c r="H246" s="6" t="s">
        <v>163</v>
      </c>
      <c r="I246" s="6" t="s">
        <v>20</v>
      </c>
      <c r="J246" s="6">
        <v>2023.0</v>
      </c>
      <c r="K246" s="10">
        <v>46084.0</v>
      </c>
      <c r="L246" s="6">
        <v>1.0</v>
      </c>
      <c r="M246" s="8">
        <f t="shared" si="1"/>
        <v>0.25</v>
      </c>
      <c r="P246" s="9"/>
    </row>
    <row r="247">
      <c r="A247" s="6" t="s">
        <v>766</v>
      </c>
      <c r="B247" s="6" t="s">
        <v>561</v>
      </c>
      <c r="C247" s="6" t="s">
        <v>23</v>
      </c>
      <c r="E247" s="6" t="s">
        <v>558</v>
      </c>
      <c r="F247" s="6" t="s">
        <v>18</v>
      </c>
      <c r="G247" s="7">
        <v>0.06</v>
      </c>
      <c r="H247" s="6" t="s">
        <v>294</v>
      </c>
      <c r="I247" s="6" t="s">
        <v>20</v>
      </c>
      <c r="J247" s="6">
        <v>2010.0</v>
      </c>
      <c r="K247" s="10">
        <v>46144.0</v>
      </c>
      <c r="L247" s="6">
        <v>1.0</v>
      </c>
      <c r="M247" s="8">
        <f t="shared" si="1"/>
        <v>0.06</v>
      </c>
      <c r="P247" s="9"/>
    </row>
    <row r="248">
      <c r="A248" s="6" t="s">
        <v>767</v>
      </c>
      <c r="B248" s="6" t="s">
        <v>507</v>
      </c>
      <c r="C248" s="6" t="s">
        <v>23</v>
      </c>
      <c r="D248" s="6" t="s">
        <v>768</v>
      </c>
      <c r="E248" s="6" t="s">
        <v>270</v>
      </c>
      <c r="F248" s="6" t="s">
        <v>159</v>
      </c>
      <c r="G248" s="7">
        <v>0.09</v>
      </c>
      <c r="H248" s="6" t="s">
        <v>769</v>
      </c>
      <c r="I248" s="6" t="s">
        <v>20</v>
      </c>
      <c r="J248" s="6">
        <v>2023.0</v>
      </c>
      <c r="K248" s="10">
        <v>46084.0</v>
      </c>
      <c r="L248" s="6">
        <v>1.0</v>
      </c>
      <c r="M248" s="8">
        <f t="shared" si="1"/>
        <v>0.09</v>
      </c>
      <c r="P248" s="9"/>
    </row>
    <row r="249">
      <c r="A249" s="6" t="s">
        <v>770</v>
      </c>
      <c r="B249" s="6" t="s">
        <v>771</v>
      </c>
      <c r="C249" s="6" t="s">
        <v>23</v>
      </c>
      <c r="D249" s="6" t="s">
        <v>772</v>
      </c>
      <c r="E249" s="6" t="s">
        <v>25</v>
      </c>
      <c r="F249" s="6" t="s">
        <v>18</v>
      </c>
      <c r="G249" s="7">
        <v>0.05</v>
      </c>
      <c r="H249" s="6" t="s">
        <v>491</v>
      </c>
      <c r="I249" s="6" t="s">
        <v>20</v>
      </c>
      <c r="J249" s="6">
        <v>2011.0</v>
      </c>
      <c r="K249" s="10">
        <v>46113.0</v>
      </c>
      <c r="L249" s="6">
        <v>1.0</v>
      </c>
      <c r="M249" s="8">
        <f t="shared" si="1"/>
        <v>0.05</v>
      </c>
      <c r="P249" s="9"/>
    </row>
    <row r="250">
      <c r="A250" s="6" t="s">
        <v>773</v>
      </c>
      <c r="B250" s="6" t="s">
        <v>774</v>
      </c>
      <c r="C250" s="6" t="s">
        <v>23</v>
      </c>
      <c r="D250" s="6" t="s">
        <v>775</v>
      </c>
      <c r="E250" s="6" t="s">
        <v>50</v>
      </c>
      <c r="F250" s="6" t="s">
        <v>51</v>
      </c>
      <c r="G250" s="7">
        <v>0.05</v>
      </c>
      <c r="H250" s="6" t="s">
        <v>271</v>
      </c>
      <c r="I250" s="6" t="s">
        <v>20</v>
      </c>
      <c r="J250" s="6">
        <v>2012.0</v>
      </c>
      <c r="K250" s="10">
        <v>46144.0</v>
      </c>
      <c r="L250" s="6">
        <v>1.0</v>
      </c>
      <c r="M250" s="8">
        <f t="shared" si="1"/>
        <v>0.05</v>
      </c>
      <c r="P250" s="9"/>
    </row>
    <row r="251">
      <c r="A251" s="6" t="s">
        <v>776</v>
      </c>
      <c r="B251" s="6" t="s">
        <v>777</v>
      </c>
      <c r="C251" s="6" t="s">
        <v>571</v>
      </c>
      <c r="D251" s="6" t="s">
        <v>778</v>
      </c>
      <c r="E251" s="6" t="s">
        <v>235</v>
      </c>
      <c r="F251" s="6" t="s">
        <v>103</v>
      </c>
      <c r="G251" s="7">
        <v>0.3</v>
      </c>
      <c r="H251" s="6" t="s">
        <v>779</v>
      </c>
      <c r="I251" s="6" t="s">
        <v>20</v>
      </c>
      <c r="J251" s="6">
        <v>2026.0</v>
      </c>
      <c r="K251" s="10">
        <v>46055.0</v>
      </c>
      <c r="L251" s="6">
        <v>1.0</v>
      </c>
      <c r="M251" s="8">
        <f t="shared" si="1"/>
        <v>0.3</v>
      </c>
      <c r="P251" s="9"/>
    </row>
    <row r="252">
      <c r="A252" s="6" t="s">
        <v>780</v>
      </c>
      <c r="B252" s="6" t="s">
        <v>781</v>
      </c>
      <c r="C252" s="6" t="s">
        <v>48</v>
      </c>
      <c r="D252" s="6" t="s">
        <v>782</v>
      </c>
      <c r="E252" s="6" t="s">
        <v>783</v>
      </c>
      <c r="F252" s="6" t="s">
        <v>98</v>
      </c>
      <c r="G252" s="7">
        <v>0.1</v>
      </c>
      <c r="H252" s="6" t="s">
        <v>136</v>
      </c>
      <c r="I252" s="6" t="s">
        <v>20</v>
      </c>
      <c r="J252" s="6">
        <v>2022.0</v>
      </c>
      <c r="K252" s="10">
        <v>46084.0</v>
      </c>
      <c r="L252" s="6">
        <v>1.0</v>
      </c>
      <c r="M252" s="8">
        <f t="shared" si="1"/>
        <v>0.1</v>
      </c>
      <c r="P252" s="9"/>
    </row>
    <row r="253">
      <c r="A253" s="6" t="s">
        <v>784</v>
      </c>
      <c r="B253" s="6" t="s">
        <v>62</v>
      </c>
      <c r="C253" s="6" t="s">
        <v>23</v>
      </c>
      <c r="D253" s="6" t="s">
        <v>785</v>
      </c>
      <c r="E253" s="6" t="s">
        <v>175</v>
      </c>
      <c r="F253" s="6" t="s">
        <v>51</v>
      </c>
      <c r="G253" s="7">
        <v>0.04</v>
      </c>
      <c r="H253" s="6" t="s">
        <v>185</v>
      </c>
      <c r="I253" s="6" t="s">
        <v>20</v>
      </c>
      <c r="J253" s="6">
        <v>2019.0</v>
      </c>
      <c r="L253" s="6">
        <v>1.0</v>
      </c>
      <c r="M253" s="8">
        <f t="shared" si="1"/>
        <v>0.04</v>
      </c>
      <c r="P253" s="9"/>
    </row>
    <row r="254">
      <c r="A254" s="6" t="s">
        <v>784</v>
      </c>
      <c r="B254" s="6" t="s">
        <v>62</v>
      </c>
      <c r="C254" s="6" t="s">
        <v>23</v>
      </c>
      <c r="D254" s="6" t="s">
        <v>785</v>
      </c>
      <c r="E254" s="6" t="s">
        <v>175</v>
      </c>
      <c r="F254" s="6" t="s">
        <v>51</v>
      </c>
      <c r="G254" s="7">
        <v>0.09</v>
      </c>
      <c r="H254" s="6" t="s">
        <v>786</v>
      </c>
      <c r="I254" s="6" t="s">
        <v>20</v>
      </c>
      <c r="J254" s="6">
        <v>2024.0</v>
      </c>
      <c r="L254" s="6">
        <v>1.0</v>
      </c>
      <c r="M254" s="8">
        <f t="shared" si="1"/>
        <v>0.09</v>
      </c>
      <c r="P254" s="9"/>
    </row>
    <row r="255">
      <c r="A255" s="6" t="s">
        <v>787</v>
      </c>
      <c r="B255" s="6" t="s">
        <v>788</v>
      </c>
      <c r="C255" s="6" t="s">
        <v>15</v>
      </c>
      <c r="D255" s="6" t="s">
        <v>789</v>
      </c>
      <c r="E255" s="6" t="s">
        <v>790</v>
      </c>
      <c r="F255" s="6" t="s">
        <v>51</v>
      </c>
      <c r="G255" s="7">
        <v>0.08</v>
      </c>
      <c r="H255" s="6" t="s">
        <v>180</v>
      </c>
      <c r="I255" s="6" t="s">
        <v>20</v>
      </c>
      <c r="J255" s="6">
        <v>2014.0</v>
      </c>
      <c r="L255" s="6">
        <v>1.0</v>
      </c>
      <c r="M255" s="8">
        <f t="shared" si="1"/>
        <v>0.08</v>
      </c>
      <c r="P255" s="9"/>
    </row>
    <row r="256">
      <c r="A256" s="6" t="s">
        <v>791</v>
      </c>
      <c r="B256" s="6" t="s">
        <v>628</v>
      </c>
      <c r="C256" s="6" t="s">
        <v>23</v>
      </c>
      <c r="D256" s="6" t="s">
        <v>792</v>
      </c>
      <c r="E256" s="6" t="s">
        <v>248</v>
      </c>
      <c r="F256" s="6" t="s">
        <v>18</v>
      </c>
      <c r="G256" s="7">
        <v>0.03</v>
      </c>
      <c r="H256" s="6" t="s">
        <v>200</v>
      </c>
      <c r="I256" s="6" t="s">
        <v>20</v>
      </c>
      <c r="J256" s="6">
        <v>2018.0</v>
      </c>
      <c r="K256" s="10">
        <v>46023.0</v>
      </c>
      <c r="L256" s="6">
        <v>1.0</v>
      </c>
      <c r="M256" s="8">
        <f t="shared" si="1"/>
        <v>0.03</v>
      </c>
      <c r="P256" s="9"/>
    </row>
    <row r="257">
      <c r="A257" s="6" t="s">
        <v>793</v>
      </c>
      <c r="B257" s="6" t="s">
        <v>62</v>
      </c>
      <c r="C257" s="6" t="s">
        <v>23</v>
      </c>
      <c r="D257" s="6" t="s">
        <v>794</v>
      </c>
      <c r="E257" s="6" t="s">
        <v>25</v>
      </c>
      <c r="F257" s="6" t="s">
        <v>18</v>
      </c>
      <c r="G257" s="7">
        <v>0.04</v>
      </c>
      <c r="H257" s="6" t="s">
        <v>184</v>
      </c>
      <c r="I257" s="6" t="s">
        <v>20</v>
      </c>
      <c r="J257" s="6">
        <v>2015.0</v>
      </c>
      <c r="L257" s="6">
        <v>2.0</v>
      </c>
      <c r="M257" s="8">
        <f t="shared" si="1"/>
        <v>0.08</v>
      </c>
      <c r="P257" s="9"/>
    </row>
    <row r="258">
      <c r="A258" s="6" t="s">
        <v>795</v>
      </c>
      <c r="B258" s="6" t="s">
        <v>796</v>
      </c>
      <c r="C258" s="6" t="s">
        <v>15</v>
      </c>
      <c r="D258" s="6" t="s">
        <v>797</v>
      </c>
      <c r="E258" s="6" t="s">
        <v>798</v>
      </c>
      <c r="F258" s="6" t="s">
        <v>18</v>
      </c>
      <c r="G258" s="7">
        <v>0.31</v>
      </c>
      <c r="H258" s="6" t="s">
        <v>19</v>
      </c>
      <c r="I258" s="6" t="s">
        <v>20</v>
      </c>
      <c r="J258" s="6">
        <v>2023.0</v>
      </c>
      <c r="L258" s="6">
        <v>2.0</v>
      </c>
      <c r="M258" s="8">
        <f t="shared" si="1"/>
        <v>0.62</v>
      </c>
      <c r="P258" s="9"/>
    </row>
    <row r="259">
      <c r="A259" s="6" t="s">
        <v>799</v>
      </c>
      <c r="B259" s="6" t="s">
        <v>800</v>
      </c>
      <c r="C259" s="6" t="s">
        <v>48</v>
      </c>
      <c r="D259" s="6" t="s">
        <v>801</v>
      </c>
      <c r="E259" s="6" t="s">
        <v>802</v>
      </c>
      <c r="F259" s="6" t="s">
        <v>98</v>
      </c>
      <c r="G259" s="7">
        <v>0.39</v>
      </c>
      <c r="H259" s="6" t="s">
        <v>163</v>
      </c>
      <c r="I259" s="6" t="s">
        <v>55</v>
      </c>
      <c r="J259" s="6">
        <v>2023.0</v>
      </c>
      <c r="K259" s="10">
        <v>46116.0</v>
      </c>
      <c r="L259" s="6">
        <v>1.0</v>
      </c>
      <c r="M259" s="8">
        <f t="shared" si="1"/>
        <v>0.39</v>
      </c>
      <c r="P259" s="9"/>
    </row>
    <row r="260">
      <c r="A260" s="6" t="s">
        <v>803</v>
      </c>
      <c r="B260" s="6" t="s">
        <v>804</v>
      </c>
      <c r="C260" s="6" t="s">
        <v>34</v>
      </c>
      <c r="D260" s="6" t="s">
        <v>805</v>
      </c>
      <c r="E260" s="6" t="s">
        <v>806</v>
      </c>
      <c r="F260" s="6" t="s">
        <v>51</v>
      </c>
      <c r="G260" s="7">
        <v>0.05</v>
      </c>
      <c r="H260" s="6" t="s">
        <v>807</v>
      </c>
      <c r="I260" s="6" t="s">
        <v>20</v>
      </c>
      <c r="J260" s="6">
        <v>2026.0</v>
      </c>
      <c r="K260" s="10">
        <v>46115.0</v>
      </c>
      <c r="L260" s="6">
        <v>1.0</v>
      </c>
      <c r="M260" s="8">
        <f t="shared" si="1"/>
        <v>0.05</v>
      </c>
      <c r="P260" s="9"/>
    </row>
    <row r="261">
      <c r="A261" s="6" t="s">
        <v>808</v>
      </c>
      <c r="B261" s="6" t="s">
        <v>809</v>
      </c>
      <c r="C261" s="6" t="s">
        <v>41</v>
      </c>
      <c r="D261" s="6" t="s">
        <v>810</v>
      </c>
      <c r="E261" s="6" t="s">
        <v>238</v>
      </c>
      <c r="F261" s="6" t="s">
        <v>159</v>
      </c>
      <c r="G261" s="7">
        <v>0.43</v>
      </c>
      <c r="H261" s="7" t="s">
        <v>114</v>
      </c>
      <c r="I261" s="6" t="s">
        <v>20</v>
      </c>
      <c r="J261" s="6">
        <v>2021.0</v>
      </c>
      <c r="K261" s="10">
        <v>46024.0</v>
      </c>
      <c r="L261" s="6">
        <v>1.0</v>
      </c>
      <c r="M261" s="8">
        <f t="shared" si="1"/>
        <v>0.43</v>
      </c>
      <c r="P261" s="9"/>
    </row>
    <row r="262">
      <c r="A262" s="6" t="s">
        <v>811</v>
      </c>
      <c r="B262" s="6" t="s">
        <v>812</v>
      </c>
      <c r="C262" s="6" t="s">
        <v>15</v>
      </c>
      <c r="D262" s="6" t="s">
        <v>813</v>
      </c>
      <c r="E262" s="6" t="s">
        <v>364</v>
      </c>
      <c r="F262" s="6" t="s">
        <v>51</v>
      </c>
      <c r="G262" s="7">
        <v>0.24</v>
      </c>
      <c r="H262" s="6" t="s">
        <v>209</v>
      </c>
      <c r="I262" s="6" t="s">
        <v>20</v>
      </c>
      <c r="J262" s="6">
        <v>2025.0</v>
      </c>
      <c r="K262" s="10">
        <v>46056.0</v>
      </c>
      <c r="L262" s="6">
        <v>2.0</v>
      </c>
      <c r="M262" s="8">
        <f t="shared" si="1"/>
        <v>0.48</v>
      </c>
      <c r="P262" s="9"/>
    </row>
    <row r="263">
      <c r="A263" s="6" t="s">
        <v>814</v>
      </c>
      <c r="B263" s="6" t="s">
        <v>815</v>
      </c>
      <c r="C263" s="6" t="s">
        <v>48</v>
      </c>
      <c r="D263" s="6" t="s">
        <v>816</v>
      </c>
      <c r="E263" s="6" t="s">
        <v>153</v>
      </c>
      <c r="F263" s="6" t="s">
        <v>103</v>
      </c>
      <c r="G263" s="7">
        <v>0.8</v>
      </c>
      <c r="H263" s="6" t="s">
        <v>245</v>
      </c>
      <c r="I263" s="6" t="s">
        <v>20</v>
      </c>
      <c r="J263" s="6">
        <v>1995.0</v>
      </c>
      <c r="K263" s="10">
        <v>46025.0</v>
      </c>
      <c r="L263" s="6">
        <v>1.0</v>
      </c>
      <c r="M263" s="8">
        <f t="shared" si="1"/>
        <v>0.8</v>
      </c>
      <c r="P263" s="9"/>
    </row>
    <row r="264">
      <c r="A264" s="6" t="s">
        <v>817</v>
      </c>
      <c r="B264" s="6" t="s">
        <v>250</v>
      </c>
      <c r="C264" s="6" t="s">
        <v>48</v>
      </c>
      <c r="D264" s="6" t="s">
        <v>818</v>
      </c>
      <c r="E264" s="6" t="s">
        <v>36</v>
      </c>
      <c r="F264" s="6" t="s">
        <v>37</v>
      </c>
      <c r="G264" s="7">
        <v>0.1</v>
      </c>
      <c r="H264" s="6" t="s">
        <v>119</v>
      </c>
      <c r="I264" s="6" t="s">
        <v>20</v>
      </c>
      <c r="J264" s="6">
        <v>1995.0</v>
      </c>
      <c r="L264" s="6">
        <v>1.0</v>
      </c>
      <c r="M264" s="8">
        <f t="shared" si="1"/>
        <v>0.1</v>
      </c>
      <c r="P264" s="9"/>
    </row>
    <row r="265">
      <c r="A265" s="6" t="s">
        <v>817</v>
      </c>
      <c r="B265" s="6" t="s">
        <v>250</v>
      </c>
      <c r="C265" s="6" t="s">
        <v>48</v>
      </c>
      <c r="D265" s="6" t="s">
        <v>818</v>
      </c>
      <c r="E265" s="6" t="s">
        <v>36</v>
      </c>
      <c r="F265" s="6" t="s">
        <v>37</v>
      </c>
      <c r="G265" s="7">
        <v>0.64</v>
      </c>
      <c r="H265" s="6" t="s">
        <v>120</v>
      </c>
      <c r="I265" s="6" t="s">
        <v>20</v>
      </c>
      <c r="J265" s="6">
        <v>1995.0</v>
      </c>
      <c r="L265" s="6">
        <v>1.0</v>
      </c>
      <c r="M265" s="8">
        <f t="shared" si="1"/>
        <v>0.64</v>
      </c>
      <c r="P265" s="9"/>
    </row>
    <row r="266">
      <c r="A266" s="6" t="s">
        <v>819</v>
      </c>
      <c r="B266" s="6" t="s">
        <v>307</v>
      </c>
      <c r="C266" s="6" t="s">
        <v>48</v>
      </c>
      <c r="D266" s="6" t="s">
        <v>820</v>
      </c>
      <c r="E266" s="6" t="s">
        <v>303</v>
      </c>
      <c r="F266" s="6" t="s">
        <v>37</v>
      </c>
      <c r="G266" s="7">
        <v>0.28</v>
      </c>
      <c r="H266" s="6" t="s">
        <v>821</v>
      </c>
      <c r="I266" s="6" t="s">
        <v>20</v>
      </c>
      <c r="J266" s="6">
        <v>1995.0</v>
      </c>
      <c r="L266" s="6">
        <v>2.0</v>
      </c>
      <c r="M266" s="8">
        <f t="shared" si="1"/>
        <v>0.56</v>
      </c>
      <c r="P266" s="9"/>
    </row>
    <row r="267">
      <c r="A267" s="6" t="s">
        <v>822</v>
      </c>
      <c r="B267" s="6" t="s">
        <v>823</v>
      </c>
      <c r="C267" s="6" t="s">
        <v>41</v>
      </c>
      <c r="D267" s="6" t="s">
        <v>824</v>
      </c>
      <c r="E267" s="6" t="s">
        <v>825</v>
      </c>
      <c r="F267" s="6" t="s">
        <v>826</v>
      </c>
      <c r="G267" s="7">
        <v>0.33</v>
      </c>
      <c r="H267" s="6" t="s">
        <v>113</v>
      </c>
      <c r="I267" s="6" t="s">
        <v>20</v>
      </c>
      <c r="J267" s="6">
        <v>2024.0</v>
      </c>
      <c r="K267" s="10">
        <v>46116.0</v>
      </c>
      <c r="L267" s="6">
        <v>1.0</v>
      </c>
      <c r="M267" s="8">
        <f t="shared" si="1"/>
        <v>0.33</v>
      </c>
      <c r="P267" s="9"/>
    </row>
    <row r="268">
      <c r="A268" s="6" t="s">
        <v>822</v>
      </c>
      <c r="B268" s="6" t="s">
        <v>823</v>
      </c>
      <c r="C268" s="6" t="s">
        <v>41</v>
      </c>
      <c r="D268" s="6" t="s">
        <v>824</v>
      </c>
      <c r="E268" s="6" t="s">
        <v>825</v>
      </c>
      <c r="F268" s="6" t="s">
        <v>826</v>
      </c>
      <c r="G268" s="7">
        <v>0.33</v>
      </c>
      <c r="H268" s="6" t="s">
        <v>113</v>
      </c>
      <c r="I268" s="6" t="s">
        <v>20</v>
      </c>
      <c r="J268" s="6">
        <v>2024.0</v>
      </c>
      <c r="K268" s="10">
        <v>46116.0</v>
      </c>
      <c r="L268" s="6">
        <v>1.0</v>
      </c>
      <c r="M268" s="8">
        <f t="shared" si="1"/>
        <v>0.33</v>
      </c>
      <c r="P268" s="9"/>
    </row>
    <row r="269">
      <c r="A269" s="6" t="s">
        <v>827</v>
      </c>
      <c r="B269" s="6" t="s">
        <v>372</v>
      </c>
      <c r="C269" s="6" t="s">
        <v>23</v>
      </c>
      <c r="D269" s="6" t="s">
        <v>828</v>
      </c>
      <c r="E269" s="6" t="s">
        <v>235</v>
      </c>
      <c r="F269" s="6" t="s">
        <v>103</v>
      </c>
      <c r="G269" s="7">
        <v>0.03</v>
      </c>
      <c r="H269" s="6" t="s">
        <v>359</v>
      </c>
      <c r="I269" s="6" t="s">
        <v>20</v>
      </c>
      <c r="J269" s="6">
        <v>2014.0</v>
      </c>
      <c r="L269" s="6">
        <v>4.0</v>
      </c>
      <c r="M269" s="8">
        <f t="shared" si="1"/>
        <v>0.12</v>
      </c>
      <c r="P269" s="9"/>
    </row>
    <row r="270">
      <c r="A270" s="6" t="s">
        <v>827</v>
      </c>
      <c r="B270" s="6" t="s">
        <v>372</v>
      </c>
      <c r="C270" s="6" t="s">
        <v>23</v>
      </c>
      <c r="D270" s="6" t="s">
        <v>828</v>
      </c>
      <c r="E270" s="6" t="s">
        <v>235</v>
      </c>
      <c r="F270" s="6" t="s">
        <v>103</v>
      </c>
      <c r="G270" s="7">
        <v>0.03</v>
      </c>
      <c r="H270" s="6" t="s">
        <v>359</v>
      </c>
      <c r="I270" s="6" t="s">
        <v>20</v>
      </c>
      <c r="J270" s="6">
        <v>2014.0</v>
      </c>
      <c r="L270" s="6">
        <v>1.0</v>
      </c>
      <c r="M270" s="8">
        <f t="shared" si="1"/>
        <v>0.03</v>
      </c>
      <c r="P270" s="9"/>
    </row>
    <row r="271">
      <c r="A271" s="6" t="s">
        <v>829</v>
      </c>
      <c r="B271" s="6" t="s">
        <v>372</v>
      </c>
      <c r="C271" s="6" t="s">
        <v>23</v>
      </c>
      <c r="D271" s="6" t="s">
        <v>830</v>
      </c>
      <c r="E271" s="6" t="s">
        <v>153</v>
      </c>
      <c r="F271" s="6" t="s">
        <v>103</v>
      </c>
      <c r="G271" s="7">
        <v>0.03</v>
      </c>
      <c r="H271" s="6" t="s">
        <v>526</v>
      </c>
      <c r="I271" s="6" t="s">
        <v>20</v>
      </c>
      <c r="J271" s="6">
        <v>2020.0</v>
      </c>
      <c r="L271" s="6">
        <v>3.0</v>
      </c>
      <c r="M271" s="8">
        <f t="shared" si="1"/>
        <v>0.09</v>
      </c>
      <c r="P271" s="9"/>
    </row>
    <row r="272">
      <c r="A272" s="6" t="s">
        <v>831</v>
      </c>
      <c r="B272" s="6" t="s">
        <v>372</v>
      </c>
      <c r="C272" s="6" t="s">
        <v>23</v>
      </c>
      <c r="D272" s="6" t="s">
        <v>832</v>
      </c>
      <c r="E272" s="6" t="s">
        <v>64</v>
      </c>
      <c r="F272" s="6" t="s">
        <v>65</v>
      </c>
      <c r="G272" s="7">
        <v>0.03</v>
      </c>
      <c r="H272" s="6" t="s">
        <v>526</v>
      </c>
      <c r="I272" s="6" t="s">
        <v>20</v>
      </c>
      <c r="J272" s="6">
        <v>2020.0</v>
      </c>
      <c r="L272" s="6">
        <v>1.0</v>
      </c>
      <c r="M272" s="8">
        <f t="shared" si="1"/>
        <v>0.03</v>
      </c>
      <c r="P272" s="9"/>
    </row>
    <row r="273">
      <c r="A273" s="6" t="s">
        <v>833</v>
      </c>
      <c r="B273" s="6" t="s">
        <v>258</v>
      </c>
      <c r="C273" s="6" t="s">
        <v>23</v>
      </c>
      <c r="D273" s="6" t="s">
        <v>834</v>
      </c>
      <c r="E273" s="6" t="s">
        <v>30</v>
      </c>
      <c r="F273" s="6" t="s">
        <v>18</v>
      </c>
      <c r="G273" s="7">
        <v>0.06</v>
      </c>
      <c r="H273" s="6" t="s">
        <v>184</v>
      </c>
      <c r="I273" s="6" t="s">
        <v>20</v>
      </c>
      <c r="J273" s="6">
        <v>2015.0</v>
      </c>
      <c r="K273" s="10">
        <v>46054.0</v>
      </c>
      <c r="L273" s="6">
        <v>3.0</v>
      </c>
      <c r="M273" s="8">
        <f t="shared" si="1"/>
        <v>0.18</v>
      </c>
      <c r="P273" s="9"/>
    </row>
    <row r="274">
      <c r="A274" s="6" t="s">
        <v>833</v>
      </c>
      <c r="B274" s="6" t="s">
        <v>258</v>
      </c>
      <c r="C274" s="6" t="s">
        <v>23</v>
      </c>
      <c r="D274" s="6" t="s">
        <v>834</v>
      </c>
      <c r="E274" s="6" t="s">
        <v>30</v>
      </c>
      <c r="F274" s="6" t="s">
        <v>18</v>
      </c>
      <c r="G274" s="7">
        <v>0.06</v>
      </c>
      <c r="H274" s="6" t="s">
        <v>184</v>
      </c>
      <c r="I274" s="6" t="s">
        <v>20</v>
      </c>
      <c r="J274" s="6">
        <v>2015.0</v>
      </c>
      <c r="K274" s="10">
        <v>46054.0</v>
      </c>
      <c r="L274" s="6">
        <v>1.0</v>
      </c>
      <c r="M274" s="8">
        <f t="shared" si="1"/>
        <v>0.06</v>
      </c>
      <c r="P274" s="9"/>
    </row>
    <row r="275">
      <c r="A275" s="6" t="s">
        <v>835</v>
      </c>
      <c r="B275" s="6" t="s">
        <v>836</v>
      </c>
      <c r="C275" s="6" t="s">
        <v>23</v>
      </c>
      <c r="D275" s="6" t="s">
        <v>837</v>
      </c>
      <c r="E275" s="6" t="s">
        <v>243</v>
      </c>
      <c r="F275" s="6" t="s">
        <v>37</v>
      </c>
      <c r="G275" s="7">
        <v>0.17</v>
      </c>
      <c r="H275" s="6" t="s">
        <v>581</v>
      </c>
      <c r="I275" s="6" t="s">
        <v>20</v>
      </c>
      <c r="J275" s="6">
        <v>2022.0</v>
      </c>
      <c r="K275" s="10">
        <v>46055.0</v>
      </c>
      <c r="L275" s="6">
        <v>1.0</v>
      </c>
      <c r="M275" s="8">
        <f t="shared" si="1"/>
        <v>0.17</v>
      </c>
      <c r="P275" s="9"/>
    </row>
    <row r="276">
      <c r="A276" s="6" t="s">
        <v>838</v>
      </c>
      <c r="B276" s="6" t="s">
        <v>543</v>
      </c>
      <c r="C276" s="6" t="s">
        <v>521</v>
      </c>
      <c r="D276" s="6" t="s">
        <v>839</v>
      </c>
      <c r="E276" s="6" t="s">
        <v>223</v>
      </c>
      <c r="F276" s="6" t="s">
        <v>159</v>
      </c>
      <c r="G276" s="7">
        <v>0.1</v>
      </c>
      <c r="H276" s="6" t="s">
        <v>641</v>
      </c>
      <c r="I276" s="6" t="s">
        <v>20</v>
      </c>
      <c r="J276" s="6">
        <v>2026.0</v>
      </c>
      <c r="L276" s="6">
        <v>1.0</v>
      </c>
      <c r="M276" s="8">
        <f t="shared" si="1"/>
        <v>0.1</v>
      </c>
      <c r="P276" s="9"/>
    </row>
    <row r="277">
      <c r="A277" s="6" t="s">
        <v>840</v>
      </c>
      <c r="B277" s="6" t="s">
        <v>841</v>
      </c>
      <c r="C277" s="6" t="s">
        <v>23</v>
      </c>
      <c r="D277" s="6" t="s">
        <v>842</v>
      </c>
      <c r="E277" s="6" t="s">
        <v>243</v>
      </c>
      <c r="F277" s="6" t="s">
        <v>37</v>
      </c>
      <c r="G277" s="7">
        <v>0.03</v>
      </c>
      <c r="H277" s="6" t="s">
        <v>316</v>
      </c>
      <c r="I277" s="6" t="s">
        <v>20</v>
      </c>
      <c r="J277" s="6">
        <v>2016.0</v>
      </c>
      <c r="K277" s="10">
        <v>46054.0</v>
      </c>
      <c r="L277" s="6">
        <v>1.0</v>
      </c>
      <c r="M277" s="8">
        <f t="shared" si="1"/>
        <v>0.03</v>
      </c>
      <c r="P277" s="9"/>
    </row>
    <row r="278">
      <c r="A278" s="6" t="s">
        <v>843</v>
      </c>
      <c r="B278" s="6" t="s">
        <v>62</v>
      </c>
      <c r="C278" s="6" t="s">
        <v>23</v>
      </c>
      <c r="D278" s="6" t="s">
        <v>844</v>
      </c>
      <c r="E278" s="6" t="s">
        <v>573</v>
      </c>
      <c r="F278" s="6" t="s">
        <v>51</v>
      </c>
      <c r="G278" s="7">
        <v>0.06</v>
      </c>
      <c r="H278" s="6" t="s">
        <v>845</v>
      </c>
      <c r="I278" s="6" t="s">
        <v>20</v>
      </c>
      <c r="J278" s="6">
        <v>2022.0</v>
      </c>
      <c r="L278" s="6">
        <v>1.0</v>
      </c>
      <c r="M278" s="8">
        <f t="shared" si="1"/>
        <v>0.06</v>
      </c>
      <c r="P278" s="9"/>
    </row>
    <row r="279">
      <c r="A279" s="6" t="s">
        <v>846</v>
      </c>
      <c r="B279" s="6" t="s">
        <v>372</v>
      </c>
      <c r="C279" s="6" t="s">
        <v>48</v>
      </c>
      <c r="D279" s="6" t="s">
        <v>847</v>
      </c>
      <c r="E279" s="6" t="s">
        <v>558</v>
      </c>
      <c r="F279" s="6" t="s">
        <v>18</v>
      </c>
      <c r="G279" s="7">
        <v>0.04</v>
      </c>
      <c r="H279" s="6" t="s">
        <v>848</v>
      </c>
      <c r="I279" s="6" t="s">
        <v>20</v>
      </c>
      <c r="J279" s="6">
        <v>2023.0</v>
      </c>
      <c r="L279" s="6">
        <v>1.0</v>
      </c>
      <c r="M279" s="8">
        <f t="shared" si="1"/>
        <v>0.04</v>
      </c>
      <c r="P279" s="9"/>
    </row>
    <row r="280">
      <c r="A280" s="6" t="s">
        <v>849</v>
      </c>
      <c r="B280" s="6" t="s">
        <v>850</v>
      </c>
      <c r="C280" s="6" t="s">
        <v>212</v>
      </c>
      <c r="D280" s="6" t="s">
        <v>851</v>
      </c>
      <c r="E280" s="6" t="s">
        <v>852</v>
      </c>
      <c r="F280" s="6" t="s">
        <v>18</v>
      </c>
      <c r="G280" s="7">
        <v>3.2</v>
      </c>
      <c r="H280" s="6" t="s">
        <v>209</v>
      </c>
      <c r="I280" s="6" t="s">
        <v>20</v>
      </c>
      <c r="J280" s="6">
        <v>2025.0</v>
      </c>
      <c r="L280" s="6">
        <v>1.0</v>
      </c>
      <c r="M280" s="8">
        <f t="shared" si="1"/>
        <v>3.2</v>
      </c>
      <c r="P280" s="9"/>
    </row>
    <row r="281">
      <c r="A281" s="6" t="s">
        <v>853</v>
      </c>
      <c r="B281" s="6" t="s">
        <v>854</v>
      </c>
      <c r="C281" s="6" t="s">
        <v>855</v>
      </c>
      <c r="D281" s="6" t="s">
        <v>856</v>
      </c>
      <c r="E281" s="6" t="s">
        <v>857</v>
      </c>
      <c r="F281" s="6" t="s">
        <v>858</v>
      </c>
      <c r="G281" s="7">
        <v>0.41</v>
      </c>
      <c r="H281" s="6" t="s">
        <v>483</v>
      </c>
      <c r="I281" s="6" t="s">
        <v>20</v>
      </c>
      <c r="J281" s="6">
        <v>2014.0</v>
      </c>
      <c r="K281" s="10">
        <v>46117.0</v>
      </c>
      <c r="L281" s="6">
        <v>1.0</v>
      </c>
      <c r="M281" s="8">
        <f t="shared" si="1"/>
        <v>0.41</v>
      </c>
      <c r="P281" s="9"/>
    </row>
    <row r="282">
      <c r="A282" s="6" t="s">
        <v>859</v>
      </c>
      <c r="B282" s="6" t="s">
        <v>860</v>
      </c>
      <c r="C282" s="6" t="s">
        <v>23</v>
      </c>
      <c r="D282" s="6" t="s">
        <v>861</v>
      </c>
      <c r="E282" s="6" t="s">
        <v>25</v>
      </c>
      <c r="F282" s="6" t="s">
        <v>18</v>
      </c>
      <c r="G282" s="7">
        <v>0.09</v>
      </c>
      <c r="H282" s="6" t="s">
        <v>31</v>
      </c>
      <c r="I282" s="6" t="s">
        <v>20</v>
      </c>
      <c r="J282" s="6">
        <v>2026.0</v>
      </c>
      <c r="K282" s="10">
        <v>46056.0</v>
      </c>
      <c r="L282" s="6">
        <v>1.0</v>
      </c>
      <c r="M282" s="8">
        <f t="shared" si="1"/>
        <v>0.09</v>
      </c>
      <c r="P282" s="9"/>
    </row>
    <row r="283">
      <c r="A283" s="6" t="s">
        <v>862</v>
      </c>
      <c r="B283" s="6" t="s">
        <v>165</v>
      </c>
      <c r="C283" s="6" t="s">
        <v>34</v>
      </c>
      <c r="D283" s="6" t="s">
        <v>863</v>
      </c>
      <c r="E283" s="6" t="s">
        <v>864</v>
      </c>
      <c r="F283" s="6" t="s">
        <v>18</v>
      </c>
      <c r="G283" s="7">
        <v>0.13</v>
      </c>
      <c r="H283" s="6" t="s">
        <v>38</v>
      </c>
      <c r="I283" s="6" t="s">
        <v>20</v>
      </c>
      <c r="J283" s="6">
        <v>2026.0</v>
      </c>
      <c r="L283" s="6">
        <v>1.0</v>
      </c>
      <c r="M283" s="8">
        <f t="shared" si="1"/>
        <v>0.13</v>
      </c>
      <c r="P283" s="9"/>
    </row>
    <row r="284">
      <c r="A284" s="6" t="s">
        <v>865</v>
      </c>
      <c r="B284" s="6" t="s">
        <v>866</v>
      </c>
      <c r="C284" s="6" t="s">
        <v>23</v>
      </c>
      <c r="D284" s="6" t="s">
        <v>867</v>
      </c>
      <c r="E284" s="6" t="s">
        <v>112</v>
      </c>
      <c r="F284" s="6" t="s">
        <v>65</v>
      </c>
      <c r="G284" s="7">
        <v>0.25</v>
      </c>
      <c r="H284" s="6" t="s">
        <v>607</v>
      </c>
      <c r="I284" s="6" t="s">
        <v>20</v>
      </c>
      <c r="J284" s="6">
        <v>1994.0</v>
      </c>
      <c r="K284" s="10">
        <v>46054.0</v>
      </c>
      <c r="L284" s="6">
        <v>1.0</v>
      </c>
      <c r="M284" s="8">
        <f t="shared" si="1"/>
        <v>0.25</v>
      </c>
      <c r="P284" s="9"/>
    </row>
    <row r="285">
      <c r="A285" s="6" t="s">
        <v>868</v>
      </c>
      <c r="B285" s="6" t="s">
        <v>182</v>
      </c>
      <c r="C285" s="6" t="s">
        <v>23</v>
      </c>
      <c r="D285" s="6" t="s">
        <v>869</v>
      </c>
      <c r="E285" s="6" t="s">
        <v>238</v>
      </c>
      <c r="F285" s="6" t="s">
        <v>159</v>
      </c>
      <c r="G285" s="7">
        <v>0.07</v>
      </c>
      <c r="H285" s="6" t="s">
        <v>316</v>
      </c>
      <c r="I285" s="6" t="s">
        <v>20</v>
      </c>
      <c r="J285" s="6">
        <v>2016.0</v>
      </c>
      <c r="L285" s="6">
        <v>1.0</v>
      </c>
      <c r="M285" s="8">
        <f t="shared" si="1"/>
        <v>0.07</v>
      </c>
      <c r="P285" s="9"/>
    </row>
    <row r="286">
      <c r="A286" s="6" t="s">
        <v>870</v>
      </c>
      <c r="B286" s="6" t="s">
        <v>871</v>
      </c>
      <c r="C286" s="6" t="s">
        <v>48</v>
      </c>
      <c r="D286" s="6" t="s">
        <v>872</v>
      </c>
      <c r="E286" s="6" t="s">
        <v>873</v>
      </c>
      <c r="F286" s="6" t="s">
        <v>874</v>
      </c>
      <c r="G286" s="7">
        <v>0.03</v>
      </c>
      <c r="H286" s="6" t="s">
        <v>875</v>
      </c>
      <c r="I286" s="6" t="s">
        <v>20</v>
      </c>
      <c r="J286" s="6">
        <v>2018.0</v>
      </c>
      <c r="K286" s="10">
        <v>46083.0</v>
      </c>
      <c r="L286" s="6">
        <v>1.0</v>
      </c>
      <c r="M286" s="8">
        <f t="shared" si="1"/>
        <v>0.03</v>
      </c>
      <c r="P286" s="9"/>
    </row>
    <row r="287">
      <c r="A287" s="6" t="s">
        <v>876</v>
      </c>
      <c r="B287" s="6" t="s">
        <v>877</v>
      </c>
      <c r="C287" s="6" t="s">
        <v>23</v>
      </c>
      <c r="D287" s="6" t="s">
        <v>878</v>
      </c>
      <c r="E287" s="6" t="s">
        <v>118</v>
      </c>
      <c r="F287" s="6" t="s">
        <v>51</v>
      </c>
      <c r="G287" s="7">
        <v>0.03</v>
      </c>
      <c r="H287" s="6" t="s">
        <v>299</v>
      </c>
      <c r="I287" s="6" t="s">
        <v>20</v>
      </c>
      <c r="J287" s="6">
        <v>2017.0</v>
      </c>
      <c r="K287" s="10">
        <v>46025.0</v>
      </c>
      <c r="L287" s="6">
        <v>1.0</v>
      </c>
      <c r="M287" s="8">
        <f t="shared" si="1"/>
        <v>0.03</v>
      </c>
      <c r="P287" s="9"/>
    </row>
    <row r="288">
      <c r="A288" s="6" t="s">
        <v>879</v>
      </c>
      <c r="B288" s="6" t="s">
        <v>628</v>
      </c>
      <c r="C288" s="6" t="s">
        <v>23</v>
      </c>
      <c r="D288" s="6" t="s">
        <v>880</v>
      </c>
      <c r="E288" s="6" t="s">
        <v>30</v>
      </c>
      <c r="F288" s="6" t="s">
        <v>18</v>
      </c>
      <c r="G288" s="7">
        <v>0.05</v>
      </c>
      <c r="H288" s="6" t="s">
        <v>881</v>
      </c>
      <c r="I288" s="6" t="s">
        <v>20</v>
      </c>
      <c r="J288" s="6">
        <v>2021.0</v>
      </c>
      <c r="K288" s="10">
        <v>46084.0</v>
      </c>
      <c r="L288" s="6">
        <v>1.0</v>
      </c>
      <c r="M288" s="8">
        <f t="shared" si="1"/>
        <v>0.05</v>
      </c>
      <c r="P288" s="9"/>
    </row>
    <row r="289">
      <c r="A289" s="6" t="s">
        <v>882</v>
      </c>
      <c r="B289" s="6" t="s">
        <v>543</v>
      </c>
      <c r="C289" s="6" t="s">
        <v>521</v>
      </c>
      <c r="D289" s="6" t="s">
        <v>883</v>
      </c>
      <c r="E289" s="6" t="s">
        <v>102</v>
      </c>
      <c r="F289" s="6" t="s">
        <v>103</v>
      </c>
      <c r="G289" s="7">
        <v>0.1</v>
      </c>
      <c r="H289" s="6" t="s">
        <v>641</v>
      </c>
      <c r="I289" s="6" t="s">
        <v>20</v>
      </c>
      <c r="J289" s="6">
        <v>2026.0</v>
      </c>
      <c r="L289" s="6">
        <v>1.0</v>
      </c>
      <c r="M289" s="8">
        <f t="shared" si="1"/>
        <v>0.1</v>
      </c>
      <c r="P289" s="9"/>
    </row>
    <row r="290">
      <c r="A290" s="6" t="s">
        <v>884</v>
      </c>
      <c r="B290" s="6" t="s">
        <v>291</v>
      </c>
      <c r="C290" s="6" t="s">
        <v>23</v>
      </c>
      <c r="D290" s="6" t="s">
        <v>885</v>
      </c>
      <c r="E290" s="6" t="s">
        <v>79</v>
      </c>
      <c r="F290" s="6" t="s">
        <v>51</v>
      </c>
      <c r="G290" s="7">
        <v>0.06</v>
      </c>
      <c r="H290" s="6" t="s">
        <v>184</v>
      </c>
      <c r="I290" s="6" t="s">
        <v>20</v>
      </c>
      <c r="J290" s="6">
        <v>2015.0</v>
      </c>
      <c r="K290" s="10">
        <v>46055.0</v>
      </c>
      <c r="L290" s="6">
        <v>3.0</v>
      </c>
      <c r="M290" s="8">
        <f t="shared" si="1"/>
        <v>0.18</v>
      </c>
      <c r="P290" s="9"/>
    </row>
    <row r="291">
      <c r="A291" s="6" t="s">
        <v>886</v>
      </c>
      <c r="B291" s="6" t="s">
        <v>796</v>
      </c>
      <c r="C291" s="6" t="s">
        <v>15</v>
      </c>
      <c r="D291" s="6" t="s">
        <v>887</v>
      </c>
      <c r="E291" s="6" t="s">
        <v>364</v>
      </c>
      <c r="F291" s="6" t="s">
        <v>51</v>
      </c>
      <c r="G291" s="7">
        <v>0.19</v>
      </c>
      <c r="H291" s="6" t="s">
        <v>209</v>
      </c>
      <c r="I291" s="6" t="s">
        <v>20</v>
      </c>
      <c r="J291" s="6">
        <v>2025.0</v>
      </c>
      <c r="L291" s="6">
        <v>1.0</v>
      </c>
      <c r="M291" s="8">
        <f t="shared" si="1"/>
        <v>0.19</v>
      </c>
      <c r="P291" s="9"/>
    </row>
    <row r="292">
      <c r="A292" s="6" t="s">
        <v>888</v>
      </c>
      <c r="B292" s="6" t="s">
        <v>836</v>
      </c>
      <c r="C292" s="6" t="s">
        <v>23</v>
      </c>
      <c r="D292" s="6" t="s">
        <v>889</v>
      </c>
      <c r="E292" s="6" t="s">
        <v>890</v>
      </c>
      <c r="F292" s="6" t="s">
        <v>37</v>
      </c>
      <c r="G292" s="7">
        <v>0.03</v>
      </c>
      <c r="H292" s="6" t="s">
        <v>316</v>
      </c>
      <c r="I292" s="6" t="s">
        <v>20</v>
      </c>
      <c r="J292" s="6">
        <v>2016.0</v>
      </c>
      <c r="K292" s="10">
        <v>46116.0</v>
      </c>
      <c r="L292" s="6">
        <v>1.0</v>
      </c>
      <c r="M292" s="8">
        <f t="shared" si="1"/>
        <v>0.03</v>
      </c>
      <c r="P292" s="9"/>
    </row>
    <row r="293">
      <c r="A293" s="6" t="s">
        <v>891</v>
      </c>
      <c r="B293" s="6" t="s">
        <v>836</v>
      </c>
      <c r="C293" s="6" t="s">
        <v>41</v>
      </c>
      <c r="D293" s="6" t="s">
        <v>892</v>
      </c>
      <c r="E293" s="6" t="s">
        <v>890</v>
      </c>
      <c r="F293" s="6" t="s">
        <v>37</v>
      </c>
      <c r="G293" s="7">
        <v>0.25</v>
      </c>
      <c r="H293" s="6" t="s">
        <v>200</v>
      </c>
      <c r="I293" s="6" t="s">
        <v>20</v>
      </c>
      <c r="J293" s="6">
        <v>2018.0</v>
      </c>
      <c r="K293" s="10">
        <v>46055.0</v>
      </c>
      <c r="L293" s="6">
        <v>1.0</v>
      </c>
      <c r="M293" s="8">
        <f t="shared" si="1"/>
        <v>0.25</v>
      </c>
      <c r="P293" s="9"/>
    </row>
    <row r="294">
      <c r="A294" s="6" t="s">
        <v>893</v>
      </c>
      <c r="B294" s="6" t="s">
        <v>127</v>
      </c>
      <c r="C294" s="6" t="s">
        <v>23</v>
      </c>
      <c r="D294" s="6" t="s">
        <v>894</v>
      </c>
      <c r="E294" s="6" t="s">
        <v>118</v>
      </c>
      <c r="F294" s="6" t="s">
        <v>51</v>
      </c>
      <c r="G294" s="7">
        <v>0.06</v>
      </c>
      <c r="H294" s="6" t="s">
        <v>491</v>
      </c>
      <c r="I294" s="6" t="s">
        <v>20</v>
      </c>
      <c r="J294" s="6">
        <v>2011.0</v>
      </c>
      <c r="K294" s="10">
        <v>46054.0</v>
      </c>
      <c r="L294" s="6">
        <v>1.0</v>
      </c>
      <c r="M294" s="8">
        <f t="shared" si="1"/>
        <v>0.06</v>
      </c>
      <c r="P294" s="9"/>
    </row>
    <row r="295">
      <c r="A295" s="6" t="s">
        <v>895</v>
      </c>
      <c r="B295" s="6" t="s">
        <v>543</v>
      </c>
      <c r="C295" s="6" t="s">
        <v>48</v>
      </c>
      <c r="D295" s="6" t="s">
        <v>896</v>
      </c>
      <c r="E295" s="6" t="s">
        <v>897</v>
      </c>
      <c r="F295" s="6" t="s">
        <v>65</v>
      </c>
      <c r="G295" s="7">
        <v>0.2</v>
      </c>
      <c r="H295" s="6" t="s">
        <v>245</v>
      </c>
      <c r="I295" s="6" t="s">
        <v>20</v>
      </c>
      <c r="J295" s="6">
        <v>1995.0</v>
      </c>
      <c r="L295" s="6">
        <v>1.0</v>
      </c>
      <c r="M295" s="8">
        <f t="shared" si="1"/>
        <v>0.2</v>
      </c>
      <c r="P295" s="9"/>
    </row>
    <row r="296">
      <c r="A296" s="6" t="s">
        <v>898</v>
      </c>
      <c r="B296" s="6" t="s">
        <v>899</v>
      </c>
      <c r="C296" s="6" t="s">
        <v>23</v>
      </c>
      <c r="D296" s="6" t="s">
        <v>900</v>
      </c>
      <c r="E296" s="6" t="s">
        <v>79</v>
      </c>
      <c r="F296" s="6" t="s">
        <v>51</v>
      </c>
      <c r="G296" s="7">
        <v>0.05</v>
      </c>
      <c r="H296" s="6" t="s">
        <v>45</v>
      </c>
      <c r="I296" s="6" t="s">
        <v>20</v>
      </c>
      <c r="J296" s="6">
        <v>2025.0</v>
      </c>
      <c r="K296" s="10">
        <v>46055.0</v>
      </c>
      <c r="L296" s="6">
        <v>3.0</v>
      </c>
      <c r="M296" s="8">
        <f t="shared" si="1"/>
        <v>0.15</v>
      </c>
      <c r="P296" s="9"/>
    </row>
    <row r="297">
      <c r="A297" s="6" t="s">
        <v>898</v>
      </c>
      <c r="B297" s="6" t="s">
        <v>899</v>
      </c>
      <c r="C297" s="6" t="s">
        <v>23</v>
      </c>
      <c r="D297" s="6" t="s">
        <v>900</v>
      </c>
      <c r="E297" s="6" t="s">
        <v>79</v>
      </c>
      <c r="F297" s="6" t="s">
        <v>51</v>
      </c>
      <c r="G297" s="7">
        <v>0.05</v>
      </c>
      <c r="H297" s="6" t="s">
        <v>45</v>
      </c>
      <c r="I297" s="6" t="s">
        <v>20</v>
      </c>
      <c r="J297" s="6">
        <v>2025.0</v>
      </c>
      <c r="K297" s="10">
        <v>46055.0</v>
      </c>
      <c r="L297" s="6">
        <v>2.0</v>
      </c>
      <c r="M297" s="8">
        <f t="shared" si="1"/>
        <v>0.1</v>
      </c>
      <c r="P297" s="9"/>
    </row>
    <row r="298">
      <c r="A298" s="6" t="s">
        <v>901</v>
      </c>
      <c r="B298" s="6" t="s">
        <v>902</v>
      </c>
      <c r="C298" s="6" t="s">
        <v>449</v>
      </c>
      <c r="D298" s="6" t="s">
        <v>903</v>
      </c>
      <c r="E298" s="6" t="s">
        <v>441</v>
      </c>
      <c r="F298" s="6" t="s">
        <v>904</v>
      </c>
      <c r="G298" s="7">
        <v>1.25</v>
      </c>
      <c r="H298" s="6" t="s">
        <v>586</v>
      </c>
      <c r="I298" s="6" t="s">
        <v>20</v>
      </c>
      <c r="J298" s="6">
        <v>2000.0</v>
      </c>
      <c r="K298" s="10">
        <v>46269.0</v>
      </c>
      <c r="L298" s="6">
        <v>2.0</v>
      </c>
      <c r="M298" s="8">
        <f t="shared" si="1"/>
        <v>2.5</v>
      </c>
      <c r="P298" s="9"/>
    </row>
    <row r="299">
      <c r="A299" s="6" t="s">
        <v>905</v>
      </c>
      <c r="B299" s="6" t="s">
        <v>906</v>
      </c>
      <c r="C299" s="6" t="s">
        <v>23</v>
      </c>
      <c r="D299" s="6" t="s">
        <v>907</v>
      </c>
      <c r="E299" s="6" t="s">
        <v>721</v>
      </c>
      <c r="F299" s="6" t="s">
        <v>51</v>
      </c>
      <c r="G299" s="7">
        <v>0.06</v>
      </c>
      <c r="H299" s="6" t="s">
        <v>184</v>
      </c>
      <c r="I299" s="6" t="s">
        <v>20</v>
      </c>
      <c r="J299" s="6">
        <v>2015.0</v>
      </c>
      <c r="K299" s="10">
        <v>46084.0</v>
      </c>
      <c r="L299" s="6">
        <v>2.0</v>
      </c>
      <c r="M299" s="8">
        <f t="shared" si="1"/>
        <v>0.12</v>
      </c>
      <c r="P299" s="9"/>
    </row>
    <row r="300">
      <c r="A300" s="6" t="s">
        <v>905</v>
      </c>
      <c r="B300" s="6" t="s">
        <v>906</v>
      </c>
      <c r="C300" s="6" t="s">
        <v>23</v>
      </c>
      <c r="D300" s="6" t="s">
        <v>907</v>
      </c>
      <c r="E300" s="6" t="s">
        <v>721</v>
      </c>
      <c r="F300" s="6" t="s">
        <v>51</v>
      </c>
      <c r="G300" s="7">
        <v>0.06</v>
      </c>
      <c r="H300" s="6" t="s">
        <v>184</v>
      </c>
      <c r="I300" s="6" t="s">
        <v>20</v>
      </c>
      <c r="J300" s="6">
        <v>2015.0</v>
      </c>
      <c r="K300" s="10">
        <v>46084.0</v>
      </c>
      <c r="L300" s="6">
        <v>1.0</v>
      </c>
      <c r="M300" s="8">
        <f t="shared" si="1"/>
        <v>0.06</v>
      </c>
      <c r="P300" s="9"/>
    </row>
    <row r="301">
      <c r="A301" s="6" t="s">
        <v>908</v>
      </c>
      <c r="B301" s="6" t="s">
        <v>909</v>
      </c>
      <c r="C301" s="6" t="s">
        <v>23</v>
      </c>
      <c r="D301" s="6" t="s">
        <v>910</v>
      </c>
      <c r="E301" s="6" t="s">
        <v>30</v>
      </c>
      <c r="F301" s="6" t="s">
        <v>18</v>
      </c>
      <c r="G301" s="7">
        <v>0.04</v>
      </c>
      <c r="H301" s="6" t="s">
        <v>911</v>
      </c>
      <c r="I301" s="6" t="s">
        <v>20</v>
      </c>
      <c r="J301" s="6">
        <v>2001.0</v>
      </c>
      <c r="K301" s="10">
        <v>46055.0</v>
      </c>
      <c r="L301" s="6">
        <v>1.0</v>
      </c>
      <c r="M301" s="8">
        <f t="shared" si="1"/>
        <v>0.04</v>
      </c>
      <c r="P301" s="9"/>
    </row>
    <row r="302">
      <c r="A302" s="6" t="s">
        <v>912</v>
      </c>
      <c r="B302" s="6" t="s">
        <v>909</v>
      </c>
      <c r="C302" s="6" t="s">
        <v>23</v>
      </c>
      <c r="D302" s="6" t="s">
        <v>913</v>
      </c>
      <c r="E302" s="6" t="s">
        <v>30</v>
      </c>
      <c r="F302" s="6" t="s">
        <v>18</v>
      </c>
      <c r="G302" s="7">
        <v>0.06</v>
      </c>
      <c r="H302" s="6" t="s">
        <v>914</v>
      </c>
      <c r="I302" s="6" t="s">
        <v>20</v>
      </c>
      <c r="J302" s="6">
        <v>2011.0</v>
      </c>
      <c r="K302" s="10">
        <v>46055.0</v>
      </c>
      <c r="L302" s="6">
        <v>1.0</v>
      </c>
      <c r="M302" s="8">
        <f t="shared" si="1"/>
        <v>0.06</v>
      </c>
      <c r="P302" s="9"/>
    </row>
    <row r="303">
      <c r="A303" s="6" t="s">
        <v>915</v>
      </c>
      <c r="B303" s="6" t="s">
        <v>916</v>
      </c>
      <c r="C303" s="6" t="s">
        <v>23</v>
      </c>
      <c r="D303" s="6" t="s">
        <v>917</v>
      </c>
      <c r="E303" s="6" t="s">
        <v>30</v>
      </c>
      <c r="F303" s="6" t="s">
        <v>18</v>
      </c>
      <c r="G303" s="7">
        <v>0.03</v>
      </c>
      <c r="H303" s="6" t="s">
        <v>562</v>
      </c>
      <c r="I303" s="6" t="s">
        <v>20</v>
      </c>
      <c r="J303" s="6">
        <v>2017.0</v>
      </c>
      <c r="K303" s="10">
        <v>46056.0</v>
      </c>
      <c r="L303" s="6">
        <v>2.0</v>
      </c>
      <c r="M303" s="8">
        <f t="shared" si="1"/>
        <v>0.06</v>
      </c>
      <c r="P303" s="9"/>
    </row>
    <row r="304">
      <c r="A304" s="6" t="s">
        <v>915</v>
      </c>
      <c r="B304" s="6" t="s">
        <v>916</v>
      </c>
      <c r="C304" s="6" t="s">
        <v>23</v>
      </c>
      <c r="D304" s="6" t="s">
        <v>917</v>
      </c>
      <c r="E304" s="6" t="s">
        <v>30</v>
      </c>
      <c r="F304" s="6" t="s">
        <v>18</v>
      </c>
      <c r="G304" s="7">
        <v>0.03</v>
      </c>
      <c r="H304" s="6" t="s">
        <v>562</v>
      </c>
      <c r="I304" s="6" t="s">
        <v>20</v>
      </c>
      <c r="J304" s="6">
        <v>2017.0</v>
      </c>
      <c r="K304" s="10">
        <v>46056.0</v>
      </c>
      <c r="L304" s="6">
        <v>1.0</v>
      </c>
      <c r="M304" s="8">
        <f t="shared" si="1"/>
        <v>0.03</v>
      </c>
      <c r="P304" s="9"/>
    </row>
    <row r="305">
      <c r="A305" s="6" t="s">
        <v>918</v>
      </c>
      <c r="B305" s="6" t="s">
        <v>906</v>
      </c>
      <c r="C305" s="6" t="s">
        <v>23</v>
      </c>
      <c r="D305" s="6" t="s">
        <v>919</v>
      </c>
      <c r="E305" s="6" t="s">
        <v>573</v>
      </c>
      <c r="F305" s="6" t="s">
        <v>51</v>
      </c>
      <c r="G305" s="7">
        <v>0.03</v>
      </c>
      <c r="H305" s="6" t="s">
        <v>265</v>
      </c>
      <c r="I305" s="6" t="s">
        <v>20</v>
      </c>
      <c r="J305" s="6">
        <v>2017.0</v>
      </c>
      <c r="K305" s="10">
        <v>46084.0</v>
      </c>
      <c r="L305" s="6">
        <v>1.0</v>
      </c>
      <c r="M305" s="8">
        <f t="shared" si="1"/>
        <v>0.03</v>
      </c>
      <c r="P305" s="9"/>
    </row>
    <row r="306">
      <c r="A306" s="6" t="s">
        <v>920</v>
      </c>
      <c r="B306" s="6" t="s">
        <v>916</v>
      </c>
      <c r="C306" s="6" t="s">
        <v>23</v>
      </c>
      <c r="D306" s="6" t="s">
        <v>921</v>
      </c>
      <c r="E306" s="6" t="s">
        <v>30</v>
      </c>
      <c r="F306" s="6" t="s">
        <v>18</v>
      </c>
      <c r="G306" s="7">
        <v>0.06</v>
      </c>
      <c r="H306" s="6" t="s">
        <v>265</v>
      </c>
      <c r="I306" s="6" t="s">
        <v>20</v>
      </c>
      <c r="J306" s="6">
        <v>2017.0</v>
      </c>
      <c r="K306" s="10">
        <v>46083.0</v>
      </c>
      <c r="L306" s="6">
        <v>3.0</v>
      </c>
      <c r="M306" s="8">
        <f t="shared" si="1"/>
        <v>0.18</v>
      </c>
      <c r="P306" s="9"/>
    </row>
    <row r="307">
      <c r="A307" s="6" t="s">
        <v>922</v>
      </c>
      <c r="B307" s="6" t="s">
        <v>909</v>
      </c>
      <c r="C307" s="6" t="s">
        <v>23</v>
      </c>
      <c r="D307" s="6" t="s">
        <v>923</v>
      </c>
      <c r="E307" s="6" t="s">
        <v>573</v>
      </c>
      <c r="F307" s="6" t="s">
        <v>51</v>
      </c>
      <c r="G307" s="7">
        <v>0.05</v>
      </c>
      <c r="H307" s="6" t="s">
        <v>559</v>
      </c>
      <c r="I307" s="6" t="s">
        <v>20</v>
      </c>
      <c r="J307" s="6">
        <v>2015.0</v>
      </c>
      <c r="K307" s="10">
        <v>46083.0</v>
      </c>
      <c r="L307" s="6">
        <v>1.0</v>
      </c>
      <c r="M307" s="8">
        <f t="shared" si="1"/>
        <v>0.05</v>
      </c>
      <c r="P307" s="9"/>
    </row>
    <row r="308">
      <c r="A308" s="6" t="s">
        <v>924</v>
      </c>
      <c r="B308" s="6" t="s">
        <v>925</v>
      </c>
      <c r="C308" s="6" t="s">
        <v>23</v>
      </c>
      <c r="D308" s="6" t="s">
        <v>926</v>
      </c>
      <c r="E308" s="6" t="s">
        <v>220</v>
      </c>
      <c r="F308" s="6" t="s">
        <v>18</v>
      </c>
      <c r="G308" s="7">
        <v>0.04</v>
      </c>
      <c r="H308" s="6" t="s">
        <v>911</v>
      </c>
      <c r="I308" s="6" t="s">
        <v>20</v>
      </c>
      <c r="J308" s="6">
        <v>2001.0</v>
      </c>
      <c r="K308" s="10">
        <v>46084.0</v>
      </c>
      <c r="L308" s="6">
        <v>1.0</v>
      </c>
      <c r="M308" s="8">
        <f t="shared" si="1"/>
        <v>0.04</v>
      </c>
      <c r="P308" s="9"/>
    </row>
    <row r="309">
      <c r="A309" s="6" t="s">
        <v>927</v>
      </c>
      <c r="B309" s="6" t="s">
        <v>928</v>
      </c>
      <c r="C309" s="6" t="s">
        <v>23</v>
      </c>
      <c r="D309" s="6" t="s">
        <v>929</v>
      </c>
      <c r="E309" s="6" t="s">
        <v>79</v>
      </c>
      <c r="F309" s="6" t="s">
        <v>51</v>
      </c>
      <c r="G309" s="7">
        <v>0.14</v>
      </c>
      <c r="H309" s="6" t="s">
        <v>309</v>
      </c>
      <c r="I309" s="6" t="s">
        <v>20</v>
      </c>
      <c r="J309" s="6">
        <v>2013.0</v>
      </c>
      <c r="K309" s="10">
        <v>46055.0</v>
      </c>
      <c r="L309" s="6">
        <v>1.0</v>
      </c>
      <c r="M309" s="8">
        <f t="shared" si="1"/>
        <v>0.14</v>
      </c>
      <c r="P309" s="9"/>
    </row>
    <row r="310">
      <c r="A310" s="6" t="s">
        <v>930</v>
      </c>
      <c r="B310" s="6" t="s">
        <v>871</v>
      </c>
      <c r="C310" s="6" t="s">
        <v>48</v>
      </c>
      <c r="D310" s="6" t="s">
        <v>931</v>
      </c>
      <c r="E310" s="6" t="s">
        <v>270</v>
      </c>
      <c r="F310" s="6" t="s">
        <v>159</v>
      </c>
      <c r="G310" s="7">
        <v>0.25</v>
      </c>
      <c r="H310" s="6" t="s">
        <v>265</v>
      </c>
      <c r="I310" s="6" t="s">
        <v>20</v>
      </c>
      <c r="J310" s="6">
        <v>2017.0</v>
      </c>
      <c r="K310" s="10">
        <v>46055.0</v>
      </c>
      <c r="L310" s="6">
        <v>3.0</v>
      </c>
      <c r="M310" s="8">
        <f t="shared" si="1"/>
        <v>0.75</v>
      </c>
      <c r="P310" s="9"/>
    </row>
    <row r="311">
      <c r="A311" s="6" t="s">
        <v>932</v>
      </c>
      <c r="B311" s="6" t="s">
        <v>62</v>
      </c>
      <c r="C311" s="6" t="s">
        <v>23</v>
      </c>
      <c r="D311" s="6" t="s">
        <v>933</v>
      </c>
      <c r="E311" s="6" t="s">
        <v>270</v>
      </c>
      <c r="F311" s="6" t="s">
        <v>159</v>
      </c>
      <c r="G311" s="7">
        <v>0.08</v>
      </c>
      <c r="H311" s="6" t="s">
        <v>129</v>
      </c>
      <c r="I311" s="6" t="s">
        <v>20</v>
      </c>
      <c r="J311" s="6">
        <v>2014.0</v>
      </c>
      <c r="L311" s="6">
        <v>1.0</v>
      </c>
      <c r="M311" s="8">
        <f t="shared" si="1"/>
        <v>0.08</v>
      </c>
      <c r="P311" s="9"/>
    </row>
    <row r="312">
      <c r="A312" s="6" t="s">
        <v>934</v>
      </c>
      <c r="B312" s="6" t="s">
        <v>935</v>
      </c>
      <c r="C312" s="6" t="s">
        <v>41</v>
      </c>
      <c r="D312" s="6" t="s">
        <v>936</v>
      </c>
      <c r="E312" s="6" t="s">
        <v>937</v>
      </c>
      <c r="F312" s="6" t="s">
        <v>159</v>
      </c>
      <c r="G312" s="7">
        <v>0.17</v>
      </c>
      <c r="H312" s="6" t="s">
        <v>555</v>
      </c>
      <c r="I312" s="6" t="s">
        <v>20</v>
      </c>
      <c r="J312" s="6">
        <v>2017.0</v>
      </c>
      <c r="K312" s="10">
        <v>46084.0</v>
      </c>
      <c r="L312" s="6">
        <v>1.0</v>
      </c>
      <c r="M312" s="8">
        <f t="shared" si="1"/>
        <v>0.17</v>
      </c>
      <c r="P312" s="9"/>
    </row>
    <row r="313">
      <c r="A313" s="6" t="s">
        <v>938</v>
      </c>
      <c r="B313" s="6" t="s">
        <v>677</v>
      </c>
      <c r="C313" s="6" t="s">
        <v>23</v>
      </c>
      <c r="E313" s="6" t="s">
        <v>298</v>
      </c>
      <c r="F313" s="6" t="s">
        <v>159</v>
      </c>
      <c r="G313" s="7">
        <v>0.03</v>
      </c>
      <c r="H313" s="6" t="s">
        <v>185</v>
      </c>
      <c r="I313" s="6" t="s">
        <v>20</v>
      </c>
      <c r="J313" s="6">
        <v>2019.0</v>
      </c>
      <c r="K313" s="10">
        <v>46115.0</v>
      </c>
      <c r="L313" s="6">
        <v>1.0</v>
      </c>
      <c r="M313" s="8">
        <f t="shared" si="1"/>
        <v>0.03</v>
      </c>
      <c r="P313" s="9"/>
    </row>
    <row r="314">
      <c r="A314" s="6" t="s">
        <v>939</v>
      </c>
      <c r="B314" s="6" t="s">
        <v>940</v>
      </c>
      <c r="C314" s="6" t="s">
        <v>23</v>
      </c>
      <c r="E314" s="6" t="s">
        <v>941</v>
      </c>
      <c r="F314" s="6" t="s">
        <v>159</v>
      </c>
      <c r="G314" s="7">
        <v>0.05</v>
      </c>
      <c r="H314" s="6" t="s">
        <v>271</v>
      </c>
      <c r="I314" s="6" t="s">
        <v>20</v>
      </c>
      <c r="J314" s="6">
        <v>2012.0</v>
      </c>
      <c r="K314" s="10">
        <v>46209.0</v>
      </c>
      <c r="L314" s="6">
        <v>1.0</v>
      </c>
      <c r="M314" s="8">
        <f t="shared" si="1"/>
        <v>0.05</v>
      </c>
      <c r="P314" s="9"/>
    </row>
    <row r="315">
      <c r="A315" s="6" t="s">
        <v>942</v>
      </c>
      <c r="B315" s="6" t="s">
        <v>943</v>
      </c>
      <c r="C315" s="6" t="s">
        <v>23</v>
      </c>
      <c r="D315" s="6" t="s">
        <v>944</v>
      </c>
      <c r="E315" s="6" t="s">
        <v>112</v>
      </c>
      <c r="F315" s="6" t="s">
        <v>65</v>
      </c>
      <c r="G315" s="7">
        <v>0.08</v>
      </c>
      <c r="H315" s="6" t="s">
        <v>113</v>
      </c>
      <c r="I315" s="6" t="s">
        <v>20</v>
      </c>
      <c r="J315" s="6">
        <v>2024.0</v>
      </c>
      <c r="K315" s="10">
        <v>46055.0</v>
      </c>
      <c r="L315" s="6">
        <v>1.0</v>
      </c>
      <c r="M315" s="8">
        <f t="shared" si="1"/>
        <v>0.08</v>
      </c>
      <c r="P315" s="9"/>
    </row>
    <row r="316">
      <c r="A316" s="6" t="s">
        <v>945</v>
      </c>
      <c r="B316" s="6" t="s">
        <v>946</v>
      </c>
      <c r="C316" s="6" t="s">
        <v>84</v>
      </c>
      <c r="D316" s="6" t="s">
        <v>947</v>
      </c>
      <c r="E316" s="6" t="s">
        <v>948</v>
      </c>
      <c r="F316" s="6" t="s">
        <v>949</v>
      </c>
      <c r="G316" s="7">
        <v>1.0</v>
      </c>
      <c r="H316" s="6" t="s">
        <v>821</v>
      </c>
      <c r="I316" s="6" t="s">
        <v>20</v>
      </c>
      <c r="J316" s="6">
        <v>1995.0</v>
      </c>
      <c r="K316" s="10">
        <v>46055.0</v>
      </c>
      <c r="L316" s="6">
        <v>1.0</v>
      </c>
      <c r="M316" s="8">
        <f t="shared" si="1"/>
        <v>1</v>
      </c>
      <c r="N316" s="6" t="s">
        <v>172</v>
      </c>
      <c r="P316" s="9"/>
    </row>
    <row r="317">
      <c r="A317" s="6" t="s">
        <v>950</v>
      </c>
      <c r="B317" s="6" t="s">
        <v>951</v>
      </c>
      <c r="C317" s="6" t="s">
        <v>23</v>
      </c>
      <c r="D317" s="6" t="s">
        <v>952</v>
      </c>
      <c r="E317" s="6" t="s">
        <v>118</v>
      </c>
      <c r="F317" s="6" t="s">
        <v>51</v>
      </c>
      <c r="G317" s="7">
        <v>0.05</v>
      </c>
      <c r="H317" s="6" t="s">
        <v>75</v>
      </c>
      <c r="I317" s="6" t="s">
        <v>20</v>
      </c>
      <c r="J317" s="6">
        <v>1995.0</v>
      </c>
      <c r="K317" s="10">
        <v>46023.0</v>
      </c>
      <c r="L317" s="6">
        <v>2.0</v>
      </c>
      <c r="M317" s="8">
        <f t="shared" si="1"/>
        <v>0.1</v>
      </c>
      <c r="P317" s="9"/>
    </row>
    <row r="318">
      <c r="A318" s="6" t="s">
        <v>953</v>
      </c>
      <c r="B318" s="6" t="s">
        <v>954</v>
      </c>
      <c r="C318" s="6" t="s">
        <v>84</v>
      </c>
      <c r="D318" s="6" t="s">
        <v>955</v>
      </c>
      <c r="E318" s="6" t="s">
        <v>395</v>
      </c>
      <c r="F318" s="6" t="s">
        <v>51</v>
      </c>
      <c r="G318" s="7">
        <v>1.75</v>
      </c>
      <c r="H318" s="6" t="s">
        <v>75</v>
      </c>
      <c r="I318" s="6" t="s">
        <v>20</v>
      </c>
      <c r="J318" s="6">
        <v>1995.0</v>
      </c>
      <c r="K318" s="6" t="s">
        <v>956</v>
      </c>
      <c r="L318" s="6">
        <v>1.0</v>
      </c>
      <c r="M318" s="8">
        <f t="shared" si="1"/>
        <v>1.75</v>
      </c>
      <c r="N318" s="6" t="s">
        <v>172</v>
      </c>
      <c r="P318" s="9"/>
    </row>
    <row r="319">
      <c r="A319" s="6" t="s">
        <v>957</v>
      </c>
      <c r="B319" s="6" t="s">
        <v>131</v>
      </c>
      <c r="C319" s="6" t="s">
        <v>23</v>
      </c>
      <c r="D319" s="6" t="s">
        <v>958</v>
      </c>
      <c r="E319" s="6" t="s">
        <v>118</v>
      </c>
      <c r="F319" s="6" t="s">
        <v>51</v>
      </c>
      <c r="G319" s="7">
        <v>0.1</v>
      </c>
      <c r="H319" s="6" t="s">
        <v>786</v>
      </c>
      <c r="I319" s="6" t="s">
        <v>20</v>
      </c>
      <c r="J319" s="6">
        <v>2024.0</v>
      </c>
      <c r="K319" s="10">
        <v>46024.0</v>
      </c>
      <c r="L319" s="6">
        <v>1.0</v>
      </c>
      <c r="M319" s="8">
        <f t="shared" si="1"/>
        <v>0.1</v>
      </c>
      <c r="P319" s="9"/>
    </row>
    <row r="320">
      <c r="A320" s="6" t="s">
        <v>959</v>
      </c>
      <c r="B320" s="6" t="s">
        <v>960</v>
      </c>
      <c r="C320" s="6" t="s">
        <v>23</v>
      </c>
      <c r="D320" s="6" t="s">
        <v>961</v>
      </c>
      <c r="F320" s="6" t="s">
        <v>261</v>
      </c>
      <c r="G320" s="7">
        <v>0.06</v>
      </c>
      <c r="H320" s="6" t="s">
        <v>185</v>
      </c>
      <c r="I320" s="6" t="s">
        <v>20</v>
      </c>
      <c r="J320" s="6">
        <v>2019.0</v>
      </c>
      <c r="L320" s="6">
        <v>1.0</v>
      </c>
      <c r="M320" s="8">
        <f t="shared" si="1"/>
        <v>0.06</v>
      </c>
      <c r="P320" s="9"/>
    </row>
    <row r="321">
      <c r="A321" s="6" t="s">
        <v>962</v>
      </c>
      <c r="B321" s="6" t="s">
        <v>291</v>
      </c>
      <c r="C321" s="6" t="s">
        <v>48</v>
      </c>
      <c r="D321" s="6" t="s">
        <v>963</v>
      </c>
      <c r="E321" s="6" t="s">
        <v>395</v>
      </c>
      <c r="F321" s="6" t="s">
        <v>51</v>
      </c>
      <c r="G321" s="7">
        <v>0.13</v>
      </c>
      <c r="H321" s="6" t="s">
        <v>786</v>
      </c>
      <c r="I321" s="6" t="s">
        <v>20</v>
      </c>
      <c r="J321" s="6">
        <v>2024.0</v>
      </c>
      <c r="K321" s="10">
        <v>46055.0</v>
      </c>
      <c r="L321" s="6">
        <v>1.0</v>
      </c>
      <c r="M321" s="8">
        <f t="shared" si="1"/>
        <v>0.13</v>
      </c>
      <c r="P321" s="9"/>
    </row>
    <row r="322">
      <c r="A322" s="6" t="s">
        <v>964</v>
      </c>
      <c r="B322" s="6" t="s">
        <v>139</v>
      </c>
      <c r="C322" s="6" t="s">
        <v>48</v>
      </c>
      <c r="D322" s="6" t="s">
        <v>965</v>
      </c>
      <c r="E322" s="6" t="s">
        <v>966</v>
      </c>
      <c r="F322" s="6" t="s">
        <v>261</v>
      </c>
      <c r="G322" s="7">
        <v>0.03</v>
      </c>
      <c r="H322" s="6" t="s">
        <v>185</v>
      </c>
      <c r="I322" s="6" t="s">
        <v>20</v>
      </c>
      <c r="J322" s="6">
        <v>2019.0</v>
      </c>
      <c r="K322" s="10">
        <v>46084.0</v>
      </c>
      <c r="L322" s="6">
        <v>1.0</v>
      </c>
      <c r="M322" s="8">
        <f t="shared" si="1"/>
        <v>0.03</v>
      </c>
      <c r="P322" s="9"/>
    </row>
    <row r="323">
      <c r="A323" s="6" t="s">
        <v>967</v>
      </c>
      <c r="B323" s="6" t="s">
        <v>57</v>
      </c>
      <c r="C323" s="6" t="s">
        <v>23</v>
      </c>
      <c r="D323" s="6" t="s">
        <v>968</v>
      </c>
      <c r="E323" s="6" t="s">
        <v>102</v>
      </c>
      <c r="F323" s="6" t="s">
        <v>103</v>
      </c>
      <c r="G323" s="7">
        <v>0.04</v>
      </c>
      <c r="H323" s="6" t="s">
        <v>45</v>
      </c>
      <c r="I323" s="6" t="s">
        <v>20</v>
      </c>
      <c r="J323" s="6">
        <v>2025.0</v>
      </c>
      <c r="L323" s="6">
        <v>1.0</v>
      </c>
      <c r="M323" s="8">
        <f t="shared" si="1"/>
        <v>0.04</v>
      </c>
      <c r="P323" s="9"/>
    </row>
    <row r="324">
      <c r="A324" s="6" t="s">
        <v>969</v>
      </c>
      <c r="B324" s="6" t="s">
        <v>970</v>
      </c>
      <c r="C324" s="6" t="s">
        <v>41</v>
      </c>
      <c r="D324" s="6" t="s">
        <v>971</v>
      </c>
      <c r="E324" s="6" t="s">
        <v>972</v>
      </c>
      <c r="F324" s="6" t="s">
        <v>717</v>
      </c>
      <c r="G324" s="7">
        <v>2.5</v>
      </c>
      <c r="H324" s="6" t="s">
        <v>45</v>
      </c>
      <c r="I324" s="6" t="s">
        <v>55</v>
      </c>
      <c r="J324" s="6">
        <v>2025.0</v>
      </c>
      <c r="K324" s="10">
        <v>46116.0</v>
      </c>
      <c r="L324" s="6">
        <v>1.0</v>
      </c>
      <c r="M324" s="8">
        <f t="shared" si="1"/>
        <v>2.5</v>
      </c>
      <c r="P324" s="9"/>
    </row>
    <row r="325">
      <c r="A325" s="6" t="s">
        <v>973</v>
      </c>
      <c r="B325" s="6" t="s">
        <v>263</v>
      </c>
      <c r="C325" s="6" t="s">
        <v>48</v>
      </c>
      <c r="D325" s="6" t="s">
        <v>974</v>
      </c>
      <c r="E325" s="6" t="s">
        <v>30</v>
      </c>
      <c r="F325" s="6" t="s">
        <v>18</v>
      </c>
      <c r="G325" s="7">
        <v>0.06</v>
      </c>
      <c r="H325" s="6" t="s">
        <v>294</v>
      </c>
      <c r="I325" s="6" t="s">
        <v>20</v>
      </c>
      <c r="J325" s="6">
        <v>2010.0</v>
      </c>
      <c r="K325" s="10">
        <v>46114.0</v>
      </c>
      <c r="L325" s="6">
        <v>1.0</v>
      </c>
      <c r="M325" s="8">
        <f t="shared" si="1"/>
        <v>0.06</v>
      </c>
      <c r="P325" s="9"/>
    </row>
    <row r="326">
      <c r="A326" s="6" t="s">
        <v>975</v>
      </c>
      <c r="B326" s="6" t="s">
        <v>976</v>
      </c>
      <c r="C326" s="6" t="s">
        <v>23</v>
      </c>
      <c r="D326" s="6" t="s">
        <v>977</v>
      </c>
      <c r="E326" s="6" t="s">
        <v>118</v>
      </c>
      <c r="F326" s="6" t="s">
        <v>51</v>
      </c>
      <c r="G326" s="7">
        <v>0.04</v>
      </c>
      <c r="H326" s="6" t="s">
        <v>978</v>
      </c>
      <c r="I326" s="6" t="s">
        <v>20</v>
      </c>
      <c r="J326" s="6">
        <v>2022.0</v>
      </c>
      <c r="K326" s="10">
        <v>46023.0</v>
      </c>
      <c r="L326" s="6">
        <v>3.0</v>
      </c>
      <c r="M326" s="8">
        <f t="shared" si="1"/>
        <v>0.12</v>
      </c>
      <c r="P326" s="9"/>
    </row>
    <row r="327">
      <c r="A327" s="6" t="s">
        <v>979</v>
      </c>
      <c r="B327" s="6" t="s">
        <v>980</v>
      </c>
      <c r="C327" s="6" t="s">
        <v>23</v>
      </c>
      <c r="D327" s="6" t="s">
        <v>981</v>
      </c>
      <c r="E327" s="6" t="s">
        <v>602</v>
      </c>
      <c r="F327" s="6" t="s">
        <v>159</v>
      </c>
      <c r="G327" s="7">
        <v>0.12</v>
      </c>
      <c r="H327" s="6" t="s">
        <v>45</v>
      </c>
      <c r="I327" s="6" t="s">
        <v>20</v>
      </c>
      <c r="J327" s="6">
        <v>2025.0</v>
      </c>
      <c r="K327" s="10">
        <v>46116.0</v>
      </c>
      <c r="L327" s="6">
        <v>1.0</v>
      </c>
      <c r="M327" s="8">
        <f t="shared" si="1"/>
        <v>0.12</v>
      </c>
      <c r="P327" s="9"/>
    </row>
    <row r="328">
      <c r="A328" s="6" t="s">
        <v>982</v>
      </c>
      <c r="B328" s="6" t="s">
        <v>983</v>
      </c>
      <c r="C328" s="6" t="s">
        <v>48</v>
      </c>
      <c r="D328" s="6" t="s">
        <v>984</v>
      </c>
      <c r="E328" s="6" t="s">
        <v>985</v>
      </c>
      <c r="F328" s="6" t="s">
        <v>986</v>
      </c>
      <c r="G328" s="7">
        <v>0.1</v>
      </c>
      <c r="H328" s="6" t="s">
        <v>136</v>
      </c>
      <c r="I328" s="6" t="s">
        <v>20</v>
      </c>
      <c r="J328" s="6">
        <v>2022.0</v>
      </c>
      <c r="K328" s="10">
        <v>46055.0</v>
      </c>
      <c r="L328" s="6">
        <v>1.0</v>
      </c>
      <c r="M328" s="8">
        <f t="shared" si="1"/>
        <v>0.1</v>
      </c>
      <c r="P328" s="9"/>
    </row>
    <row r="329">
      <c r="A329" s="6" t="s">
        <v>987</v>
      </c>
      <c r="B329" s="6" t="s">
        <v>983</v>
      </c>
      <c r="C329" s="6" t="s">
        <v>48</v>
      </c>
      <c r="D329" s="6" t="s">
        <v>988</v>
      </c>
      <c r="E329" s="6" t="s">
        <v>395</v>
      </c>
      <c r="F329" s="6" t="s">
        <v>51</v>
      </c>
      <c r="G329" s="7">
        <v>0.7</v>
      </c>
      <c r="H329" s="6" t="s">
        <v>163</v>
      </c>
      <c r="I329" s="6" t="s">
        <v>20</v>
      </c>
      <c r="J329" s="6">
        <v>2023.0</v>
      </c>
      <c r="K329" s="10">
        <v>46114.0</v>
      </c>
      <c r="L329" s="6">
        <v>1.0</v>
      </c>
      <c r="M329" s="8">
        <f t="shared" si="1"/>
        <v>0.7</v>
      </c>
      <c r="P329" s="9"/>
    </row>
    <row r="330">
      <c r="A330" s="6" t="s">
        <v>989</v>
      </c>
      <c r="B330" s="6" t="s">
        <v>62</v>
      </c>
      <c r="C330" s="6" t="s">
        <v>23</v>
      </c>
      <c r="D330" s="6" t="s">
        <v>990</v>
      </c>
      <c r="E330" s="6" t="s">
        <v>124</v>
      </c>
      <c r="F330" s="6" t="s">
        <v>103</v>
      </c>
      <c r="G330" s="7">
        <v>0.05</v>
      </c>
      <c r="H330" s="6" t="s">
        <v>113</v>
      </c>
      <c r="I330" s="6" t="s">
        <v>20</v>
      </c>
      <c r="J330" s="6">
        <v>2024.0</v>
      </c>
      <c r="L330" s="6">
        <v>2.0</v>
      </c>
      <c r="M330" s="8">
        <f t="shared" si="1"/>
        <v>0.1</v>
      </c>
      <c r="P330" s="9"/>
    </row>
    <row r="331">
      <c r="A331" s="6" t="s">
        <v>991</v>
      </c>
      <c r="B331" s="6" t="s">
        <v>992</v>
      </c>
      <c r="C331" s="6" t="s">
        <v>23</v>
      </c>
      <c r="D331" s="6" t="s">
        <v>993</v>
      </c>
      <c r="E331" s="6" t="s">
        <v>223</v>
      </c>
      <c r="F331" s="6" t="s">
        <v>159</v>
      </c>
      <c r="G331" s="7">
        <v>0.32</v>
      </c>
      <c r="H331" s="6" t="s">
        <v>994</v>
      </c>
      <c r="I331" s="6" t="s">
        <v>55</v>
      </c>
      <c r="J331" s="6">
        <v>2024.0</v>
      </c>
      <c r="K331" s="10">
        <v>46055.0</v>
      </c>
      <c r="L331" s="6">
        <v>1.0</v>
      </c>
      <c r="M331" s="8">
        <f t="shared" si="1"/>
        <v>0.32</v>
      </c>
      <c r="P331" s="9"/>
    </row>
    <row r="332">
      <c r="A332" s="6" t="s">
        <v>995</v>
      </c>
      <c r="B332" s="6" t="s">
        <v>996</v>
      </c>
      <c r="C332" s="6" t="s">
        <v>34</v>
      </c>
      <c r="D332" s="6" t="s">
        <v>997</v>
      </c>
      <c r="E332" s="6" t="s">
        <v>998</v>
      </c>
      <c r="F332" s="6" t="s">
        <v>159</v>
      </c>
      <c r="G332" s="7">
        <v>0.1</v>
      </c>
      <c r="H332" s="6" t="s">
        <v>209</v>
      </c>
      <c r="I332" s="6" t="s">
        <v>20</v>
      </c>
      <c r="J332" s="6">
        <v>2025.0</v>
      </c>
      <c r="K332" s="10">
        <v>46179.0</v>
      </c>
      <c r="L332" s="6">
        <v>4.0</v>
      </c>
      <c r="M332" s="8">
        <f t="shared" si="1"/>
        <v>0.4</v>
      </c>
      <c r="P332" s="9"/>
    </row>
    <row r="333">
      <c r="A333" s="6" t="s">
        <v>995</v>
      </c>
      <c r="B333" s="6" t="s">
        <v>996</v>
      </c>
      <c r="C333" s="6" t="s">
        <v>34</v>
      </c>
      <c r="D333" s="6" t="s">
        <v>997</v>
      </c>
      <c r="E333" s="6" t="s">
        <v>998</v>
      </c>
      <c r="F333" s="6" t="s">
        <v>159</v>
      </c>
      <c r="G333" s="7">
        <v>0.24</v>
      </c>
      <c r="H333" s="6" t="s">
        <v>209</v>
      </c>
      <c r="I333" s="6" t="s">
        <v>55</v>
      </c>
      <c r="J333" s="6">
        <v>2025.0</v>
      </c>
      <c r="K333" s="10">
        <v>46179.0</v>
      </c>
      <c r="L333" s="6">
        <v>1.0</v>
      </c>
      <c r="M333" s="8">
        <f t="shared" si="1"/>
        <v>0.24</v>
      </c>
      <c r="P333" s="9"/>
    </row>
    <row r="334">
      <c r="A334" s="6" t="s">
        <v>999</v>
      </c>
      <c r="B334" s="6" t="s">
        <v>1000</v>
      </c>
      <c r="C334" s="6" t="s">
        <v>23</v>
      </c>
      <c r="E334" s="6" t="s">
        <v>1001</v>
      </c>
      <c r="F334" s="6" t="s">
        <v>65</v>
      </c>
      <c r="G334" s="7">
        <v>0.05</v>
      </c>
      <c r="H334" s="6" t="s">
        <v>245</v>
      </c>
      <c r="I334" s="6" t="s">
        <v>20</v>
      </c>
      <c r="J334" s="6">
        <v>1995.0</v>
      </c>
      <c r="K334" s="10">
        <v>46056.0</v>
      </c>
      <c r="L334" s="6">
        <v>1.0</v>
      </c>
      <c r="M334" s="8">
        <f t="shared" si="1"/>
        <v>0.05</v>
      </c>
      <c r="P334" s="9"/>
    </row>
    <row r="335">
      <c r="A335" s="6" t="s">
        <v>1002</v>
      </c>
      <c r="B335" s="6" t="s">
        <v>1003</v>
      </c>
      <c r="C335" s="6" t="s">
        <v>41</v>
      </c>
      <c r="D335" s="6" t="s">
        <v>1004</v>
      </c>
      <c r="E335" s="6" t="s">
        <v>1005</v>
      </c>
      <c r="F335" s="6" t="s">
        <v>65</v>
      </c>
      <c r="G335" s="7">
        <v>3.0</v>
      </c>
      <c r="H335" s="6" t="s">
        <v>289</v>
      </c>
      <c r="I335" s="6" t="s">
        <v>20</v>
      </c>
      <c r="J335" s="6">
        <v>1996.0</v>
      </c>
      <c r="K335" s="10">
        <v>46147.0</v>
      </c>
      <c r="L335" s="6">
        <v>1.0</v>
      </c>
      <c r="M335" s="8">
        <f t="shared" si="1"/>
        <v>3</v>
      </c>
      <c r="P335" s="9"/>
    </row>
    <row r="336">
      <c r="A336" s="6" t="s">
        <v>1006</v>
      </c>
      <c r="B336" s="6" t="s">
        <v>1007</v>
      </c>
      <c r="C336" s="6" t="s">
        <v>23</v>
      </c>
      <c r="D336" s="6" t="s">
        <v>1008</v>
      </c>
      <c r="E336" s="6" t="s">
        <v>102</v>
      </c>
      <c r="F336" s="6" t="s">
        <v>103</v>
      </c>
      <c r="G336" s="7">
        <v>0.06</v>
      </c>
      <c r="H336" s="6" t="s">
        <v>626</v>
      </c>
      <c r="I336" s="6" t="s">
        <v>20</v>
      </c>
      <c r="J336" s="6">
        <v>2013.0</v>
      </c>
      <c r="K336" s="10">
        <v>46023.0</v>
      </c>
      <c r="L336" s="6">
        <v>2.0</v>
      </c>
      <c r="M336" s="8">
        <f t="shared" si="1"/>
        <v>0.12</v>
      </c>
      <c r="P336" s="9"/>
    </row>
    <row r="337">
      <c r="A337" s="6" t="s">
        <v>1009</v>
      </c>
      <c r="B337" s="6" t="s">
        <v>1010</v>
      </c>
      <c r="C337" s="6" t="s">
        <v>23</v>
      </c>
      <c r="D337" s="6" t="s">
        <v>1011</v>
      </c>
      <c r="E337" s="6" t="s">
        <v>102</v>
      </c>
      <c r="F337" s="6" t="s">
        <v>103</v>
      </c>
      <c r="G337" s="7">
        <v>0.05</v>
      </c>
      <c r="H337" s="6" t="s">
        <v>645</v>
      </c>
      <c r="I337" s="6" t="s">
        <v>20</v>
      </c>
      <c r="J337" s="6">
        <v>2024.0</v>
      </c>
      <c r="K337" s="10">
        <v>46055.0</v>
      </c>
      <c r="L337" s="6">
        <v>2.0</v>
      </c>
      <c r="M337" s="8">
        <f t="shared" si="1"/>
        <v>0.1</v>
      </c>
      <c r="P337" s="9"/>
    </row>
    <row r="338">
      <c r="A338" s="6" t="s">
        <v>1012</v>
      </c>
      <c r="B338" s="6" t="s">
        <v>1013</v>
      </c>
      <c r="C338" s="6" t="s">
        <v>48</v>
      </c>
      <c r="D338" s="6" t="s">
        <v>1014</v>
      </c>
      <c r="E338" s="6" t="s">
        <v>890</v>
      </c>
      <c r="F338" s="6" t="s">
        <v>37</v>
      </c>
      <c r="G338" s="7">
        <v>0.03</v>
      </c>
      <c r="H338" s="6" t="s">
        <v>316</v>
      </c>
      <c r="I338" s="6" t="s">
        <v>20</v>
      </c>
      <c r="J338" s="6">
        <v>2016.0</v>
      </c>
      <c r="K338" s="10">
        <v>46179.0</v>
      </c>
      <c r="L338" s="6">
        <v>1.0</v>
      </c>
      <c r="M338" s="8">
        <f t="shared" si="1"/>
        <v>0.03</v>
      </c>
      <c r="P338" s="9"/>
    </row>
    <row r="339">
      <c r="A339" s="6" t="s">
        <v>1015</v>
      </c>
      <c r="B339" s="6" t="s">
        <v>1016</v>
      </c>
      <c r="C339" s="6" t="s">
        <v>48</v>
      </c>
      <c r="D339" s="6" t="s">
        <v>1017</v>
      </c>
      <c r="E339" s="6" t="s">
        <v>50</v>
      </c>
      <c r="F339" s="6" t="s">
        <v>51</v>
      </c>
      <c r="G339" s="7">
        <v>0.09</v>
      </c>
      <c r="H339" s="6" t="s">
        <v>1018</v>
      </c>
      <c r="I339" s="6" t="s">
        <v>20</v>
      </c>
      <c r="J339" s="6">
        <v>1999.0</v>
      </c>
      <c r="K339" s="10">
        <v>46055.0</v>
      </c>
      <c r="L339" s="6">
        <v>1.0</v>
      </c>
      <c r="M339" s="8">
        <f t="shared" si="1"/>
        <v>0.09</v>
      </c>
      <c r="P339" s="9"/>
    </row>
    <row r="340">
      <c r="A340" s="6" t="s">
        <v>1019</v>
      </c>
      <c r="B340" s="6" t="s">
        <v>677</v>
      </c>
      <c r="C340" s="6" t="s">
        <v>23</v>
      </c>
      <c r="D340" s="6" t="s">
        <v>1020</v>
      </c>
      <c r="E340" s="6" t="s">
        <v>937</v>
      </c>
      <c r="F340" s="6" t="s">
        <v>159</v>
      </c>
      <c r="G340" s="7">
        <v>0.03</v>
      </c>
      <c r="H340" s="6" t="s">
        <v>200</v>
      </c>
      <c r="I340" s="6" t="s">
        <v>20</v>
      </c>
      <c r="J340" s="6">
        <v>2018.0</v>
      </c>
      <c r="K340" s="10">
        <v>46116.0</v>
      </c>
      <c r="L340" s="6">
        <v>1.0</v>
      </c>
      <c r="M340" s="8">
        <f t="shared" si="1"/>
        <v>0.03</v>
      </c>
      <c r="P340" s="9"/>
    </row>
    <row r="341">
      <c r="A341" s="6" t="s">
        <v>1021</v>
      </c>
      <c r="B341" s="6" t="s">
        <v>413</v>
      </c>
      <c r="C341" s="6" t="s">
        <v>287</v>
      </c>
      <c r="D341" s="6" t="s">
        <v>1022</v>
      </c>
      <c r="E341" s="6" t="s">
        <v>175</v>
      </c>
      <c r="F341" s="6" t="s">
        <v>51</v>
      </c>
      <c r="G341" s="7">
        <v>0.04</v>
      </c>
      <c r="H341" s="6" t="s">
        <v>119</v>
      </c>
      <c r="I341" s="6" t="s">
        <v>20</v>
      </c>
      <c r="J341" s="6">
        <v>1995.0</v>
      </c>
      <c r="L341" s="6">
        <v>5.0</v>
      </c>
      <c r="M341" s="8">
        <f t="shared" si="1"/>
        <v>0.2</v>
      </c>
      <c r="P341" s="9"/>
    </row>
    <row r="342">
      <c r="A342" s="6" t="s">
        <v>1021</v>
      </c>
      <c r="B342" s="6" t="s">
        <v>413</v>
      </c>
      <c r="C342" s="6" t="s">
        <v>287</v>
      </c>
      <c r="D342" s="6" t="s">
        <v>1022</v>
      </c>
      <c r="E342" s="6" t="s">
        <v>175</v>
      </c>
      <c r="F342" s="6" t="s">
        <v>51</v>
      </c>
      <c r="G342" s="7">
        <v>0.17</v>
      </c>
      <c r="H342" s="6" t="s">
        <v>120</v>
      </c>
      <c r="I342" s="6" t="s">
        <v>20</v>
      </c>
      <c r="J342" s="6">
        <v>1995.0</v>
      </c>
      <c r="L342" s="6">
        <v>3.0</v>
      </c>
      <c r="M342" s="8">
        <f t="shared" si="1"/>
        <v>0.51</v>
      </c>
      <c r="P342" s="9"/>
    </row>
    <row r="343">
      <c r="A343" s="6" t="s">
        <v>1023</v>
      </c>
      <c r="B343" s="6" t="s">
        <v>1024</v>
      </c>
      <c r="C343" s="6" t="s">
        <v>512</v>
      </c>
      <c r="D343" s="6" t="s">
        <v>1025</v>
      </c>
      <c r="E343" s="6" t="s">
        <v>1026</v>
      </c>
      <c r="F343" s="6" t="s">
        <v>1027</v>
      </c>
      <c r="G343" s="7">
        <v>1.2</v>
      </c>
      <c r="H343" s="6" t="s">
        <v>209</v>
      </c>
      <c r="I343" s="6" t="s">
        <v>20</v>
      </c>
      <c r="J343" s="6">
        <v>2025.0</v>
      </c>
      <c r="K343" s="10">
        <v>46085.0</v>
      </c>
      <c r="L343" s="6">
        <v>1.0</v>
      </c>
      <c r="M343" s="8">
        <f t="shared" si="1"/>
        <v>1.2</v>
      </c>
      <c r="P343" s="9"/>
    </row>
    <row r="344">
      <c r="A344" s="6" t="s">
        <v>1028</v>
      </c>
      <c r="B344" s="6" t="s">
        <v>1029</v>
      </c>
      <c r="C344" s="6" t="s">
        <v>23</v>
      </c>
      <c r="D344" s="6" t="s">
        <v>1030</v>
      </c>
      <c r="E344" s="6" t="s">
        <v>153</v>
      </c>
      <c r="F344" s="6" t="s">
        <v>103</v>
      </c>
      <c r="G344" s="7">
        <v>0.18</v>
      </c>
      <c r="H344" s="6" t="s">
        <v>786</v>
      </c>
      <c r="I344" s="6" t="s">
        <v>20</v>
      </c>
      <c r="J344" s="6">
        <v>2024.0</v>
      </c>
      <c r="K344" s="10">
        <v>46083.0</v>
      </c>
      <c r="L344" s="6">
        <v>1.0</v>
      </c>
      <c r="M344" s="8">
        <f t="shared" si="1"/>
        <v>0.18</v>
      </c>
      <c r="P344" s="9"/>
    </row>
    <row r="345">
      <c r="A345" s="6" t="s">
        <v>1031</v>
      </c>
      <c r="B345" s="6" t="s">
        <v>1032</v>
      </c>
      <c r="C345" s="6" t="s">
        <v>48</v>
      </c>
      <c r="D345" s="6" t="s">
        <v>1033</v>
      </c>
      <c r="E345" s="6" t="s">
        <v>1034</v>
      </c>
      <c r="F345" s="6" t="s">
        <v>717</v>
      </c>
      <c r="G345" s="7">
        <v>0.05</v>
      </c>
      <c r="H345" s="6" t="s">
        <v>88</v>
      </c>
      <c r="I345" s="6" t="s">
        <v>20</v>
      </c>
      <c r="J345" s="6">
        <v>2013.0</v>
      </c>
      <c r="K345" s="6" t="s">
        <v>1035</v>
      </c>
      <c r="L345" s="6">
        <v>1.0</v>
      </c>
      <c r="M345" s="8">
        <f t="shared" si="1"/>
        <v>0.05</v>
      </c>
      <c r="P345" s="9"/>
    </row>
    <row r="346">
      <c r="A346" s="6" t="s">
        <v>1036</v>
      </c>
      <c r="B346" s="6" t="s">
        <v>165</v>
      </c>
      <c r="C346" s="6" t="s">
        <v>212</v>
      </c>
      <c r="D346" s="6" t="s">
        <v>1037</v>
      </c>
      <c r="E346" s="6" t="s">
        <v>1038</v>
      </c>
      <c r="F346" s="6" t="s">
        <v>65</v>
      </c>
      <c r="G346" s="7">
        <v>0.84</v>
      </c>
      <c r="H346" s="6" t="s">
        <v>180</v>
      </c>
      <c r="I346" s="6" t="s">
        <v>20</v>
      </c>
      <c r="J346" s="6">
        <v>2014.0</v>
      </c>
      <c r="L346" s="6">
        <v>1.0</v>
      </c>
      <c r="M346" s="8">
        <f t="shared" si="1"/>
        <v>0.84</v>
      </c>
      <c r="P346" s="9"/>
    </row>
    <row r="347">
      <c r="A347" s="6" t="s">
        <v>1039</v>
      </c>
      <c r="B347" s="6" t="s">
        <v>202</v>
      </c>
      <c r="C347" s="6" t="s">
        <v>23</v>
      </c>
      <c r="D347" s="6" t="s">
        <v>1040</v>
      </c>
      <c r="E347" s="6" t="s">
        <v>79</v>
      </c>
      <c r="F347" s="6" t="s">
        <v>51</v>
      </c>
      <c r="G347" s="7">
        <v>0.09</v>
      </c>
      <c r="H347" s="6" t="s">
        <v>994</v>
      </c>
      <c r="I347" s="6" t="s">
        <v>20</v>
      </c>
      <c r="J347" s="6">
        <v>2024.0</v>
      </c>
      <c r="L347" s="6">
        <v>1.0</v>
      </c>
      <c r="M347" s="8">
        <f t="shared" si="1"/>
        <v>0.09</v>
      </c>
      <c r="P347" s="9"/>
    </row>
    <row r="348">
      <c r="A348" s="6" t="s">
        <v>1039</v>
      </c>
      <c r="B348" s="6" t="s">
        <v>1041</v>
      </c>
      <c r="C348" s="6" t="s">
        <v>34</v>
      </c>
      <c r="D348" s="6" t="s">
        <v>1042</v>
      </c>
      <c r="E348" s="6" t="s">
        <v>364</v>
      </c>
      <c r="F348" s="6" t="s">
        <v>51</v>
      </c>
      <c r="G348" s="7">
        <v>0.05</v>
      </c>
      <c r="H348" s="6" t="s">
        <v>1043</v>
      </c>
      <c r="I348" s="6" t="s">
        <v>20</v>
      </c>
      <c r="J348" s="6">
        <v>2025.0</v>
      </c>
      <c r="L348" s="6">
        <v>1.0</v>
      </c>
      <c r="M348" s="8">
        <f t="shared" si="1"/>
        <v>0.05</v>
      </c>
      <c r="P348" s="9"/>
    </row>
    <row r="349">
      <c r="A349" s="6" t="s">
        <v>1039</v>
      </c>
      <c r="B349" s="6" t="s">
        <v>1041</v>
      </c>
      <c r="C349" s="6" t="s">
        <v>34</v>
      </c>
      <c r="D349" s="6" t="s">
        <v>1042</v>
      </c>
      <c r="E349" s="6" t="s">
        <v>364</v>
      </c>
      <c r="F349" s="6" t="s">
        <v>51</v>
      </c>
      <c r="G349" s="7">
        <v>0.2</v>
      </c>
      <c r="H349" s="6" t="s">
        <v>1043</v>
      </c>
      <c r="I349" s="6" t="s">
        <v>55</v>
      </c>
      <c r="J349" s="6">
        <v>2025.0</v>
      </c>
      <c r="L349" s="6">
        <v>1.0</v>
      </c>
      <c r="M349" s="8">
        <f t="shared" si="1"/>
        <v>0.2</v>
      </c>
      <c r="P349" s="9"/>
    </row>
    <row r="350">
      <c r="A350" s="6" t="s">
        <v>1039</v>
      </c>
      <c r="B350" s="6" t="s">
        <v>1041</v>
      </c>
      <c r="C350" s="6" t="s">
        <v>34</v>
      </c>
      <c r="D350" s="6" t="s">
        <v>1042</v>
      </c>
      <c r="E350" s="6" t="s">
        <v>364</v>
      </c>
      <c r="F350" s="6" t="s">
        <v>51</v>
      </c>
      <c r="G350" s="7">
        <v>0.05</v>
      </c>
      <c r="H350" s="6" t="s">
        <v>1043</v>
      </c>
      <c r="I350" s="6" t="s">
        <v>20</v>
      </c>
      <c r="J350" s="6">
        <v>2025.0</v>
      </c>
      <c r="L350" s="6">
        <v>3.0</v>
      </c>
      <c r="M350" s="8">
        <f t="shared" si="1"/>
        <v>0.15</v>
      </c>
      <c r="P350" s="9"/>
    </row>
    <row r="351">
      <c r="A351" s="6" t="s">
        <v>1039</v>
      </c>
      <c r="B351" s="6" t="s">
        <v>202</v>
      </c>
      <c r="C351" s="6" t="s">
        <v>23</v>
      </c>
      <c r="D351" s="6" t="s">
        <v>1040</v>
      </c>
      <c r="E351" s="6" t="s">
        <v>79</v>
      </c>
      <c r="F351" s="6" t="s">
        <v>51</v>
      </c>
      <c r="G351" s="7">
        <v>0.04</v>
      </c>
      <c r="H351" s="6" t="s">
        <v>113</v>
      </c>
      <c r="I351" s="6" t="s">
        <v>20</v>
      </c>
      <c r="J351" s="6">
        <v>2024.0</v>
      </c>
      <c r="L351" s="6">
        <v>1.0</v>
      </c>
      <c r="M351" s="8">
        <f t="shared" si="1"/>
        <v>0.04</v>
      </c>
      <c r="P351" s="9"/>
    </row>
    <row r="352">
      <c r="A352" s="6" t="s">
        <v>1044</v>
      </c>
      <c r="B352" s="6" t="s">
        <v>182</v>
      </c>
      <c r="C352" s="6" t="s">
        <v>48</v>
      </c>
      <c r="D352" s="6" t="s">
        <v>1045</v>
      </c>
      <c r="E352" s="6" t="s">
        <v>102</v>
      </c>
      <c r="F352" s="6" t="s">
        <v>103</v>
      </c>
      <c r="G352" s="7">
        <v>0.05</v>
      </c>
      <c r="H352" s="6" t="s">
        <v>185</v>
      </c>
      <c r="I352" s="6" t="s">
        <v>20</v>
      </c>
      <c r="J352" s="6">
        <v>2019.0</v>
      </c>
      <c r="L352" s="6">
        <v>1.0</v>
      </c>
      <c r="M352" s="8">
        <f t="shared" si="1"/>
        <v>0.05</v>
      </c>
      <c r="P352" s="9"/>
    </row>
    <row r="353">
      <c r="A353" s="6" t="s">
        <v>1046</v>
      </c>
      <c r="B353" s="6" t="s">
        <v>1003</v>
      </c>
      <c r="C353" s="6" t="s">
        <v>23</v>
      </c>
      <c r="D353" s="6" t="s">
        <v>1047</v>
      </c>
      <c r="E353" s="6" t="s">
        <v>64</v>
      </c>
      <c r="F353" s="6" t="s">
        <v>65</v>
      </c>
      <c r="G353" s="7">
        <v>0.05</v>
      </c>
      <c r="H353" s="6" t="s">
        <v>245</v>
      </c>
      <c r="I353" s="6" t="s">
        <v>20</v>
      </c>
      <c r="J353" s="6">
        <v>1995.0</v>
      </c>
      <c r="K353" s="10">
        <v>46054.0</v>
      </c>
      <c r="L353" s="6">
        <v>3.0</v>
      </c>
      <c r="M353" s="8">
        <f t="shared" si="1"/>
        <v>0.15</v>
      </c>
      <c r="P353" s="9"/>
    </row>
    <row r="354">
      <c r="A354" s="6" t="s">
        <v>1048</v>
      </c>
      <c r="B354" s="6" t="s">
        <v>143</v>
      </c>
      <c r="C354" s="6" t="s">
        <v>23</v>
      </c>
      <c r="D354" s="6" t="s">
        <v>1049</v>
      </c>
      <c r="E354" s="6" t="s">
        <v>112</v>
      </c>
      <c r="F354" s="6" t="s">
        <v>65</v>
      </c>
      <c r="G354" s="7">
        <v>0.49</v>
      </c>
      <c r="H354" s="6" t="s">
        <v>1050</v>
      </c>
      <c r="I354" s="6" t="s">
        <v>55</v>
      </c>
      <c r="J354" s="6">
        <v>2023.0</v>
      </c>
      <c r="L354" s="6">
        <v>1.0</v>
      </c>
      <c r="M354" s="8">
        <f t="shared" si="1"/>
        <v>0.49</v>
      </c>
      <c r="P354" s="9"/>
    </row>
    <row r="355">
      <c r="A355" s="6" t="s">
        <v>1048</v>
      </c>
      <c r="B355" s="6" t="s">
        <v>143</v>
      </c>
      <c r="C355" s="6" t="s">
        <v>23</v>
      </c>
      <c r="D355" s="6" t="s">
        <v>1049</v>
      </c>
      <c r="E355" s="6" t="s">
        <v>112</v>
      </c>
      <c r="F355" s="6" t="s">
        <v>65</v>
      </c>
      <c r="G355" s="7">
        <v>0.09</v>
      </c>
      <c r="H355" s="6" t="s">
        <v>1050</v>
      </c>
      <c r="I355" s="6" t="s">
        <v>20</v>
      </c>
      <c r="J355" s="6">
        <v>2023.0</v>
      </c>
      <c r="L355" s="6">
        <v>3.0</v>
      </c>
      <c r="M355" s="8">
        <f t="shared" si="1"/>
        <v>0.27</v>
      </c>
      <c r="P355" s="9"/>
    </row>
    <row r="356">
      <c r="A356" s="6" t="s">
        <v>1051</v>
      </c>
      <c r="B356" s="6" t="s">
        <v>1052</v>
      </c>
      <c r="C356" s="6" t="s">
        <v>521</v>
      </c>
      <c r="D356" s="6" t="s">
        <v>1053</v>
      </c>
      <c r="E356" s="6" t="s">
        <v>102</v>
      </c>
      <c r="F356" s="6" t="s">
        <v>103</v>
      </c>
      <c r="G356" s="7">
        <v>0.1</v>
      </c>
      <c r="H356" s="6" t="s">
        <v>641</v>
      </c>
      <c r="I356" s="6" t="s">
        <v>20</v>
      </c>
      <c r="J356" s="6">
        <v>2026.0</v>
      </c>
      <c r="L356" s="6">
        <v>3.0</v>
      </c>
      <c r="M356" s="8">
        <f t="shared" si="1"/>
        <v>0.3</v>
      </c>
      <c r="P356" s="9"/>
    </row>
    <row r="357">
      <c r="A357" s="6" t="s">
        <v>1054</v>
      </c>
      <c r="B357" s="6" t="s">
        <v>250</v>
      </c>
      <c r="C357" s="6" t="s">
        <v>23</v>
      </c>
      <c r="D357" s="6" t="s">
        <v>1055</v>
      </c>
      <c r="E357" s="6" t="s">
        <v>303</v>
      </c>
      <c r="F357" s="6" t="s">
        <v>37</v>
      </c>
      <c r="G357" s="7">
        <v>0.12</v>
      </c>
      <c r="H357" s="6" t="s">
        <v>245</v>
      </c>
      <c r="I357" s="6" t="s">
        <v>20</v>
      </c>
      <c r="J357" s="6">
        <v>1995.0</v>
      </c>
      <c r="L357" s="6">
        <v>4.0</v>
      </c>
      <c r="M357" s="8">
        <f t="shared" si="1"/>
        <v>0.48</v>
      </c>
      <c r="P357" s="9"/>
    </row>
    <row r="358">
      <c r="A358" s="6" t="s">
        <v>1056</v>
      </c>
      <c r="B358" s="6" t="s">
        <v>307</v>
      </c>
      <c r="C358" s="6" t="s">
        <v>23</v>
      </c>
      <c r="D358" s="6" t="s">
        <v>1057</v>
      </c>
      <c r="E358" s="6" t="s">
        <v>303</v>
      </c>
      <c r="F358" s="6" t="s">
        <v>37</v>
      </c>
      <c r="G358" s="7">
        <v>0.2</v>
      </c>
      <c r="H358" s="6" t="s">
        <v>370</v>
      </c>
      <c r="I358" s="6" t="s">
        <v>20</v>
      </c>
      <c r="J358" s="6">
        <v>1996.0</v>
      </c>
      <c r="L358" s="6">
        <v>1.0</v>
      </c>
      <c r="M358" s="8">
        <f t="shared" si="1"/>
        <v>0.2</v>
      </c>
      <c r="P358" s="9"/>
    </row>
    <row r="359">
      <c r="A359" s="6" t="s">
        <v>1058</v>
      </c>
      <c r="B359" s="6" t="s">
        <v>850</v>
      </c>
      <c r="C359" s="6" t="s">
        <v>34</v>
      </c>
      <c r="D359" s="6" t="s">
        <v>1059</v>
      </c>
      <c r="E359" s="6" t="s">
        <v>618</v>
      </c>
      <c r="F359" s="6" t="s">
        <v>159</v>
      </c>
      <c r="G359" s="7">
        <v>0.1</v>
      </c>
      <c r="H359" s="6" t="s">
        <v>209</v>
      </c>
      <c r="I359" s="6" t="s">
        <v>20</v>
      </c>
      <c r="J359" s="6">
        <v>2025.0</v>
      </c>
      <c r="L359" s="6">
        <v>10.0</v>
      </c>
      <c r="M359" s="8">
        <f t="shared" si="1"/>
        <v>1</v>
      </c>
      <c r="P359" s="9"/>
    </row>
    <row r="360">
      <c r="A360" s="6" t="s">
        <v>1060</v>
      </c>
      <c r="B360" s="6" t="s">
        <v>1052</v>
      </c>
      <c r="C360" s="6" t="s">
        <v>571</v>
      </c>
      <c r="D360" s="6" t="s">
        <v>1061</v>
      </c>
      <c r="E360" s="6" t="s">
        <v>118</v>
      </c>
      <c r="F360" s="6" t="s">
        <v>51</v>
      </c>
      <c r="G360" s="7">
        <v>0.4</v>
      </c>
      <c r="H360" s="6" t="s">
        <v>641</v>
      </c>
      <c r="I360" s="6" t="s">
        <v>55</v>
      </c>
      <c r="J360" s="6">
        <v>2026.0</v>
      </c>
      <c r="L360" s="6">
        <v>1.0</v>
      </c>
      <c r="M360" s="8">
        <f t="shared" si="1"/>
        <v>0.4</v>
      </c>
      <c r="P360" s="9"/>
    </row>
    <row r="361">
      <c r="A361" s="6" t="s">
        <v>1062</v>
      </c>
      <c r="B361" s="6" t="s">
        <v>1063</v>
      </c>
      <c r="C361" s="6" t="s">
        <v>48</v>
      </c>
      <c r="D361" s="6" t="s">
        <v>1064</v>
      </c>
      <c r="E361" s="6" t="s">
        <v>235</v>
      </c>
      <c r="F361" s="6" t="s">
        <v>103</v>
      </c>
      <c r="G361" s="7">
        <v>0.15</v>
      </c>
      <c r="H361" s="6" t="s">
        <v>31</v>
      </c>
      <c r="I361" s="6" t="s">
        <v>55</v>
      </c>
      <c r="J361" s="6">
        <v>2026.0</v>
      </c>
      <c r="K361" s="10">
        <v>46055.0</v>
      </c>
      <c r="L361" s="6">
        <v>1.0</v>
      </c>
      <c r="M361" s="8">
        <f t="shared" si="1"/>
        <v>0.15</v>
      </c>
      <c r="P361" s="9"/>
    </row>
    <row r="362">
      <c r="A362" s="6" t="s">
        <v>1065</v>
      </c>
      <c r="B362" s="6" t="s">
        <v>1066</v>
      </c>
      <c r="C362" s="6" t="s">
        <v>15</v>
      </c>
      <c r="D362" s="6" t="s">
        <v>1067</v>
      </c>
      <c r="E362" s="6" t="s">
        <v>377</v>
      </c>
      <c r="F362" s="6" t="s">
        <v>103</v>
      </c>
      <c r="G362" s="7">
        <v>0.2</v>
      </c>
      <c r="H362" s="6" t="s">
        <v>38</v>
      </c>
      <c r="I362" s="6" t="s">
        <v>20</v>
      </c>
      <c r="J362" s="6">
        <v>2026.0</v>
      </c>
      <c r="K362" s="10">
        <v>46055.0</v>
      </c>
      <c r="L362" s="6">
        <v>1.0</v>
      </c>
      <c r="M362" s="8">
        <f t="shared" si="1"/>
        <v>0.2</v>
      </c>
      <c r="P362" s="9"/>
    </row>
    <row r="363">
      <c r="A363" s="6" t="s">
        <v>1068</v>
      </c>
      <c r="B363" s="6" t="s">
        <v>229</v>
      </c>
      <c r="C363" s="6" t="s">
        <v>212</v>
      </c>
      <c r="D363" s="6" t="s">
        <v>1069</v>
      </c>
      <c r="E363" s="6" t="s">
        <v>231</v>
      </c>
      <c r="F363" s="6" t="s">
        <v>37</v>
      </c>
      <c r="G363" s="7">
        <v>0.2</v>
      </c>
      <c r="H363" s="6" t="s">
        <v>209</v>
      </c>
      <c r="I363" s="6" t="s">
        <v>20</v>
      </c>
      <c r="J363" s="6">
        <v>2025.0</v>
      </c>
      <c r="L363" s="6">
        <v>3.0</v>
      </c>
      <c r="M363" s="8">
        <f t="shared" si="1"/>
        <v>0.6</v>
      </c>
      <c r="P363" s="9"/>
    </row>
    <row r="364">
      <c r="A364" s="6" t="s">
        <v>1070</v>
      </c>
      <c r="B364" s="6" t="s">
        <v>1071</v>
      </c>
      <c r="C364" s="6" t="s">
        <v>72</v>
      </c>
      <c r="D364" s="6" t="s">
        <v>1072</v>
      </c>
      <c r="E364" s="6" t="s">
        <v>50</v>
      </c>
      <c r="F364" s="6" t="s">
        <v>51</v>
      </c>
      <c r="G364" s="7">
        <v>0.1</v>
      </c>
      <c r="H364" s="6" t="s">
        <v>119</v>
      </c>
      <c r="I364" s="6" t="s">
        <v>20</v>
      </c>
      <c r="J364" s="6">
        <v>1995.0</v>
      </c>
      <c r="K364" s="10">
        <v>46145.0</v>
      </c>
      <c r="L364" s="6">
        <v>2.0</v>
      </c>
      <c r="M364" s="8">
        <f t="shared" si="1"/>
        <v>0.2</v>
      </c>
      <c r="P364" s="9"/>
    </row>
    <row r="365">
      <c r="A365" s="6" t="s">
        <v>1070</v>
      </c>
      <c r="B365" s="6" t="s">
        <v>1071</v>
      </c>
      <c r="C365" s="6" t="s">
        <v>72</v>
      </c>
      <c r="D365" s="6" t="s">
        <v>1072</v>
      </c>
      <c r="E365" s="6" t="s">
        <v>50</v>
      </c>
      <c r="F365" s="6" t="s">
        <v>51</v>
      </c>
      <c r="G365" s="7">
        <v>0.43</v>
      </c>
      <c r="H365" s="6" t="s">
        <v>120</v>
      </c>
      <c r="I365" s="6" t="s">
        <v>20</v>
      </c>
      <c r="J365" s="6">
        <v>1995.0</v>
      </c>
      <c r="K365" s="10">
        <v>46145.0</v>
      </c>
      <c r="L365" s="6">
        <v>1.0</v>
      </c>
      <c r="M365" s="8">
        <f t="shared" si="1"/>
        <v>0.43</v>
      </c>
      <c r="P365" s="9"/>
    </row>
    <row r="366">
      <c r="A366" s="6" t="s">
        <v>1073</v>
      </c>
      <c r="B366" s="6" t="s">
        <v>1074</v>
      </c>
      <c r="C366" s="6" t="s">
        <v>287</v>
      </c>
      <c r="D366" s="6" t="s">
        <v>1075</v>
      </c>
      <c r="E366" s="6" t="s">
        <v>1076</v>
      </c>
      <c r="F366" s="6" t="s">
        <v>103</v>
      </c>
      <c r="G366" s="7">
        <v>0.39</v>
      </c>
      <c r="H366" s="6" t="s">
        <v>632</v>
      </c>
      <c r="I366" s="6" t="s">
        <v>20</v>
      </c>
      <c r="J366" s="6">
        <v>2002.0</v>
      </c>
      <c r="L366" s="6">
        <v>1.0</v>
      </c>
      <c r="M366" s="8">
        <f t="shared" si="1"/>
        <v>0.39</v>
      </c>
      <c r="P366" s="9"/>
    </row>
    <row r="367">
      <c r="A367" s="6" t="s">
        <v>1077</v>
      </c>
      <c r="B367" s="6" t="s">
        <v>1078</v>
      </c>
      <c r="C367" s="6" t="s">
        <v>15</v>
      </c>
      <c r="D367" s="6" t="s">
        <v>1079</v>
      </c>
      <c r="E367" s="6" t="s">
        <v>1080</v>
      </c>
      <c r="F367" s="6" t="s">
        <v>65</v>
      </c>
      <c r="G367" s="7">
        <v>0.2</v>
      </c>
      <c r="H367" s="6" t="s">
        <v>209</v>
      </c>
      <c r="I367" s="6" t="s">
        <v>20</v>
      </c>
      <c r="J367" s="6">
        <v>2025.0</v>
      </c>
      <c r="K367" s="10">
        <v>46116.0</v>
      </c>
      <c r="L367" s="6">
        <v>2.0</v>
      </c>
      <c r="M367" s="8">
        <f t="shared" si="1"/>
        <v>0.4</v>
      </c>
      <c r="P367" s="9"/>
    </row>
    <row r="368">
      <c r="A368" s="6" t="s">
        <v>1081</v>
      </c>
      <c r="B368" s="6" t="s">
        <v>1082</v>
      </c>
      <c r="C368" s="6" t="s">
        <v>23</v>
      </c>
      <c r="D368" s="6" t="s">
        <v>1083</v>
      </c>
      <c r="E368" s="6" t="s">
        <v>167</v>
      </c>
      <c r="F368" s="6" t="s">
        <v>103</v>
      </c>
      <c r="G368" s="7">
        <v>0.03</v>
      </c>
      <c r="H368" s="6" t="s">
        <v>1084</v>
      </c>
      <c r="I368" s="6" t="s">
        <v>20</v>
      </c>
      <c r="J368" s="6">
        <v>2018.0</v>
      </c>
      <c r="K368" s="6" t="s">
        <v>1035</v>
      </c>
      <c r="L368" s="6">
        <v>1.0</v>
      </c>
      <c r="M368" s="8">
        <f t="shared" si="1"/>
        <v>0.03</v>
      </c>
      <c r="P368" s="9"/>
    </row>
    <row r="369">
      <c r="A369" s="6" t="s">
        <v>1085</v>
      </c>
      <c r="B369" s="6" t="s">
        <v>1086</v>
      </c>
      <c r="C369" s="6" t="s">
        <v>212</v>
      </c>
      <c r="D369" s="6" t="s">
        <v>1087</v>
      </c>
      <c r="E369" s="6" t="s">
        <v>1088</v>
      </c>
      <c r="F369" s="6" t="s">
        <v>159</v>
      </c>
      <c r="G369" s="7">
        <v>0.79</v>
      </c>
      <c r="H369" s="6" t="s">
        <v>209</v>
      </c>
      <c r="I369" s="6" t="s">
        <v>20</v>
      </c>
      <c r="J369" s="6">
        <v>2025.0</v>
      </c>
      <c r="K369" s="10">
        <v>46085.0</v>
      </c>
      <c r="L369" s="6">
        <v>1.0</v>
      </c>
      <c r="M369" s="8">
        <f t="shared" si="1"/>
        <v>0.79</v>
      </c>
      <c r="P369" s="9"/>
    </row>
    <row r="370">
      <c r="A370" s="6" t="s">
        <v>1089</v>
      </c>
      <c r="B370" s="6" t="s">
        <v>1090</v>
      </c>
      <c r="C370" s="6" t="s">
        <v>23</v>
      </c>
      <c r="D370" s="6" t="s">
        <v>1091</v>
      </c>
      <c r="E370" s="6" t="s">
        <v>1092</v>
      </c>
      <c r="F370" s="6" t="s">
        <v>103</v>
      </c>
      <c r="G370" s="7">
        <v>0.5</v>
      </c>
      <c r="H370" s="6" t="s">
        <v>252</v>
      </c>
      <c r="I370" s="6" t="s">
        <v>20</v>
      </c>
      <c r="J370" s="6">
        <v>1994.0</v>
      </c>
      <c r="K370" s="10">
        <v>46054.0</v>
      </c>
      <c r="L370" s="6">
        <v>1.0</v>
      </c>
      <c r="M370" s="8">
        <f t="shared" si="1"/>
        <v>0.5</v>
      </c>
      <c r="P370" s="9"/>
    </row>
    <row r="371">
      <c r="A371" s="6" t="s">
        <v>1089</v>
      </c>
      <c r="B371" s="6" t="s">
        <v>1090</v>
      </c>
      <c r="C371" s="6" t="s">
        <v>23</v>
      </c>
      <c r="D371" s="6" t="s">
        <v>1091</v>
      </c>
      <c r="E371" s="6" t="s">
        <v>1092</v>
      </c>
      <c r="F371" s="6" t="s">
        <v>103</v>
      </c>
      <c r="G371" s="7">
        <v>0.8</v>
      </c>
      <c r="H371" s="6" t="s">
        <v>252</v>
      </c>
      <c r="I371" s="6" t="s">
        <v>20</v>
      </c>
      <c r="J371" s="6">
        <v>1994.0</v>
      </c>
      <c r="K371" s="10">
        <v>46054.0</v>
      </c>
      <c r="L371" s="6">
        <v>1.0</v>
      </c>
      <c r="M371" s="8">
        <f t="shared" si="1"/>
        <v>0.8</v>
      </c>
      <c r="P371" s="9"/>
    </row>
    <row r="372">
      <c r="A372" s="6" t="s">
        <v>1093</v>
      </c>
      <c r="B372" s="6" t="s">
        <v>1094</v>
      </c>
      <c r="C372" s="6" t="s">
        <v>23</v>
      </c>
      <c r="D372" s="6" t="s">
        <v>1095</v>
      </c>
      <c r="E372" s="6" t="s">
        <v>102</v>
      </c>
      <c r="F372" s="6" t="s">
        <v>103</v>
      </c>
      <c r="G372" s="7">
        <v>0.15</v>
      </c>
      <c r="H372" s="6" t="s">
        <v>88</v>
      </c>
      <c r="I372" s="6" t="s">
        <v>20</v>
      </c>
      <c r="J372" s="6">
        <v>2013.0</v>
      </c>
      <c r="K372" s="10">
        <v>46054.0</v>
      </c>
      <c r="L372" s="6">
        <v>1.0</v>
      </c>
      <c r="M372" s="8">
        <f t="shared" si="1"/>
        <v>0.15</v>
      </c>
      <c r="P372" s="9"/>
    </row>
    <row r="373">
      <c r="A373" s="6" t="s">
        <v>1096</v>
      </c>
      <c r="B373" s="6" t="s">
        <v>652</v>
      </c>
      <c r="C373" s="6" t="s">
        <v>48</v>
      </c>
      <c r="D373" s="6" t="s">
        <v>1097</v>
      </c>
      <c r="E373" s="6" t="s">
        <v>1098</v>
      </c>
      <c r="F373" s="6" t="s">
        <v>159</v>
      </c>
      <c r="G373" s="7">
        <v>0.2</v>
      </c>
      <c r="H373" s="6" t="s">
        <v>359</v>
      </c>
      <c r="I373" s="6" t="s">
        <v>20</v>
      </c>
      <c r="J373" s="6">
        <v>2014.0</v>
      </c>
      <c r="K373" s="10">
        <v>46024.0</v>
      </c>
      <c r="L373" s="6">
        <v>1.0</v>
      </c>
      <c r="M373" s="8">
        <f t="shared" si="1"/>
        <v>0.2</v>
      </c>
      <c r="P373" s="9"/>
    </row>
    <row r="374">
      <c r="A374" s="6" t="s">
        <v>1099</v>
      </c>
      <c r="B374" s="6" t="s">
        <v>1100</v>
      </c>
      <c r="C374" s="6" t="s">
        <v>23</v>
      </c>
      <c r="E374" s="6" t="s">
        <v>79</v>
      </c>
      <c r="F374" s="6" t="s">
        <v>51</v>
      </c>
      <c r="G374" s="7">
        <v>0.03</v>
      </c>
      <c r="H374" s="6" t="s">
        <v>299</v>
      </c>
      <c r="I374" s="6" t="s">
        <v>20</v>
      </c>
      <c r="J374" s="6">
        <v>2017.0</v>
      </c>
      <c r="K374" s="10">
        <v>46056.0</v>
      </c>
      <c r="L374" s="6">
        <v>1.0</v>
      </c>
      <c r="M374" s="8">
        <f t="shared" si="1"/>
        <v>0.03</v>
      </c>
      <c r="P374" s="9"/>
    </row>
    <row r="375">
      <c r="A375" s="6" t="s">
        <v>1101</v>
      </c>
      <c r="B375" s="6" t="s">
        <v>182</v>
      </c>
      <c r="C375" s="6" t="s">
        <v>23</v>
      </c>
      <c r="D375" s="6" t="s">
        <v>1102</v>
      </c>
      <c r="E375" s="6" t="s">
        <v>64</v>
      </c>
      <c r="F375" s="6" t="s">
        <v>65</v>
      </c>
      <c r="G375" s="7">
        <v>0.06</v>
      </c>
      <c r="H375" s="6" t="s">
        <v>705</v>
      </c>
      <c r="I375" s="6" t="s">
        <v>20</v>
      </c>
      <c r="J375" s="6">
        <v>2015.0</v>
      </c>
      <c r="L375" s="6">
        <v>1.0</v>
      </c>
      <c r="M375" s="8">
        <f t="shared" si="1"/>
        <v>0.06</v>
      </c>
      <c r="P375" s="9"/>
    </row>
    <row r="376">
      <c r="A376" s="6" t="s">
        <v>1103</v>
      </c>
      <c r="B376" s="6" t="s">
        <v>250</v>
      </c>
      <c r="C376" s="6" t="s">
        <v>571</v>
      </c>
      <c r="D376" s="6" t="s">
        <v>1104</v>
      </c>
      <c r="E376" s="6" t="s">
        <v>36</v>
      </c>
      <c r="F376" s="6" t="s">
        <v>37</v>
      </c>
      <c r="G376" s="7">
        <v>0.1</v>
      </c>
      <c r="H376" s="6" t="s">
        <v>453</v>
      </c>
      <c r="I376" s="6" t="s">
        <v>20</v>
      </c>
      <c r="J376" s="6">
        <v>1995.0</v>
      </c>
      <c r="L376" s="6">
        <v>1.0</v>
      </c>
      <c r="M376" s="8">
        <f t="shared" si="1"/>
        <v>0.1</v>
      </c>
      <c r="P376" s="9"/>
    </row>
    <row r="377">
      <c r="A377" s="6" t="s">
        <v>1105</v>
      </c>
      <c r="B377" s="6" t="s">
        <v>1106</v>
      </c>
      <c r="C377" s="6" t="s">
        <v>34</v>
      </c>
      <c r="D377" s="6" t="s">
        <v>1107</v>
      </c>
      <c r="E377" s="6" t="s">
        <v>36</v>
      </c>
      <c r="F377" s="6" t="s">
        <v>37</v>
      </c>
      <c r="G377" s="7">
        <v>0.05</v>
      </c>
      <c r="H377" s="6" t="s">
        <v>453</v>
      </c>
      <c r="I377" s="6" t="s">
        <v>20</v>
      </c>
      <c r="J377" s="6">
        <v>1995.0</v>
      </c>
      <c r="K377" s="10">
        <v>46023.0</v>
      </c>
      <c r="L377" s="6">
        <v>3.0</v>
      </c>
      <c r="M377" s="8">
        <f t="shared" si="1"/>
        <v>0.15</v>
      </c>
      <c r="P377" s="9"/>
    </row>
    <row r="378">
      <c r="A378" s="6" t="s">
        <v>1108</v>
      </c>
      <c r="B378" s="6" t="s">
        <v>796</v>
      </c>
      <c r="C378" s="6" t="s">
        <v>15</v>
      </c>
      <c r="D378" s="6" t="s">
        <v>1109</v>
      </c>
      <c r="E378" s="6" t="s">
        <v>167</v>
      </c>
      <c r="F378" s="6" t="s">
        <v>103</v>
      </c>
      <c r="G378" s="7">
        <v>3.8</v>
      </c>
      <c r="H378" s="6" t="s">
        <v>209</v>
      </c>
      <c r="I378" s="6" t="s">
        <v>20</v>
      </c>
      <c r="J378" s="6">
        <v>2025.0</v>
      </c>
      <c r="L378" s="6">
        <v>1.0</v>
      </c>
      <c r="M378" s="8">
        <f t="shared" si="1"/>
        <v>3.8</v>
      </c>
      <c r="P378" s="9"/>
    </row>
    <row r="379">
      <c r="A379" s="6" t="s">
        <v>1110</v>
      </c>
      <c r="B379" s="6" t="s">
        <v>413</v>
      </c>
      <c r="C379" s="6" t="s">
        <v>287</v>
      </c>
      <c r="D379" s="6" t="s">
        <v>1111</v>
      </c>
      <c r="E379" s="6" t="s">
        <v>79</v>
      </c>
      <c r="F379" s="6" t="s">
        <v>51</v>
      </c>
      <c r="G379" s="7">
        <v>0.05</v>
      </c>
      <c r="H379" s="6" t="s">
        <v>245</v>
      </c>
      <c r="I379" s="6" t="s">
        <v>20</v>
      </c>
      <c r="J379" s="6">
        <v>1995.0</v>
      </c>
      <c r="L379" s="6">
        <v>1.0</v>
      </c>
      <c r="M379" s="8">
        <f t="shared" si="1"/>
        <v>0.05</v>
      </c>
      <c r="P379" s="9"/>
    </row>
    <row r="380">
      <c r="A380" s="6" t="s">
        <v>1112</v>
      </c>
      <c r="B380" s="6" t="s">
        <v>1113</v>
      </c>
      <c r="C380" s="6" t="s">
        <v>48</v>
      </c>
      <c r="D380" s="6" t="s">
        <v>1114</v>
      </c>
      <c r="E380" s="6" t="s">
        <v>112</v>
      </c>
      <c r="F380" s="6" t="s">
        <v>65</v>
      </c>
      <c r="G380" s="7">
        <v>1.16</v>
      </c>
      <c r="H380" s="6" t="s">
        <v>1115</v>
      </c>
      <c r="I380" s="6" t="s">
        <v>20</v>
      </c>
      <c r="J380" s="6">
        <v>2021.0</v>
      </c>
      <c r="K380" s="10">
        <v>46055.0</v>
      </c>
      <c r="L380" s="6">
        <v>4.0</v>
      </c>
      <c r="M380" s="8">
        <f t="shared" si="1"/>
        <v>4.64</v>
      </c>
      <c r="P380" s="9"/>
    </row>
    <row r="381">
      <c r="A381" s="6" t="s">
        <v>1116</v>
      </c>
      <c r="B381" s="6" t="s">
        <v>194</v>
      </c>
      <c r="C381" s="6" t="s">
        <v>23</v>
      </c>
      <c r="D381" s="6" t="s">
        <v>1117</v>
      </c>
      <c r="E381" s="6" t="s">
        <v>64</v>
      </c>
      <c r="F381" s="6" t="s">
        <v>65</v>
      </c>
      <c r="G381" s="7">
        <v>0.05</v>
      </c>
      <c r="H381" s="6" t="s">
        <v>245</v>
      </c>
      <c r="I381" s="6" t="s">
        <v>20</v>
      </c>
      <c r="J381" s="6">
        <v>1995.0</v>
      </c>
      <c r="L381" s="6">
        <v>2.0</v>
      </c>
      <c r="M381" s="8">
        <f t="shared" si="1"/>
        <v>0.1</v>
      </c>
      <c r="P381" s="9"/>
    </row>
    <row r="382">
      <c r="A382" s="6" t="s">
        <v>1118</v>
      </c>
      <c r="B382" s="6" t="s">
        <v>796</v>
      </c>
      <c r="C382" s="6" t="s">
        <v>15</v>
      </c>
      <c r="D382" s="6" t="s">
        <v>1119</v>
      </c>
      <c r="E382" s="6" t="s">
        <v>208</v>
      </c>
      <c r="F382" s="6" t="s">
        <v>51</v>
      </c>
      <c r="G382" s="7">
        <v>0.25</v>
      </c>
      <c r="H382" s="6" t="s">
        <v>209</v>
      </c>
      <c r="I382" s="6" t="s">
        <v>20</v>
      </c>
      <c r="J382" s="6">
        <v>2025.0</v>
      </c>
      <c r="L382" s="6">
        <v>1.0</v>
      </c>
      <c r="M382" s="8">
        <f t="shared" si="1"/>
        <v>0.25</v>
      </c>
      <c r="P382" s="9"/>
    </row>
    <row r="383">
      <c r="A383" s="6" t="s">
        <v>1120</v>
      </c>
      <c r="B383" s="6" t="s">
        <v>202</v>
      </c>
      <c r="C383" s="6" t="s">
        <v>23</v>
      </c>
      <c r="D383" s="6" t="s">
        <v>1121</v>
      </c>
      <c r="E383" s="6" t="s">
        <v>533</v>
      </c>
      <c r="F383" s="6" t="s">
        <v>65</v>
      </c>
      <c r="G383" s="7">
        <v>0.04</v>
      </c>
      <c r="H383" s="6" t="s">
        <v>171</v>
      </c>
      <c r="I383" s="6" t="s">
        <v>20</v>
      </c>
      <c r="J383" s="6">
        <v>2021.0</v>
      </c>
      <c r="L383" s="6">
        <v>1.0</v>
      </c>
      <c r="M383" s="8">
        <f t="shared" si="1"/>
        <v>0.04</v>
      </c>
      <c r="P383" s="9"/>
    </row>
    <row r="384">
      <c r="A384" s="6" t="s">
        <v>1122</v>
      </c>
      <c r="B384" s="6" t="s">
        <v>62</v>
      </c>
      <c r="C384" s="6" t="s">
        <v>23</v>
      </c>
      <c r="D384" s="6" t="s">
        <v>1123</v>
      </c>
      <c r="E384" s="6" t="s">
        <v>102</v>
      </c>
      <c r="F384" s="6" t="s">
        <v>103</v>
      </c>
      <c r="G384" s="7">
        <v>0.1</v>
      </c>
      <c r="H384" s="6" t="s">
        <v>136</v>
      </c>
      <c r="I384" s="6" t="s">
        <v>20</v>
      </c>
      <c r="J384" s="6">
        <v>2022.0</v>
      </c>
      <c r="L384" s="6">
        <v>1.0</v>
      </c>
      <c r="M384" s="8">
        <f t="shared" si="1"/>
        <v>0.1</v>
      </c>
      <c r="P384" s="9"/>
    </row>
    <row r="385">
      <c r="A385" s="6" t="s">
        <v>1124</v>
      </c>
      <c r="B385" s="6" t="s">
        <v>62</v>
      </c>
      <c r="C385" s="6" t="s">
        <v>23</v>
      </c>
      <c r="D385" s="6" t="s">
        <v>1125</v>
      </c>
      <c r="E385" s="6" t="s">
        <v>118</v>
      </c>
      <c r="F385" s="6" t="s">
        <v>51</v>
      </c>
      <c r="G385" s="7">
        <v>0.05</v>
      </c>
      <c r="H385" s="6" t="s">
        <v>406</v>
      </c>
      <c r="I385" s="6" t="s">
        <v>20</v>
      </c>
      <c r="J385" s="6">
        <v>2019.0</v>
      </c>
      <c r="L385" s="6">
        <v>2.0</v>
      </c>
      <c r="M385" s="8">
        <f t="shared" si="1"/>
        <v>0.1</v>
      </c>
      <c r="P385" s="9"/>
    </row>
    <row r="386">
      <c r="A386" s="6" t="s">
        <v>1126</v>
      </c>
      <c r="B386" s="6" t="s">
        <v>1127</v>
      </c>
      <c r="C386" s="6" t="s">
        <v>212</v>
      </c>
      <c r="D386" s="6" t="s">
        <v>1128</v>
      </c>
      <c r="E386" s="6" t="s">
        <v>1129</v>
      </c>
      <c r="F386" s="6" t="s">
        <v>18</v>
      </c>
      <c r="G386" s="7">
        <v>0.25</v>
      </c>
      <c r="H386" s="6" t="s">
        <v>483</v>
      </c>
      <c r="I386" s="6" t="s">
        <v>20</v>
      </c>
      <c r="J386" s="6">
        <v>2014.0</v>
      </c>
      <c r="K386" s="10">
        <v>46024.0</v>
      </c>
      <c r="L386" s="6">
        <v>2.0</v>
      </c>
      <c r="M386" s="8">
        <f t="shared" si="1"/>
        <v>0.5</v>
      </c>
      <c r="P386" s="9"/>
    </row>
    <row r="387">
      <c r="A387" s="6" t="s">
        <v>1130</v>
      </c>
      <c r="B387" s="6" t="s">
        <v>151</v>
      </c>
      <c r="C387" s="6" t="s">
        <v>23</v>
      </c>
      <c r="D387" s="6" t="s">
        <v>1131</v>
      </c>
      <c r="E387" s="6" t="s">
        <v>558</v>
      </c>
      <c r="F387" s="6" t="s">
        <v>18</v>
      </c>
      <c r="G387" s="7">
        <v>0.1</v>
      </c>
      <c r="H387" s="6" t="s">
        <v>380</v>
      </c>
      <c r="I387" s="6" t="s">
        <v>20</v>
      </c>
      <c r="J387" s="6">
        <v>2025.0</v>
      </c>
      <c r="K387" s="10">
        <v>46084.0</v>
      </c>
      <c r="L387" s="6">
        <v>1.0</v>
      </c>
      <c r="M387" s="8">
        <f t="shared" si="1"/>
        <v>0.1</v>
      </c>
      <c r="P387" s="9"/>
    </row>
    <row r="388">
      <c r="A388" s="6" t="s">
        <v>1132</v>
      </c>
      <c r="B388" s="6" t="s">
        <v>131</v>
      </c>
      <c r="C388" s="6" t="s">
        <v>48</v>
      </c>
      <c r="D388" s="6" t="s">
        <v>1133</v>
      </c>
      <c r="E388" s="6" t="s">
        <v>1134</v>
      </c>
      <c r="F388" s="6" t="s">
        <v>261</v>
      </c>
      <c r="G388" s="7">
        <v>0.09</v>
      </c>
      <c r="H388" s="6" t="s">
        <v>1135</v>
      </c>
      <c r="I388" s="6" t="s">
        <v>20</v>
      </c>
      <c r="J388" s="6">
        <v>2022.0</v>
      </c>
      <c r="K388" s="10">
        <v>46055.0</v>
      </c>
      <c r="L388" s="6">
        <v>12.0</v>
      </c>
      <c r="M388" s="8">
        <f t="shared" si="1"/>
        <v>1.08</v>
      </c>
      <c r="P388" s="9"/>
    </row>
    <row r="389">
      <c r="A389" s="6" t="s">
        <v>1132</v>
      </c>
      <c r="B389" s="6" t="s">
        <v>131</v>
      </c>
      <c r="C389" s="6" t="s">
        <v>48</v>
      </c>
      <c r="D389" s="6" t="s">
        <v>1133</v>
      </c>
      <c r="E389" s="6" t="s">
        <v>1134</v>
      </c>
      <c r="F389" s="6" t="s">
        <v>261</v>
      </c>
      <c r="G389" s="7">
        <v>0.75</v>
      </c>
      <c r="H389" s="6" t="s">
        <v>1135</v>
      </c>
      <c r="I389" s="6" t="s">
        <v>55</v>
      </c>
      <c r="J389" s="6">
        <v>2022.0</v>
      </c>
      <c r="K389" s="10">
        <v>46055.0</v>
      </c>
      <c r="L389" s="6">
        <v>5.0</v>
      </c>
      <c r="M389" s="8">
        <f t="shared" si="1"/>
        <v>3.75</v>
      </c>
      <c r="P389" s="9"/>
    </row>
    <row r="390">
      <c r="A390" s="6" t="s">
        <v>1136</v>
      </c>
      <c r="B390" s="6" t="s">
        <v>1137</v>
      </c>
      <c r="C390" s="6" t="s">
        <v>48</v>
      </c>
      <c r="D390" s="6" t="s">
        <v>1138</v>
      </c>
      <c r="E390" s="6" t="s">
        <v>1139</v>
      </c>
      <c r="F390" s="6" t="s">
        <v>60</v>
      </c>
      <c r="G390" s="7">
        <v>0.12</v>
      </c>
      <c r="H390" s="6" t="s">
        <v>192</v>
      </c>
      <c r="I390" s="6" t="s">
        <v>20</v>
      </c>
      <c r="J390" s="6">
        <v>2026.0</v>
      </c>
      <c r="K390" s="10">
        <v>46084.0</v>
      </c>
      <c r="L390" s="6">
        <v>2.0</v>
      </c>
      <c r="M390" s="8">
        <f t="shared" si="1"/>
        <v>0.24</v>
      </c>
      <c r="P390" s="9"/>
    </row>
    <row r="391">
      <c r="A391" s="6" t="s">
        <v>1140</v>
      </c>
      <c r="B391" s="6" t="s">
        <v>1141</v>
      </c>
      <c r="C391" s="6" t="s">
        <v>48</v>
      </c>
      <c r="D391" s="6" t="s">
        <v>1142</v>
      </c>
      <c r="E391" s="6" t="s">
        <v>941</v>
      </c>
      <c r="F391" s="6" t="s">
        <v>159</v>
      </c>
      <c r="G391" s="7">
        <v>0.59</v>
      </c>
      <c r="H391" s="6" t="s">
        <v>141</v>
      </c>
      <c r="I391" s="6" t="s">
        <v>20</v>
      </c>
      <c r="J391" s="6">
        <v>2019.0</v>
      </c>
      <c r="K391" s="6" t="s">
        <v>89</v>
      </c>
      <c r="L391" s="6">
        <v>1.0</v>
      </c>
      <c r="M391" s="8">
        <f t="shared" si="1"/>
        <v>0.59</v>
      </c>
      <c r="P391" s="9"/>
    </row>
    <row r="392">
      <c r="A392" s="6" t="s">
        <v>1143</v>
      </c>
      <c r="B392" s="6" t="s">
        <v>250</v>
      </c>
      <c r="C392" s="6" t="s">
        <v>521</v>
      </c>
      <c r="D392" s="6" t="s">
        <v>1144</v>
      </c>
      <c r="E392" s="6" t="s">
        <v>303</v>
      </c>
      <c r="F392" s="6" t="s">
        <v>452</v>
      </c>
      <c r="G392" s="7">
        <v>0.15</v>
      </c>
      <c r="H392" s="6" t="s">
        <v>645</v>
      </c>
      <c r="I392" s="6" t="s">
        <v>55</v>
      </c>
      <c r="J392" s="6">
        <v>2024.0</v>
      </c>
      <c r="L392" s="6">
        <v>1.0</v>
      </c>
      <c r="M392" s="8">
        <f t="shared" si="1"/>
        <v>0.15</v>
      </c>
      <c r="P392" s="9"/>
    </row>
    <row r="393">
      <c r="A393" s="6" t="s">
        <v>1145</v>
      </c>
      <c r="B393" s="6" t="s">
        <v>729</v>
      </c>
      <c r="C393" s="6" t="s">
        <v>23</v>
      </c>
      <c r="D393" s="6" t="s">
        <v>1146</v>
      </c>
      <c r="E393" s="6" t="s">
        <v>118</v>
      </c>
      <c r="F393" s="6" t="s">
        <v>51</v>
      </c>
      <c r="G393" s="7">
        <v>0.02</v>
      </c>
      <c r="H393" s="6" t="s">
        <v>675</v>
      </c>
      <c r="I393" s="6" t="s">
        <v>20</v>
      </c>
      <c r="J393" s="6">
        <v>2025.0</v>
      </c>
      <c r="K393" s="10">
        <v>46024.0</v>
      </c>
      <c r="L393" s="6">
        <v>1.0</v>
      </c>
      <c r="M393" s="8">
        <f t="shared" si="1"/>
        <v>0.02</v>
      </c>
      <c r="P393" s="9"/>
    </row>
    <row r="394">
      <c r="A394" s="6" t="s">
        <v>1147</v>
      </c>
      <c r="B394" s="6" t="s">
        <v>1148</v>
      </c>
      <c r="C394" s="6" t="s">
        <v>23</v>
      </c>
      <c r="D394" s="6" t="s">
        <v>1149</v>
      </c>
      <c r="E394" s="6" t="s">
        <v>270</v>
      </c>
      <c r="F394" s="6" t="s">
        <v>159</v>
      </c>
      <c r="G394" s="7">
        <v>0.05</v>
      </c>
      <c r="H394" s="6" t="s">
        <v>418</v>
      </c>
      <c r="I394" s="6" t="s">
        <v>20</v>
      </c>
      <c r="J394" s="6">
        <v>2022.0</v>
      </c>
      <c r="K394" s="10">
        <v>46056.0</v>
      </c>
      <c r="L394" s="6">
        <v>1.0</v>
      </c>
      <c r="M394" s="8">
        <f t="shared" si="1"/>
        <v>0.05</v>
      </c>
      <c r="P394" s="9"/>
    </row>
    <row r="395">
      <c r="A395" s="6" t="s">
        <v>1150</v>
      </c>
      <c r="B395" s="6" t="s">
        <v>1151</v>
      </c>
      <c r="C395" s="6" t="s">
        <v>212</v>
      </c>
      <c r="D395" s="6" t="s">
        <v>1152</v>
      </c>
      <c r="E395" s="6" t="s">
        <v>1153</v>
      </c>
      <c r="F395" s="6" t="s">
        <v>65</v>
      </c>
      <c r="G395" s="7">
        <v>0.25</v>
      </c>
      <c r="H395" s="6" t="s">
        <v>483</v>
      </c>
      <c r="I395" s="6" t="s">
        <v>20</v>
      </c>
      <c r="J395" s="6">
        <v>2014.0</v>
      </c>
      <c r="K395" s="10">
        <v>46305.0</v>
      </c>
      <c r="L395" s="6">
        <v>1.0</v>
      </c>
      <c r="M395" s="8">
        <f t="shared" si="1"/>
        <v>0.25</v>
      </c>
      <c r="P395" s="9"/>
    </row>
    <row r="396">
      <c r="A396" s="6" t="s">
        <v>1154</v>
      </c>
      <c r="B396" s="6" t="s">
        <v>1155</v>
      </c>
      <c r="C396" s="6" t="s">
        <v>23</v>
      </c>
      <c r="D396" s="6" t="s">
        <v>1156</v>
      </c>
      <c r="E396" s="6" t="s">
        <v>270</v>
      </c>
      <c r="F396" s="6" t="s">
        <v>159</v>
      </c>
      <c r="G396" s="7">
        <v>0.09</v>
      </c>
      <c r="H396" s="6" t="s">
        <v>113</v>
      </c>
      <c r="I396" s="6" t="s">
        <v>20</v>
      </c>
      <c r="J396" s="6">
        <v>2024.0</v>
      </c>
      <c r="K396" s="10">
        <v>46084.0</v>
      </c>
      <c r="L396" s="6">
        <v>1.0</v>
      </c>
      <c r="M396" s="8">
        <f t="shared" si="1"/>
        <v>0.09</v>
      </c>
      <c r="P396" s="9"/>
    </row>
    <row r="397">
      <c r="A397" s="6" t="s">
        <v>1157</v>
      </c>
      <c r="B397" s="6" t="s">
        <v>543</v>
      </c>
      <c r="C397" s="6" t="s">
        <v>48</v>
      </c>
      <c r="D397" s="6" t="s">
        <v>1158</v>
      </c>
      <c r="E397" s="6" t="s">
        <v>1159</v>
      </c>
      <c r="F397" s="6" t="s">
        <v>826</v>
      </c>
      <c r="G397" s="7">
        <v>0.09</v>
      </c>
      <c r="H397" s="6" t="s">
        <v>645</v>
      </c>
      <c r="I397" s="6" t="s">
        <v>20</v>
      </c>
      <c r="J397" s="6">
        <v>2024.0</v>
      </c>
      <c r="L397" s="6">
        <v>1.0</v>
      </c>
      <c r="M397" s="8">
        <f t="shared" si="1"/>
        <v>0.09</v>
      </c>
      <c r="P397" s="9"/>
    </row>
    <row r="398">
      <c r="A398" s="6" t="s">
        <v>1160</v>
      </c>
      <c r="B398" s="6" t="s">
        <v>1161</v>
      </c>
      <c r="C398" s="6" t="s">
        <v>23</v>
      </c>
      <c r="D398" s="6" t="s">
        <v>1162</v>
      </c>
      <c r="E398" s="6" t="s">
        <v>223</v>
      </c>
      <c r="F398" s="6" t="s">
        <v>159</v>
      </c>
      <c r="G398" s="7">
        <v>0.05</v>
      </c>
      <c r="H398" s="6" t="s">
        <v>324</v>
      </c>
      <c r="I398" s="6" t="s">
        <v>20</v>
      </c>
      <c r="J398" s="6">
        <v>2025.0</v>
      </c>
      <c r="K398" s="10">
        <v>46055.0</v>
      </c>
      <c r="L398" s="6">
        <v>1.0</v>
      </c>
      <c r="M398" s="8">
        <f t="shared" si="1"/>
        <v>0.05</v>
      </c>
      <c r="P398" s="9"/>
    </row>
    <row r="399">
      <c r="A399" s="6" t="s">
        <v>1163</v>
      </c>
      <c r="B399" s="6" t="s">
        <v>1164</v>
      </c>
      <c r="C399" s="6" t="s">
        <v>41</v>
      </c>
      <c r="D399" s="6" t="s">
        <v>1165</v>
      </c>
      <c r="E399" s="6" t="s">
        <v>1166</v>
      </c>
      <c r="F399" s="6" t="s">
        <v>215</v>
      </c>
      <c r="G399" s="7">
        <v>1.13</v>
      </c>
      <c r="H399" s="6" t="s">
        <v>192</v>
      </c>
      <c r="I399" s="6" t="s">
        <v>20</v>
      </c>
      <c r="J399" s="6">
        <v>2026.0</v>
      </c>
      <c r="K399" s="10">
        <v>46149.0</v>
      </c>
      <c r="L399" s="6">
        <v>1.0</v>
      </c>
      <c r="M399" s="8">
        <f t="shared" si="1"/>
        <v>1.13</v>
      </c>
      <c r="P399" s="9"/>
    </row>
    <row r="400">
      <c r="A400" s="6" t="s">
        <v>1167</v>
      </c>
      <c r="B400" s="6" t="s">
        <v>1168</v>
      </c>
      <c r="C400" s="6" t="s">
        <v>23</v>
      </c>
      <c r="D400" s="6" t="s">
        <v>1169</v>
      </c>
      <c r="E400" s="6" t="s">
        <v>611</v>
      </c>
      <c r="F400" s="6" t="s">
        <v>103</v>
      </c>
      <c r="G400" s="7">
        <v>0.04</v>
      </c>
      <c r="H400" s="6" t="s">
        <v>192</v>
      </c>
      <c r="I400" s="6" t="s">
        <v>20</v>
      </c>
      <c r="J400" s="6">
        <v>2026.0</v>
      </c>
      <c r="K400" s="10">
        <v>46117.0</v>
      </c>
      <c r="L400" s="6">
        <v>3.0</v>
      </c>
      <c r="M400" s="8">
        <f t="shared" si="1"/>
        <v>0.12</v>
      </c>
      <c r="P400" s="9"/>
    </row>
    <row r="401">
      <c r="A401" s="6" t="s">
        <v>1170</v>
      </c>
      <c r="B401" s="6" t="s">
        <v>62</v>
      </c>
      <c r="C401" s="6" t="s">
        <v>23</v>
      </c>
      <c r="D401" s="6" t="s">
        <v>1171</v>
      </c>
      <c r="E401" s="6" t="s">
        <v>1172</v>
      </c>
      <c r="F401" s="6" t="s">
        <v>98</v>
      </c>
      <c r="G401" s="7">
        <v>0.05</v>
      </c>
      <c r="H401" s="6" t="s">
        <v>430</v>
      </c>
      <c r="I401" s="6" t="s">
        <v>20</v>
      </c>
      <c r="J401" s="6">
        <v>2018.0</v>
      </c>
      <c r="L401" s="6">
        <v>2.0</v>
      </c>
      <c r="M401" s="8">
        <f t="shared" si="1"/>
        <v>0.1</v>
      </c>
      <c r="P401" s="9"/>
    </row>
    <row r="402">
      <c r="A402" s="6" t="s">
        <v>1173</v>
      </c>
      <c r="B402" s="6" t="s">
        <v>796</v>
      </c>
      <c r="C402" s="6" t="s">
        <v>512</v>
      </c>
      <c r="D402" s="6" t="s">
        <v>1174</v>
      </c>
      <c r="E402" s="6" t="s">
        <v>1175</v>
      </c>
      <c r="F402" s="6" t="s">
        <v>858</v>
      </c>
      <c r="G402" s="7">
        <v>1.5</v>
      </c>
      <c r="H402" s="6" t="s">
        <v>515</v>
      </c>
      <c r="I402" s="6" t="s">
        <v>20</v>
      </c>
      <c r="J402" s="6">
        <v>2019.0</v>
      </c>
      <c r="L402" s="6">
        <v>1.0</v>
      </c>
      <c r="M402" s="8">
        <f t="shared" si="1"/>
        <v>1.5</v>
      </c>
      <c r="P402" s="9"/>
    </row>
    <row r="403">
      <c r="A403" s="6" t="s">
        <v>1176</v>
      </c>
      <c r="B403" s="6" t="s">
        <v>1177</v>
      </c>
      <c r="C403" s="6" t="s">
        <v>41</v>
      </c>
      <c r="D403" s="6" t="s">
        <v>1178</v>
      </c>
      <c r="E403" s="6" t="s">
        <v>1179</v>
      </c>
      <c r="F403" s="6" t="s">
        <v>65</v>
      </c>
      <c r="G403" s="7">
        <v>0.55</v>
      </c>
      <c r="H403" s="6" t="s">
        <v>66</v>
      </c>
      <c r="I403" s="6" t="s">
        <v>20</v>
      </c>
      <c r="J403" s="6">
        <v>2016.0</v>
      </c>
      <c r="K403" s="10">
        <v>46115.0</v>
      </c>
      <c r="L403" s="6">
        <v>1.0</v>
      </c>
      <c r="M403" s="8">
        <f t="shared" si="1"/>
        <v>0.55</v>
      </c>
      <c r="P403" s="9"/>
    </row>
    <row r="404">
      <c r="A404" s="6" t="s">
        <v>1180</v>
      </c>
      <c r="B404" s="6" t="s">
        <v>190</v>
      </c>
      <c r="C404" s="6" t="s">
        <v>23</v>
      </c>
      <c r="D404" s="6" t="s">
        <v>1181</v>
      </c>
      <c r="E404" s="6" t="s">
        <v>611</v>
      </c>
      <c r="F404" s="6" t="s">
        <v>103</v>
      </c>
      <c r="G404" s="7">
        <v>0.04</v>
      </c>
      <c r="H404" s="6" t="s">
        <v>45</v>
      </c>
      <c r="I404" s="6" t="s">
        <v>20</v>
      </c>
      <c r="J404" s="6">
        <v>2025.0</v>
      </c>
      <c r="K404" s="10">
        <v>46117.0</v>
      </c>
      <c r="L404" s="6">
        <v>3.0</v>
      </c>
      <c r="M404" s="8">
        <f t="shared" si="1"/>
        <v>0.12</v>
      </c>
      <c r="P404" s="9"/>
    </row>
    <row r="405">
      <c r="A405" s="6" t="s">
        <v>1180</v>
      </c>
      <c r="B405" s="6" t="s">
        <v>190</v>
      </c>
      <c r="C405" s="6" t="s">
        <v>23</v>
      </c>
      <c r="D405" s="6" t="s">
        <v>1181</v>
      </c>
      <c r="E405" s="6" t="s">
        <v>611</v>
      </c>
      <c r="F405" s="6" t="s">
        <v>103</v>
      </c>
      <c r="G405" s="7">
        <v>0.22</v>
      </c>
      <c r="H405" s="6" t="s">
        <v>45</v>
      </c>
      <c r="I405" s="6" t="s">
        <v>55</v>
      </c>
      <c r="J405" s="6">
        <v>2025.0</v>
      </c>
      <c r="K405" s="10">
        <v>46117.0</v>
      </c>
      <c r="L405" s="6">
        <v>1.0</v>
      </c>
      <c r="M405" s="8">
        <f t="shared" si="1"/>
        <v>0.22</v>
      </c>
      <c r="P405" s="9"/>
    </row>
    <row r="406">
      <c r="A406" s="6" t="s">
        <v>1182</v>
      </c>
      <c r="B406" s="6" t="s">
        <v>1183</v>
      </c>
      <c r="C406" s="6" t="s">
        <v>15</v>
      </c>
      <c r="D406" s="6" t="s">
        <v>1184</v>
      </c>
      <c r="E406" s="6" t="s">
        <v>1185</v>
      </c>
      <c r="F406" s="6" t="s">
        <v>65</v>
      </c>
      <c r="G406" s="7">
        <v>0.5</v>
      </c>
      <c r="H406" s="6" t="s">
        <v>180</v>
      </c>
      <c r="I406" s="6" t="s">
        <v>20</v>
      </c>
      <c r="J406" s="6">
        <v>2014.0</v>
      </c>
      <c r="K406" s="10">
        <v>46055.0</v>
      </c>
      <c r="L406" s="6">
        <v>2.0</v>
      </c>
      <c r="M406" s="8">
        <f t="shared" si="1"/>
        <v>1</v>
      </c>
      <c r="P406" s="9"/>
    </row>
    <row r="407">
      <c r="A407" s="6" t="s">
        <v>1182</v>
      </c>
      <c r="B407" s="6" t="s">
        <v>1183</v>
      </c>
      <c r="C407" s="6" t="s">
        <v>15</v>
      </c>
      <c r="D407" s="6" t="s">
        <v>1184</v>
      </c>
      <c r="E407" s="6" t="s">
        <v>1185</v>
      </c>
      <c r="F407" s="6" t="s">
        <v>65</v>
      </c>
      <c r="G407" s="7">
        <v>0.25</v>
      </c>
      <c r="H407" s="6" t="s">
        <v>180</v>
      </c>
      <c r="I407" s="6" t="s">
        <v>20</v>
      </c>
      <c r="J407" s="6">
        <v>2014.0</v>
      </c>
      <c r="K407" s="10">
        <v>46055.0</v>
      </c>
      <c r="L407" s="6">
        <v>2.0</v>
      </c>
      <c r="M407" s="8">
        <f t="shared" si="1"/>
        <v>0.5</v>
      </c>
      <c r="P407" s="9"/>
    </row>
    <row r="408">
      <c r="A408" s="6" t="s">
        <v>1186</v>
      </c>
      <c r="B408" s="6" t="s">
        <v>1187</v>
      </c>
      <c r="C408" s="6" t="s">
        <v>23</v>
      </c>
      <c r="D408" s="6" t="s">
        <v>1188</v>
      </c>
      <c r="E408" s="6" t="s">
        <v>50</v>
      </c>
      <c r="F408" s="6" t="s">
        <v>51</v>
      </c>
      <c r="G408" s="7">
        <v>0.06</v>
      </c>
      <c r="H408" s="6" t="s">
        <v>418</v>
      </c>
      <c r="I408" s="6" t="s">
        <v>20</v>
      </c>
      <c r="J408" s="6">
        <v>2022.0</v>
      </c>
      <c r="K408" s="10">
        <v>46114.0</v>
      </c>
      <c r="L408" s="6">
        <v>1.0</v>
      </c>
      <c r="M408" s="8">
        <f t="shared" si="1"/>
        <v>0.06</v>
      </c>
      <c r="P408" s="9"/>
    </row>
    <row r="409">
      <c r="A409" s="6" t="s">
        <v>1189</v>
      </c>
      <c r="B409" s="6" t="s">
        <v>139</v>
      </c>
      <c r="C409" s="6" t="s">
        <v>48</v>
      </c>
      <c r="D409" s="6" t="s">
        <v>1190</v>
      </c>
      <c r="E409" s="6" t="s">
        <v>235</v>
      </c>
      <c r="F409" s="6" t="s">
        <v>103</v>
      </c>
      <c r="G409" s="7">
        <v>0.07</v>
      </c>
      <c r="H409" s="6" t="s">
        <v>141</v>
      </c>
      <c r="I409" s="6" t="s">
        <v>20</v>
      </c>
      <c r="J409" s="6">
        <v>2019.0</v>
      </c>
      <c r="K409" s="10">
        <v>46056.0</v>
      </c>
      <c r="L409" s="6">
        <v>1.0</v>
      </c>
      <c r="M409" s="8">
        <f t="shared" si="1"/>
        <v>0.07</v>
      </c>
      <c r="P409" s="9"/>
    </row>
    <row r="410">
      <c r="A410" s="6" t="s">
        <v>1191</v>
      </c>
      <c r="B410" s="6" t="s">
        <v>1192</v>
      </c>
      <c r="C410" s="6" t="s">
        <v>48</v>
      </c>
      <c r="D410" s="6" t="s">
        <v>1193</v>
      </c>
      <c r="E410" s="6" t="s">
        <v>64</v>
      </c>
      <c r="F410" s="6" t="s">
        <v>65</v>
      </c>
      <c r="G410" s="7">
        <v>0.07</v>
      </c>
      <c r="H410" s="6" t="s">
        <v>1194</v>
      </c>
      <c r="I410" s="6" t="s">
        <v>20</v>
      </c>
      <c r="J410" s="6">
        <v>2023.0</v>
      </c>
      <c r="K410" s="10">
        <v>46084.0</v>
      </c>
      <c r="L410" s="6">
        <v>1.0</v>
      </c>
      <c r="M410" s="8">
        <f t="shared" si="1"/>
        <v>0.07</v>
      </c>
      <c r="P410" s="9"/>
    </row>
    <row r="411">
      <c r="A411" s="6" t="s">
        <v>1195</v>
      </c>
      <c r="B411" s="6" t="s">
        <v>1196</v>
      </c>
      <c r="C411" s="6" t="s">
        <v>48</v>
      </c>
      <c r="D411" s="6" t="s">
        <v>1197</v>
      </c>
      <c r="E411" s="6" t="s">
        <v>153</v>
      </c>
      <c r="F411" s="6" t="s">
        <v>103</v>
      </c>
      <c r="G411" s="7">
        <v>0.05</v>
      </c>
      <c r="H411" s="6" t="s">
        <v>129</v>
      </c>
      <c r="I411" s="6" t="s">
        <v>20</v>
      </c>
      <c r="J411" s="6">
        <v>2014.0</v>
      </c>
      <c r="K411" s="10">
        <v>46146.0</v>
      </c>
      <c r="L411" s="6">
        <v>1.0</v>
      </c>
      <c r="M411" s="8">
        <f t="shared" si="1"/>
        <v>0.05</v>
      </c>
      <c r="N411" s="6" t="s">
        <v>518</v>
      </c>
      <c r="P411" s="9"/>
    </row>
    <row r="412">
      <c r="A412" s="6" t="s">
        <v>1198</v>
      </c>
      <c r="B412" s="6" t="s">
        <v>1199</v>
      </c>
      <c r="C412" s="6" t="s">
        <v>23</v>
      </c>
      <c r="D412" s="6" t="s">
        <v>1200</v>
      </c>
      <c r="E412" s="6" t="s">
        <v>196</v>
      </c>
      <c r="F412" s="6" t="s">
        <v>65</v>
      </c>
      <c r="G412" s="7">
        <v>0.05</v>
      </c>
      <c r="H412" s="6" t="s">
        <v>184</v>
      </c>
      <c r="I412" s="6" t="s">
        <v>20</v>
      </c>
      <c r="J412" s="6">
        <v>2015.0</v>
      </c>
      <c r="K412" s="10">
        <v>46023.0</v>
      </c>
      <c r="L412" s="6">
        <v>6.0</v>
      </c>
      <c r="M412" s="8">
        <f t="shared" si="1"/>
        <v>0.3</v>
      </c>
      <c r="P412" s="9"/>
    </row>
    <row r="413">
      <c r="A413" s="6" t="s">
        <v>1201</v>
      </c>
      <c r="B413" s="6" t="s">
        <v>1202</v>
      </c>
      <c r="C413" s="6" t="s">
        <v>23</v>
      </c>
      <c r="D413" s="6" t="s">
        <v>1203</v>
      </c>
      <c r="E413" s="6" t="s">
        <v>175</v>
      </c>
      <c r="F413" s="6" t="s">
        <v>51</v>
      </c>
      <c r="G413" s="7">
        <v>0.06</v>
      </c>
      <c r="H413" s="6" t="s">
        <v>141</v>
      </c>
      <c r="I413" s="6" t="s">
        <v>20</v>
      </c>
      <c r="J413" s="6">
        <v>2019.0</v>
      </c>
      <c r="K413" s="10">
        <v>46023.0</v>
      </c>
      <c r="L413" s="6">
        <v>1.0</v>
      </c>
      <c r="M413" s="8">
        <f t="shared" si="1"/>
        <v>0.06</v>
      </c>
      <c r="P413" s="9"/>
    </row>
    <row r="414">
      <c r="A414" s="6" t="s">
        <v>1204</v>
      </c>
      <c r="B414" s="6" t="s">
        <v>139</v>
      </c>
      <c r="C414" s="6" t="s">
        <v>23</v>
      </c>
      <c r="D414" s="6" t="s">
        <v>1205</v>
      </c>
      <c r="E414" s="6" t="s">
        <v>118</v>
      </c>
      <c r="F414" s="6" t="s">
        <v>51</v>
      </c>
      <c r="G414" s="7">
        <v>0.09</v>
      </c>
      <c r="H414" s="6" t="s">
        <v>565</v>
      </c>
      <c r="I414" s="6" t="s">
        <v>20</v>
      </c>
      <c r="J414" s="6">
        <v>2021.0</v>
      </c>
      <c r="K414" s="10">
        <v>46055.0</v>
      </c>
      <c r="L414" s="6">
        <v>1.0</v>
      </c>
      <c r="M414" s="8">
        <f t="shared" si="1"/>
        <v>0.09</v>
      </c>
      <c r="N414" s="6" t="s">
        <v>518</v>
      </c>
      <c r="P414" s="9"/>
    </row>
    <row r="415">
      <c r="A415" s="6" t="s">
        <v>1206</v>
      </c>
      <c r="B415" s="6" t="s">
        <v>80</v>
      </c>
      <c r="C415" s="6" t="s">
        <v>23</v>
      </c>
      <c r="D415" s="6" t="s">
        <v>1207</v>
      </c>
      <c r="E415" s="6" t="s">
        <v>118</v>
      </c>
      <c r="F415" s="6" t="s">
        <v>51</v>
      </c>
      <c r="G415" s="7">
        <v>0.04</v>
      </c>
      <c r="H415" s="6" t="s">
        <v>136</v>
      </c>
      <c r="I415" s="6" t="s">
        <v>20</v>
      </c>
      <c r="J415" s="6">
        <v>2022.0</v>
      </c>
      <c r="K415" s="10">
        <v>46082.0</v>
      </c>
      <c r="L415" s="6">
        <v>1.0</v>
      </c>
      <c r="M415" s="8">
        <f t="shared" si="1"/>
        <v>0.04</v>
      </c>
      <c r="P415" s="9"/>
    </row>
    <row r="416">
      <c r="A416" s="6" t="s">
        <v>1208</v>
      </c>
      <c r="B416" s="6" t="s">
        <v>1209</v>
      </c>
      <c r="C416" s="6" t="s">
        <v>34</v>
      </c>
      <c r="D416" s="6" t="s">
        <v>1210</v>
      </c>
      <c r="E416" s="6" t="s">
        <v>175</v>
      </c>
      <c r="F416" s="6" t="s">
        <v>51</v>
      </c>
      <c r="G416" s="7">
        <v>0.24</v>
      </c>
      <c r="H416" s="6" t="s">
        <v>1211</v>
      </c>
      <c r="I416" s="6" t="s">
        <v>20</v>
      </c>
      <c r="J416" s="6">
        <v>1993.0</v>
      </c>
      <c r="K416" s="10">
        <v>46023.0</v>
      </c>
      <c r="L416" s="6">
        <v>1.0</v>
      </c>
      <c r="M416" s="8">
        <f t="shared" si="1"/>
        <v>0.24</v>
      </c>
      <c r="P416" s="9"/>
    </row>
    <row r="417">
      <c r="A417" s="6" t="s">
        <v>1212</v>
      </c>
      <c r="B417" s="6" t="s">
        <v>1213</v>
      </c>
      <c r="C417" s="6" t="s">
        <v>23</v>
      </c>
      <c r="D417" s="6" t="s">
        <v>1214</v>
      </c>
      <c r="E417" s="6" t="s">
        <v>175</v>
      </c>
      <c r="F417" s="6" t="s">
        <v>51</v>
      </c>
      <c r="G417" s="7">
        <v>0.05</v>
      </c>
      <c r="H417" s="6" t="s">
        <v>453</v>
      </c>
      <c r="I417" s="6" t="s">
        <v>20</v>
      </c>
      <c r="J417" s="6">
        <v>1995.0</v>
      </c>
      <c r="K417" s="10">
        <v>46023.0</v>
      </c>
      <c r="L417" s="6">
        <v>1.0</v>
      </c>
      <c r="M417" s="8">
        <f t="shared" si="1"/>
        <v>0.05</v>
      </c>
      <c r="P417" s="9"/>
    </row>
    <row r="418">
      <c r="A418" s="6" t="s">
        <v>1215</v>
      </c>
      <c r="B418" s="6" t="s">
        <v>1216</v>
      </c>
      <c r="C418" s="6" t="s">
        <v>23</v>
      </c>
      <c r="D418" s="6" t="s">
        <v>1217</v>
      </c>
      <c r="E418" s="6" t="s">
        <v>79</v>
      </c>
      <c r="F418" s="6" t="s">
        <v>51</v>
      </c>
      <c r="G418" s="7">
        <v>0.06</v>
      </c>
      <c r="H418" s="6" t="s">
        <v>574</v>
      </c>
      <c r="I418" s="6" t="s">
        <v>20</v>
      </c>
      <c r="J418" s="6">
        <v>2000.0</v>
      </c>
      <c r="K418" s="10">
        <v>46055.0</v>
      </c>
      <c r="L418" s="6">
        <v>1.0</v>
      </c>
      <c r="M418" s="8">
        <f t="shared" si="1"/>
        <v>0.06</v>
      </c>
      <c r="P418" s="9"/>
    </row>
    <row r="419">
      <c r="A419" s="6" t="s">
        <v>1218</v>
      </c>
      <c r="B419" s="6" t="s">
        <v>139</v>
      </c>
      <c r="C419" s="6" t="s">
        <v>41</v>
      </c>
      <c r="D419" s="6" t="s">
        <v>1219</v>
      </c>
      <c r="E419" s="6" t="s">
        <v>1220</v>
      </c>
      <c r="F419" s="6" t="s">
        <v>51</v>
      </c>
      <c r="G419" s="7">
        <v>0.5</v>
      </c>
      <c r="H419" s="6" t="s">
        <v>200</v>
      </c>
      <c r="I419" s="6" t="s">
        <v>20</v>
      </c>
      <c r="J419" s="6">
        <v>2018.0</v>
      </c>
      <c r="K419" s="10">
        <v>46084.0</v>
      </c>
      <c r="L419" s="6">
        <v>3.0</v>
      </c>
      <c r="M419" s="8">
        <f t="shared" si="1"/>
        <v>1.5</v>
      </c>
      <c r="P419" s="9"/>
    </row>
    <row r="420">
      <c r="A420" s="6" t="s">
        <v>1221</v>
      </c>
      <c r="B420" s="6" t="s">
        <v>250</v>
      </c>
      <c r="C420" s="6" t="s">
        <v>23</v>
      </c>
      <c r="D420" s="6" t="s">
        <v>1222</v>
      </c>
      <c r="E420" s="6" t="s">
        <v>243</v>
      </c>
      <c r="F420" s="6" t="s">
        <v>37</v>
      </c>
      <c r="G420" s="7">
        <v>0.49</v>
      </c>
      <c r="H420" s="6" t="s">
        <v>45</v>
      </c>
      <c r="I420" s="6" t="s">
        <v>20</v>
      </c>
      <c r="J420" s="6">
        <v>2025.0</v>
      </c>
      <c r="L420" s="6">
        <v>2.0</v>
      </c>
      <c r="M420" s="8">
        <f t="shared" si="1"/>
        <v>0.98</v>
      </c>
      <c r="P420" s="9"/>
    </row>
    <row r="421">
      <c r="A421" s="6" t="s">
        <v>1223</v>
      </c>
      <c r="B421" s="6" t="s">
        <v>182</v>
      </c>
      <c r="C421" s="6" t="s">
        <v>23</v>
      </c>
      <c r="D421" s="6" t="s">
        <v>1224</v>
      </c>
      <c r="E421" s="6" t="s">
        <v>270</v>
      </c>
      <c r="F421" s="6" t="s">
        <v>159</v>
      </c>
      <c r="G421" s="7">
        <v>0.03</v>
      </c>
      <c r="H421" s="6" t="s">
        <v>265</v>
      </c>
      <c r="I421" s="6" t="s">
        <v>20</v>
      </c>
      <c r="J421" s="6">
        <v>2017.0</v>
      </c>
      <c r="L421" s="6">
        <v>1.0</v>
      </c>
      <c r="M421" s="8">
        <f t="shared" si="1"/>
        <v>0.03</v>
      </c>
      <c r="P421" s="9"/>
    </row>
    <row r="422">
      <c r="A422" s="6" t="s">
        <v>1223</v>
      </c>
      <c r="B422" s="6" t="s">
        <v>182</v>
      </c>
      <c r="C422" s="6" t="s">
        <v>23</v>
      </c>
      <c r="D422" s="6" t="s">
        <v>1224</v>
      </c>
      <c r="E422" s="6" t="s">
        <v>270</v>
      </c>
      <c r="F422" s="6" t="s">
        <v>159</v>
      </c>
      <c r="G422" s="7">
        <v>0.03</v>
      </c>
      <c r="H422" s="6" t="s">
        <v>265</v>
      </c>
      <c r="I422" s="6" t="s">
        <v>20</v>
      </c>
      <c r="J422" s="6">
        <v>2017.0</v>
      </c>
      <c r="L422" s="6">
        <v>1.0</v>
      </c>
      <c r="M422" s="8">
        <f t="shared" si="1"/>
        <v>0.03</v>
      </c>
      <c r="P422" s="9"/>
    </row>
    <row r="423">
      <c r="A423" s="6" t="s">
        <v>1225</v>
      </c>
      <c r="B423" s="6" t="s">
        <v>182</v>
      </c>
      <c r="C423" s="6" t="s">
        <v>23</v>
      </c>
      <c r="D423" s="6" t="s">
        <v>1226</v>
      </c>
      <c r="E423" s="6" t="s">
        <v>270</v>
      </c>
      <c r="F423" s="6" t="s">
        <v>159</v>
      </c>
      <c r="G423" s="7">
        <v>0.03</v>
      </c>
      <c r="H423" s="6" t="s">
        <v>562</v>
      </c>
      <c r="I423" s="6" t="s">
        <v>20</v>
      </c>
      <c r="J423" s="6">
        <v>2017.0</v>
      </c>
      <c r="L423" s="6">
        <v>1.0</v>
      </c>
      <c r="M423" s="8">
        <f t="shared" si="1"/>
        <v>0.03</v>
      </c>
      <c r="P423" s="9"/>
    </row>
    <row r="424">
      <c r="A424" s="6" t="s">
        <v>1227</v>
      </c>
      <c r="B424" s="6" t="s">
        <v>1228</v>
      </c>
      <c r="C424" s="6" t="s">
        <v>23</v>
      </c>
      <c r="D424" s="6" t="s">
        <v>1229</v>
      </c>
      <c r="E424" s="6" t="s">
        <v>118</v>
      </c>
      <c r="F424" s="6" t="s">
        <v>51</v>
      </c>
      <c r="G424" s="7">
        <v>0.1</v>
      </c>
      <c r="H424" s="6" t="s">
        <v>370</v>
      </c>
      <c r="I424" s="6" t="s">
        <v>20</v>
      </c>
      <c r="J424" s="6">
        <v>1996.0</v>
      </c>
      <c r="K424" s="10">
        <v>46054.0</v>
      </c>
      <c r="L424" s="6">
        <v>1.0</v>
      </c>
      <c r="M424" s="8">
        <f t="shared" si="1"/>
        <v>0.1</v>
      </c>
      <c r="P424" s="9"/>
    </row>
    <row r="425">
      <c r="A425" s="6" t="s">
        <v>1230</v>
      </c>
      <c r="B425" s="6" t="s">
        <v>1231</v>
      </c>
      <c r="C425" s="6" t="s">
        <v>41</v>
      </c>
      <c r="D425" s="6" t="s">
        <v>1232</v>
      </c>
      <c r="E425" s="6" t="s">
        <v>716</v>
      </c>
      <c r="F425" s="6" t="s">
        <v>717</v>
      </c>
      <c r="G425" s="7">
        <v>1.9</v>
      </c>
      <c r="H425" s="6" t="s">
        <v>370</v>
      </c>
      <c r="I425" s="6" t="s">
        <v>20</v>
      </c>
      <c r="J425" s="6">
        <v>1996.0</v>
      </c>
      <c r="K425" s="10">
        <v>46086.0</v>
      </c>
      <c r="L425" s="6">
        <v>1.0</v>
      </c>
      <c r="M425" s="8">
        <f t="shared" si="1"/>
        <v>1.9</v>
      </c>
      <c r="N425" s="6" t="s">
        <v>172</v>
      </c>
      <c r="P425" s="9"/>
    </row>
    <row r="426">
      <c r="A426" s="6" t="s">
        <v>1233</v>
      </c>
      <c r="B426" s="6" t="s">
        <v>1234</v>
      </c>
      <c r="C426" s="6" t="s">
        <v>23</v>
      </c>
      <c r="D426" s="6" t="s">
        <v>1235</v>
      </c>
      <c r="E426" s="6" t="s">
        <v>25</v>
      </c>
      <c r="F426" s="6" t="s">
        <v>18</v>
      </c>
      <c r="G426" s="7">
        <v>0.06</v>
      </c>
      <c r="H426" s="6" t="s">
        <v>621</v>
      </c>
      <c r="I426" s="6" t="s">
        <v>20</v>
      </c>
      <c r="J426" s="6">
        <v>2015.0</v>
      </c>
      <c r="K426" s="10">
        <v>46113.0</v>
      </c>
      <c r="L426" s="6">
        <v>1.0</v>
      </c>
      <c r="M426" s="8">
        <f t="shared" si="1"/>
        <v>0.06</v>
      </c>
      <c r="P426" s="9"/>
    </row>
    <row r="427">
      <c r="A427" s="6" t="s">
        <v>1236</v>
      </c>
      <c r="B427" s="6" t="s">
        <v>1013</v>
      </c>
      <c r="C427" s="6" t="s">
        <v>48</v>
      </c>
      <c r="D427" s="6" t="s">
        <v>1237</v>
      </c>
      <c r="E427" s="6" t="s">
        <v>30</v>
      </c>
      <c r="F427" s="6" t="s">
        <v>18</v>
      </c>
      <c r="G427" s="7">
        <v>0.1</v>
      </c>
      <c r="H427" s="6" t="s">
        <v>509</v>
      </c>
      <c r="I427" s="6" t="s">
        <v>20</v>
      </c>
      <c r="J427" s="6">
        <v>2024.0</v>
      </c>
      <c r="K427" s="10">
        <v>46178.0</v>
      </c>
      <c r="L427" s="6">
        <v>1.0</v>
      </c>
      <c r="M427" s="8">
        <f t="shared" si="1"/>
        <v>0.1</v>
      </c>
      <c r="P427" s="9"/>
    </row>
    <row r="428">
      <c r="A428" s="6" t="s">
        <v>1238</v>
      </c>
      <c r="B428" s="6" t="s">
        <v>1052</v>
      </c>
      <c r="C428" s="6" t="s">
        <v>48</v>
      </c>
      <c r="D428" s="6" t="s">
        <v>1239</v>
      </c>
      <c r="E428" s="6" t="s">
        <v>25</v>
      </c>
      <c r="F428" s="6" t="s">
        <v>18</v>
      </c>
      <c r="G428" s="7">
        <v>0.05</v>
      </c>
      <c r="H428" s="6" t="s">
        <v>192</v>
      </c>
      <c r="I428" s="6" t="s">
        <v>20</v>
      </c>
      <c r="J428" s="6">
        <v>2026.0</v>
      </c>
      <c r="L428" s="6">
        <v>1.0</v>
      </c>
      <c r="M428" s="8">
        <f t="shared" si="1"/>
        <v>0.05</v>
      </c>
      <c r="P428" s="9"/>
    </row>
    <row r="429">
      <c r="A429" s="6" t="s">
        <v>1240</v>
      </c>
      <c r="B429" s="6" t="s">
        <v>182</v>
      </c>
      <c r="C429" s="6" t="s">
        <v>48</v>
      </c>
      <c r="D429" s="6" t="s">
        <v>1241</v>
      </c>
      <c r="E429" s="6" t="s">
        <v>158</v>
      </c>
      <c r="F429" s="6" t="s">
        <v>159</v>
      </c>
      <c r="G429" s="7">
        <v>0.15</v>
      </c>
      <c r="H429" s="6" t="s">
        <v>636</v>
      </c>
      <c r="I429" s="6" t="s">
        <v>20</v>
      </c>
      <c r="J429" s="6">
        <v>2015.0</v>
      </c>
      <c r="L429" s="6">
        <v>1.0</v>
      </c>
      <c r="M429" s="8">
        <f t="shared" si="1"/>
        <v>0.15</v>
      </c>
      <c r="P429" s="9"/>
    </row>
    <row r="430">
      <c r="A430" s="6" t="s">
        <v>1242</v>
      </c>
      <c r="B430" s="6" t="s">
        <v>194</v>
      </c>
      <c r="C430" s="6" t="s">
        <v>48</v>
      </c>
      <c r="D430" s="6" t="s">
        <v>1243</v>
      </c>
      <c r="E430" s="6" t="s">
        <v>112</v>
      </c>
      <c r="F430" s="6" t="s">
        <v>65</v>
      </c>
      <c r="G430" s="7">
        <v>0.1</v>
      </c>
      <c r="H430" s="6" t="s">
        <v>645</v>
      </c>
      <c r="I430" s="6" t="s">
        <v>20</v>
      </c>
      <c r="J430" s="6">
        <v>2024.0</v>
      </c>
      <c r="L430" s="6">
        <v>1.0</v>
      </c>
      <c r="M430" s="8">
        <f t="shared" si="1"/>
        <v>0.1</v>
      </c>
      <c r="P430" s="9"/>
    </row>
    <row r="431">
      <c r="A431" s="6" t="s">
        <v>1244</v>
      </c>
      <c r="B431" s="6" t="s">
        <v>62</v>
      </c>
      <c r="C431" s="6" t="s">
        <v>23</v>
      </c>
      <c r="D431" s="6" t="s">
        <v>1245</v>
      </c>
      <c r="E431" s="6" t="s">
        <v>25</v>
      </c>
      <c r="F431" s="6" t="s">
        <v>18</v>
      </c>
      <c r="G431" s="7">
        <v>0.02</v>
      </c>
      <c r="H431" s="6" t="s">
        <v>1246</v>
      </c>
      <c r="I431" s="6" t="s">
        <v>20</v>
      </c>
      <c r="J431" s="6">
        <v>2006.0</v>
      </c>
      <c r="L431" s="6">
        <v>1.0</v>
      </c>
      <c r="M431" s="8">
        <f t="shared" si="1"/>
        <v>0.02</v>
      </c>
      <c r="P431" s="9"/>
    </row>
    <row r="432">
      <c r="A432" s="6" t="s">
        <v>1244</v>
      </c>
      <c r="B432" s="6" t="s">
        <v>62</v>
      </c>
      <c r="C432" s="6" t="s">
        <v>23</v>
      </c>
      <c r="D432" s="6" t="s">
        <v>1245</v>
      </c>
      <c r="E432" s="6" t="s">
        <v>25</v>
      </c>
      <c r="F432" s="6" t="s">
        <v>18</v>
      </c>
      <c r="G432" s="7">
        <v>0.02</v>
      </c>
      <c r="H432" s="6" t="s">
        <v>1246</v>
      </c>
      <c r="I432" s="6" t="s">
        <v>20</v>
      </c>
      <c r="J432" s="6">
        <v>2006.0</v>
      </c>
      <c r="L432" s="6">
        <v>1.0</v>
      </c>
      <c r="M432" s="8">
        <f t="shared" si="1"/>
        <v>0.02</v>
      </c>
      <c r="P432" s="9"/>
    </row>
    <row r="433">
      <c r="A433" s="6" t="s">
        <v>1247</v>
      </c>
      <c r="B433" s="6" t="s">
        <v>1248</v>
      </c>
      <c r="C433" s="6" t="s">
        <v>48</v>
      </c>
      <c r="D433" s="6" t="s">
        <v>1249</v>
      </c>
      <c r="E433" s="6" t="s">
        <v>1250</v>
      </c>
      <c r="F433" s="6" t="s">
        <v>1251</v>
      </c>
      <c r="G433" s="7">
        <v>0.2</v>
      </c>
      <c r="H433" s="6" t="s">
        <v>19</v>
      </c>
      <c r="I433" s="6" t="s">
        <v>20</v>
      </c>
      <c r="J433" s="6">
        <v>2023.0</v>
      </c>
      <c r="K433" s="10">
        <v>46082.0</v>
      </c>
      <c r="L433" s="6">
        <v>1.0</v>
      </c>
      <c r="M433" s="8">
        <f t="shared" si="1"/>
        <v>0.2</v>
      </c>
      <c r="P433" s="9"/>
    </row>
    <row r="434">
      <c r="A434" s="6" t="s">
        <v>1252</v>
      </c>
      <c r="B434" s="6" t="s">
        <v>1253</v>
      </c>
      <c r="C434" s="6" t="s">
        <v>15</v>
      </c>
      <c r="D434" s="6" t="s">
        <v>1254</v>
      </c>
      <c r="E434" s="6" t="s">
        <v>852</v>
      </c>
      <c r="F434" s="6" t="s">
        <v>18</v>
      </c>
      <c r="G434" s="7">
        <v>0.09</v>
      </c>
      <c r="H434" s="6" t="s">
        <v>19</v>
      </c>
      <c r="I434" s="6" t="s">
        <v>20</v>
      </c>
      <c r="J434" s="6">
        <v>2023.0</v>
      </c>
      <c r="K434" s="10">
        <v>46024.0</v>
      </c>
      <c r="L434" s="6">
        <v>2.0</v>
      </c>
      <c r="M434" s="8">
        <f t="shared" si="1"/>
        <v>0.18</v>
      </c>
      <c r="P434" s="9"/>
    </row>
    <row r="435">
      <c r="A435" s="6" t="s">
        <v>1255</v>
      </c>
      <c r="B435" s="6" t="s">
        <v>1256</v>
      </c>
      <c r="C435" s="6" t="s">
        <v>48</v>
      </c>
      <c r="D435" s="6" t="s">
        <v>1257</v>
      </c>
      <c r="E435" s="6" t="s">
        <v>50</v>
      </c>
      <c r="F435" s="6" t="s">
        <v>51</v>
      </c>
      <c r="G435" s="7">
        <v>0.18</v>
      </c>
      <c r="H435" s="6" t="s">
        <v>19</v>
      </c>
      <c r="I435" s="6" t="s">
        <v>20</v>
      </c>
      <c r="J435" s="6">
        <v>2023.0</v>
      </c>
      <c r="K435" s="10">
        <v>46113.0</v>
      </c>
      <c r="L435" s="6">
        <v>2.0</v>
      </c>
      <c r="M435" s="8">
        <f t="shared" si="1"/>
        <v>0.36</v>
      </c>
      <c r="P435" s="9"/>
    </row>
    <row r="436">
      <c r="A436" s="6" t="s">
        <v>1258</v>
      </c>
      <c r="B436" s="6" t="s">
        <v>372</v>
      </c>
      <c r="C436" s="6" t="s">
        <v>23</v>
      </c>
      <c r="D436" s="6" t="s">
        <v>1259</v>
      </c>
      <c r="E436" s="6" t="s">
        <v>248</v>
      </c>
      <c r="F436" s="6" t="s">
        <v>18</v>
      </c>
      <c r="G436" s="7">
        <v>0.7</v>
      </c>
      <c r="H436" s="6" t="s">
        <v>881</v>
      </c>
      <c r="I436" s="6" t="s">
        <v>20</v>
      </c>
      <c r="J436" s="6">
        <v>2021.0</v>
      </c>
      <c r="L436" s="6">
        <v>2.0</v>
      </c>
      <c r="M436" s="8">
        <f t="shared" si="1"/>
        <v>1.4</v>
      </c>
      <c r="P436" s="9"/>
    </row>
    <row r="437">
      <c r="A437" s="6" t="s">
        <v>1260</v>
      </c>
      <c r="B437" s="6" t="s">
        <v>62</v>
      </c>
      <c r="C437" s="6" t="s">
        <v>41</v>
      </c>
      <c r="D437" s="6" t="s">
        <v>1261</v>
      </c>
      <c r="E437" s="6" t="s">
        <v>1262</v>
      </c>
      <c r="F437" s="6" t="s">
        <v>284</v>
      </c>
      <c r="G437" s="7">
        <v>0.2</v>
      </c>
      <c r="H437" s="6" t="s">
        <v>88</v>
      </c>
      <c r="I437" s="6" t="s">
        <v>20</v>
      </c>
      <c r="J437" s="6">
        <v>2013.0</v>
      </c>
      <c r="L437" s="6">
        <v>2.0</v>
      </c>
      <c r="M437" s="8">
        <f t="shared" si="1"/>
        <v>0.4</v>
      </c>
      <c r="P437" s="9"/>
    </row>
    <row r="438">
      <c r="A438" s="6" t="s">
        <v>1263</v>
      </c>
      <c r="B438" s="6" t="s">
        <v>796</v>
      </c>
      <c r="C438" s="6" t="s">
        <v>34</v>
      </c>
      <c r="D438" s="6" t="s">
        <v>1264</v>
      </c>
      <c r="E438" s="6" t="s">
        <v>1265</v>
      </c>
      <c r="F438" s="6" t="s">
        <v>159</v>
      </c>
      <c r="G438" s="7">
        <v>0.14</v>
      </c>
      <c r="H438" s="6" t="s">
        <v>1043</v>
      </c>
      <c r="I438" s="6" t="s">
        <v>20</v>
      </c>
      <c r="J438" s="6">
        <v>2025.0</v>
      </c>
      <c r="L438" s="6">
        <v>2.0</v>
      </c>
      <c r="M438" s="8">
        <f t="shared" si="1"/>
        <v>0.28</v>
      </c>
      <c r="P438" s="9"/>
    </row>
    <row r="439">
      <c r="A439" s="6" t="s">
        <v>1266</v>
      </c>
      <c r="B439" s="6" t="s">
        <v>1267</v>
      </c>
      <c r="C439" s="6" t="s">
        <v>41</v>
      </c>
      <c r="D439" s="6" t="s">
        <v>1268</v>
      </c>
      <c r="E439" s="6" t="s">
        <v>1159</v>
      </c>
      <c r="F439" s="6" t="s">
        <v>826</v>
      </c>
      <c r="G439" s="7">
        <v>0.25</v>
      </c>
      <c r="H439" s="6" t="s">
        <v>1269</v>
      </c>
      <c r="I439" s="6" t="s">
        <v>20</v>
      </c>
      <c r="J439" s="6">
        <v>2025.0</v>
      </c>
      <c r="K439" s="10">
        <v>46082.0</v>
      </c>
      <c r="L439" s="6">
        <v>1.0</v>
      </c>
      <c r="M439" s="8">
        <f t="shared" si="1"/>
        <v>0.25</v>
      </c>
      <c r="P439" s="9"/>
    </row>
    <row r="440">
      <c r="A440" s="6" t="s">
        <v>1270</v>
      </c>
      <c r="B440" s="6" t="s">
        <v>291</v>
      </c>
      <c r="C440" s="6" t="s">
        <v>41</v>
      </c>
      <c r="D440" s="6" t="s">
        <v>1271</v>
      </c>
      <c r="E440" s="6" t="s">
        <v>283</v>
      </c>
      <c r="F440" s="6" t="s">
        <v>284</v>
      </c>
      <c r="G440" s="7">
        <v>0.4</v>
      </c>
      <c r="H440" s="6" t="s">
        <v>88</v>
      </c>
      <c r="I440" s="6" t="s">
        <v>20</v>
      </c>
      <c r="J440" s="6">
        <v>2013.0</v>
      </c>
      <c r="K440" s="10">
        <v>46083.0</v>
      </c>
      <c r="L440" s="6">
        <v>1.0</v>
      </c>
      <c r="M440" s="8">
        <f t="shared" si="1"/>
        <v>0.4</v>
      </c>
      <c r="P440" s="9"/>
    </row>
    <row r="441">
      <c r="A441" s="6" t="s">
        <v>1272</v>
      </c>
      <c r="B441" s="6" t="s">
        <v>1273</v>
      </c>
      <c r="C441" s="6" t="s">
        <v>23</v>
      </c>
      <c r="D441" s="6" t="s">
        <v>1274</v>
      </c>
      <c r="E441" s="6" t="s">
        <v>64</v>
      </c>
      <c r="F441" s="6" t="s">
        <v>65</v>
      </c>
      <c r="G441" s="7">
        <v>0.03</v>
      </c>
      <c r="H441" s="6" t="s">
        <v>119</v>
      </c>
      <c r="I441" s="6" t="s">
        <v>20</v>
      </c>
      <c r="J441" s="6">
        <v>1995.0</v>
      </c>
      <c r="K441" s="10">
        <v>46054.0</v>
      </c>
      <c r="L441" s="6">
        <v>4.0</v>
      </c>
      <c r="M441" s="8">
        <f t="shared" si="1"/>
        <v>0.12</v>
      </c>
      <c r="P441" s="9"/>
    </row>
    <row r="442">
      <c r="A442" s="6" t="s">
        <v>1272</v>
      </c>
      <c r="B442" s="6" t="s">
        <v>1273</v>
      </c>
      <c r="C442" s="6" t="s">
        <v>23</v>
      </c>
      <c r="D442" s="6" t="s">
        <v>1274</v>
      </c>
      <c r="E442" s="6" t="s">
        <v>64</v>
      </c>
      <c r="F442" s="6" t="s">
        <v>65</v>
      </c>
      <c r="G442" s="7">
        <v>0.06</v>
      </c>
      <c r="H442" s="6" t="s">
        <v>120</v>
      </c>
      <c r="I442" s="6" t="s">
        <v>20</v>
      </c>
      <c r="J442" s="6">
        <v>1995.0</v>
      </c>
      <c r="K442" s="10">
        <v>46054.0</v>
      </c>
      <c r="L442" s="6">
        <v>4.0</v>
      </c>
      <c r="M442" s="8">
        <f t="shared" si="1"/>
        <v>0.24</v>
      </c>
      <c r="P442" s="9"/>
    </row>
    <row r="443">
      <c r="A443" s="6" t="s">
        <v>1275</v>
      </c>
      <c r="B443" s="6" t="s">
        <v>1234</v>
      </c>
      <c r="C443" s="6" t="s">
        <v>48</v>
      </c>
      <c r="D443" s="6" t="s">
        <v>1276</v>
      </c>
      <c r="E443" s="6" t="s">
        <v>941</v>
      </c>
      <c r="F443" s="6" t="s">
        <v>159</v>
      </c>
      <c r="G443" s="7">
        <v>0.06</v>
      </c>
      <c r="H443" s="6" t="s">
        <v>336</v>
      </c>
      <c r="I443" s="6" t="s">
        <v>20</v>
      </c>
      <c r="J443" s="6">
        <v>2016.0</v>
      </c>
      <c r="K443" s="10">
        <v>46117.0</v>
      </c>
      <c r="L443" s="6">
        <v>1.0</v>
      </c>
      <c r="M443" s="8">
        <f t="shared" si="1"/>
        <v>0.06</v>
      </c>
      <c r="P443" s="9"/>
    </row>
    <row r="444">
      <c r="A444" s="6" t="s">
        <v>1277</v>
      </c>
      <c r="B444" s="6" t="s">
        <v>62</v>
      </c>
      <c r="C444" s="6" t="s">
        <v>23</v>
      </c>
      <c r="D444" s="6" t="s">
        <v>1278</v>
      </c>
      <c r="E444" s="6" t="s">
        <v>223</v>
      </c>
      <c r="F444" s="6" t="s">
        <v>159</v>
      </c>
      <c r="G444" s="7">
        <v>0.2</v>
      </c>
      <c r="H444" s="6" t="s">
        <v>136</v>
      </c>
      <c r="I444" s="6" t="s">
        <v>20</v>
      </c>
      <c r="J444" s="6">
        <v>2022.0</v>
      </c>
      <c r="L444" s="6">
        <v>3.0</v>
      </c>
      <c r="M444" s="8">
        <f t="shared" si="1"/>
        <v>0.6</v>
      </c>
      <c r="P444" s="9"/>
    </row>
    <row r="445">
      <c r="A445" s="6" t="s">
        <v>1279</v>
      </c>
      <c r="B445" s="6" t="s">
        <v>1280</v>
      </c>
      <c r="C445" s="6" t="s">
        <v>23</v>
      </c>
      <c r="D445" s="6" t="s">
        <v>1281</v>
      </c>
      <c r="E445" s="6" t="s">
        <v>223</v>
      </c>
      <c r="F445" s="6" t="s">
        <v>159</v>
      </c>
      <c r="G445" s="7">
        <v>0.03</v>
      </c>
      <c r="H445" s="6" t="s">
        <v>562</v>
      </c>
      <c r="I445" s="6" t="s">
        <v>20</v>
      </c>
      <c r="J445" s="6">
        <v>2017.0</v>
      </c>
      <c r="K445" s="10">
        <v>46055.0</v>
      </c>
      <c r="L445" s="6">
        <v>2.0</v>
      </c>
      <c r="M445" s="8">
        <f t="shared" si="1"/>
        <v>0.06</v>
      </c>
      <c r="P445" s="9"/>
    </row>
    <row r="446">
      <c r="A446" s="6" t="s">
        <v>1282</v>
      </c>
      <c r="B446" s="6" t="s">
        <v>1283</v>
      </c>
      <c r="C446" s="6" t="s">
        <v>23</v>
      </c>
      <c r="D446" s="6" t="s">
        <v>1284</v>
      </c>
      <c r="E446" s="6" t="s">
        <v>602</v>
      </c>
      <c r="F446" s="6" t="s">
        <v>159</v>
      </c>
      <c r="G446" s="7">
        <v>0.03</v>
      </c>
      <c r="H446" s="6" t="s">
        <v>265</v>
      </c>
      <c r="I446" s="6" t="s">
        <v>20</v>
      </c>
      <c r="J446" s="6">
        <v>2017.0</v>
      </c>
      <c r="K446" s="10">
        <v>46116.0</v>
      </c>
      <c r="L446" s="6">
        <v>1.0</v>
      </c>
      <c r="M446" s="8">
        <f t="shared" si="1"/>
        <v>0.03</v>
      </c>
      <c r="P446" s="9"/>
    </row>
    <row r="447">
      <c r="A447" s="6" t="s">
        <v>1282</v>
      </c>
      <c r="B447" s="6" t="s">
        <v>1283</v>
      </c>
      <c r="C447" s="6" t="s">
        <v>23</v>
      </c>
      <c r="D447" s="6" t="s">
        <v>1284</v>
      </c>
      <c r="E447" s="6" t="s">
        <v>602</v>
      </c>
      <c r="F447" s="6" t="s">
        <v>159</v>
      </c>
      <c r="G447" s="7">
        <v>0.03</v>
      </c>
      <c r="H447" s="6" t="s">
        <v>265</v>
      </c>
      <c r="I447" s="6" t="s">
        <v>20</v>
      </c>
      <c r="J447" s="6">
        <v>2017.0</v>
      </c>
      <c r="K447" s="10">
        <v>46116.0</v>
      </c>
      <c r="L447" s="6">
        <v>1.0</v>
      </c>
      <c r="M447" s="8">
        <f t="shared" si="1"/>
        <v>0.03</v>
      </c>
      <c r="P447" s="9"/>
    </row>
    <row r="448">
      <c r="A448" s="6" t="s">
        <v>1285</v>
      </c>
      <c r="B448" s="6" t="s">
        <v>250</v>
      </c>
      <c r="C448" s="6" t="s">
        <v>48</v>
      </c>
      <c r="D448" s="6" t="s">
        <v>1286</v>
      </c>
      <c r="E448" s="6" t="s">
        <v>625</v>
      </c>
      <c r="F448" s="6" t="s">
        <v>103</v>
      </c>
      <c r="G448" s="7">
        <v>1.0</v>
      </c>
      <c r="H448" s="6" t="s">
        <v>119</v>
      </c>
      <c r="I448" s="6" t="s">
        <v>20</v>
      </c>
      <c r="J448" s="6">
        <v>1995.0</v>
      </c>
      <c r="L448" s="6">
        <v>1.0</v>
      </c>
      <c r="M448" s="8">
        <f t="shared" si="1"/>
        <v>1</v>
      </c>
      <c r="N448" s="6" t="s">
        <v>172</v>
      </c>
      <c r="P448" s="9"/>
    </row>
    <row r="449">
      <c r="A449" s="6" t="s">
        <v>1287</v>
      </c>
      <c r="B449" s="6" t="s">
        <v>366</v>
      </c>
      <c r="C449" s="6" t="s">
        <v>48</v>
      </c>
      <c r="D449" s="6" t="s">
        <v>1288</v>
      </c>
      <c r="E449" s="6" t="s">
        <v>175</v>
      </c>
      <c r="F449" s="6" t="s">
        <v>51</v>
      </c>
      <c r="G449" s="7">
        <v>0.15</v>
      </c>
      <c r="H449" s="6" t="s">
        <v>119</v>
      </c>
      <c r="I449" s="6" t="s">
        <v>20</v>
      </c>
      <c r="J449" s="6">
        <v>1995.0</v>
      </c>
      <c r="L449" s="6">
        <v>1.0</v>
      </c>
      <c r="M449" s="8">
        <f t="shared" si="1"/>
        <v>0.15</v>
      </c>
      <c r="P449" s="9"/>
    </row>
    <row r="450">
      <c r="A450" s="6" t="s">
        <v>1287</v>
      </c>
      <c r="B450" s="6" t="s">
        <v>366</v>
      </c>
      <c r="C450" s="6" t="s">
        <v>48</v>
      </c>
      <c r="D450" s="6" t="s">
        <v>1288</v>
      </c>
      <c r="E450" s="6" t="s">
        <v>175</v>
      </c>
      <c r="F450" s="6" t="s">
        <v>51</v>
      </c>
      <c r="G450" s="7">
        <v>0.28</v>
      </c>
      <c r="H450" s="6" t="s">
        <v>120</v>
      </c>
      <c r="I450" s="6" t="s">
        <v>20</v>
      </c>
      <c r="J450" s="6">
        <v>1995.0</v>
      </c>
      <c r="L450" s="6">
        <v>1.0</v>
      </c>
      <c r="M450" s="8">
        <f t="shared" si="1"/>
        <v>0.28</v>
      </c>
      <c r="P450" s="9"/>
    </row>
    <row r="451">
      <c r="A451" s="6" t="s">
        <v>1289</v>
      </c>
      <c r="B451" s="6" t="s">
        <v>1032</v>
      </c>
      <c r="C451" s="6" t="s">
        <v>23</v>
      </c>
      <c r="D451" s="6" t="s">
        <v>1290</v>
      </c>
      <c r="E451" s="6" t="s">
        <v>611</v>
      </c>
      <c r="F451" s="6" t="s">
        <v>103</v>
      </c>
      <c r="G451" s="7">
        <v>0.03</v>
      </c>
      <c r="H451" s="6" t="s">
        <v>185</v>
      </c>
      <c r="I451" s="6" t="s">
        <v>20</v>
      </c>
      <c r="J451" s="6">
        <v>2019.0</v>
      </c>
      <c r="K451" s="10">
        <v>46056.0</v>
      </c>
      <c r="L451" s="6">
        <v>1.0</v>
      </c>
      <c r="M451" s="8">
        <f t="shared" si="1"/>
        <v>0.03</v>
      </c>
      <c r="P451" s="9"/>
    </row>
    <row r="452">
      <c r="A452" s="6" t="s">
        <v>1291</v>
      </c>
      <c r="B452" s="6" t="s">
        <v>841</v>
      </c>
      <c r="C452" s="6" t="s">
        <v>23</v>
      </c>
      <c r="D452" s="6" t="s">
        <v>1292</v>
      </c>
      <c r="E452" s="6" t="s">
        <v>625</v>
      </c>
      <c r="F452" s="6" t="s">
        <v>37</v>
      </c>
      <c r="G452" s="7">
        <v>0.06</v>
      </c>
      <c r="H452" s="6" t="s">
        <v>1293</v>
      </c>
      <c r="I452" s="6" t="s">
        <v>20</v>
      </c>
      <c r="J452" s="6">
        <v>2011.0</v>
      </c>
      <c r="K452" s="10">
        <v>46114.0</v>
      </c>
      <c r="L452" s="6">
        <v>1.0</v>
      </c>
      <c r="M452" s="8">
        <f t="shared" si="1"/>
        <v>0.06</v>
      </c>
      <c r="P452" s="9"/>
    </row>
    <row r="453">
      <c r="A453" s="6" t="s">
        <v>1294</v>
      </c>
      <c r="B453" s="6" t="s">
        <v>143</v>
      </c>
      <c r="C453" s="6" t="s">
        <v>48</v>
      </c>
      <c r="D453" s="6" t="s">
        <v>1295</v>
      </c>
      <c r="E453" s="6" t="s">
        <v>1296</v>
      </c>
      <c r="F453" s="6" t="s">
        <v>986</v>
      </c>
      <c r="G453" s="7">
        <v>0.07</v>
      </c>
      <c r="H453" s="6" t="s">
        <v>1050</v>
      </c>
      <c r="I453" s="6" t="s">
        <v>20</v>
      </c>
      <c r="J453" s="6">
        <v>2023.0</v>
      </c>
      <c r="L453" s="6">
        <v>1.0</v>
      </c>
      <c r="M453" s="8">
        <f t="shared" si="1"/>
        <v>0.07</v>
      </c>
      <c r="P453" s="9"/>
    </row>
    <row r="454">
      <c r="A454" s="6" t="s">
        <v>1297</v>
      </c>
      <c r="B454" s="6" t="s">
        <v>1298</v>
      </c>
      <c r="C454" s="6" t="s">
        <v>23</v>
      </c>
      <c r="D454" s="6" t="s">
        <v>152</v>
      </c>
      <c r="E454" s="6" t="s">
        <v>533</v>
      </c>
      <c r="F454" s="6" t="s">
        <v>65</v>
      </c>
      <c r="G454" s="7">
        <v>0.05</v>
      </c>
      <c r="H454" s="6" t="s">
        <v>427</v>
      </c>
      <c r="I454" s="6" t="s">
        <v>20</v>
      </c>
      <c r="J454" s="6">
        <v>2009.0</v>
      </c>
      <c r="K454" s="10">
        <v>46056.0</v>
      </c>
      <c r="L454" s="6">
        <v>2.0</v>
      </c>
      <c r="M454" s="8">
        <f t="shared" si="1"/>
        <v>0.1</v>
      </c>
      <c r="P454" s="9"/>
    </row>
    <row r="455">
      <c r="A455" s="6" t="s">
        <v>1299</v>
      </c>
      <c r="B455" s="6" t="s">
        <v>326</v>
      </c>
      <c r="C455" s="6" t="s">
        <v>23</v>
      </c>
      <c r="D455" s="6" t="s">
        <v>1300</v>
      </c>
      <c r="E455" s="6" t="s">
        <v>223</v>
      </c>
      <c r="F455" s="6" t="s">
        <v>159</v>
      </c>
      <c r="G455" s="7">
        <v>1.95</v>
      </c>
      <c r="H455" s="6" t="s">
        <v>1301</v>
      </c>
      <c r="I455" s="6" t="s">
        <v>55</v>
      </c>
      <c r="J455" s="6">
        <v>2022.0</v>
      </c>
      <c r="K455" s="10">
        <v>46023.0</v>
      </c>
      <c r="L455" s="6">
        <v>2.0</v>
      </c>
      <c r="M455" s="8">
        <f t="shared" si="1"/>
        <v>3.9</v>
      </c>
      <c r="P455" s="9"/>
    </row>
    <row r="456">
      <c r="A456" s="6" t="s">
        <v>1299</v>
      </c>
      <c r="B456" s="6" t="s">
        <v>326</v>
      </c>
      <c r="C456" s="6" t="s">
        <v>23</v>
      </c>
      <c r="D456" s="6" t="s">
        <v>1300</v>
      </c>
      <c r="E456" s="6" t="s">
        <v>223</v>
      </c>
      <c r="F456" s="6" t="s">
        <v>159</v>
      </c>
      <c r="G456" s="7">
        <v>0.2</v>
      </c>
      <c r="H456" s="6" t="s">
        <v>1301</v>
      </c>
      <c r="I456" s="6" t="s">
        <v>20</v>
      </c>
      <c r="J456" s="6">
        <v>2022.0</v>
      </c>
      <c r="K456" s="10">
        <v>46023.0</v>
      </c>
      <c r="L456" s="6">
        <v>1.0</v>
      </c>
      <c r="M456" s="8">
        <f t="shared" si="1"/>
        <v>0.2</v>
      </c>
      <c r="P456" s="9"/>
    </row>
    <row r="457">
      <c r="A457" s="6" t="s">
        <v>1302</v>
      </c>
      <c r="B457" s="6" t="s">
        <v>511</v>
      </c>
      <c r="C457" s="6" t="s">
        <v>34</v>
      </c>
      <c r="D457" s="6" t="s">
        <v>1303</v>
      </c>
      <c r="E457" s="6" t="s">
        <v>1304</v>
      </c>
      <c r="F457" s="6" t="s">
        <v>65</v>
      </c>
      <c r="G457" s="7">
        <v>0.1</v>
      </c>
      <c r="H457" s="6" t="s">
        <v>209</v>
      </c>
      <c r="I457" s="6" t="s">
        <v>20</v>
      </c>
      <c r="J457" s="6">
        <v>2025.0</v>
      </c>
      <c r="K457" s="10">
        <v>46023.0</v>
      </c>
      <c r="L457" s="6">
        <v>6.0</v>
      </c>
      <c r="M457" s="8">
        <f t="shared" si="1"/>
        <v>0.6</v>
      </c>
      <c r="P457" s="9"/>
    </row>
    <row r="458">
      <c r="A458" s="6" t="s">
        <v>1305</v>
      </c>
      <c r="B458" s="6" t="s">
        <v>796</v>
      </c>
      <c r="C458" s="6" t="s">
        <v>34</v>
      </c>
      <c r="D458" s="6" t="s">
        <v>1306</v>
      </c>
      <c r="E458" s="6" t="s">
        <v>1307</v>
      </c>
      <c r="F458" s="6" t="s">
        <v>65</v>
      </c>
      <c r="G458" s="7">
        <v>0.13</v>
      </c>
      <c r="H458" s="6" t="s">
        <v>38</v>
      </c>
      <c r="I458" s="6" t="s">
        <v>20</v>
      </c>
      <c r="J458" s="6">
        <v>2026.0</v>
      </c>
      <c r="L458" s="6">
        <v>1.0</v>
      </c>
      <c r="M458" s="8">
        <f t="shared" si="1"/>
        <v>0.13</v>
      </c>
      <c r="P458" s="9"/>
    </row>
    <row r="459">
      <c r="A459" s="6" t="s">
        <v>1308</v>
      </c>
      <c r="B459" s="6" t="s">
        <v>1309</v>
      </c>
      <c r="C459" s="6" t="s">
        <v>48</v>
      </c>
      <c r="D459" s="6" t="s">
        <v>1310</v>
      </c>
      <c r="E459" s="6" t="s">
        <v>1311</v>
      </c>
      <c r="F459" s="6" t="s">
        <v>426</v>
      </c>
      <c r="G459" s="7">
        <v>0.09</v>
      </c>
      <c r="H459" s="6" t="s">
        <v>184</v>
      </c>
      <c r="I459" s="6" t="s">
        <v>20</v>
      </c>
      <c r="J459" s="6">
        <v>2015.0</v>
      </c>
      <c r="K459" s="10">
        <v>46085.0</v>
      </c>
      <c r="L459" s="6">
        <v>4.0</v>
      </c>
      <c r="M459" s="8">
        <f t="shared" si="1"/>
        <v>0.36</v>
      </c>
      <c r="P459" s="9"/>
    </row>
    <row r="460">
      <c r="A460" s="6" t="s">
        <v>1312</v>
      </c>
      <c r="B460" s="6" t="s">
        <v>1199</v>
      </c>
      <c r="C460" s="6" t="s">
        <v>48</v>
      </c>
      <c r="D460" s="6" t="s">
        <v>1313</v>
      </c>
      <c r="E460" s="6" t="s">
        <v>196</v>
      </c>
      <c r="F460" s="6" t="s">
        <v>65</v>
      </c>
      <c r="G460" s="7">
        <v>0.34</v>
      </c>
      <c r="H460" s="6" t="s">
        <v>171</v>
      </c>
      <c r="I460" s="6" t="s">
        <v>20</v>
      </c>
      <c r="J460" s="6">
        <v>2021.0</v>
      </c>
      <c r="K460" s="10">
        <v>46023.0</v>
      </c>
      <c r="L460" s="6">
        <v>1.0</v>
      </c>
      <c r="M460" s="8">
        <f t="shared" si="1"/>
        <v>0.34</v>
      </c>
      <c r="P460" s="9"/>
    </row>
    <row r="461">
      <c r="A461" s="6" t="s">
        <v>1314</v>
      </c>
      <c r="B461" s="6" t="s">
        <v>194</v>
      </c>
      <c r="C461" s="6" t="s">
        <v>23</v>
      </c>
      <c r="D461" s="6" t="s">
        <v>1315</v>
      </c>
      <c r="E461" s="6" t="s">
        <v>118</v>
      </c>
      <c r="F461" s="6" t="s">
        <v>51</v>
      </c>
      <c r="G461" s="7">
        <v>0.08</v>
      </c>
      <c r="H461" s="6" t="s">
        <v>245</v>
      </c>
      <c r="I461" s="6" t="s">
        <v>20</v>
      </c>
      <c r="J461" s="6">
        <v>1995.0</v>
      </c>
      <c r="L461" s="6">
        <v>2.0</v>
      </c>
      <c r="M461" s="8">
        <f t="shared" si="1"/>
        <v>0.16</v>
      </c>
      <c r="P461" s="9"/>
    </row>
    <row r="462">
      <c r="A462" s="6" t="s">
        <v>1316</v>
      </c>
      <c r="B462" s="6" t="s">
        <v>1317</v>
      </c>
      <c r="C462" s="6" t="s">
        <v>41</v>
      </c>
      <c r="D462" s="6" t="s">
        <v>1318</v>
      </c>
      <c r="E462" s="6" t="s">
        <v>298</v>
      </c>
      <c r="F462" s="6" t="s">
        <v>159</v>
      </c>
      <c r="G462" s="7">
        <v>0.17</v>
      </c>
      <c r="H462" s="6" t="s">
        <v>881</v>
      </c>
      <c r="I462" s="6" t="s">
        <v>20</v>
      </c>
      <c r="J462" s="6">
        <v>2021.0</v>
      </c>
      <c r="L462" s="6">
        <v>1.0</v>
      </c>
      <c r="M462" s="8">
        <f t="shared" si="1"/>
        <v>0.17</v>
      </c>
      <c r="P462" s="9"/>
    </row>
    <row r="463">
      <c r="A463" s="6" t="s">
        <v>1319</v>
      </c>
      <c r="B463" s="6" t="s">
        <v>677</v>
      </c>
      <c r="C463" s="6" t="s">
        <v>23</v>
      </c>
      <c r="D463" s="6" t="s">
        <v>1320</v>
      </c>
      <c r="E463" s="6" t="s">
        <v>1321</v>
      </c>
      <c r="F463" s="6" t="s">
        <v>103</v>
      </c>
      <c r="G463" s="7">
        <v>0.03</v>
      </c>
      <c r="H463" s="6" t="s">
        <v>526</v>
      </c>
      <c r="I463" s="6" t="s">
        <v>20</v>
      </c>
      <c r="J463" s="6">
        <v>2020.0</v>
      </c>
      <c r="K463" s="10">
        <v>46056.0</v>
      </c>
      <c r="L463" s="6">
        <v>3.0</v>
      </c>
      <c r="M463" s="8">
        <f t="shared" si="1"/>
        <v>0.09</v>
      </c>
      <c r="P463" s="9"/>
    </row>
    <row r="464">
      <c r="A464" s="6" t="s">
        <v>1322</v>
      </c>
      <c r="B464" s="6" t="s">
        <v>291</v>
      </c>
      <c r="C464" s="6" t="s">
        <v>48</v>
      </c>
      <c r="D464" s="6" t="s">
        <v>1323</v>
      </c>
      <c r="E464" s="6" t="s">
        <v>153</v>
      </c>
      <c r="F464" s="6" t="s">
        <v>103</v>
      </c>
      <c r="G464" s="7">
        <v>0.05</v>
      </c>
      <c r="H464" s="6" t="s">
        <v>154</v>
      </c>
      <c r="I464" s="6" t="s">
        <v>20</v>
      </c>
      <c r="J464" s="6">
        <v>2013.0</v>
      </c>
      <c r="K464" s="10">
        <v>46083.0</v>
      </c>
      <c r="L464" s="6">
        <v>1.0</v>
      </c>
      <c r="M464" s="8">
        <f t="shared" si="1"/>
        <v>0.05</v>
      </c>
      <c r="P464" s="9"/>
    </row>
    <row r="465">
      <c r="A465" s="6" t="s">
        <v>1324</v>
      </c>
      <c r="B465" s="6" t="s">
        <v>1325</v>
      </c>
      <c r="C465" s="6" t="s">
        <v>23</v>
      </c>
      <c r="D465" s="6" t="s">
        <v>1326</v>
      </c>
      <c r="E465" s="6" t="s">
        <v>149</v>
      </c>
      <c r="F465" s="6" t="s">
        <v>18</v>
      </c>
      <c r="G465" s="7">
        <v>3.0</v>
      </c>
      <c r="H465" s="6" t="s">
        <v>1327</v>
      </c>
      <c r="I465" s="6" t="s">
        <v>20</v>
      </c>
      <c r="J465" s="6">
        <v>2011.0</v>
      </c>
      <c r="K465" s="10">
        <v>46023.0</v>
      </c>
      <c r="L465" s="6">
        <v>1.0</v>
      </c>
      <c r="M465" s="8">
        <f t="shared" si="1"/>
        <v>3</v>
      </c>
      <c r="N465" s="6" t="s">
        <v>172</v>
      </c>
      <c r="P465" s="9"/>
    </row>
    <row r="466">
      <c r="A466" s="6" t="s">
        <v>1328</v>
      </c>
      <c r="B466" s="6" t="s">
        <v>1329</v>
      </c>
      <c r="C466" s="6" t="s">
        <v>521</v>
      </c>
      <c r="D466" s="6" t="s">
        <v>1330</v>
      </c>
      <c r="E466" s="6" t="s">
        <v>611</v>
      </c>
      <c r="F466" s="6" t="s">
        <v>103</v>
      </c>
      <c r="G466" s="7">
        <v>0.05</v>
      </c>
      <c r="H466" s="6" t="s">
        <v>641</v>
      </c>
      <c r="I466" s="6" t="s">
        <v>20</v>
      </c>
      <c r="J466" s="6">
        <v>2026.0</v>
      </c>
      <c r="K466" s="10">
        <v>46206.0</v>
      </c>
      <c r="L466" s="6">
        <v>3.0</v>
      </c>
      <c r="M466" s="8">
        <f t="shared" si="1"/>
        <v>0.15</v>
      </c>
      <c r="P466" s="9"/>
    </row>
    <row r="467">
      <c r="A467" s="6" t="s">
        <v>1331</v>
      </c>
      <c r="B467" s="6" t="s">
        <v>194</v>
      </c>
      <c r="C467" s="6" t="s">
        <v>48</v>
      </c>
      <c r="D467" s="6" t="s">
        <v>1332</v>
      </c>
      <c r="E467" s="6" t="s">
        <v>1005</v>
      </c>
      <c r="F467" s="6" t="s">
        <v>65</v>
      </c>
      <c r="G467" s="7">
        <v>0.23</v>
      </c>
      <c r="H467" s="6" t="s">
        <v>370</v>
      </c>
      <c r="I467" s="6" t="s">
        <v>20</v>
      </c>
      <c r="J467" s="6">
        <v>1996.0</v>
      </c>
      <c r="L467" s="6">
        <v>1.0</v>
      </c>
      <c r="M467" s="8">
        <f t="shared" si="1"/>
        <v>0.23</v>
      </c>
      <c r="P467" s="9"/>
    </row>
    <row r="468">
      <c r="A468" s="6" t="s">
        <v>1333</v>
      </c>
      <c r="B468" s="6" t="s">
        <v>1334</v>
      </c>
      <c r="C468" s="6" t="s">
        <v>23</v>
      </c>
      <c r="D468" s="6" t="s">
        <v>1335</v>
      </c>
      <c r="E468" s="6" t="s">
        <v>1336</v>
      </c>
      <c r="F468" s="6" t="s">
        <v>103</v>
      </c>
      <c r="G468" s="7">
        <v>0.06</v>
      </c>
      <c r="H468" s="6" t="s">
        <v>1327</v>
      </c>
      <c r="I468" s="6" t="s">
        <v>20</v>
      </c>
      <c r="J468" s="6">
        <v>2011.0</v>
      </c>
      <c r="K468" s="10">
        <v>46055.0</v>
      </c>
      <c r="L468" s="6">
        <v>1.0</v>
      </c>
      <c r="M468" s="8">
        <f t="shared" si="1"/>
        <v>0.06</v>
      </c>
      <c r="P468" s="9"/>
    </row>
    <row r="469">
      <c r="A469" s="6" t="s">
        <v>1337</v>
      </c>
      <c r="B469" s="6" t="s">
        <v>62</v>
      </c>
      <c r="C469" s="6" t="s">
        <v>23</v>
      </c>
      <c r="D469" s="6" t="s">
        <v>1338</v>
      </c>
      <c r="E469" s="6" t="s">
        <v>64</v>
      </c>
      <c r="F469" s="6" t="s">
        <v>65</v>
      </c>
      <c r="G469" s="7">
        <v>0.03</v>
      </c>
      <c r="H469" s="6" t="s">
        <v>406</v>
      </c>
      <c r="I469" s="6" t="s">
        <v>20</v>
      </c>
      <c r="J469" s="6">
        <v>2019.0</v>
      </c>
      <c r="L469" s="6">
        <v>2.0</v>
      </c>
      <c r="M469" s="8">
        <f t="shared" si="1"/>
        <v>0.06</v>
      </c>
      <c r="P469" s="9"/>
    </row>
    <row r="470">
      <c r="A470" s="6" t="s">
        <v>1339</v>
      </c>
      <c r="B470" s="6" t="s">
        <v>1234</v>
      </c>
      <c r="C470" s="6" t="s">
        <v>23</v>
      </c>
      <c r="D470" s="6" t="s">
        <v>1340</v>
      </c>
      <c r="E470" s="6" t="s">
        <v>149</v>
      </c>
      <c r="F470" s="6" t="s">
        <v>18</v>
      </c>
      <c r="G470" s="7">
        <v>0.05</v>
      </c>
      <c r="H470" s="6" t="s">
        <v>336</v>
      </c>
      <c r="I470" s="6" t="s">
        <v>20</v>
      </c>
      <c r="J470" s="6">
        <v>2016.0</v>
      </c>
      <c r="K470" s="10">
        <v>46082.0</v>
      </c>
      <c r="L470" s="6">
        <v>1.0</v>
      </c>
      <c r="M470" s="8">
        <f t="shared" si="1"/>
        <v>0.05</v>
      </c>
      <c r="P470" s="9"/>
    </row>
    <row r="471">
      <c r="A471" s="6" t="s">
        <v>1339</v>
      </c>
      <c r="B471" s="6" t="s">
        <v>1234</v>
      </c>
      <c r="C471" s="6" t="s">
        <v>23</v>
      </c>
      <c r="D471" s="6" t="s">
        <v>1340</v>
      </c>
      <c r="E471" s="6" t="s">
        <v>149</v>
      </c>
      <c r="F471" s="6" t="s">
        <v>18</v>
      </c>
      <c r="G471" s="7">
        <v>0.05</v>
      </c>
      <c r="H471" s="6" t="s">
        <v>336</v>
      </c>
      <c r="I471" s="6" t="s">
        <v>20</v>
      </c>
      <c r="J471" s="6">
        <v>2016.0</v>
      </c>
      <c r="K471" s="10">
        <v>46082.0</v>
      </c>
      <c r="L471" s="6">
        <v>1.0</v>
      </c>
      <c r="M471" s="8">
        <f t="shared" si="1"/>
        <v>0.05</v>
      </c>
      <c r="P471" s="9"/>
    </row>
    <row r="472">
      <c r="A472" s="6" t="s">
        <v>1341</v>
      </c>
      <c r="B472" s="6" t="s">
        <v>165</v>
      </c>
      <c r="C472" s="6" t="s">
        <v>15</v>
      </c>
      <c r="D472" s="6" t="s">
        <v>1342</v>
      </c>
      <c r="E472" s="6" t="s">
        <v>1304</v>
      </c>
      <c r="F472" s="6" t="s">
        <v>65</v>
      </c>
      <c r="G472" s="7">
        <v>0.05</v>
      </c>
      <c r="H472" s="6" t="s">
        <v>483</v>
      </c>
      <c r="I472" s="6" t="s">
        <v>20</v>
      </c>
      <c r="J472" s="6">
        <v>2014.0</v>
      </c>
      <c r="L472" s="6">
        <v>2.0</v>
      </c>
      <c r="M472" s="8">
        <f t="shared" si="1"/>
        <v>0.1</v>
      </c>
      <c r="P472" s="9"/>
    </row>
    <row r="473">
      <c r="A473" s="6" t="s">
        <v>1343</v>
      </c>
      <c r="B473" s="6" t="s">
        <v>62</v>
      </c>
      <c r="C473" s="6" t="s">
        <v>23</v>
      </c>
      <c r="D473" s="6" t="s">
        <v>1344</v>
      </c>
      <c r="E473" s="6" t="s">
        <v>270</v>
      </c>
      <c r="F473" s="6" t="s">
        <v>159</v>
      </c>
      <c r="G473" s="7">
        <v>0.03</v>
      </c>
      <c r="H473" s="6" t="s">
        <v>555</v>
      </c>
      <c r="I473" s="6" t="s">
        <v>20</v>
      </c>
      <c r="J473" s="6">
        <v>2017.0</v>
      </c>
      <c r="L473" s="6">
        <v>1.0</v>
      </c>
      <c r="M473" s="8">
        <f t="shared" si="1"/>
        <v>0.03</v>
      </c>
      <c r="P473" s="9"/>
    </row>
    <row r="474">
      <c r="A474" s="6" t="s">
        <v>1345</v>
      </c>
      <c r="B474" s="6" t="s">
        <v>1346</v>
      </c>
      <c r="C474" s="6" t="s">
        <v>23</v>
      </c>
      <c r="D474" s="6" t="s">
        <v>1347</v>
      </c>
      <c r="E474" s="6" t="s">
        <v>243</v>
      </c>
      <c r="F474" s="6" t="s">
        <v>37</v>
      </c>
      <c r="G474" s="7">
        <v>0.03</v>
      </c>
      <c r="H474" s="6" t="s">
        <v>1348</v>
      </c>
      <c r="I474" s="6" t="s">
        <v>20</v>
      </c>
      <c r="J474" s="6">
        <v>2015.0</v>
      </c>
      <c r="K474" s="10">
        <v>46082.0</v>
      </c>
      <c r="L474" s="6">
        <v>1.0</v>
      </c>
      <c r="M474" s="8">
        <f t="shared" si="1"/>
        <v>0.03</v>
      </c>
      <c r="P474" s="9"/>
    </row>
    <row r="475">
      <c r="A475" s="6" t="s">
        <v>1349</v>
      </c>
      <c r="B475" s="6" t="s">
        <v>62</v>
      </c>
      <c r="C475" s="6" t="s">
        <v>23</v>
      </c>
      <c r="D475" s="6" t="s">
        <v>1350</v>
      </c>
      <c r="E475" s="6" t="s">
        <v>149</v>
      </c>
      <c r="F475" s="6" t="s">
        <v>18</v>
      </c>
      <c r="G475" s="7">
        <v>0.07</v>
      </c>
      <c r="H475" s="6" t="s">
        <v>200</v>
      </c>
      <c r="I475" s="6" t="s">
        <v>20</v>
      </c>
      <c r="J475" s="6">
        <v>2018.0</v>
      </c>
      <c r="L475" s="6">
        <v>2.0</v>
      </c>
      <c r="M475" s="8">
        <f t="shared" si="1"/>
        <v>0.14</v>
      </c>
      <c r="P475" s="9"/>
    </row>
    <row r="476">
      <c r="A476" s="6" t="s">
        <v>1351</v>
      </c>
      <c r="B476" s="6" t="s">
        <v>1352</v>
      </c>
      <c r="C476" s="6" t="s">
        <v>72</v>
      </c>
      <c r="D476" s="6" t="s">
        <v>1353</v>
      </c>
      <c r="E476" s="6" t="s">
        <v>50</v>
      </c>
      <c r="F476" s="6" t="s">
        <v>51</v>
      </c>
      <c r="G476" s="7">
        <v>0.95</v>
      </c>
      <c r="H476" s="6" t="s">
        <v>245</v>
      </c>
      <c r="I476" s="6" t="s">
        <v>20</v>
      </c>
      <c r="J476" s="6">
        <v>1995.0</v>
      </c>
      <c r="K476" s="10">
        <v>46055.0</v>
      </c>
      <c r="L476" s="6">
        <v>2.0</v>
      </c>
      <c r="M476" s="8">
        <f t="shared" si="1"/>
        <v>1.9</v>
      </c>
      <c r="P476" s="9"/>
    </row>
    <row r="477">
      <c r="A477" s="6" t="s">
        <v>1354</v>
      </c>
      <c r="B477" s="6" t="s">
        <v>1355</v>
      </c>
      <c r="C477" s="6" t="s">
        <v>48</v>
      </c>
      <c r="D477" s="6" t="s">
        <v>1356</v>
      </c>
      <c r="E477" s="6" t="s">
        <v>1357</v>
      </c>
      <c r="F477" s="6" t="s">
        <v>60</v>
      </c>
      <c r="G477" s="7">
        <v>0.09</v>
      </c>
      <c r="H477" s="6" t="s">
        <v>271</v>
      </c>
      <c r="I477" s="6" t="s">
        <v>20</v>
      </c>
      <c r="J477" s="6">
        <v>2012.0</v>
      </c>
      <c r="K477" s="10">
        <v>46023.0</v>
      </c>
      <c r="L477" s="6">
        <v>2.0</v>
      </c>
      <c r="M477" s="8">
        <f t="shared" si="1"/>
        <v>0.18</v>
      </c>
      <c r="P477" s="9"/>
    </row>
    <row r="478">
      <c r="A478" s="6" t="s">
        <v>1358</v>
      </c>
      <c r="B478" s="6" t="s">
        <v>1359</v>
      </c>
      <c r="C478" s="6" t="s">
        <v>23</v>
      </c>
      <c r="D478" s="6" t="s">
        <v>1360</v>
      </c>
      <c r="E478" s="6" t="s">
        <v>533</v>
      </c>
      <c r="F478" s="6" t="s">
        <v>65</v>
      </c>
      <c r="G478" s="7">
        <v>0.06</v>
      </c>
      <c r="H478" s="6" t="s">
        <v>1361</v>
      </c>
      <c r="I478" s="6" t="s">
        <v>20</v>
      </c>
      <c r="J478" s="6">
        <v>2008.0</v>
      </c>
      <c r="K478" s="6" t="s">
        <v>422</v>
      </c>
      <c r="L478" s="6">
        <v>1.0</v>
      </c>
      <c r="M478" s="8">
        <f t="shared" si="1"/>
        <v>0.06</v>
      </c>
      <c r="P478" s="9"/>
    </row>
    <row r="479">
      <c r="A479" s="6" t="s">
        <v>1362</v>
      </c>
      <c r="B479" s="6" t="s">
        <v>1363</v>
      </c>
      <c r="C479" s="6" t="s">
        <v>23</v>
      </c>
      <c r="D479" s="6" t="s">
        <v>1364</v>
      </c>
      <c r="E479" s="6" t="s">
        <v>196</v>
      </c>
      <c r="F479" s="6" t="s">
        <v>65</v>
      </c>
      <c r="G479" s="7">
        <v>0.05</v>
      </c>
      <c r="H479" s="6" t="s">
        <v>477</v>
      </c>
      <c r="I479" s="6" t="s">
        <v>20</v>
      </c>
      <c r="J479" s="6">
        <v>2020.0</v>
      </c>
      <c r="K479" s="10">
        <v>46023.0</v>
      </c>
      <c r="L479" s="6">
        <v>1.0</v>
      </c>
      <c r="M479" s="8">
        <f t="shared" si="1"/>
        <v>0.05</v>
      </c>
      <c r="P479" s="9"/>
    </row>
    <row r="480">
      <c r="A480" s="6" t="s">
        <v>1365</v>
      </c>
      <c r="B480" s="6" t="s">
        <v>301</v>
      </c>
      <c r="C480" s="6" t="s">
        <v>34</v>
      </c>
      <c r="D480" s="6" t="s">
        <v>1366</v>
      </c>
      <c r="E480" s="6">
        <v>3.0</v>
      </c>
      <c r="F480" s="6" t="s">
        <v>37</v>
      </c>
      <c r="G480" s="7">
        <v>0.14</v>
      </c>
      <c r="H480" s="6" t="s">
        <v>209</v>
      </c>
      <c r="I480" s="6" t="s">
        <v>20</v>
      </c>
      <c r="J480" s="6">
        <v>2025.0</v>
      </c>
      <c r="L480" s="6">
        <v>5.0</v>
      </c>
      <c r="M480" s="8">
        <f t="shared" si="1"/>
        <v>0.7</v>
      </c>
      <c r="P480" s="9"/>
    </row>
    <row r="481">
      <c r="A481" s="6" t="s">
        <v>1367</v>
      </c>
      <c r="B481" s="6" t="s">
        <v>796</v>
      </c>
      <c r="C481" s="6" t="s">
        <v>34</v>
      </c>
      <c r="D481" s="6" t="s">
        <v>1368</v>
      </c>
      <c r="E481" s="6" t="s">
        <v>1265</v>
      </c>
      <c r="F481" s="6" t="s">
        <v>159</v>
      </c>
      <c r="G481" s="7">
        <v>0.05</v>
      </c>
      <c r="H481" s="6" t="s">
        <v>209</v>
      </c>
      <c r="I481" s="6" t="s">
        <v>20</v>
      </c>
      <c r="J481" s="6">
        <v>2025.0</v>
      </c>
      <c r="L481" s="6">
        <v>11.0</v>
      </c>
      <c r="M481" s="8">
        <f t="shared" si="1"/>
        <v>0.55</v>
      </c>
      <c r="P481" s="9"/>
    </row>
    <row r="482">
      <c r="A482" s="6" t="s">
        <v>1369</v>
      </c>
      <c r="B482" s="6" t="s">
        <v>1370</v>
      </c>
      <c r="C482" s="6" t="s">
        <v>41</v>
      </c>
      <c r="D482" s="6" t="s">
        <v>1371</v>
      </c>
      <c r="E482" s="6" t="s">
        <v>235</v>
      </c>
      <c r="F482" s="6" t="s">
        <v>103</v>
      </c>
      <c r="G482" s="7">
        <v>0.25</v>
      </c>
      <c r="H482" s="6" t="s">
        <v>848</v>
      </c>
      <c r="I482" s="6" t="s">
        <v>20</v>
      </c>
      <c r="J482" s="6">
        <v>2023.0</v>
      </c>
      <c r="K482" s="10">
        <v>46056.0</v>
      </c>
      <c r="L482" s="6">
        <v>1.0</v>
      </c>
      <c r="M482" s="8">
        <f t="shared" si="1"/>
        <v>0.25</v>
      </c>
      <c r="P482" s="9"/>
    </row>
    <row r="483">
      <c r="A483" s="6" t="s">
        <v>1372</v>
      </c>
      <c r="B483" s="6" t="s">
        <v>1373</v>
      </c>
      <c r="C483" s="6" t="s">
        <v>23</v>
      </c>
      <c r="D483" s="6" t="s">
        <v>1374</v>
      </c>
      <c r="E483" s="6" t="s">
        <v>112</v>
      </c>
      <c r="F483" s="6" t="s">
        <v>65</v>
      </c>
      <c r="G483" s="7">
        <v>0.17</v>
      </c>
      <c r="H483" s="6" t="s">
        <v>163</v>
      </c>
      <c r="I483" s="6" t="s">
        <v>20</v>
      </c>
      <c r="J483" s="6">
        <v>2023.0</v>
      </c>
      <c r="K483" s="10">
        <v>46023.0</v>
      </c>
      <c r="L483" s="6">
        <v>1.0</v>
      </c>
      <c r="M483" s="8">
        <f t="shared" si="1"/>
        <v>0.17</v>
      </c>
      <c r="P483" s="9"/>
    </row>
    <row r="484">
      <c r="A484" s="6" t="s">
        <v>1375</v>
      </c>
      <c r="B484" s="6" t="s">
        <v>472</v>
      </c>
      <c r="C484" s="6" t="s">
        <v>23</v>
      </c>
      <c r="D484" s="6" t="s">
        <v>1376</v>
      </c>
      <c r="E484" s="6" t="s">
        <v>235</v>
      </c>
      <c r="F484" s="6" t="s">
        <v>103</v>
      </c>
      <c r="G484" s="7">
        <v>0.06</v>
      </c>
      <c r="H484" s="6" t="s">
        <v>154</v>
      </c>
      <c r="I484" s="6" t="s">
        <v>20</v>
      </c>
      <c r="J484" s="6">
        <v>2013.0</v>
      </c>
      <c r="K484" s="10">
        <v>46055.0</v>
      </c>
      <c r="L484" s="6">
        <v>1.0</v>
      </c>
      <c r="M484" s="8">
        <f t="shared" si="1"/>
        <v>0.06</v>
      </c>
      <c r="P484" s="9"/>
    </row>
    <row r="485">
      <c r="A485" s="6" t="s">
        <v>1377</v>
      </c>
      <c r="B485" s="6" t="s">
        <v>1029</v>
      </c>
      <c r="C485" s="6" t="s">
        <v>48</v>
      </c>
      <c r="D485" s="6" t="s">
        <v>1378</v>
      </c>
      <c r="E485" s="6" t="s">
        <v>102</v>
      </c>
      <c r="F485" s="6" t="s">
        <v>103</v>
      </c>
      <c r="G485" s="7">
        <v>0.1</v>
      </c>
      <c r="H485" s="6" t="s">
        <v>216</v>
      </c>
      <c r="I485" s="6" t="s">
        <v>20</v>
      </c>
      <c r="J485" s="6">
        <v>2024.0</v>
      </c>
      <c r="K485" s="10">
        <v>46023.0</v>
      </c>
      <c r="L485" s="6">
        <v>1.0</v>
      </c>
      <c r="M485" s="8">
        <f t="shared" si="1"/>
        <v>0.1</v>
      </c>
      <c r="P485" s="9"/>
    </row>
    <row r="486">
      <c r="A486" s="6" t="s">
        <v>1379</v>
      </c>
      <c r="B486" s="6" t="s">
        <v>194</v>
      </c>
      <c r="C486" s="6" t="s">
        <v>48</v>
      </c>
      <c r="D486" s="6" t="s">
        <v>1380</v>
      </c>
      <c r="E486" s="6" t="s">
        <v>112</v>
      </c>
      <c r="F486" s="6" t="s">
        <v>65</v>
      </c>
      <c r="G486" s="7">
        <v>0.05</v>
      </c>
      <c r="H486" s="6" t="s">
        <v>1381</v>
      </c>
      <c r="I486" s="6" t="s">
        <v>20</v>
      </c>
      <c r="J486" s="6">
        <v>1995.0</v>
      </c>
      <c r="L486" s="6">
        <v>2.0</v>
      </c>
      <c r="M486" s="8">
        <f t="shared" si="1"/>
        <v>0.1</v>
      </c>
      <c r="P486" s="9"/>
    </row>
    <row r="487">
      <c r="A487" s="6" t="s">
        <v>1379</v>
      </c>
      <c r="B487" s="6" t="s">
        <v>194</v>
      </c>
      <c r="C487" s="6" t="s">
        <v>48</v>
      </c>
      <c r="D487" s="6" t="s">
        <v>1380</v>
      </c>
      <c r="E487" s="6" t="s">
        <v>112</v>
      </c>
      <c r="F487" s="6" t="s">
        <v>65</v>
      </c>
      <c r="G487" s="7">
        <v>0.3</v>
      </c>
      <c r="H487" s="6" t="s">
        <v>1382</v>
      </c>
      <c r="I487" s="6" t="s">
        <v>20</v>
      </c>
      <c r="J487" s="6">
        <v>1995.0</v>
      </c>
      <c r="L487" s="6">
        <v>4.0</v>
      </c>
      <c r="M487" s="8">
        <f t="shared" si="1"/>
        <v>1.2</v>
      </c>
      <c r="P487" s="9"/>
    </row>
    <row r="488">
      <c r="A488" s="6" t="s">
        <v>1383</v>
      </c>
      <c r="B488" s="6" t="s">
        <v>413</v>
      </c>
      <c r="C488" s="6" t="s">
        <v>84</v>
      </c>
      <c r="D488" s="6" t="s">
        <v>1384</v>
      </c>
      <c r="E488" s="6" t="s">
        <v>1220</v>
      </c>
      <c r="F488" s="6" t="s">
        <v>51</v>
      </c>
      <c r="G488" s="7">
        <v>0.18</v>
      </c>
      <c r="H488" s="6" t="s">
        <v>821</v>
      </c>
      <c r="I488" s="6" t="s">
        <v>20</v>
      </c>
      <c r="J488" s="6">
        <v>1995.0</v>
      </c>
      <c r="L488" s="6">
        <v>2.0</v>
      </c>
      <c r="M488" s="8">
        <f t="shared" si="1"/>
        <v>0.36</v>
      </c>
      <c r="P488" s="9"/>
    </row>
    <row r="489">
      <c r="A489" s="6" t="s">
        <v>1385</v>
      </c>
      <c r="B489" s="6" t="s">
        <v>472</v>
      </c>
      <c r="C489" s="6" t="s">
        <v>23</v>
      </c>
      <c r="D489" s="6" t="s">
        <v>1386</v>
      </c>
      <c r="E489" s="6" t="s">
        <v>112</v>
      </c>
      <c r="F489" s="6" t="s">
        <v>65</v>
      </c>
      <c r="G489" s="7">
        <v>0.09</v>
      </c>
      <c r="H489" s="6" t="s">
        <v>114</v>
      </c>
      <c r="I489" s="6" t="s">
        <v>20</v>
      </c>
      <c r="J489" s="6">
        <v>2021.0</v>
      </c>
      <c r="K489" s="10">
        <v>46024.0</v>
      </c>
      <c r="L489" s="6">
        <v>1.0</v>
      </c>
      <c r="M489" s="8">
        <f t="shared" si="1"/>
        <v>0.09</v>
      </c>
      <c r="P489" s="9"/>
    </row>
    <row r="490">
      <c r="A490" s="6" t="s">
        <v>1387</v>
      </c>
      <c r="B490" s="6" t="s">
        <v>202</v>
      </c>
      <c r="C490" s="6" t="s">
        <v>48</v>
      </c>
      <c r="D490" s="6" t="s">
        <v>1388</v>
      </c>
      <c r="E490" s="6" t="s">
        <v>153</v>
      </c>
      <c r="F490" s="6" t="s">
        <v>103</v>
      </c>
      <c r="G490" s="7">
        <v>0.13</v>
      </c>
      <c r="H490" s="6" t="s">
        <v>701</v>
      </c>
      <c r="I490" s="6" t="s">
        <v>20</v>
      </c>
      <c r="J490" s="6">
        <v>2012.0</v>
      </c>
      <c r="L490" s="6">
        <v>1.0</v>
      </c>
      <c r="M490" s="8">
        <f t="shared" si="1"/>
        <v>0.13</v>
      </c>
      <c r="P490" s="9"/>
    </row>
    <row r="491">
      <c r="A491" s="6" t="s">
        <v>1389</v>
      </c>
      <c r="B491" s="6" t="s">
        <v>841</v>
      </c>
      <c r="C491" s="6" t="s">
        <v>23</v>
      </c>
      <c r="D491" s="6" t="s">
        <v>1390</v>
      </c>
      <c r="E491" s="6" t="s">
        <v>243</v>
      </c>
      <c r="F491" s="6" t="s">
        <v>37</v>
      </c>
      <c r="G491" s="7">
        <v>0.05</v>
      </c>
      <c r="H491" s="6" t="s">
        <v>114</v>
      </c>
      <c r="I491" s="6" t="s">
        <v>20</v>
      </c>
      <c r="J491" s="6">
        <v>2021.0</v>
      </c>
      <c r="K491" s="10">
        <v>46055.0</v>
      </c>
      <c r="L491" s="6">
        <v>1.0</v>
      </c>
      <c r="M491" s="8">
        <f t="shared" si="1"/>
        <v>0.05</v>
      </c>
      <c r="P491" s="9"/>
    </row>
    <row r="492">
      <c r="A492" s="6" t="s">
        <v>1391</v>
      </c>
      <c r="B492" s="6" t="s">
        <v>202</v>
      </c>
      <c r="C492" s="6" t="s">
        <v>41</v>
      </c>
      <c r="D492" s="6" t="s">
        <v>1392</v>
      </c>
      <c r="E492" s="6" t="s">
        <v>64</v>
      </c>
      <c r="F492" s="6" t="s">
        <v>65</v>
      </c>
      <c r="G492" s="7">
        <v>0.75</v>
      </c>
      <c r="H492" s="6" t="s">
        <v>875</v>
      </c>
      <c r="I492" s="6" t="s">
        <v>20</v>
      </c>
      <c r="J492" s="6">
        <v>2018.0</v>
      </c>
      <c r="L492" s="6">
        <v>1.0</v>
      </c>
      <c r="M492" s="8">
        <f t="shared" si="1"/>
        <v>0.75</v>
      </c>
      <c r="P492" s="9"/>
    </row>
    <row r="493">
      <c r="A493" s="6" t="s">
        <v>1393</v>
      </c>
      <c r="B493" s="6" t="s">
        <v>182</v>
      </c>
      <c r="C493" s="6" t="s">
        <v>23</v>
      </c>
      <c r="D493" s="6" t="s">
        <v>1394</v>
      </c>
      <c r="E493" s="6" t="s">
        <v>153</v>
      </c>
      <c r="F493" s="6" t="s">
        <v>103</v>
      </c>
      <c r="G493" s="7">
        <v>0.49</v>
      </c>
      <c r="H493" s="6" t="s">
        <v>294</v>
      </c>
      <c r="I493" s="6" t="s">
        <v>20</v>
      </c>
      <c r="J493" s="6">
        <v>2010.0</v>
      </c>
      <c r="L493" s="6">
        <v>1.0</v>
      </c>
      <c r="M493" s="8">
        <f t="shared" si="1"/>
        <v>0.49</v>
      </c>
      <c r="P493" s="9"/>
    </row>
    <row r="494">
      <c r="A494" s="6" t="s">
        <v>1395</v>
      </c>
      <c r="B494" s="6" t="s">
        <v>1396</v>
      </c>
      <c r="C494" s="6" t="s">
        <v>23</v>
      </c>
      <c r="D494" s="6" t="s">
        <v>1397</v>
      </c>
      <c r="E494" s="6" t="s">
        <v>235</v>
      </c>
      <c r="F494" s="6" t="s">
        <v>103</v>
      </c>
      <c r="G494" s="7">
        <v>0.03</v>
      </c>
      <c r="H494" s="6" t="s">
        <v>626</v>
      </c>
      <c r="I494" s="6" t="s">
        <v>20</v>
      </c>
      <c r="J494" s="6">
        <v>2013.0</v>
      </c>
      <c r="K494" s="10">
        <v>46024.0</v>
      </c>
      <c r="L494" s="6">
        <v>2.0</v>
      </c>
      <c r="M494" s="8">
        <f t="shared" si="1"/>
        <v>0.06</v>
      </c>
      <c r="P494" s="9"/>
    </row>
    <row r="495">
      <c r="A495" s="6" t="s">
        <v>1398</v>
      </c>
      <c r="B495" s="6" t="s">
        <v>131</v>
      </c>
      <c r="C495" s="6" t="s">
        <v>23</v>
      </c>
      <c r="D495" s="6" t="s">
        <v>1399</v>
      </c>
      <c r="E495" s="6" t="s">
        <v>102</v>
      </c>
      <c r="F495" s="6" t="s">
        <v>103</v>
      </c>
      <c r="G495" s="7">
        <v>0.03</v>
      </c>
      <c r="H495" s="6" t="s">
        <v>359</v>
      </c>
      <c r="I495" s="6" t="s">
        <v>20</v>
      </c>
      <c r="J495" s="6">
        <v>2014.0</v>
      </c>
      <c r="K495" s="10">
        <v>46024.0</v>
      </c>
      <c r="L495" s="6">
        <v>4.0</v>
      </c>
      <c r="M495" s="8">
        <f t="shared" si="1"/>
        <v>0.12</v>
      </c>
      <c r="P495" s="9"/>
    </row>
    <row r="496">
      <c r="A496" s="6" t="s">
        <v>1400</v>
      </c>
      <c r="B496" s="6" t="s">
        <v>1401</v>
      </c>
      <c r="C496" s="6" t="s">
        <v>23</v>
      </c>
      <c r="D496" s="6" t="s">
        <v>1402</v>
      </c>
      <c r="E496" s="6" t="s">
        <v>64</v>
      </c>
      <c r="F496" s="6" t="s">
        <v>65</v>
      </c>
      <c r="G496" s="7">
        <v>0.05</v>
      </c>
      <c r="H496" s="6" t="s">
        <v>129</v>
      </c>
      <c r="I496" s="6" t="s">
        <v>20</v>
      </c>
      <c r="J496" s="6">
        <v>2014.0</v>
      </c>
      <c r="K496" s="10">
        <v>46025.0</v>
      </c>
      <c r="L496" s="6">
        <v>1.0</v>
      </c>
      <c r="M496" s="8">
        <f t="shared" si="1"/>
        <v>0.05</v>
      </c>
      <c r="P496" s="9"/>
    </row>
    <row r="497">
      <c r="A497" s="6" t="s">
        <v>1403</v>
      </c>
      <c r="B497" s="6" t="s">
        <v>472</v>
      </c>
      <c r="C497" s="6" t="s">
        <v>23</v>
      </c>
      <c r="D497" s="6" t="s">
        <v>1404</v>
      </c>
      <c r="E497" s="6" t="s">
        <v>235</v>
      </c>
      <c r="F497" s="6" t="s">
        <v>103</v>
      </c>
      <c r="G497" s="7">
        <v>0.06</v>
      </c>
      <c r="H497" s="6" t="s">
        <v>596</v>
      </c>
      <c r="I497" s="6" t="s">
        <v>20</v>
      </c>
      <c r="J497" s="6">
        <v>2012.0</v>
      </c>
      <c r="K497" s="10">
        <v>46023.0</v>
      </c>
      <c r="L497" s="6">
        <v>1.0</v>
      </c>
      <c r="M497" s="8">
        <f t="shared" si="1"/>
        <v>0.06</v>
      </c>
      <c r="P497" s="9"/>
    </row>
    <row r="498">
      <c r="A498" s="6" t="s">
        <v>1403</v>
      </c>
      <c r="B498" s="6" t="s">
        <v>472</v>
      </c>
      <c r="C498" s="6" t="s">
        <v>23</v>
      </c>
      <c r="D498" s="6" t="s">
        <v>1404</v>
      </c>
      <c r="E498" s="6" t="s">
        <v>235</v>
      </c>
      <c r="F498" s="6" t="s">
        <v>103</v>
      </c>
      <c r="G498" s="7">
        <v>0.13</v>
      </c>
      <c r="H498" s="6" t="s">
        <v>384</v>
      </c>
      <c r="I498" s="6" t="s">
        <v>20</v>
      </c>
      <c r="J498" s="6">
        <v>2022.0</v>
      </c>
      <c r="K498" s="10">
        <v>46023.0</v>
      </c>
      <c r="L498" s="6">
        <v>1.0</v>
      </c>
      <c r="M498" s="8">
        <f t="shared" si="1"/>
        <v>0.13</v>
      </c>
      <c r="P498" s="9"/>
    </row>
    <row r="499">
      <c r="A499" s="6" t="s">
        <v>1403</v>
      </c>
      <c r="B499" s="6" t="s">
        <v>472</v>
      </c>
      <c r="C499" s="6" t="s">
        <v>23</v>
      </c>
      <c r="D499" s="6" t="s">
        <v>1404</v>
      </c>
      <c r="E499" s="6" t="s">
        <v>235</v>
      </c>
      <c r="F499" s="6" t="s">
        <v>103</v>
      </c>
      <c r="G499" s="7">
        <v>0.13</v>
      </c>
      <c r="H499" s="6" t="s">
        <v>384</v>
      </c>
      <c r="I499" s="6" t="s">
        <v>20</v>
      </c>
      <c r="J499" s="6">
        <v>2022.0</v>
      </c>
      <c r="K499" s="10">
        <v>46023.0</v>
      </c>
      <c r="L499" s="6">
        <v>1.0</v>
      </c>
      <c r="M499" s="8">
        <f t="shared" si="1"/>
        <v>0.13</v>
      </c>
      <c r="P499" s="9"/>
    </row>
    <row r="500">
      <c r="A500" s="6" t="s">
        <v>1405</v>
      </c>
      <c r="B500" s="6" t="s">
        <v>1094</v>
      </c>
      <c r="C500" s="6" t="s">
        <v>23</v>
      </c>
      <c r="D500" s="6" t="s">
        <v>1406</v>
      </c>
      <c r="E500" s="6" t="s">
        <v>153</v>
      </c>
      <c r="F500" s="6" t="s">
        <v>103</v>
      </c>
      <c r="G500" s="7">
        <v>0.04</v>
      </c>
      <c r="H500" s="6" t="s">
        <v>701</v>
      </c>
      <c r="I500" s="6" t="s">
        <v>20</v>
      </c>
      <c r="J500" s="6">
        <v>2012.0</v>
      </c>
      <c r="K500" s="10">
        <v>46055.0</v>
      </c>
      <c r="L500" s="6">
        <v>1.0</v>
      </c>
      <c r="M500" s="8">
        <f t="shared" si="1"/>
        <v>0.04</v>
      </c>
      <c r="P500" s="9"/>
    </row>
    <row r="501">
      <c r="A501" s="6" t="s">
        <v>1407</v>
      </c>
      <c r="B501" s="6" t="s">
        <v>1408</v>
      </c>
      <c r="C501" s="6" t="s">
        <v>1409</v>
      </c>
      <c r="D501" s="6" t="s">
        <v>1410</v>
      </c>
      <c r="E501" s="6" t="s">
        <v>108</v>
      </c>
      <c r="F501" s="6" t="s">
        <v>103</v>
      </c>
      <c r="G501" s="7">
        <v>1.5</v>
      </c>
      <c r="H501" s="6" t="s">
        <v>914</v>
      </c>
      <c r="I501" s="6" t="s">
        <v>20</v>
      </c>
      <c r="J501" s="6">
        <v>2011.0</v>
      </c>
      <c r="K501" s="10">
        <v>46084.0</v>
      </c>
      <c r="L501" s="6">
        <v>1.0</v>
      </c>
      <c r="M501" s="8">
        <f t="shared" si="1"/>
        <v>1.5</v>
      </c>
      <c r="P501" s="9"/>
    </row>
    <row r="502">
      <c r="A502" s="6" t="s">
        <v>1411</v>
      </c>
      <c r="B502" s="6" t="s">
        <v>1412</v>
      </c>
      <c r="C502" s="6" t="s">
        <v>23</v>
      </c>
      <c r="D502" s="6" t="s">
        <v>1413</v>
      </c>
      <c r="E502" s="6" t="s">
        <v>64</v>
      </c>
      <c r="F502" s="6" t="s">
        <v>65</v>
      </c>
      <c r="G502" s="7">
        <v>0.1</v>
      </c>
      <c r="H502" s="6" t="s">
        <v>93</v>
      </c>
      <c r="I502" s="6" t="s">
        <v>20</v>
      </c>
      <c r="J502" s="6">
        <v>2016.0</v>
      </c>
      <c r="K502" s="10">
        <v>46026.0</v>
      </c>
      <c r="L502" s="6">
        <v>1.0</v>
      </c>
      <c r="M502" s="8">
        <f t="shared" si="1"/>
        <v>0.1</v>
      </c>
      <c r="P502" s="9"/>
    </row>
    <row r="503">
      <c r="A503" s="6" t="s">
        <v>1414</v>
      </c>
      <c r="B503" s="6" t="s">
        <v>307</v>
      </c>
      <c r="C503" s="6" t="s">
        <v>48</v>
      </c>
      <c r="D503" s="6" t="s">
        <v>1415</v>
      </c>
      <c r="E503" s="6" t="s">
        <v>1321</v>
      </c>
      <c r="F503" s="6" t="s">
        <v>103</v>
      </c>
      <c r="G503" s="7">
        <v>0.06</v>
      </c>
      <c r="H503" s="6" t="s">
        <v>541</v>
      </c>
      <c r="I503" s="6" t="s">
        <v>20</v>
      </c>
      <c r="J503" s="6">
        <v>2019.0</v>
      </c>
      <c r="L503" s="6">
        <v>1.0</v>
      </c>
      <c r="M503" s="8">
        <f t="shared" si="1"/>
        <v>0.06</v>
      </c>
      <c r="P503" s="9"/>
    </row>
    <row r="504">
      <c r="A504" s="6" t="s">
        <v>1416</v>
      </c>
      <c r="B504" s="6" t="s">
        <v>472</v>
      </c>
      <c r="C504" s="6" t="s">
        <v>23</v>
      </c>
      <c r="D504" s="6" t="s">
        <v>1417</v>
      </c>
      <c r="E504" s="6" t="s">
        <v>102</v>
      </c>
      <c r="F504" s="6" t="s">
        <v>103</v>
      </c>
      <c r="G504" s="7">
        <v>0.2</v>
      </c>
      <c r="H504" s="6" t="s">
        <v>1418</v>
      </c>
      <c r="I504" s="6" t="s">
        <v>20</v>
      </c>
      <c r="J504" s="6">
        <v>2010.0</v>
      </c>
      <c r="K504" s="10">
        <v>46023.0</v>
      </c>
      <c r="L504" s="6">
        <v>1.0</v>
      </c>
      <c r="M504" s="8">
        <f t="shared" si="1"/>
        <v>0.2</v>
      </c>
      <c r="P504" s="9"/>
    </row>
    <row r="505">
      <c r="A505" s="6" t="s">
        <v>1419</v>
      </c>
      <c r="B505" s="6" t="s">
        <v>1420</v>
      </c>
      <c r="C505" s="6" t="s">
        <v>23</v>
      </c>
      <c r="D505" s="6" t="s">
        <v>1421</v>
      </c>
      <c r="E505" s="6" t="s">
        <v>223</v>
      </c>
      <c r="F505" s="6" t="s">
        <v>159</v>
      </c>
      <c r="G505" s="7">
        <v>0.14</v>
      </c>
      <c r="H505" s="7" t="s">
        <v>406</v>
      </c>
      <c r="I505" s="6" t="s">
        <v>20</v>
      </c>
      <c r="J505" s="6">
        <v>2019.0</v>
      </c>
      <c r="K505" s="10">
        <v>46023.0</v>
      </c>
      <c r="L505" s="6">
        <v>1.0</v>
      </c>
      <c r="M505" s="8">
        <f t="shared" si="1"/>
        <v>0.14</v>
      </c>
      <c r="P505" s="9"/>
    </row>
    <row r="506">
      <c r="A506" s="6" t="s">
        <v>1422</v>
      </c>
      <c r="B506" s="6" t="s">
        <v>366</v>
      </c>
      <c r="C506" s="6" t="s">
        <v>521</v>
      </c>
      <c r="D506" s="6" t="s">
        <v>1423</v>
      </c>
      <c r="E506" s="6" t="s">
        <v>149</v>
      </c>
      <c r="F506" s="6" t="s">
        <v>1424</v>
      </c>
      <c r="G506" s="7">
        <v>0.15</v>
      </c>
      <c r="H506" s="6" t="s">
        <v>641</v>
      </c>
      <c r="I506" s="6" t="s">
        <v>20</v>
      </c>
      <c r="J506" s="6">
        <v>2026.0</v>
      </c>
      <c r="L506" s="6">
        <v>1.0</v>
      </c>
      <c r="M506" s="8">
        <f t="shared" si="1"/>
        <v>0.15</v>
      </c>
      <c r="P506" s="9"/>
    </row>
    <row r="507">
      <c r="A507" s="6" t="s">
        <v>1425</v>
      </c>
      <c r="B507" s="6" t="s">
        <v>1426</v>
      </c>
      <c r="C507" s="6" t="s">
        <v>48</v>
      </c>
      <c r="D507" s="6" t="s">
        <v>1427</v>
      </c>
      <c r="E507" s="6" t="s">
        <v>220</v>
      </c>
      <c r="F507" s="6" t="s">
        <v>18</v>
      </c>
      <c r="G507" s="7">
        <v>1.34</v>
      </c>
      <c r="H507" s="6" t="s">
        <v>26</v>
      </c>
      <c r="I507" s="6" t="s">
        <v>20</v>
      </c>
      <c r="J507" s="6">
        <v>2026.0</v>
      </c>
      <c r="K507" s="10">
        <v>46145.0</v>
      </c>
      <c r="L507" s="6">
        <v>1.0</v>
      </c>
      <c r="M507" s="8">
        <f t="shared" si="1"/>
        <v>1.34</v>
      </c>
      <c r="P507" s="9"/>
    </row>
    <row r="508">
      <c r="A508" s="6" t="s">
        <v>1428</v>
      </c>
      <c r="B508" s="6" t="s">
        <v>761</v>
      </c>
      <c r="C508" s="6" t="s">
        <v>72</v>
      </c>
      <c r="D508" s="6" t="s">
        <v>1429</v>
      </c>
      <c r="E508" s="6" t="s">
        <v>175</v>
      </c>
      <c r="F508" s="6" t="s">
        <v>51</v>
      </c>
      <c r="G508" s="7">
        <v>0.05</v>
      </c>
      <c r="H508" s="6" t="s">
        <v>245</v>
      </c>
      <c r="I508" s="6" t="s">
        <v>20</v>
      </c>
      <c r="J508" s="6">
        <v>1995.0</v>
      </c>
      <c r="L508" s="6">
        <v>2.0</v>
      </c>
      <c r="M508" s="8">
        <f t="shared" si="1"/>
        <v>0.1</v>
      </c>
      <c r="P508" s="9"/>
    </row>
    <row r="509">
      <c r="A509" s="6" t="s">
        <v>1430</v>
      </c>
      <c r="B509" s="6" t="s">
        <v>366</v>
      </c>
      <c r="C509" s="6" t="s">
        <v>48</v>
      </c>
      <c r="D509" s="6" t="s">
        <v>1431</v>
      </c>
      <c r="E509" s="6" t="s">
        <v>175</v>
      </c>
      <c r="F509" s="6" t="s">
        <v>51</v>
      </c>
      <c r="G509" s="7">
        <v>0.1</v>
      </c>
      <c r="H509" s="6" t="s">
        <v>453</v>
      </c>
      <c r="I509" s="6" t="s">
        <v>20</v>
      </c>
      <c r="J509" s="6">
        <v>1995.0</v>
      </c>
      <c r="L509" s="6">
        <v>1.0</v>
      </c>
      <c r="M509" s="8">
        <f t="shared" si="1"/>
        <v>0.1</v>
      </c>
      <c r="P509" s="9"/>
    </row>
    <row r="510">
      <c r="A510" s="6" t="s">
        <v>1430</v>
      </c>
      <c r="B510" s="6" t="s">
        <v>366</v>
      </c>
      <c r="C510" s="6" t="s">
        <v>48</v>
      </c>
      <c r="D510" s="6" t="s">
        <v>1431</v>
      </c>
      <c r="E510" s="6" t="s">
        <v>175</v>
      </c>
      <c r="F510" s="6" t="s">
        <v>51</v>
      </c>
      <c r="G510" s="7">
        <v>0.59</v>
      </c>
      <c r="H510" s="6" t="s">
        <v>607</v>
      </c>
      <c r="I510" s="6" t="s">
        <v>20</v>
      </c>
      <c r="J510" s="6">
        <v>1994.0</v>
      </c>
      <c r="L510" s="6">
        <v>1.0</v>
      </c>
      <c r="M510" s="8">
        <f t="shared" si="1"/>
        <v>0.59</v>
      </c>
      <c r="P510" s="9"/>
    </row>
    <row r="511">
      <c r="A511" s="6" t="s">
        <v>1432</v>
      </c>
      <c r="B511" s="6" t="s">
        <v>62</v>
      </c>
      <c r="C511" s="6" t="s">
        <v>23</v>
      </c>
      <c r="D511" s="6" t="s">
        <v>1433</v>
      </c>
      <c r="E511" s="6" t="s">
        <v>112</v>
      </c>
      <c r="F511" s="6" t="s">
        <v>65</v>
      </c>
      <c r="G511" s="7">
        <v>0.03</v>
      </c>
      <c r="H511" s="6" t="s">
        <v>265</v>
      </c>
      <c r="I511" s="6" t="s">
        <v>20</v>
      </c>
      <c r="J511" s="6">
        <v>2017.0</v>
      </c>
      <c r="L511" s="6">
        <v>1.0</v>
      </c>
      <c r="M511" s="8">
        <f t="shared" si="1"/>
        <v>0.03</v>
      </c>
      <c r="P511" s="9"/>
    </row>
    <row r="512">
      <c r="A512" s="6" t="s">
        <v>1434</v>
      </c>
      <c r="B512" s="6" t="s">
        <v>1435</v>
      </c>
      <c r="C512" s="6" t="s">
        <v>23</v>
      </c>
      <c r="D512" s="6" t="s">
        <v>1436</v>
      </c>
      <c r="E512" s="6" t="s">
        <v>64</v>
      </c>
      <c r="F512" s="6" t="s">
        <v>65</v>
      </c>
      <c r="G512" s="7">
        <v>0.06</v>
      </c>
      <c r="H512" s="6" t="s">
        <v>45</v>
      </c>
      <c r="I512" s="6" t="s">
        <v>20</v>
      </c>
      <c r="J512" s="6">
        <v>2025.0</v>
      </c>
      <c r="K512" s="10">
        <v>46055.0</v>
      </c>
      <c r="L512" s="6">
        <v>4.0</v>
      </c>
      <c r="M512" s="8">
        <f t="shared" si="1"/>
        <v>0.24</v>
      </c>
      <c r="P512" s="9"/>
    </row>
    <row r="513">
      <c r="A513" s="6" t="s">
        <v>1437</v>
      </c>
      <c r="B513" s="6" t="s">
        <v>1359</v>
      </c>
      <c r="C513" s="6" t="s">
        <v>23</v>
      </c>
      <c r="D513" s="6" t="s">
        <v>1438</v>
      </c>
      <c r="E513" s="6" t="s">
        <v>102</v>
      </c>
      <c r="F513" s="6" t="s">
        <v>103</v>
      </c>
      <c r="G513" s="7">
        <v>0.06</v>
      </c>
      <c r="H513" s="6" t="s">
        <v>109</v>
      </c>
      <c r="I513" s="6" t="s">
        <v>20</v>
      </c>
      <c r="J513" s="6">
        <v>1997.0</v>
      </c>
      <c r="K513" s="10">
        <v>46023.0</v>
      </c>
      <c r="L513" s="6">
        <v>1.0</v>
      </c>
      <c r="M513" s="8">
        <f t="shared" si="1"/>
        <v>0.06</v>
      </c>
      <c r="P513" s="9"/>
    </row>
    <row r="514">
      <c r="A514" s="6" t="s">
        <v>1437</v>
      </c>
      <c r="B514" s="6" t="s">
        <v>1359</v>
      </c>
      <c r="C514" s="6" t="s">
        <v>23</v>
      </c>
      <c r="D514" s="6" t="s">
        <v>1438</v>
      </c>
      <c r="E514" s="6" t="s">
        <v>102</v>
      </c>
      <c r="F514" s="6" t="s">
        <v>103</v>
      </c>
      <c r="G514" s="7">
        <v>0.06</v>
      </c>
      <c r="H514" s="6" t="s">
        <v>1382</v>
      </c>
      <c r="I514" s="6" t="s">
        <v>20</v>
      </c>
      <c r="J514" s="6">
        <v>1997.0</v>
      </c>
      <c r="K514" s="10">
        <v>46023.0</v>
      </c>
      <c r="L514" s="6">
        <v>2.0</v>
      </c>
      <c r="M514" s="8">
        <f t="shared" si="1"/>
        <v>0.12</v>
      </c>
      <c r="P514" s="9"/>
    </row>
    <row r="515">
      <c r="A515" s="6" t="s">
        <v>1439</v>
      </c>
      <c r="B515" s="6" t="s">
        <v>1440</v>
      </c>
      <c r="C515" s="6" t="s">
        <v>23</v>
      </c>
      <c r="D515" s="6" t="s">
        <v>1441</v>
      </c>
      <c r="E515" s="6" t="s">
        <v>167</v>
      </c>
      <c r="F515" s="6" t="s">
        <v>103</v>
      </c>
      <c r="G515" s="7">
        <v>0.08</v>
      </c>
      <c r="H515" s="6" t="s">
        <v>197</v>
      </c>
      <c r="I515" s="6" t="s">
        <v>20</v>
      </c>
      <c r="J515" s="6">
        <v>1995.0</v>
      </c>
      <c r="K515" s="10">
        <v>46023.0</v>
      </c>
      <c r="L515" s="6">
        <v>3.0</v>
      </c>
      <c r="M515" s="8">
        <f t="shared" si="1"/>
        <v>0.24</v>
      </c>
      <c r="P515" s="9"/>
    </row>
    <row r="516">
      <c r="A516" s="6" t="s">
        <v>1442</v>
      </c>
      <c r="B516" s="6" t="s">
        <v>1443</v>
      </c>
      <c r="C516" s="6" t="s">
        <v>48</v>
      </c>
      <c r="D516" s="6" t="s">
        <v>1444</v>
      </c>
      <c r="E516" s="6" t="s">
        <v>153</v>
      </c>
      <c r="F516" s="6" t="s">
        <v>103</v>
      </c>
      <c r="G516" s="7">
        <v>0.06</v>
      </c>
      <c r="H516" s="6" t="s">
        <v>1445</v>
      </c>
      <c r="I516" s="6" t="s">
        <v>20</v>
      </c>
      <c r="J516" s="6">
        <v>1993.0</v>
      </c>
      <c r="K516" s="10">
        <v>46084.0</v>
      </c>
      <c r="L516" s="6">
        <v>1.0</v>
      </c>
      <c r="M516" s="8">
        <f t="shared" si="1"/>
        <v>0.06</v>
      </c>
      <c r="P516" s="9"/>
    </row>
    <row r="517">
      <c r="A517" s="6" t="s">
        <v>1446</v>
      </c>
      <c r="B517" s="6" t="s">
        <v>291</v>
      </c>
      <c r="C517" s="6" t="s">
        <v>41</v>
      </c>
      <c r="D517" s="6" t="s">
        <v>1447</v>
      </c>
      <c r="E517" s="6" t="s">
        <v>153</v>
      </c>
      <c r="F517" s="6" t="s">
        <v>103</v>
      </c>
      <c r="G517" s="7">
        <v>0.15</v>
      </c>
      <c r="H517" s="6" t="s">
        <v>154</v>
      </c>
      <c r="I517" s="6" t="s">
        <v>20</v>
      </c>
      <c r="J517" s="6">
        <v>2013.0</v>
      </c>
      <c r="K517" s="10">
        <v>46082.0</v>
      </c>
      <c r="L517" s="6">
        <v>1.0</v>
      </c>
      <c r="M517" s="8">
        <f t="shared" si="1"/>
        <v>0.15</v>
      </c>
      <c r="P517" s="9"/>
    </row>
    <row r="518">
      <c r="A518" s="6" t="s">
        <v>1448</v>
      </c>
      <c r="B518" s="6" t="s">
        <v>1449</v>
      </c>
      <c r="C518" s="6" t="s">
        <v>23</v>
      </c>
      <c r="D518" s="6" t="s">
        <v>1450</v>
      </c>
      <c r="E518" s="6" t="s">
        <v>64</v>
      </c>
      <c r="F518" s="6" t="s">
        <v>65</v>
      </c>
      <c r="G518" s="7">
        <v>0.05</v>
      </c>
      <c r="H518" s="6" t="s">
        <v>184</v>
      </c>
      <c r="I518" s="6" t="s">
        <v>20</v>
      </c>
      <c r="J518" s="6">
        <v>2015.0</v>
      </c>
      <c r="K518" s="10">
        <v>46056.0</v>
      </c>
      <c r="L518" s="6">
        <v>7.0</v>
      </c>
      <c r="M518" s="8">
        <f t="shared" si="1"/>
        <v>0.35</v>
      </c>
      <c r="P518" s="9"/>
    </row>
    <row r="519">
      <c r="A519" s="6" t="s">
        <v>1451</v>
      </c>
      <c r="B519" s="6" t="s">
        <v>1452</v>
      </c>
      <c r="C519" s="6" t="s">
        <v>48</v>
      </c>
      <c r="D519" s="6" t="s">
        <v>1453</v>
      </c>
      <c r="E519" s="6" t="s">
        <v>1454</v>
      </c>
      <c r="F519" s="6" t="s">
        <v>426</v>
      </c>
      <c r="G519" s="7">
        <v>0.25</v>
      </c>
      <c r="H519" s="6" t="s">
        <v>641</v>
      </c>
      <c r="I519" s="6" t="s">
        <v>20</v>
      </c>
      <c r="J519" s="6">
        <v>2026.0</v>
      </c>
      <c r="K519" s="10">
        <v>46083.0</v>
      </c>
      <c r="L519" s="6">
        <v>1.0</v>
      </c>
      <c r="M519" s="8">
        <f t="shared" si="1"/>
        <v>0.25</v>
      </c>
      <c r="P519" s="9"/>
    </row>
    <row r="520">
      <c r="A520" s="6" t="s">
        <v>1455</v>
      </c>
      <c r="B520" s="6" t="s">
        <v>1456</v>
      </c>
      <c r="C520" s="6" t="s">
        <v>23</v>
      </c>
      <c r="D520" s="6" t="s">
        <v>1457</v>
      </c>
      <c r="E520" s="6" t="s">
        <v>235</v>
      </c>
      <c r="F520" s="6" t="s">
        <v>103</v>
      </c>
      <c r="G520" s="7">
        <v>0.07</v>
      </c>
      <c r="H520" s="6" t="s">
        <v>396</v>
      </c>
      <c r="I520" s="6" t="s">
        <v>20</v>
      </c>
      <c r="J520" s="6">
        <v>2007.0</v>
      </c>
      <c r="K520" s="10">
        <v>46024.0</v>
      </c>
      <c r="L520" s="6">
        <v>1.0</v>
      </c>
      <c r="M520" s="8">
        <f t="shared" si="1"/>
        <v>0.07</v>
      </c>
      <c r="P520" s="9"/>
    </row>
    <row r="521">
      <c r="A521" s="6" t="s">
        <v>1458</v>
      </c>
      <c r="B521" s="6" t="s">
        <v>1459</v>
      </c>
      <c r="C521" s="6" t="s">
        <v>521</v>
      </c>
      <c r="D521" s="6" t="s">
        <v>1460</v>
      </c>
      <c r="E521" s="6" t="s">
        <v>102</v>
      </c>
      <c r="F521" s="6" t="s">
        <v>103</v>
      </c>
      <c r="G521" s="7">
        <v>0.1</v>
      </c>
      <c r="H521" s="6" t="s">
        <v>641</v>
      </c>
      <c r="I521" s="6" t="s">
        <v>20</v>
      </c>
      <c r="J521" s="6">
        <v>2026.0</v>
      </c>
      <c r="K521" s="10">
        <v>46082.0</v>
      </c>
      <c r="L521" s="6">
        <v>2.0</v>
      </c>
      <c r="M521" s="8">
        <f t="shared" si="1"/>
        <v>0.2</v>
      </c>
      <c r="P521" s="9"/>
    </row>
    <row r="522">
      <c r="A522" s="6" t="s">
        <v>1461</v>
      </c>
      <c r="B522" s="6" t="s">
        <v>543</v>
      </c>
      <c r="C522" s="6" t="s">
        <v>23</v>
      </c>
      <c r="D522" s="6" t="s">
        <v>1462</v>
      </c>
      <c r="E522" s="6" t="s">
        <v>102</v>
      </c>
      <c r="F522" s="6" t="s">
        <v>103</v>
      </c>
      <c r="G522" s="7">
        <v>0.06</v>
      </c>
      <c r="H522" s="6" t="s">
        <v>641</v>
      </c>
      <c r="I522" s="6" t="s">
        <v>20</v>
      </c>
      <c r="J522" s="6">
        <v>2026.0</v>
      </c>
      <c r="L522" s="6">
        <v>1.0</v>
      </c>
      <c r="M522" s="8">
        <f t="shared" si="1"/>
        <v>0.06</v>
      </c>
      <c r="P522" s="9"/>
    </row>
    <row r="523">
      <c r="A523" s="6" t="s">
        <v>1463</v>
      </c>
      <c r="B523" s="6" t="s">
        <v>1464</v>
      </c>
      <c r="C523" s="6" t="s">
        <v>23</v>
      </c>
      <c r="D523" s="6" t="s">
        <v>1465</v>
      </c>
      <c r="E523" s="6" t="s">
        <v>502</v>
      </c>
      <c r="F523" s="6" t="s">
        <v>65</v>
      </c>
      <c r="G523" s="7">
        <v>0.03</v>
      </c>
      <c r="H523" s="6" t="s">
        <v>645</v>
      </c>
      <c r="I523" s="6" t="s">
        <v>20</v>
      </c>
      <c r="J523" s="6">
        <v>2024.0</v>
      </c>
      <c r="K523" s="10">
        <v>46116.0</v>
      </c>
      <c r="L523" s="6">
        <v>1.0</v>
      </c>
      <c r="M523" s="8">
        <f t="shared" si="1"/>
        <v>0.03</v>
      </c>
      <c r="P523" s="9"/>
    </row>
    <row r="524">
      <c r="A524" s="6" t="s">
        <v>1466</v>
      </c>
      <c r="B524" s="6" t="s">
        <v>182</v>
      </c>
      <c r="C524" s="6" t="s">
        <v>23</v>
      </c>
      <c r="D524" s="6" t="s">
        <v>1467</v>
      </c>
      <c r="E524" s="6" t="s">
        <v>112</v>
      </c>
      <c r="F524" s="6" t="s">
        <v>65</v>
      </c>
      <c r="G524" s="7">
        <v>0.06</v>
      </c>
      <c r="H524" s="6" t="s">
        <v>621</v>
      </c>
      <c r="I524" s="6" t="s">
        <v>20</v>
      </c>
      <c r="J524" s="6">
        <v>2015.0</v>
      </c>
      <c r="L524" s="6">
        <v>4.0</v>
      </c>
      <c r="M524" s="8">
        <f t="shared" si="1"/>
        <v>0.24</v>
      </c>
      <c r="P524" s="9"/>
    </row>
    <row r="525">
      <c r="A525" s="6" t="s">
        <v>1468</v>
      </c>
      <c r="B525" s="6" t="s">
        <v>68</v>
      </c>
      <c r="C525" s="6" t="s">
        <v>23</v>
      </c>
      <c r="D525" s="6" t="s">
        <v>1469</v>
      </c>
      <c r="F525" s="6" t="s">
        <v>426</v>
      </c>
      <c r="G525" s="7">
        <v>0.14</v>
      </c>
      <c r="H525" s="6" t="s">
        <v>45</v>
      </c>
      <c r="I525" s="6" t="s">
        <v>20</v>
      </c>
      <c r="J525" s="6">
        <v>2025.0</v>
      </c>
      <c r="L525" s="6">
        <v>1.0</v>
      </c>
      <c r="M525" s="8">
        <f t="shared" si="1"/>
        <v>0.14</v>
      </c>
      <c r="P525" s="9"/>
    </row>
    <row r="526">
      <c r="A526" s="6" t="s">
        <v>1470</v>
      </c>
      <c r="B526" s="6" t="s">
        <v>1471</v>
      </c>
      <c r="C526" s="6" t="s">
        <v>23</v>
      </c>
      <c r="D526" s="6" t="s">
        <v>1472</v>
      </c>
      <c r="E526" s="6" t="s">
        <v>149</v>
      </c>
      <c r="F526" s="6" t="s">
        <v>18</v>
      </c>
      <c r="G526" s="7">
        <v>0.09</v>
      </c>
      <c r="H526" s="6" t="s">
        <v>31</v>
      </c>
      <c r="I526" s="6" t="s">
        <v>20</v>
      </c>
      <c r="J526" s="6">
        <v>2026.0</v>
      </c>
      <c r="K526" s="10">
        <v>46082.0</v>
      </c>
      <c r="L526" s="6">
        <v>2.0</v>
      </c>
      <c r="M526" s="8">
        <f t="shared" si="1"/>
        <v>0.18</v>
      </c>
      <c r="P526" s="9"/>
    </row>
    <row r="527">
      <c r="A527" s="6" t="s">
        <v>1473</v>
      </c>
      <c r="B527" s="6" t="s">
        <v>796</v>
      </c>
      <c r="C527" s="6" t="s">
        <v>34</v>
      </c>
      <c r="D527" s="6" t="s">
        <v>1474</v>
      </c>
      <c r="E527" s="6" t="s">
        <v>1475</v>
      </c>
      <c r="F527" s="6" t="s">
        <v>65</v>
      </c>
      <c r="G527" s="7">
        <v>0.05</v>
      </c>
      <c r="H527" s="6" t="s">
        <v>1043</v>
      </c>
      <c r="I527" s="6" t="s">
        <v>20</v>
      </c>
      <c r="J527" s="6">
        <v>2025.0</v>
      </c>
      <c r="L527" s="6">
        <v>1.0</v>
      </c>
      <c r="M527" s="8">
        <f t="shared" si="1"/>
        <v>0.05</v>
      </c>
      <c r="P527" s="9"/>
    </row>
    <row r="528">
      <c r="A528" s="6" t="s">
        <v>1473</v>
      </c>
      <c r="B528" s="6" t="s">
        <v>796</v>
      </c>
      <c r="C528" s="6" t="s">
        <v>34</v>
      </c>
      <c r="D528" s="6" t="s">
        <v>1474</v>
      </c>
      <c r="E528" s="6" t="s">
        <v>1475</v>
      </c>
      <c r="F528" s="6" t="s">
        <v>65</v>
      </c>
      <c r="G528" s="7">
        <v>0.03</v>
      </c>
      <c r="H528" s="6" t="s">
        <v>1476</v>
      </c>
      <c r="I528" s="6" t="s">
        <v>20</v>
      </c>
      <c r="J528" s="6">
        <v>2025.0</v>
      </c>
      <c r="L528" s="6">
        <v>1.0</v>
      </c>
      <c r="M528" s="8">
        <f t="shared" si="1"/>
        <v>0.03</v>
      </c>
      <c r="P528" s="9"/>
    </row>
    <row r="529">
      <c r="A529" s="6" t="s">
        <v>1477</v>
      </c>
      <c r="B529" s="6" t="s">
        <v>841</v>
      </c>
      <c r="C529" s="6" t="s">
        <v>23</v>
      </c>
      <c r="D529" s="6" t="s">
        <v>1478</v>
      </c>
      <c r="E529" s="6" t="s">
        <v>303</v>
      </c>
      <c r="F529" s="6" t="s">
        <v>37</v>
      </c>
      <c r="G529" s="7">
        <v>0.06</v>
      </c>
      <c r="H529" s="6" t="s">
        <v>184</v>
      </c>
      <c r="I529" s="6" t="s">
        <v>20</v>
      </c>
      <c r="J529" s="6">
        <v>2015.0</v>
      </c>
      <c r="K529" s="10">
        <v>46024.0</v>
      </c>
      <c r="L529" s="6">
        <v>1.0</v>
      </c>
      <c r="M529" s="8">
        <f t="shared" si="1"/>
        <v>0.06</v>
      </c>
      <c r="P529" s="9"/>
    </row>
    <row r="530">
      <c r="A530" s="6" t="s">
        <v>1479</v>
      </c>
      <c r="B530" s="6" t="s">
        <v>194</v>
      </c>
      <c r="C530" s="6" t="s">
        <v>23</v>
      </c>
      <c r="D530" s="6" t="s">
        <v>1480</v>
      </c>
      <c r="E530" s="6" t="s">
        <v>235</v>
      </c>
      <c r="F530" s="6" t="s">
        <v>103</v>
      </c>
      <c r="G530" s="7">
        <v>0.09</v>
      </c>
      <c r="H530" s="6" t="s">
        <v>370</v>
      </c>
      <c r="I530" s="6" t="s">
        <v>20</v>
      </c>
      <c r="J530" s="6">
        <v>1996.0</v>
      </c>
      <c r="L530" s="6">
        <v>1.0</v>
      </c>
      <c r="M530" s="8">
        <f t="shared" si="1"/>
        <v>0.09</v>
      </c>
      <c r="P530" s="9"/>
    </row>
    <row r="531">
      <c r="A531" s="6" t="s">
        <v>1481</v>
      </c>
      <c r="B531" s="6" t="s">
        <v>143</v>
      </c>
      <c r="C531" s="6" t="s">
        <v>23</v>
      </c>
      <c r="D531" s="6" t="s">
        <v>1482</v>
      </c>
      <c r="E531" s="6" t="s">
        <v>145</v>
      </c>
      <c r="F531" s="6" t="s">
        <v>37</v>
      </c>
      <c r="G531" s="7">
        <v>0.08</v>
      </c>
      <c r="H531" s="6" t="s">
        <v>336</v>
      </c>
      <c r="I531" s="6" t="s">
        <v>20</v>
      </c>
      <c r="J531" s="6">
        <v>2016.0</v>
      </c>
      <c r="L531" s="6">
        <v>1.0</v>
      </c>
      <c r="M531" s="8">
        <f t="shared" si="1"/>
        <v>0.08</v>
      </c>
      <c r="P531" s="9"/>
    </row>
    <row r="532">
      <c r="A532" s="6" t="s">
        <v>1483</v>
      </c>
      <c r="B532" s="6" t="s">
        <v>1484</v>
      </c>
      <c r="C532" s="6" t="s">
        <v>23</v>
      </c>
      <c r="D532" s="6" t="s">
        <v>1485</v>
      </c>
      <c r="E532" s="6" t="s">
        <v>1005</v>
      </c>
      <c r="F532" s="6" t="s">
        <v>65</v>
      </c>
      <c r="G532" s="7">
        <v>0.05</v>
      </c>
      <c r="H532" s="6" t="s">
        <v>245</v>
      </c>
      <c r="I532" s="6" t="s">
        <v>20</v>
      </c>
      <c r="J532" s="6">
        <v>1995.0</v>
      </c>
      <c r="K532" s="10">
        <v>46084.0</v>
      </c>
      <c r="L532" s="6">
        <v>2.0</v>
      </c>
      <c r="M532" s="8">
        <f t="shared" si="1"/>
        <v>0.1</v>
      </c>
      <c r="P532" s="9"/>
    </row>
    <row r="533">
      <c r="A533" s="6" t="s">
        <v>1486</v>
      </c>
      <c r="B533" s="6" t="s">
        <v>182</v>
      </c>
      <c r="C533" s="6" t="s">
        <v>23</v>
      </c>
      <c r="D533" s="6" t="s">
        <v>1487</v>
      </c>
      <c r="E533" s="6" t="s">
        <v>167</v>
      </c>
      <c r="F533" s="6" t="s">
        <v>103</v>
      </c>
      <c r="G533" s="7">
        <v>0.05</v>
      </c>
      <c r="H533" s="6" t="s">
        <v>621</v>
      </c>
      <c r="I533" s="6" t="s">
        <v>20</v>
      </c>
      <c r="J533" s="6">
        <v>2015.0</v>
      </c>
      <c r="L533" s="6">
        <v>4.0</v>
      </c>
      <c r="M533" s="8">
        <f t="shared" si="1"/>
        <v>0.2</v>
      </c>
      <c r="P533" s="9"/>
    </row>
    <row r="534">
      <c r="A534" s="6" t="s">
        <v>1488</v>
      </c>
      <c r="B534" s="6" t="s">
        <v>165</v>
      </c>
      <c r="C534" s="6" t="s">
        <v>34</v>
      </c>
      <c r="D534" s="6" t="s">
        <v>1489</v>
      </c>
      <c r="E534" s="6" t="s">
        <v>1490</v>
      </c>
      <c r="F534" s="6" t="s">
        <v>103</v>
      </c>
      <c r="G534" s="7">
        <v>0.05</v>
      </c>
      <c r="H534" s="6" t="s">
        <v>1491</v>
      </c>
      <c r="I534" s="6" t="s">
        <v>20</v>
      </c>
      <c r="J534" s="6">
        <v>2019.0</v>
      </c>
      <c r="L534" s="6">
        <v>1.0</v>
      </c>
      <c r="M534" s="8">
        <f t="shared" si="1"/>
        <v>0.05</v>
      </c>
      <c r="P534" s="9"/>
    </row>
    <row r="535">
      <c r="A535" s="6" t="s">
        <v>1488</v>
      </c>
      <c r="B535" s="6" t="s">
        <v>165</v>
      </c>
      <c r="C535" s="6" t="s">
        <v>34</v>
      </c>
      <c r="D535" s="6" t="s">
        <v>1489</v>
      </c>
      <c r="E535" s="6" t="s">
        <v>1490</v>
      </c>
      <c r="F535" s="6" t="s">
        <v>103</v>
      </c>
      <c r="G535" s="7">
        <v>0.08</v>
      </c>
      <c r="H535" s="6" t="s">
        <v>180</v>
      </c>
      <c r="I535" s="6" t="s">
        <v>20</v>
      </c>
      <c r="J535" s="6">
        <v>2014.0</v>
      </c>
      <c r="L535" s="6">
        <v>1.0</v>
      </c>
      <c r="M535" s="8">
        <f t="shared" si="1"/>
        <v>0.08</v>
      </c>
      <c r="P535" s="9"/>
    </row>
    <row r="536">
      <c r="A536" s="6" t="s">
        <v>1492</v>
      </c>
      <c r="B536" s="6" t="s">
        <v>62</v>
      </c>
      <c r="C536" s="6" t="s">
        <v>23</v>
      </c>
      <c r="D536" s="6" t="s">
        <v>1493</v>
      </c>
      <c r="E536" s="6" t="s">
        <v>700</v>
      </c>
      <c r="F536" s="6" t="s">
        <v>18</v>
      </c>
      <c r="G536" s="7">
        <v>0.03</v>
      </c>
      <c r="H536" s="6" t="s">
        <v>1494</v>
      </c>
      <c r="I536" s="6" t="s">
        <v>20</v>
      </c>
      <c r="J536" s="6">
        <v>2012.0</v>
      </c>
      <c r="L536" s="6">
        <v>1.0</v>
      </c>
      <c r="M536" s="8">
        <f t="shared" si="1"/>
        <v>0.03</v>
      </c>
      <c r="P536" s="9"/>
    </row>
    <row r="537">
      <c r="A537" s="6" t="s">
        <v>1492</v>
      </c>
      <c r="B537" s="6" t="s">
        <v>62</v>
      </c>
      <c r="C537" s="6" t="s">
        <v>23</v>
      </c>
      <c r="D537" s="6" t="s">
        <v>1493</v>
      </c>
      <c r="E537" s="6" t="s">
        <v>700</v>
      </c>
      <c r="F537" s="6" t="s">
        <v>18</v>
      </c>
      <c r="G537" s="7">
        <v>0.06</v>
      </c>
      <c r="H537" s="6" t="s">
        <v>184</v>
      </c>
      <c r="I537" s="6" t="s">
        <v>20</v>
      </c>
      <c r="J537" s="6">
        <v>2015.0</v>
      </c>
      <c r="L537" s="6">
        <v>4.0</v>
      </c>
      <c r="M537" s="8">
        <f t="shared" si="1"/>
        <v>0.24</v>
      </c>
      <c r="P537" s="9"/>
    </row>
    <row r="538">
      <c r="A538" s="6" t="s">
        <v>1495</v>
      </c>
      <c r="B538" s="6" t="s">
        <v>291</v>
      </c>
      <c r="C538" s="6" t="s">
        <v>23</v>
      </c>
      <c r="D538" s="6" t="s">
        <v>1496</v>
      </c>
      <c r="E538" s="6" t="s">
        <v>108</v>
      </c>
      <c r="F538" s="6" t="s">
        <v>103</v>
      </c>
      <c r="G538" s="7">
        <v>0.03</v>
      </c>
      <c r="H538" s="6" t="s">
        <v>541</v>
      </c>
      <c r="I538" s="6" t="s">
        <v>20</v>
      </c>
      <c r="J538" s="6">
        <v>2019.0</v>
      </c>
      <c r="K538" s="10">
        <v>46084.0</v>
      </c>
      <c r="L538" s="6">
        <v>1.0</v>
      </c>
      <c r="M538" s="8">
        <f t="shared" si="1"/>
        <v>0.03</v>
      </c>
      <c r="P538" s="9"/>
    </row>
    <row r="539">
      <c r="A539" s="6" t="s">
        <v>1497</v>
      </c>
      <c r="B539" s="6" t="s">
        <v>1498</v>
      </c>
      <c r="C539" s="6" t="s">
        <v>23</v>
      </c>
      <c r="D539" s="6" t="s">
        <v>1499</v>
      </c>
      <c r="E539" s="6" t="s">
        <v>533</v>
      </c>
      <c r="F539" s="6" t="s">
        <v>65</v>
      </c>
      <c r="G539" s="7">
        <v>0.1</v>
      </c>
      <c r="H539" s="6" t="s">
        <v>641</v>
      </c>
      <c r="I539" s="6" t="s">
        <v>20</v>
      </c>
      <c r="J539" s="6">
        <v>2026.0</v>
      </c>
      <c r="K539" s="10">
        <v>46114.0</v>
      </c>
      <c r="L539" s="6">
        <v>1.0</v>
      </c>
      <c r="M539" s="8">
        <f t="shared" si="1"/>
        <v>0.1</v>
      </c>
      <c r="P539" s="9"/>
    </row>
    <row r="540">
      <c r="A540" s="6" t="s">
        <v>1500</v>
      </c>
      <c r="B540" s="6" t="s">
        <v>1501</v>
      </c>
      <c r="C540" s="6" t="s">
        <v>34</v>
      </c>
      <c r="D540" s="6" t="s">
        <v>1502</v>
      </c>
      <c r="E540" s="6" t="s">
        <v>36</v>
      </c>
      <c r="F540" s="6" t="s">
        <v>37</v>
      </c>
      <c r="G540" s="7">
        <v>0.04</v>
      </c>
      <c r="H540" s="6" t="s">
        <v>141</v>
      </c>
      <c r="I540" s="6" t="s">
        <v>20</v>
      </c>
      <c r="J540" s="6">
        <v>2019.0</v>
      </c>
      <c r="K540" s="10">
        <v>46024.0</v>
      </c>
      <c r="L540" s="6">
        <v>1.0</v>
      </c>
      <c r="M540" s="8">
        <f t="shared" si="1"/>
        <v>0.04</v>
      </c>
      <c r="P540" s="9"/>
    </row>
    <row r="541">
      <c r="A541" s="6" t="s">
        <v>1503</v>
      </c>
      <c r="B541" s="6" t="s">
        <v>62</v>
      </c>
      <c r="C541" s="6" t="s">
        <v>23</v>
      </c>
      <c r="D541" s="6" t="s">
        <v>1504</v>
      </c>
      <c r="E541" s="6" t="s">
        <v>1505</v>
      </c>
      <c r="F541" s="6" t="s">
        <v>18</v>
      </c>
      <c r="G541" s="7">
        <v>0.68</v>
      </c>
      <c r="H541" s="6" t="s">
        <v>31</v>
      </c>
      <c r="I541" s="6" t="s">
        <v>20</v>
      </c>
      <c r="J541" s="6">
        <v>2024.0</v>
      </c>
      <c r="L541" s="6">
        <v>1.0</v>
      </c>
      <c r="M541" s="8">
        <f t="shared" si="1"/>
        <v>0.68</v>
      </c>
      <c r="P541" s="9"/>
    </row>
    <row r="542">
      <c r="A542" s="6" t="s">
        <v>1506</v>
      </c>
      <c r="B542" s="6" t="s">
        <v>62</v>
      </c>
      <c r="C542" s="6" t="s">
        <v>23</v>
      </c>
      <c r="D542" s="6" t="s">
        <v>1507</v>
      </c>
      <c r="E542" s="6" t="s">
        <v>167</v>
      </c>
      <c r="F542" s="6" t="s">
        <v>103</v>
      </c>
      <c r="G542" s="7">
        <v>0.05</v>
      </c>
      <c r="H542" s="6" t="s">
        <v>626</v>
      </c>
      <c r="I542" s="6" t="s">
        <v>20</v>
      </c>
      <c r="J542" s="6">
        <v>2013.0</v>
      </c>
      <c r="L542" s="6">
        <v>2.0</v>
      </c>
      <c r="M542" s="8">
        <f t="shared" si="1"/>
        <v>0.1</v>
      </c>
      <c r="P542" s="9"/>
    </row>
    <row r="543">
      <c r="A543" s="6" t="s">
        <v>1508</v>
      </c>
      <c r="B543" s="6" t="s">
        <v>1509</v>
      </c>
      <c r="C543" s="6" t="s">
        <v>23</v>
      </c>
      <c r="D543" s="6" t="s">
        <v>1510</v>
      </c>
      <c r="E543" s="6" t="s">
        <v>112</v>
      </c>
      <c r="F543" s="6" t="s">
        <v>65</v>
      </c>
      <c r="G543" s="7">
        <v>0.05</v>
      </c>
      <c r="H543" s="6" t="s">
        <v>188</v>
      </c>
      <c r="I543" s="6" t="s">
        <v>20</v>
      </c>
      <c r="J543" s="6">
        <v>2014.0</v>
      </c>
      <c r="K543" s="10">
        <v>46054.0</v>
      </c>
      <c r="L543" s="6">
        <v>2.0</v>
      </c>
      <c r="M543" s="8">
        <f t="shared" si="1"/>
        <v>0.1</v>
      </c>
      <c r="P543" s="9"/>
    </row>
    <row r="544">
      <c r="A544" s="6" t="s">
        <v>1511</v>
      </c>
      <c r="B544" s="6" t="s">
        <v>1512</v>
      </c>
      <c r="C544" s="6" t="s">
        <v>23</v>
      </c>
      <c r="D544" s="6" t="s">
        <v>1513</v>
      </c>
      <c r="E544" s="6" t="s">
        <v>270</v>
      </c>
      <c r="F544" s="6" t="s">
        <v>159</v>
      </c>
      <c r="G544" s="7">
        <v>0.05</v>
      </c>
      <c r="H544" s="6" t="s">
        <v>1514</v>
      </c>
      <c r="I544" s="6" t="s">
        <v>20</v>
      </c>
      <c r="J544" s="6">
        <v>2009.0</v>
      </c>
      <c r="K544" s="10">
        <v>46055.0</v>
      </c>
      <c r="L544" s="6">
        <v>1.0</v>
      </c>
      <c r="M544" s="8">
        <f t="shared" si="1"/>
        <v>0.05</v>
      </c>
      <c r="P544" s="9"/>
    </row>
    <row r="545">
      <c r="A545" s="6" t="s">
        <v>1515</v>
      </c>
      <c r="B545" s="6" t="s">
        <v>1516</v>
      </c>
      <c r="C545" s="6" t="s">
        <v>23</v>
      </c>
      <c r="D545" s="6" t="s">
        <v>1517</v>
      </c>
      <c r="E545" s="6" t="s">
        <v>1518</v>
      </c>
      <c r="F545" s="6" t="s">
        <v>986</v>
      </c>
      <c r="G545" s="7">
        <v>0.08</v>
      </c>
      <c r="H545" s="6" t="s">
        <v>1519</v>
      </c>
      <c r="I545" s="6" t="s">
        <v>20</v>
      </c>
      <c r="J545" s="6">
        <v>2005.0</v>
      </c>
      <c r="K545" s="10">
        <v>46023.0</v>
      </c>
      <c r="L545" s="6">
        <v>2.0</v>
      </c>
      <c r="M545" s="8">
        <f t="shared" si="1"/>
        <v>0.16</v>
      </c>
      <c r="P545" s="9"/>
    </row>
    <row r="546">
      <c r="A546" s="6" t="s">
        <v>1520</v>
      </c>
      <c r="B546" s="6" t="s">
        <v>165</v>
      </c>
      <c r="C546" s="6" t="s">
        <v>34</v>
      </c>
      <c r="D546" s="6" t="s">
        <v>1521</v>
      </c>
      <c r="E546" s="6" t="s">
        <v>806</v>
      </c>
      <c r="F546" s="6" t="s">
        <v>51</v>
      </c>
      <c r="G546" s="7">
        <v>0.13</v>
      </c>
      <c r="H546" s="6" t="s">
        <v>38</v>
      </c>
      <c r="I546" s="6" t="s">
        <v>20</v>
      </c>
      <c r="J546" s="6">
        <v>2026.0</v>
      </c>
      <c r="L546" s="6">
        <v>1.0</v>
      </c>
      <c r="M546" s="8">
        <f t="shared" si="1"/>
        <v>0.13</v>
      </c>
      <c r="P546" s="9"/>
    </row>
    <row r="547">
      <c r="A547" s="6" t="s">
        <v>1522</v>
      </c>
      <c r="B547" s="6" t="s">
        <v>1523</v>
      </c>
      <c r="C547" s="6" t="s">
        <v>48</v>
      </c>
      <c r="D547" s="6" t="s">
        <v>1524</v>
      </c>
      <c r="E547" s="6" t="s">
        <v>1525</v>
      </c>
      <c r="F547" s="6" t="s">
        <v>215</v>
      </c>
      <c r="G547" s="7">
        <v>0.1</v>
      </c>
      <c r="H547" s="6" t="s">
        <v>136</v>
      </c>
      <c r="I547" s="6" t="s">
        <v>20</v>
      </c>
      <c r="J547" s="6">
        <v>2022.0</v>
      </c>
      <c r="K547" s="10">
        <v>46116.0</v>
      </c>
      <c r="L547" s="6">
        <v>1.0</v>
      </c>
      <c r="M547" s="8">
        <f t="shared" si="1"/>
        <v>0.1</v>
      </c>
      <c r="P547" s="9"/>
    </row>
    <row r="548">
      <c r="A548" s="6" t="s">
        <v>1526</v>
      </c>
      <c r="B548" s="6" t="s">
        <v>1527</v>
      </c>
      <c r="C548" s="6" t="s">
        <v>48</v>
      </c>
      <c r="D548" s="6" t="s">
        <v>1528</v>
      </c>
      <c r="E548" s="6" t="s">
        <v>298</v>
      </c>
      <c r="F548" s="6" t="s">
        <v>159</v>
      </c>
      <c r="G548" s="7">
        <v>0.15</v>
      </c>
      <c r="H548" s="6" t="s">
        <v>418</v>
      </c>
      <c r="I548" s="6" t="s">
        <v>20</v>
      </c>
      <c r="J548" s="6">
        <v>2022.0</v>
      </c>
      <c r="L548" s="6">
        <v>1.0</v>
      </c>
      <c r="M548" s="8">
        <f t="shared" si="1"/>
        <v>0.15</v>
      </c>
      <c r="P548" s="9"/>
    </row>
    <row r="549">
      <c r="A549" s="6" t="s">
        <v>1529</v>
      </c>
      <c r="B549" s="6" t="s">
        <v>1530</v>
      </c>
      <c r="C549" s="6" t="s">
        <v>41</v>
      </c>
      <c r="D549" s="6" t="s">
        <v>1531</v>
      </c>
      <c r="E549" s="6" t="s">
        <v>458</v>
      </c>
      <c r="F549" s="6" t="s">
        <v>65</v>
      </c>
      <c r="G549" s="7">
        <v>0.64</v>
      </c>
      <c r="H549" s="6" t="s">
        <v>1532</v>
      </c>
      <c r="I549" s="6" t="s">
        <v>55</v>
      </c>
      <c r="J549" s="6">
        <v>2018.0</v>
      </c>
      <c r="K549" s="10">
        <v>46209.0</v>
      </c>
      <c r="L549" s="6">
        <v>1.0</v>
      </c>
      <c r="M549" s="8">
        <f t="shared" si="1"/>
        <v>0.64</v>
      </c>
      <c r="N549" s="6" t="s">
        <v>172</v>
      </c>
      <c r="P549" s="9"/>
    </row>
    <row r="550">
      <c r="A550" s="6" t="s">
        <v>1533</v>
      </c>
      <c r="B550" s="6" t="s">
        <v>543</v>
      </c>
      <c r="C550" s="6" t="s">
        <v>23</v>
      </c>
      <c r="D550" s="6" t="s">
        <v>1534</v>
      </c>
      <c r="E550" s="6" t="s">
        <v>533</v>
      </c>
      <c r="F550" s="6" t="s">
        <v>65</v>
      </c>
      <c r="G550" s="7">
        <v>0.1</v>
      </c>
      <c r="H550" s="6" t="s">
        <v>192</v>
      </c>
      <c r="I550" s="6" t="s">
        <v>20</v>
      </c>
      <c r="J550" s="6">
        <v>2026.0</v>
      </c>
      <c r="L550" s="6">
        <v>1.0</v>
      </c>
      <c r="M550" s="8">
        <f t="shared" si="1"/>
        <v>0.1</v>
      </c>
      <c r="P550" s="9"/>
    </row>
    <row r="551">
      <c r="A551" s="6" t="s">
        <v>1533</v>
      </c>
      <c r="B551" s="6" t="s">
        <v>543</v>
      </c>
      <c r="C551" s="6" t="s">
        <v>23</v>
      </c>
      <c r="D551" s="6" t="s">
        <v>1534</v>
      </c>
      <c r="E551" s="6" t="s">
        <v>533</v>
      </c>
      <c r="F551" s="6" t="s">
        <v>65</v>
      </c>
      <c r="G551" s="7">
        <v>0.2</v>
      </c>
      <c r="H551" s="6" t="s">
        <v>192</v>
      </c>
      <c r="I551" s="6" t="s">
        <v>55</v>
      </c>
      <c r="J551" s="6">
        <v>2026.0</v>
      </c>
      <c r="L551" s="6">
        <v>1.0</v>
      </c>
      <c r="M551" s="8">
        <f t="shared" si="1"/>
        <v>0.2</v>
      </c>
      <c r="P551" s="9"/>
    </row>
    <row r="552">
      <c r="A552" s="6" t="s">
        <v>1535</v>
      </c>
      <c r="B552" s="6" t="s">
        <v>1536</v>
      </c>
      <c r="C552" s="6" t="s">
        <v>48</v>
      </c>
      <c r="D552" s="6" t="s">
        <v>1537</v>
      </c>
      <c r="E552" s="6" t="s">
        <v>243</v>
      </c>
      <c r="F552" s="6" t="s">
        <v>37</v>
      </c>
      <c r="G552" s="7">
        <v>0.1</v>
      </c>
      <c r="H552" s="6" t="s">
        <v>1538</v>
      </c>
      <c r="I552" s="6" t="s">
        <v>20</v>
      </c>
      <c r="J552" s="6">
        <v>2014.0</v>
      </c>
      <c r="K552" s="10">
        <v>46082.0</v>
      </c>
      <c r="L552" s="6">
        <v>1.0</v>
      </c>
      <c r="M552" s="8">
        <f t="shared" si="1"/>
        <v>0.1</v>
      </c>
      <c r="P552" s="9"/>
    </row>
    <row r="553">
      <c r="A553" s="6" t="s">
        <v>1539</v>
      </c>
      <c r="B553" s="6" t="s">
        <v>1540</v>
      </c>
      <c r="C553" s="6" t="s">
        <v>48</v>
      </c>
      <c r="D553" s="6" t="s">
        <v>1541</v>
      </c>
      <c r="E553" s="6" t="s">
        <v>1542</v>
      </c>
      <c r="F553" s="6" t="s">
        <v>18</v>
      </c>
      <c r="G553" s="7">
        <v>0.1</v>
      </c>
      <c r="H553" s="6" t="s">
        <v>645</v>
      </c>
      <c r="I553" s="6" t="s">
        <v>20</v>
      </c>
      <c r="J553" s="6">
        <v>2024.0</v>
      </c>
      <c r="L553" s="6">
        <v>1.0</v>
      </c>
      <c r="M553" s="8">
        <f t="shared" si="1"/>
        <v>0.1</v>
      </c>
      <c r="P553" s="9"/>
    </row>
    <row r="554">
      <c r="A554" s="6" t="s">
        <v>1543</v>
      </c>
      <c r="B554" s="6" t="s">
        <v>62</v>
      </c>
      <c r="C554" s="6" t="s">
        <v>23</v>
      </c>
      <c r="D554" s="6" t="s">
        <v>1544</v>
      </c>
      <c r="E554" s="6" t="s">
        <v>1179</v>
      </c>
      <c r="F554" s="6" t="s">
        <v>65</v>
      </c>
      <c r="G554" s="7">
        <v>0.05</v>
      </c>
      <c r="H554" s="6" t="s">
        <v>626</v>
      </c>
      <c r="I554" s="6" t="s">
        <v>20</v>
      </c>
      <c r="J554" s="6">
        <v>2013.0</v>
      </c>
      <c r="L554" s="6">
        <v>1.0</v>
      </c>
      <c r="M554" s="8">
        <f t="shared" si="1"/>
        <v>0.05</v>
      </c>
      <c r="P554" s="9"/>
    </row>
    <row r="555">
      <c r="A555" s="6" t="s">
        <v>1545</v>
      </c>
      <c r="B555" s="6" t="s">
        <v>372</v>
      </c>
      <c r="C555" s="6" t="s">
        <v>23</v>
      </c>
      <c r="D555" s="6" t="s">
        <v>1546</v>
      </c>
      <c r="E555" s="6" t="s">
        <v>79</v>
      </c>
      <c r="F555" s="6" t="s">
        <v>51</v>
      </c>
      <c r="G555" s="7">
        <v>0.15</v>
      </c>
      <c r="H555" s="6" t="s">
        <v>1547</v>
      </c>
      <c r="I555" s="6" t="s">
        <v>20</v>
      </c>
      <c r="J555" s="6">
        <v>2025.0</v>
      </c>
      <c r="L555" s="6">
        <v>1.0</v>
      </c>
      <c r="M555" s="8">
        <f t="shared" si="1"/>
        <v>0.15</v>
      </c>
      <c r="P555" s="9"/>
    </row>
    <row r="556">
      <c r="A556" s="6" t="s">
        <v>1548</v>
      </c>
      <c r="B556" s="6" t="s">
        <v>1549</v>
      </c>
      <c r="C556" s="6" t="s">
        <v>48</v>
      </c>
      <c r="D556" s="6" t="s">
        <v>1550</v>
      </c>
      <c r="E556" s="6" t="s">
        <v>79</v>
      </c>
      <c r="F556" s="6" t="s">
        <v>51</v>
      </c>
      <c r="G556" s="7">
        <v>0.1</v>
      </c>
      <c r="H556" s="6" t="s">
        <v>1551</v>
      </c>
      <c r="I556" s="6" t="s">
        <v>20</v>
      </c>
      <c r="J556" s="6">
        <v>2007.0</v>
      </c>
      <c r="L556" s="6">
        <v>1.0</v>
      </c>
      <c r="M556" s="8">
        <f t="shared" si="1"/>
        <v>0.1</v>
      </c>
      <c r="P556" s="9"/>
    </row>
    <row r="557">
      <c r="A557" s="6" t="s">
        <v>1552</v>
      </c>
      <c r="B557" s="6" t="s">
        <v>1553</v>
      </c>
      <c r="C557" s="6" t="s">
        <v>48</v>
      </c>
      <c r="D557" s="6" t="s">
        <v>1554</v>
      </c>
      <c r="E557" s="6" t="s">
        <v>721</v>
      </c>
      <c r="F557" s="6" t="s">
        <v>51</v>
      </c>
      <c r="G557" s="7">
        <v>0.07</v>
      </c>
      <c r="H557" s="6" t="s">
        <v>216</v>
      </c>
      <c r="I557" s="6" t="s">
        <v>20</v>
      </c>
      <c r="J557" s="6">
        <v>2024.0</v>
      </c>
      <c r="K557" s="10">
        <v>46207.0</v>
      </c>
      <c r="L557" s="6">
        <v>1.0</v>
      </c>
      <c r="M557" s="8">
        <f t="shared" si="1"/>
        <v>0.07</v>
      </c>
      <c r="P557" s="9"/>
    </row>
    <row r="558">
      <c r="A558" s="6" t="s">
        <v>1555</v>
      </c>
      <c r="B558" s="6" t="s">
        <v>307</v>
      </c>
      <c r="C558" s="6" t="s">
        <v>84</v>
      </c>
      <c r="D558" s="6" t="s">
        <v>1556</v>
      </c>
      <c r="E558" s="6" t="s">
        <v>625</v>
      </c>
      <c r="F558" s="6" t="s">
        <v>37</v>
      </c>
      <c r="G558" s="7">
        <v>2.4</v>
      </c>
      <c r="H558" s="6" t="s">
        <v>120</v>
      </c>
      <c r="I558" s="6" t="s">
        <v>20</v>
      </c>
      <c r="J558" s="6">
        <v>1993.0</v>
      </c>
      <c r="L558" s="6">
        <v>1.0</v>
      </c>
      <c r="M558" s="8">
        <f t="shared" si="1"/>
        <v>2.4</v>
      </c>
      <c r="N558" s="6" t="s">
        <v>172</v>
      </c>
      <c r="P558" s="9"/>
    </row>
    <row r="559">
      <c r="A559" s="6" t="s">
        <v>1557</v>
      </c>
      <c r="B559" s="6" t="s">
        <v>1558</v>
      </c>
      <c r="C559" s="6" t="s">
        <v>41</v>
      </c>
      <c r="D559" s="6" t="s">
        <v>1559</v>
      </c>
      <c r="E559" s="6" t="s">
        <v>260</v>
      </c>
      <c r="F559" s="6" t="s">
        <v>261</v>
      </c>
      <c r="G559" s="7">
        <v>11.87</v>
      </c>
      <c r="H559" s="6" t="s">
        <v>1560</v>
      </c>
      <c r="I559" s="6" t="s">
        <v>20</v>
      </c>
      <c r="J559" s="6">
        <v>2016.0</v>
      </c>
      <c r="K559" s="10">
        <v>46114.0</v>
      </c>
      <c r="L559" s="6">
        <v>1.0</v>
      </c>
      <c r="M559" s="8">
        <f t="shared" si="1"/>
        <v>11.87</v>
      </c>
      <c r="N559" s="6" t="s">
        <v>172</v>
      </c>
      <c r="P559" s="9"/>
    </row>
    <row r="560">
      <c r="A560" s="6" t="s">
        <v>1561</v>
      </c>
      <c r="B560" s="6" t="s">
        <v>951</v>
      </c>
      <c r="C560" s="6" t="s">
        <v>23</v>
      </c>
      <c r="D560" s="6" t="s">
        <v>1562</v>
      </c>
      <c r="E560" s="6" t="s">
        <v>79</v>
      </c>
      <c r="F560" s="6" t="s">
        <v>51</v>
      </c>
      <c r="G560" s="7">
        <v>0.06</v>
      </c>
      <c r="H560" s="6" t="s">
        <v>411</v>
      </c>
      <c r="I560" s="6" t="s">
        <v>20</v>
      </c>
      <c r="J560" s="6">
        <v>2014.0</v>
      </c>
      <c r="K560" s="10">
        <v>46113.0</v>
      </c>
      <c r="L560" s="6">
        <v>1.0</v>
      </c>
      <c r="M560" s="8">
        <f t="shared" si="1"/>
        <v>0.06</v>
      </c>
      <c r="P560" s="9"/>
    </row>
    <row r="561">
      <c r="A561" s="6" t="s">
        <v>1563</v>
      </c>
      <c r="B561" s="6" t="s">
        <v>1564</v>
      </c>
      <c r="C561" s="6" t="s">
        <v>48</v>
      </c>
      <c r="D561" s="6" t="s">
        <v>1565</v>
      </c>
      <c r="E561" s="6" t="s">
        <v>102</v>
      </c>
      <c r="F561" s="6" t="s">
        <v>103</v>
      </c>
      <c r="G561" s="7">
        <v>0.1</v>
      </c>
      <c r="H561" s="6" t="s">
        <v>359</v>
      </c>
      <c r="I561" s="6" t="s">
        <v>20</v>
      </c>
      <c r="J561" s="6">
        <v>2014.0</v>
      </c>
      <c r="K561" s="10">
        <v>46023.0</v>
      </c>
      <c r="L561" s="6">
        <v>4.0</v>
      </c>
      <c r="M561" s="8">
        <f t="shared" si="1"/>
        <v>0.4</v>
      </c>
      <c r="P561" s="9"/>
    </row>
    <row r="562">
      <c r="A562" s="6" t="s">
        <v>1566</v>
      </c>
      <c r="B562" s="6" t="s">
        <v>143</v>
      </c>
      <c r="C562" s="6" t="s">
        <v>23</v>
      </c>
      <c r="D562" s="6" t="s">
        <v>1567</v>
      </c>
      <c r="E562" s="6" t="s">
        <v>223</v>
      </c>
      <c r="F562" s="6" t="s">
        <v>159</v>
      </c>
      <c r="G562" s="7">
        <v>0.05</v>
      </c>
      <c r="H562" s="6" t="s">
        <v>114</v>
      </c>
      <c r="I562" s="6" t="s">
        <v>20</v>
      </c>
      <c r="J562" s="6">
        <v>2021.0</v>
      </c>
      <c r="L562" s="6">
        <v>1.0</v>
      </c>
      <c r="M562" s="8">
        <f t="shared" si="1"/>
        <v>0.05</v>
      </c>
      <c r="P562" s="9"/>
    </row>
    <row r="563">
      <c r="A563" s="6" t="s">
        <v>1568</v>
      </c>
      <c r="B563" s="6" t="s">
        <v>326</v>
      </c>
      <c r="C563" s="6" t="s">
        <v>23</v>
      </c>
      <c r="D563" s="6" t="s">
        <v>1569</v>
      </c>
      <c r="E563" s="6" t="s">
        <v>1570</v>
      </c>
      <c r="F563" s="6" t="s">
        <v>159</v>
      </c>
      <c r="G563" s="7">
        <v>0.1</v>
      </c>
      <c r="H563" s="6" t="s">
        <v>265</v>
      </c>
      <c r="I563" s="6" t="s">
        <v>20</v>
      </c>
      <c r="J563" s="6">
        <v>2017.0</v>
      </c>
      <c r="K563" s="10">
        <v>46179.0</v>
      </c>
      <c r="L563" s="6">
        <v>4.0</v>
      </c>
      <c r="M563" s="8">
        <f t="shared" si="1"/>
        <v>0.4</v>
      </c>
      <c r="P563" s="9"/>
    </row>
    <row r="564">
      <c r="A564" s="6" t="s">
        <v>1571</v>
      </c>
      <c r="B564" s="6" t="s">
        <v>366</v>
      </c>
      <c r="C564" s="6" t="s">
        <v>41</v>
      </c>
      <c r="D564" s="6" t="s">
        <v>1572</v>
      </c>
      <c r="E564" s="6" t="s">
        <v>533</v>
      </c>
      <c r="F564" s="6" t="s">
        <v>65</v>
      </c>
      <c r="G564" s="7">
        <v>1.74</v>
      </c>
      <c r="H564" s="6" t="s">
        <v>245</v>
      </c>
      <c r="I564" s="6" t="s">
        <v>20</v>
      </c>
      <c r="J564" s="6">
        <v>1995.0</v>
      </c>
      <c r="L564" s="6">
        <v>1.0</v>
      </c>
      <c r="M564" s="8">
        <f t="shared" si="1"/>
        <v>1.74</v>
      </c>
      <c r="P564" s="9"/>
    </row>
    <row r="565">
      <c r="A565" s="6" t="s">
        <v>1573</v>
      </c>
      <c r="B565" s="6" t="s">
        <v>1574</v>
      </c>
      <c r="C565" s="6" t="s">
        <v>23</v>
      </c>
      <c r="D565" s="6" t="s">
        <v>1575</v>
      </c>
      <c r="E565" s="6" t="s">
        <v>270</v>
      </c>
      <c r="F565" s="6" t="s">
        <v>159</v>
      </c>
      <c r="G565" s="7">
        <v>0.08</v>
      </c>
      <c r="H565" s="6" t="s">
        <v>19</v>
      </c>
      <c r="I565" s="6" t="s">
        <v>20</v>
      </c>
      <c r="J565" s="6">
        <v>2023.0</v>
      </c>
      <c r="K565" s="10">
        <v>46023.0</v>
      </c>
      <c r="L565" s="6">
        <v>1.0</v>
      </c>
      <c r="M565" s="8">
        <f t="shared" si="1"/>
        <v>0.08</v>
      </c>
      <c r="P565" s="9"/>
    </row>
    <row r="566">
      <c r="A566" s="6" t="s">
        <v>1576</v>
      </c>
      <c r="B566" s="6" t="s">
        <v>1577</v>
      </c>
      <c r="C566" s="6" t="s">
        <v>48</v>
      </c>
      <c r="D566" s="6" t="s">
        <v>1578</v>
      </c>
      <c r="E566" s="6" t="s">
        <v>303</v>
      </c>
      <c r="F566" s="6" t="s">
        <v>37</v>
      </c>
      <c r="G566" s="7">
        <v>0.14</v>
      </c>
      <c r="H566" s="6" t="s">
        <v>119</v>
      </c>
      <c r="I566" s="6" t="s">
        <v>20</v>
      </c>
      <c r="J566" s="6">
        <v>1995.0</v>
      </c>
      <c r="K566" s="10">
        <v>46082.0</v>
      </c>
      <c r="L566" s="6">
        <v>2.0</v>
      </c>
      <c r="M566" s="8">
        <f t="shared" si="1"/>
        <v>0.28</v>
      </c>
      <c r="P566" s="9"/>
    </row>
    <row r="567">
      <c r="A567" s="6" t="s">
        <v>1576</v>
      </c>
      <c r="B567" s="6" t="s">
        <v>1577</v>
      </c>
      <c r="C567" s="6" t="s">
        <v>48</v>
      </c>
      <c r="D567" s="6" t="s">
        <v>1578</v>
      </c>
      <c r="E567" s="6" t="s">
        <v>303</v>
      </c>
      <c r="F567" s="6" t="s">
        <v>37</v>
      </c>
      <c r="G567" s="7">
        <v>0.49</v>
      </c>
      <c r="H567" s="6" t="s">
        <v>120</v>
      </c>
      <c r="I567" s="6" t="s">
        <v>20</v>
      </c>
      <c r="J567" s="6">
        <v>1995.0</v>
      </c>
      <c r="K567" s="10">
        <v>46082.0</v>
      </c>
      <c r="L567" s="6">
        <v>1.0</v>
      </c>
      <c r="M567" s="8">
        <f t="shared" si="1"/>
        <v>0.49</v>
      </c>
      <c r="P567" s="9"/>
    </row>
    <row r="568">
      <c r="A568" s="6" t="s">
        <v>1579</v>
      </c>
      <c r="B568" s="6" t="s">
        <v>1580</v>
      </c>
      <c r="C568" s="6" t="s">
        <v>23</v>
      </c>
      <c r="D568" s="6" t="s">
        <v>1581</v>
      </c>
      <c r="E568" s="6" t="s">
        <v>64</v>
      </c>
      <c r="F568" s="6" t="s">
        <v>65</v>
      </c>
      <c r="G568" s="7">
        <v>0.2</v>
      </c>
      <c r="H568" s="6" t="s">
        <v>252</v>
      </c>
      <c r="I568" s="6" t="s">
        <v>20</v>
      </c>
      <c r="J568" s="6">
        <v>1994.0</v>
      </c>
      <c r="K568" s="10">
        <v>46056.0</v>
      </c>
      <c r="L568" s="6">
        <v>2.0</v>
      </c>
      <c r="M568" s="8">
        <f t="shared" si="1"/>
        <v>0.4</v>
      </c>
      <c r="P568" s="9"/>
    </row>
    <row r="569">
      <c r="A569" s="6" t="s">
        <v>1582</v>
      </c>
      <c r="B569" s="6" t="s">
        <v>1583</v>
      </c>
      <c r="C569" s="6" t="s">
        <v>23</v>
      </c>
      <c r="D569" s="6" t="s">
        <v>1584</v>
      </c>
      <c r="E569" s="6" t="s">
        <v>118</v>
      </c>
      <c r="F569" s="6" t="s">
        <v>51</v>
      </c>
      <c r="G569" s="7">
        <v>0.11</v>
      </c>
      <c r="H569" s="6" t="s">
        <v>31</v>
      </c>
      <c r="I569" s="6" t="s">
        <v>20</v>
      </c>
      <c r="J569" s="6">
        <v>2026.0</v>
      </c>
      <c r="K569" s="10">
        <v>46024.0</v>
      </c>
      <c r="L569" s="6">
        <v>1.0</v>
      </c>
      <c r="M569" s="8">
        <f t="shared" si="1"/>
        <v>0.11</v>
      </c>
      <c r="P569" s="9"/>
    </row>
    <row r="570">
      <c r="A570" s="6" t="s">
        <v>1585</v>
      </c>
      <c r="B570" s="6" t="s">
        <v>202</v>
      </c>
      <c r="C570" s="6" t="s">
        <v>48</v>
      </c>
      <c r="D570" s="6" t="s">
        <v>1586</v>
      </c>
      <c r="E570" s="6" t="s">
        <v>118</v>
      </c>
      <c r="F570" s="6" t="s">
        <v>51</v>
      </c>
      <c r="G570" s="7">
        <v>0.98</v>
      </c>
      <c r="H570" s="6" t="s">
        <v>129</v>
      </c>
      <c r="I570" s="6" t="s">
        <v>20</v>
      </c>
      <c r="J570" s="6">
        <v>2014.0</v>
      </c>
      <c r="L570" s="6">
        <v>1.0</v>
      </c>
      <c r="M570" s="8">
        <f t="shared" si="1"/>
        <v>0.98</v>
      </c>
      <c r="N570" s="6" t="s">
        <v>172</v>
      </c>
      <c r="P570" s="9"/>
    </row>
    <row r="571">
      <c r="A571" s="6" t="s">
        <v>1587</v>
      </c>
      <c r="B571" s="6" t="s">
        <v>796</v>
      </c>
      <c r="C571" s="6" t="s">
        <v>34</v>
      </c>
      <c r="D571" s="6" t="s">
        <v>1588</v>
      </c>
      <c r="E571" s="6" t="s">
        <v>238</v>
      </c>
      <c r="F571" s="6" t="s">
        <v>159</v>
      </c>
      <c r="G571" s="7">
        <v>0.14</v>
      </c>
      <c r="H571" s="6" t="s">
        <v>19</v>
      </c>
      <c r="I571" s="6" t="s">
        <v>20</v>
      </c>
      <c r="J571" s="6">
        <v>2023.0</v>
      </c>
      <c r="L571" s="6">
        <v>1.0</v>
      </c>
      <c r="M571" s="8">
        <f t="shared" si="1"/>
        <v>0.14</v>
      </c>
      <c r="P571" s="9"/>
    </row>
    <row r="572">
      <c r="A572" s="6" t="s">
        <v>1589</v>
      </c>
      <c r="B572" s="6" t="s">
        <v>1590</v>
      </c>
      <c r="C572" s="6" t="s">
        <v>48</v>
      </c>
      <c r="D572" s="6" t="s">
        <v>1591</v>
      </c>
      <c r="E572" s="6" t="s">
        <v>1592</v>
      </c>
      <c r="F572" s="6" t="s">
        <v>284</v>
      </c>
      <c r="G572" s="7">
        <v>7.6</v>
      </c>
      <c r="H572" s="6" t="s">
        <v>26</v>
      </c>
      <c r="I572" s="6" t="s">
        <v>20</v>
      </c>
      <c r="J572" s="6">
        <v>2026.0</v>
      </c>
      <c r="K572" s="10">
        <v>46023.0</v>
      </c>
      <c r="L572" s="6">
        <v>1.0</v>
      </c>
      <c r="M572" s="8">
        <f t="shared" si="1"/>
        <v>7.6</v>
      </c>
      <c r="P572" s="9"/>
    </row>
    <row r="573">
      <c r="A573" s="6" t="s">
        <v>1593</v>
      </c>
      <c r="B573" s="6" t="s">
        <v>1594</v>
      </c>
      <c r="C573" s="6" t="s">
        <v>23</v>
      </c>
      <c r="D573" s="6" t="s">
        <v>1595</v>
      </c>
      <c r="E573" s="6" t="s">
        <v>64</v>
      </c>
      <c r="F573" s="6" t="s">
        <v>65</v>
      </c>
      <c r="G573" s="7">
        <v>0.1</v>
      </c>
      <c r="H573" s="6" t="s">
        <v>769</v>
      </c>
      <c r="I573" s="6" t="s">
        <v>20</v>
      </c>
      <c r="J573" s="6">
        <v>2023.0</v>
      </c>
      <c r="K573" s="10">
        <v>46083.0</v>
      </c>
      <c r="L573" s="6">
        <v>1.0</v>
      </c>
      <c r="M573" s="8">
        <f t="shared" si="1"/>
        <v>0.1</v>
      </c>
      <c r="P573" s="9"/>
    </row>
    <row r="574">
      <c r="A574" s="6" t="s">
        <v>1596</v>
      </c>
      <c r="B574" s="6" t="s">
        <v>1597</v>
      </c>
      <c r="C574" s="6" t="s">
        <v>23</v>
      </c>
      <c r="D574" s="6" t="s">
        <v>1598</v>
      </c>
      <c r="E574" s="6" t="s">
        <v>533</v>
      </c>
      <c r="F574" s="6" t="s">
        <v>65</v>
      </c>
      <c r="G574" s="7">
        <v>0.03</v>
      </c>
      <c r="H574" s="6" t="s">
        <v>875</v>
      </c>
      <c r="I574" s="6" t="s">
        <v>20</v>
      </c>
      <c r="J574" s="6">
        <v>2018.0</v>
      </c>
      <c r="K574" s="10">
        <v>46084.0</v>
      </c>
      <c r="L574" s="6">
        <v>1.0</v>
      </c>
      <c r="M574" s="8">
        <f t="shared" si="1"/>
        <v>0.03</v>
      </c>
      <c r="P574" s="9"/>
    </row>
    <row r="575">
      <c r="A575" s="6" t="s">
        <v>1599</v>
      </c>
      <c r="B575" s="6" t="s">
        <v>1363</v>
      </c>
      <c r="C575" s="6" t="s">
        <v>48</v>
      </c>
      <c r="D575" s="6" t="s">
        <v>1600</v>
      </c>
      <c r="E575" s="6" t="s">
        <v>1001</v>
      </c>
      <c r="F575" s="6" t="s">
        <v>65</v>
      </c>
      <c r="G575" s="7">
        <v>0.05</v>
      </c>
      <c r="H575" s="6" t="s">
        <v>113</v>
      </c>
      <c r="I575" s="6" t="s">
        <v>20</v>
      </c>
      <c r="J575" s="6">
        <v>2024.0</v>
      </c>
      <c r="K575" s="10">
        <v>46084.0</v>
      </c>
      <c r="L575" s="6">
        <v>1.0</v>
      </c>
      <c r="M575" s="8">
        <f t="shared" si="1"/>
        <v>0.05</v>
      </c>
      <c r="P575" s="9"/>
    </row>
    <row r="576">
      <c r="A576" s="6" t="s">
        <v>1601</v>
      </c>
      <c r="B576" s="6" t="s">
        <v>1602</v>
      </c>
      <c r="C576" s="6" t="s">
        <v>512</v>
      </c>
      <c r="D576" s="6" t="s">
        <v>1603</v>
      </c>
      <c r="E576" s="6" t="s">
        <v>1604</v>
      </c>
      <c r="F576" s="6" t="s">
        <v>858</v>
      </c>
      <c r="G576" s="7">
        <v>0.92</v>
      </c>
      <c r="H576" s="6" t="s">
        <v>1605</v>
      </c>
      <c r="I576" s="6" t="s">
        <v>55</v>
      </c>
      <c r="J576" s="6">
        <v>2013.0</v>
      </c>
      <c r="L576" s="6">
        <v>1.0</v>
      </c>
      <c r="M576" s="8">
        <f t="shared" si="1"/>
        <v>0.92</v>
      </c>
      <c r="P576" s="9"/>
    </row>
    <row r="577">
      <c r="A577" s="6" t="s">
        <v>1606</v>
      </c>
      <c r="B577" s="6" t="s">
        <v>62</v>
      </c>
      <c r="C577" s="6" t="s">
        <v>23</v>
      </c>
      <c r="D577" s="6" t="s">
        <v>1607</v>
      </c>
      <c r="E577" s="6" t="s">
        <v>1336</v>
      </c>
      <c r="F577" s="6" t="s">
        <v>103</v>
      </c>
      <c r="G577" s="7">
        <v>0.05</v>
      </c>
      <c r="H577" s="6" t="s">
        <v>509</v>
      </c>
      <c r="I577" s="6" t="s">
        <v>20</v>
      </c>
      <c r="J577" s="6">
        <v>2024.0</v>
      </c>
      <c r="L577" s="6">
        <v>1.0</v>
      </c>
      <c r="M577" s="8">
        <f t="shared" si="1"/>
        <v>0.05</v>
      </c>
      <c r="P577" s="9"/>
    </row>
    <row r="578">
      <c r="A578" s="6" t="s">
        <v>1608</v>
      </c>
      <c r="B578" s="6" t="s">
        <v>1609</v>
      </c>
      <c r="C578" s="6" t="s">
        <v>23</v>
      </c>
      <c r="D578" s="6" t="s">
        <v>1610</v>
      </c>
      <c r="E578" s="6" t="s">
        <v>235</v>
      </c>
      <c r="F578" s="6" t="s">
        <v>103</v>
      </c>
      <c r="G578" s="7">
        <v>0.05</v>
      </c>
      <c r="H578" s="6" t="s">
        <v>370</v>
      </c>
      <c r="I578" s="6" t="s">
        <v>20</v>
      </c>
      <c r="J578" s="6">
        <v>1996.0</v>
      </c>
      <c r="K578" s="10">
        <v>46055.0</v>
      </c>
      <c r="L578" s="6">
        <v>1.0</v>
      </c>
      <c r="M578" s="8">
        <f t="shared" si="1"/>
        <v>0.05</v>
      </c>
      <c r="P578" s="9"/>
    </row>
    <row r="579">
      <c r="A579" s="6" t="s">
        <v>1611</v>
      </c>
      <c r="B579" s="6" t="s">
        <v>809</v>
      </c>
      <c r="C579" s="6" t="s">
        <v>48</v>
      </c>
      <c r="D579" s="6" t="s">
        <v>1612</v>
      </c>
      <c r="E579" s="6" t="s">
        <v>298</v>
      </c>
      <c r="F579" s="6" t="s">
        <v>159</v>
      </c>
      <c r="G579" s="7">
        <v>0.06</v>
      </c>
      <c r="H579" s="6" t="s">
        <v>596</v>
      </c>
      <c r="I579" s="6" t="s">
        <v>20</v>
      </c>
      <c r="J579" s="6">
        <v>2012.0</v>
      </c>
      <c r="K579" s="10">
        <v>46084.0</v>
      </c>
      <c r="L579" s="6">
        <v>1.0</v>
      </c>
      <c r="M579" s="8">
        <f t="shared" si="1"/>
        <v>0.06</v>
      </c>
      <c r="P579" s="9"/>
    </row>
    <row r="580">
      <c r="A580" s="6" t="s">
        <v>1611</v>
      </c>
      <c r="B580" s="6" t="s">
        <v>809</v>
      </c>
      <c r="C580" s="6" t="s">
        <v>48</v>
      </c>
      <c r="D580" s="6" t="s">
        <v>1613</v>
      </c>
      <c r="E580" s="6" t="s">
        <v>298</v>
      </c>
      <c r="F580" s="6" t="s">
        <v>159</v>
      </c>
      <c r="G580" s="7">
        <v>0.06</v>
      </c>
      <c r="H580" s="6" t="s">
        <v>154</v>
      </c>
      <c r="I580" s="6" t="s">
        <v>20</v>
      </c>
      <c r="J580" s="6">
        <v>2013.0</v>
      </c>
      <c r="K580" s="10">
        <v>46084.0</v>
      </c>
      <c r="L580" s="6">
        <v>1.0</v>
      </c>
      <c r="M580" s="8">
        <f t="shared" si="1"/>
        <v>0.06</v>
      </c>
      <c r="P580" s="9"/>
    </row>
    <row r="581">
      <c r="A581" s="6" t="s">
        <v>1614</v>
      </c>
      <c r="B581" s="6" t="s">
        <v>307</v>
      </c>
      <c r="C581" s="6" t="s">
        <v>48</v>
      </c>
      <c r="D581" s="6" t="s">
        <v>1615</v>
      </c>
      <c r="E581" s="6" t="s">
        <v>1616</v>
      </c>
      <c r="F581" s="6" t="s">
        <v>37</v>
      </c>
      <c r="G581" s="7">
        <v>0.09</v>
      </c>
      <c r="H581" s="6" t="s">
        <v>129</v>
      </c>
      <c r="I581" s="6" t="s">
        <v>20</v>
      </c>
      <c r="J581" s="6">
        <v>2014.0</v>
      </c>
      <c r="L581" s="6">
        <v>1.0</v>
      </c>
      <c r="M581" s="8">
        <f t="shared" si="1"/>
        <v>0.09</v>
      </c>
      <c r="P581" s="9"/>
    </row>
    <row r="582">
      <c r="A582" s="6" t="s">
        <v>1617</v>
      </c>
      <c r="B582" s="6" t="s">
        <v>1618</v>
      </c>
      <c r="C582" s="6" t="s">
        <v>48</v>
      </c>
      <c r="D582" s="6" t="s">
        <v>1619</v>
      </c>
      <c r="E582" s="6" t="s">
        <v>118</v>
      </c>
      <c r="F582" s="6" t="s">
        <v>51</v>
      </c>
      <c r="G582" s="7">
        <v>0.2</v>
      </c>
      <c r="H582" s="6" t="s">
        <v>994</v>
      </c>
      <c r="I582" s="6" t="s">
        <v>20</v>
      </c>
      <c r="J582" s="6">
        <v>2024.0</v>
      </c>
      <c r="K582" s="10">
        <v>46055.0</v>
      </c>
      <c r="L582" s="6">
        <v>1.0</v>
      </c>
      <c r="M582" s="8">
        <f t="shared" si="1"/>
        <v>0.2</v>
      </c>
      <c r="P582" s="9"/>
    </row>
    <row r="583">
      <c r="A583" s="6" t="s">
        <v>1620</v>
      </c>
      <c r="B583" s="6" t="s">
        <v>1621</v>
      </c>
      <c r="C583" s="6" t="s">
        <v>23</v>
      </c>
      <c r="D583" s="6" t="s">
        <v>1622</v>
      </c>
      <c r="E583" s="6" t="s">
        <v>50</v>
      </c>
      <c r="F583" s="6" t="s">
        <v>51</v>
      </c>
      <c r="G583" s="7">
        <v>0.08</v>
      </c>
      <c r="H583" s="6" t="s">
        <v>324</v>
      </c>
      <c r="I583" s="6" t="s">
        <v>20</v>
      </c>
      <c r="J583" s="6">
        <v>2025.0</v>
      </c>
      <c r="K583" s="10">
        <v>46084.0</v>
      </c>
      <c r="L583" s="6">
        <v>1.0</v>
      </c>
      <c r="M583" s="8">
        <f t="shared" si="1"/>
        <v>0.08</v>
      </c>
      <c r="P583" s="9"/>
    </row>
    <row r="584">
      <c r="A584" s="6" t="s">
        <v>1623</v>
      </c>
      <c r="B584" s="6" t="s">
        <v>1624</v>
      </c>
      <c r="C584" s="6" t="s">
        <v>41</v>
      </c>
      <c r="D584" s="6" t="s">
        <v>1625</v>
      </c>
      <c r="E584" s="6" t="s">
        <v>873</v>
      </c>
      <c r="F584" s="6" t="s">
        <v>874</v>
      </c>
      <c r="G584" s="7">
        <v>0.37</v>
      </c>
      <c r="H584" s="6" t="s">
        <v>641</v>
      </c>
      <c r="I584" s="6" t="s">
        <v>20</v>
      </c>
      <c r="J584" s="6">
        <v>2026.0</v>
      </c>
      <c r="L584" s="6">
        <v>1.0</v>
      </c>
      <c r="M584" s="8">
        <f t="shared" si="1"/>
        <v>0.37</v>
      </c>
      <c r="P584" s="9"/>
    </row>
    <row r="585">
      <c r="A585" s="6" t="s">
        <v>1626</v>
      </c>
      <c r="B585" s="6" t="s">
        <v>543</v>
      </c>
      <c r="C585" s="6" t="s">
        <v>48</v>
      </c>
      <c r="D585" s="6" t="s">
        <v>1627</v>
      </c>
      <c r="E585" s="6" t="s">
        <v>1628</v>
      </c>
      <c r="F585" s="6" t="s">
        <v>60</v>
      </c>
      <c r="G585" s="7">
        <v>0.13</v>
      </c>
      <c r="H585" s="6" t="s">
        <v>192</v>
      </c>
      <c r="I585" s="6" t="s">
        <v>20</v>
      </c>
      <c r="J585" s="6">
        <v>2026.0</v>
      </c>
      <c r="L585" s="6">
        <v>1.0</v>
      </c>
      <c r="M585" s="8">
        <f t="shared" si="1"/>
        <v>0.13</v>
      </c>
      <c r="P585" s="9"/>
    </row>
    <row r="586">
      <c r="A586" s="6" t="s">
        <v>1629</v>
      </c>
      <c r="B586" s="6" t="s">
        <v>1630</v>
      </c>
      <c r="C586" s="6" t="s">
        <v>23</v>
      </c>
      <c r="D586" s="6" t="s">
        <v>1631</v>
      </c>
      <c r="E586" s="6" t="s">
        <v>102</v>
      </c>
      <c r="F586" s="6" t="s">
        <v>103</v>
      </c>
      <c r="G586" s="7">
        <v>0.14</v>
      </c>
      <c r="H586" s="6" t="s">
        <v>245</v>
      </c>
      <c r="I586" s="6" t="s">
        <v>20</v>
      </c>
      <c r="J586" s="6">
        <v>1995.0</v>
      </c>
      <c r="K586" s="10">
        <v>46023.0</v>
      </c>
      <c r="L586" s="6">
        <v>3.0</v>
      </c>
      <c r="M586" s="8">
        <f t="shared" si="1"/>
        <v>0.42</v>
      </c>
      <c r="P586" s="9"/>
    </row>
    <row r="587">
      <c r="A587" s="6" t="s">
        <v>1632</v>
      </c>
      <c r="B587" s="6" t="s">
        <v>1633</v>
      </c>
      <c r="C587" s="6" t="s">
        <v>48</v>
      </c>
      <c r="D587" s="6" t="s">
        <v>1634</v>
      </c>
      <c r="E587" s="6" t="s">
        <v>1635</v>
      </c>
      <c r="F587" s="6" t="s">
        <v>18</v>
      </c>
      <c r="G587" s="7">
        <v>0.25</v>
      </c>
      <c r="H587" s="6" t="s">
        <v>163</v>
      </c>
      <c r="I587" s="6" t="s">
        <v>20</v>
      </c>
      <c r="J587" s="6">
        <v>2023.0</v>
      </c>
      <c r="K587" s="10">
        <v>46240.0</v>
      </c>
      <c r="L587" s="6">
        <v>1.0</v>
      </c>
      <c r="M587" s="8">
        <f t="shared" si="1"/>
        <v>0.25</v>
      </c>
      <c r="P587" s="9"/>
    </row>
    <row r="588">
      <c r="A588" s="6" t="s">
        <v>1636</v>
      </c>
      <c r="B588" s="6" t="s">
        <v>372</v>
      </c>
      <c r="C588" s="6" t="s">
        <v>23</v>
      </c>
      <c r="D588" s="6" t="s">
        <v>1637</v>
      </c>
      <c r="E588" s="6" t="s">
        <v>124</v>
      </c>
      <c r="F588" s="6" t="s">
        <v>103</v>
      </c>
      <c r="G588" s="7">
        <v>0.05</v>
      </c>
      <c r="H588" s="6" t="s">
        <v>1638</v>
      </c>
      <c r="I588" s="6" t="s">
        <v>20</v>
      </c>
      <c r="J588" s="6">
        <v>2011.0</v>
      </c>
      <c r="L588" s="6">
        <v>1.0</v>
      </c>
      <c r="M588" s="8">
        <f t="shared" si="1"/>
        <v>0.05</v>
      </c>
      <c r="P588" s="9"/>
    </row>
    <row r="589">
      <c r="A589" s="6" t="s">
        <v>1636</v>
      </c>
      <c r="B589" s="6" t="s">
        <v>372</v>
      </c>
      <c r="C589" s="6" t="s">
        <v>23</v>
      </c>
      <c r="D589" s="6" t="s">
        <v>1637</v>
      </c>
      <c r="E589" s="6" t="s">
        <v>124</v>
      </c>
      <c r="F589" s="6" t="s">
        <v>103</v>
      </c>
      <c r="G589" s="7">
        <v>0.06</v>
      </c>
      <c r="H589" s="6" t="s">
        <v>340</v>
      </c>
      <c r="I589" s="6" t="s">
        <v>20</v>
      </c>
      <c r="J589" s="6">
        <v>2010.0</v>
      </c>
      <c r="L589" s="6">
        <v>2.0</v>
      </c>
      <c r="M589" s="8">
        <f t="shared" si="1"/>
        <v>0.12</v>
      </c>
      <c r="P589" s="9"/>
    </row>
    <row r="590">
      <c r="A590" s="6" t="s">
        <v>1639</v>
      </c>
      <c r="B590" s="6" t="s">
        <v>62</v>
      </c>
      <c r="C590" s="6" t="s">
        <v>48</v>
      </c>
      <c r="D590" s="6" t="s">
        <v>1640</v>
      </c>
      <c r="E590" s="6" t="s">
        <v>293</v>
      </c>
      <c r="F590" s="6" t="s">
        <v>18</v>
      </c>
      <c r="G590" s="7">
        <v>0.06</v>
      </c>
      <c r="H590" s="6" t="s">
        <v>93</v>
      </c>
      <c r="I590" s="6" t="s">
        <v>20</v>
      </c>
      <c r="J590" s="6">
        <v>2016.0</v>
      </c>
      <c r="L590" s="6">
        <v>2.0</v>
      </c>
      <c r="M590" s="8">
        <f t="shared" si="1"/>
        <v>0.12</v>
      </c>
      <c r="P590" s="9"/>
    </row>
    <row r="591">
      <c r="A591" s="6" t="s">
        <v>1641</v>
      </c>
      <c r="B591" s="6" t="s">
        <v>194</v>
      </c>
      <c r="C591" s="6" t="s">
        <v>41</v>
      </c>
      <c r="D591" s="6" t="s">
        <v>1642</v>
      </c>
      <c r="E591" s="6" t="s">
        <v>611</v>
      </c>
      <c r="F591" s="6" t="s">
        <v>103</v>
      </c>
      <c r="G591" s="7">
        <v>0.34</v>
      </c>
      <c r="H591" s="6" t="s">
        <v>75</v>
      </c>
      <c r="I591" s="6" t="s">
        <v>20</v>
      </c>
      <c r="J591" s="6">
        <v>1995.0</v>
      </c>
      <c r="L591" s="6">
        <v>1.0</v>
      </c>
      <c r="M591" s="8">
        <f t="shared" si="1"/>
        <v>0.34</v>
      </c>
      <c r="P591" s="9"/>
    </row>
    <row r="592">
      <c r="A592" s="6" t="s">
        <v>1643</v>
      </c>
      <c r="B592" s="6" t="s">
        <v>62</v>
      </c>
      <c r="C592" s="6" t="s">
        <v>23</v>
      </c>
      <c r="D592" s="6" t="s">
        <v>1644</v>
      </c>
      <c r="E592" s="6" t="s">
        <v>270</v>
      </c>
      <c r="F592" s="6" t="s">
        <v>159</v>
      </c>
      <c r="G592" s="7">
        <v>0.04</v>
      </c>
      <c r="H592" s="6" t="s">
        <v>113</v>
      </c>
      <c r="I592" s="6" t="s">
        <v>20</v>
      </c>
      <c r="J592" s="6">
        <v>2024.0</v>
      </c>
      <c r="L592" s="6">
        <v>3.0</v>
      </c>
      <c r="M592" s="8">
        <f t="shared" si="1"/>
        <v>0.12</v>
      </c>
      <c r="P592" s="9"/>
    </row>
    <row r="593">
      <c r="A593" s="6" t="s">
        <v>1643</v>
      </c>
      <c r="B593" s="6" t="s">
        <v>62</v>
      </c>
      <c r="C593" s="6" t="s">
        <v>23</v>
      </c>
      <c r="D593" s="6" t="s">
        <v>1644</v>
      </c>
      <c r="E593" s="6" t="s">
        <v>270</v>
      </c>
      <c r="F593" s="6" t="s">
        <v>159</v>
      </c>
      <c r="G593" s="7">
        <v>0.2</v>
      </c>
      <c r="H593" s="6" t="s">
        <v>113</v>
      </c>
      <c r="I593" s="6" t="s">
        <v>55</v>
      </c>
      <c r="J593" s="6">
        <v>2024.0</v>
      </c>
      <c r="L593" s="6">
        <v>1.0</v>
      </c>
      <c r="M593" s="8">
        <f t="shared" si="1"/>
        <v>0.2</v>
      </c>
      <c r="P593" s="9"/>
    </row>
    <row r="594">
      <c r="A594" s="6" t="s">
        <v>1645</v>
      </c>
      <c r="B594" s="6" t="s">
        <v>250</v>
      </c>
      <c r="C594" s="6" t="s">
        <v>41</v>
      </c>
      <c r="D594" s="6" t="s">
        <v>1646</v>
      </c>
      <c r="E594" s="6" t="s">
        <v>696</v>
      </c>
      <c r="F594" s="6" t="s">
        <v>37</v>
      </c>
      <c r="G594" s="7">
        <v>4.8</v>
      </c>
      <c r="H594" s="6" t="s">
        <v>1647</v>
      </c>
      <c r="I594" s="6" t="s">
        <v>20</v>
      </c>
      <c r="J594" s="6">
        <v>1994.0</v>
      </c>
      <c r="L594" s="6">
        <v>1.0</v>
      </c>
      <c r="M594" s="8">
        <f t="shared" si="1"/>
        <v>4.8</v>
      </c>
      <c r="N594" s="6" t="s">
        <v>172</v>
      </c>
      <c r="P594" s="9"/>
    </row>
    <row r="595">
      <c r="A595" s="6" t="s">
        <v>1648</v>
      </c>
      <c r="B595" s="6" t="s">
        <v>1234</v>
      </c>
      <c r="C595" s="6" t="s">
        <v>48</v>
      </c>
      <c r="D595" s="6" t="s">
        <v>1649</v>
      </c>
      <c r="E595" s="6" t="s">
        <v>1570</v>
      </c>
      <c r="F595" s="6" t="s">
        <v>159</v>
      </c>
      <c r="G595" s="7">
        <v>0.09</v>
      </c>
      <c r="H595" s="6" t="s">
        <v>621</v>
      </c>
      <c r="I595" s="6" t="s">
        <v>20</v>
      </c>
      <c r="J595" s="6">
        <v>2015.0</v>
      </c>
      <c r="K595" s="10">
        <v>46084.0</v>
      </c>
      <c r="L595" s="6">
        <v>1.0</v>
      </c>
      <c r="M595" s="8">
        <f t="shared" si="1"/>
        <v>0.09</v>
      </c>
      <c r="P595" s="9"/>
    </row>
    <row r="596">
      <c r="A596" s="6" t="s">
        <v>1650</v>
      </c>
      <c r="B596" s="6" t="s">
        <v>1651</v>
      </c>
      <c r="C596" s="6" t="s">
        <v>15</v>
      </c>
      <c r="D596" s="6" t="s">
        <v>1652</v>
      </c>
      <c r="E596" s="6" t="s">
        <v>1653</v>
      </c>
      <c r="F596" s="6" t="s">
        <v>159</v>
      </c>
      <c r="G596" s="7">
        <v>0.18</v>
      </c>
      <c r="H596" s="6" t="s">
        <v>1043</v>
      </c>
      <c r="I596" s="6" t="s">
        <v>20</v>
      </c>
      <c r="J596" s="6">
        <v>2025.0</v>
      </c>
      <c r="K596" s="6" t="s">
        <v>697</v>
      </c>
      <c r="L596" s="6">
        <v>2.0</v>
      </c>
      <c r="M596" s="8">
        <f t="shared" si="1"/>
        <v>0.36</v>
      </c>
      <c r="P596" s="9"/>
    </row>
    <row r="597">
      <c r="A597" s="6" t="s">
        <v>1654</v>
      </c>
      <c r="B597" s="6" t="s">
        <v>250</v>
      </c>
      <c r="C597" s="6" t="s">
        <v>48</v>
      </c>
      <c r="D597" s="6" t="s">
        <v>1655</v>
      </c>
      <c r="E597" s="6" t="s">
        <v>214</v>
      </c>
      <c r="F597" s="6" t="s">
        <v>215</v>
      </c>
      <c r="G597" s="7">
        <v>0.25</v>
      </c>
      <c r="H597" s="6" t="s">
        <v>324</v>
      </c>
      <c r="I597" s="6" t="s">
        <v>20</v>
      </c>
      <c r="J597" s="6">
        <v>2025.0</v>
      </c>
      <c r="L597" s="6">
        <v>1.0</v>
      </c>
      <c r="M597" s="8">
        <f t="shared" si="1"/>
        <v>0.25</v>
      </c>
      <c r="P597" s="9"/>
    </row>
    <row r="598">
      <c r="A598" s="6" t="s">
        <v>1656</v>
      </c>
      <c r="B598" s="6" t="s">
        <v>1657</v>
      </c>
      <c r="C598" s="6" t="s">
        <v>23</v>
      </c>
      <c r="D598" s="6" t="s">
        <v>1658</v>
      </c>
      <c r="E598" s="6" t="s">
        <v>153</v>
      </c>
      <c r="F598" s="6" t="s">
        <v>103</v>
      </c>
      <c r="G598" s="7">
        <v>0.1</v>
      </c>
      <c r="H598" s="6" t="s">
        <v>769</v>
      </c>
      <c r="I598" s="6" t="s">
        <v>20</v>
      </c>
      <c r="J598" s="6">
        <v>2023.0</v>
      </c>
      <c r="K598" s="10">
        <v>46085.0</v>
      </c>
      <c r="L598" s="6">
        <v>1.0</v>
      </c>
      <c r="M598" s="8">
        <f t="shared" si="1"/>
        <v>0.1</v>
      </c>
      <c r="P598" s="9"/>
    </row>
    <row r="599">
      <c r="A599" s="6" t="s">
        <v>1659</v>
      </c>
      <c r="B599" s="6" t="s">
        <v>1660</v>
      </c>
      <c r="C599" s="6" t="s">
        <v>48</v>
      </c>
      <c r="D599" s="6" t="s">
        <v>1661</v>
      </c>
      <c r="E599" s="6" t="s">
        <v>1001</v>
      </c>
      <c r="F599" s="6" t="s">
        <v>65</v>
      </c>
      <c r="G599" s="7">
        <v>0.05</v>
      </c>
      <c r="H599" s="6" t="s">
        <v>119</v>
      </c>
      <c r="I599" s="6" t="s">
        <v>20</v>
      </c>
      <c r="J599" s="6">
        <v>1995.0</v>
      </c>
      <c r="K599" s="10">
        <v>46055.0</v>
      </c>
      <c r="L599" s="6">
        <v>2.0</v>
      </c>
      <c r="M599" s="8">
        <f t="shared" si="1"/>
        <v>0.1</v>
      </c>
      <c r="P599" s="9"/>
    </row>
    <row r="600">
      <c r="A600" s="6" t="s">
        <v>1659</v>
      </c>
      <c r="B600" s="6" t="s">
        <v>1660</v>
      </c>
      <c r="C600" s="6" t="s">
        <v>48</v>
      </c>
      <c r="D600" s="6" t="s">
        <v>1661</v>
      </c>
      <c r="E600" s="6" t="s">
        <v>1001</v>
      </c>
      <c r="F600" s="6" t="s">
        <v>65</v>
      </c>
      <c r="G600" s="7">
        <v>0.16</v>
      </c>
      <c r="H600" s="6" t="s">
        <v>120</v>
      </c>
      <c r="I600" s="6" t="s">
        <v>20</v>
      </c>
      <c r="J600" s="6">
        <v>1995.0</v>
      </c>
      <c r="K600" s="10">
        <v>46055.0</v>
      </c>
      <c r="L600" s="6">
        <v>3.0</v>
      </c>
      <c r="M600" s="8">
        <f t="shared" si="1"/>
        <v>0.48</v>
      </c>
      <c r="P600" s="9"/>
    </row>
    <row r="601">
      <c r="A601" s="6" t="s">
        <v>1662</v>
      </c>
      <c r="B601" s="6" t="s">
        <v>1663</v>
      </c>
      <c r="C601" s="6" t="s">
        <v>48</v>
      </c>
      <c r="D601" s="6" t="s">
        <v>1664</v>
      </c>
      <c r="E601" s="6" t="s">
        <v>64</v>
      </c>
      <c r="F601" s="6" t="s">
        <v>65</v>
      </c>
      <c r="G601" s="7">
        <v>0.19</v>
      </c>
      <c r="H601" s="6" t="s">
        <v>1665</v>
      </c>
      <c r="I601" s="6" t="s">
        <v>20</v>
      </c>
      <c r="J601" s="6">
        <v>2004.0</v>
      </c>
      <c r="K601" s="10">
        <v>46024.0</v>
      </c>
      <c r="L601" s="6">
        <v>1.0</v>
      </c>
      <c r="M601" s="8">
        <f t="shared" si="1"/>
        <v>0.19</v>
      </c>
      <c r="P601" s="9"/>
    </row>
    <row r="602">
      <c r="A602" s="6" t="s">
        <v>1662</v>
      </c>
      <c r="B602" s="6" t="s">
        <v>1663</v>
      </c>
      <c r="C602" s="6" t="s">
        <v>48</v>
      </c>
      <c r="D602" s="6" t="s">
        <v>1664</v>
      </c>
      <c r="E602" s="6" t="s">
        <v>64</v>
      </c>
      <c r="F602" s="6" t="s">
        <v>65</v>
      </c>
      <c r="G602" s="7">
        <v>0.14</v>
      </c>
      <c r="H602" s="6" t="s">
        <v>1665</v>
      </c>
      <c r="I602" s="6" t="s">
        <v>20</v>
      </c>
      <c r="J602" s="6">
        <v>2004.0</v>
      </c>
      <c r="K602" s="10">
        <v>46024.0</v>
      </c>
      <c r="L602" s="6">
        <v>1.0</v>
      </c>
      <c r="M602" s="8">
        <f t="shared" si="1"/>
        <v>0.14</v>
      </c>
      <c r="N602" s="6" t="s">
        <v>1666</v>
      </c>
      <c r="P602" s="9"/>
    </row>
    <row r="603">
      <c r="A603" s="6" t="s">
        <v>1667</v>
      </c>
      <c r="B603" s="6" t="s">
        <v>1668</v>
      </c>
      <c r="C603" s="6" t="s">
        <v>23</v>
      </c>
      <c r="D603" s="6" t="s">
        <v>1669</v>
      </c>
      <c r="E603" s="6" t="s">
        <v>149</v>
      </c>
      <c r="F603" s="6" t="s">
        <v>18</v>
      </c>
      <c r="G603" s="7">
        <v>0.22</v>
      </c>
      <c r="H603" s="6" t="s">
        <v>346</v>
      </c>
      <c r="I603" s="6" t="s">
        <v>55</v>
      </c>
      <c r="J603" s="6">
        <v>2024.0</v>
      </c>
      <c r="K603" s="10">
        <v>46024.0</v>
      </c>
      <c r="L603" s="6">
        <v>1.0</v>
      </c>
      <c r="M603" s="8">
        <f t="shared" si="1"/>
        <v>0.22</v>
      </c>
      <c r="P603" s="9"/>
    </row>
    <row r="604">
      <c r="A604" s="6" t="s">
        <v>1670</v>
      </c>
      <c r="B604" s="6" t="s">
        <v>543</v>
      </c>
      <c r="C604" s="6" t="s">
        <v>23</v>
      </c>
      <c r="D604" s="6" t="s">
        <v>1671</v>
      </c>
      <c r="E604" s="6" t="s">
        <v>1672</v>
      </c>
      <c r="F604" s="6" t="s">
        <v>65</v>
      </c>
      <c r="G604" s="7">
        <v>0.05</v>
      </c>
      <c r="H604" s="6" t="s">
        <v>370</v>
      </c>
      <c r="I604" s="6" t="s">
        <v>20</v>
      </c>
      <c r="J604" s="6">
        <v>1996.0</v>
      </c>
      <c r="L604" s="6">
        <v>1.0</v>
      </c>
      <c r="M604" s="8">
        <f t="shared" si="1"/>
        <v>0.05</v>
      </c>
      <c r="P604" s="9"/>
    </row>
    <row r="605">
      <c r="A605" s="6" t="s">
        <v>1673</v>
      </c>
      <c r="B605" s="6" t="s">
        <v>677</v>
      </c>
      <c r="C605" s="6" t="s">
        <v>23</v>
      </c>
      <c r="D605" s="6" t="s">
        <v>1674</v>
      </c>
      <c r="E605" s="6" t="s">
        <v>298</v>
      </c>
      <c r="F605" s="6" t="s">
        <v>159</v>
      </c>
      <c r="G605" s="7">
        <v>0.06</v>
      </c>
      <c r="H605" s="6" t="s">
        <v>1675</v>
      </c>
      <c r="I605" s="6" t="s">
        <v>20</v>
      </c>
      <c r="J605" s="6">
        <v>2021.0</v>
      </c>
      <c r="K605" s="10">
        <v>46084.0</v>
      </c>
      <c r="L605" s="6">
        <v>1.0</v>
      </c>
      <c r="M605" s="8">
        <f t="shared" si="1"/>
        <v>0.06</v>
      </c>
      <c r="P605" s="9"/>
    </row>
    <row r="606">
      <c r="A606" s="6" t="s">
        <v>1676</v>
      </c>
      <c r="B606" s="6" t="s">
        <v>1677</v>
      </c>
      <c r="C606" s="6" t="s">
        <v>15</v>
      </c>
      <c r="D606" s="6" t="s">
        <v>1678</v>
      </c>
      <c r="E606" s="6" t="s">
        <v>1679</v>
      </c>
      <c r="F606" s="6" t="s">
        <v>858</v>
      </c>
      <c r="G606" s="7">
        <v>1.86</v>
      </c>
      <c r="H606" s="6" t="s">
        <v>38</v>
      </c>
      <c r="I606" s="6" t="s">
        <v>20</v>
      </c>
      <c r="J606" s="6">
        <v>2026.0</v>
      </c>
      <c r="K606" s="10">
        <v>46083.0</v>
      </c>
      <c r="L606" s="6">
        <v>1.0</v>
      </c>
      <c r="M606" s="8">
        <f t="shared" si="1"/>
        <v>1.86</v>
      </c>
      <c r="P606" s="9"/>
    </row>
    <row r="607">
      <c r="A607" s="6" t="s">
        <v>1680</v>
      </c>
      <c r="B607" s="6" t="s">
        <v>543</v>
      </c>
      <c r="C607" s="6" t="s">
        <v>23</v>
      </c>
      <c r="D607" s="6" t="s">
        <v>1681</v>
      </c>
      <c r="E607" s="6" t="s">
        <v>533</v>
      </c>
      <c r="F607" s="6" t="s">
        <v>65</v>
      </c>
      <c r="G607" s="7">
        <v>0.17</v>
      </c>
      <c r="H607" s="6" t="s">
        <v>45</v>
      </c>
      <c r="I607" s="6" t="s">
        <v>55</v>
      </c>
      <c r="J607" s="6">
        <v>2025.0</v>
      </c>
      <c r="L607" s="6">
        <v>1.0</v>
      </c>
      <c r="M607" s="8">
        <f t="shared" si="1"/>
        <v>0.17</v>
      </c>
      <c r="P607" s="9"/>
    </row>
    <row r="608">
      <c r="A608" s="6" t="s">
        <v>1682</v>
      </c>
      <c r="B608" s="6" t="s">
        <v>1683</v>
      </c>
      <c r="C608" s="6" t="s">
        <v>48</v>
      </c>
      <c r="D608" s="6" t="s">
        <v>1684</v>
      </c>
      <c r="E608" s="6" t="s">
        <v>1685</v>
      </c>
      <c r="F608" s="6" t="s">
        <v>159</v>
      </c>
      <c r="G608" s="7">
        <v>0.2</v>
      </c>
      <c r="H608" s="6" t="s">
        <v>45</v>
      </c>
      <c r="I608" s="6" t="s">
        <v>20</v>
      </c>
      <c r="J608" s="6">
        <v>2025.0</v>
      </c>
      <c r="K608" s="10">
        <v>46116.0</v>
      </c>
      <c r="L608" s="6">
        <v>1.0</v>
      </c>
      <c r="M608" s="8">
        <f t="shared" si="1"/>
        <v>0.2</v>
      </c>
      <c r="P608" s="9"/>
    </row>
    <row r="609">
      <c r="A609" s="6" t="s">
        <v>1686</v>
      </c>
      <c r="B609" s="6" t="s">
        <v>182</v>
      </c>
      <c r="C609" s="6" t="s">
        <v>23</v>
      </c>
      <c r="D609" s="6" t="s">
        <v>1687</v>
      </c>
      <c r="E609" s="6" t="s">
        <v>167</v>
      </c>
      <c r="F609" s="6" t="s">
        <v>103</v>
      </c>
      <c r="G609" s="7">
        <v>0.55</v>
      </c>
      <c r="H609" s="6" t="s">
        <v>491</v>
      </c>
      <c r="I609" s="6" t="s">
        <v>20</v>
      </c>
      <c r="J609" s="6">
        <v>2011.0</v>
      </c>
      <c r="L609" s="6">
        <v>1.0</v>
      </c>
      <c r="M609" s="8">
        <f t="shared" si="1"/>
        <v>0.55</v>
      </c>
      <c r="P609" s="9"/>
    </row>
    <row r="610">
      <c r="A610" s="6" t="s">
        <v>1688</v>
      </c>
      <c r="B610" s="6" t="s">
        <v>62</v>
      </c>
      <c r="C610" s="6" t="s">
        <v>23</v>
      </c>
      <c r="D610" s="6" t="s">
        <v>1689</v>
      </c>
      <c r="E610" s="6" t="s">
        <v>64</v>
      </c>
      <c r="F610" s="6" t="s">
        <v>65</v>
      </c>
      <c r="G610" s="7">
        <v>0.04</v>
      </c>
      <c r="H610" s="6" t="s">
        <v>185</v>
      </c>
      <c r="I610" s="6" t="s">
        <v>20</v>
      </c>
      <c r="J610" s="6">
        <v>2019.0</v>
      </c>
      <c r="L610" s="6">
        <v>1.0</v>
      </c>
      <c r="M610" s="8">
        <f t="shared" si="1"/>
        <v>0.04</v>
      </c>
      <c r="P610" s="9"/>
    </row>
    <row r="611">
      <c r="A611" s="6" t="s">
        <v>1690</v>
      </c>
      <c r="B611" s="6" t="s">
        <v>62</v>
      </c>
      <c r="C611" s="6" t="s">
        <v>23</v>
      </c>
      <c r="D611" s="6" t="s">
        <v>1691</v>
      </c>
      <c r="E611" s="6" t="s">
        <v>502</v>
      </c>
      <c r="F611" s="6" t="s">
        <v>65</v>
      </c>
      <c r="G611" s="7">
        <v>0.05</v>
      </c>
      <c r="H611" s="6" t="s">
        <v>1692</v>
      </c>
      <c r="I611" s="6" t="s">
        <v>20</v>
      </c>
      <c r="J611" s="6">
        <v>2021.0</v>
      </c>
      <c r="L611" s="6">
        <v>2.0</v>
      </c>
      <c r="M611" s="8">
        <f t="shared" si="1"/>
        <v>0.1</v>
      </c>
      <c r="P611" s="9"/>
    </row>
    <row r="612">
      <c r="A612" s="6" t="s">
        <v>1693</v>
      </c>
      <c r="B612" s="6" t="s">
        <v>1694</v>
      </c>
      <c r="C612" s="6" t="s">
        <v>48</v>
      </c>
      <c r="D612" s="6" t="s">
        <v>1695</v>
      </c>
      <c r="E612" s="6" t="s">
        <v>112</v>
      </c>
      <c r="F612" s="6" t="s">
        <v>65</v>
      </c>
      <c r="G612" s="7">
        <v>0.03</v>
      </c>
      <c r="H612" s="6" t="s">
        <v>265</v>
      </c>
      <c r="I612" s="6" t="s">
        <v>20</v>
      </c>
      <c r="J612" s="6">
        <v>2017.0</v>
      </c>
      <c r="K612" s="10">
        <v>46024.0</v>
      </c>
      <c r="L612" s="6">
        <v>1.0</v>
      </c>
      <c r="M612" s="8">
        <f t="shared" si="1"/>
        <v>0.03</v>
      </c>
      <c r="P612" s="9"/>
    </row>
    <row r="613">
      <c r="A613" s="6" t="s">
        <v>1696</v>
      </c>
      <c r="B613" s="6" t="s">
        <v>1697</v>
      </c>
      <c r="C613" s="6" t="s">
        <v>23</v>
      </c>
      <c r="D613" s="6" t="s">
        <v>1698</v>
      </c>
      <c r="E613" s="6" t="s">
        <v>298</v>
      </c>
      <c r="F613" s="6" t="s">
        <v>159</v>
      </c>
      <c r="G613" s="7">
        <v>0.07</v>
      </c>
      <c r="H613" s="6" t="s">
        <v>1665</v>
      </c>
      <c r="I613" s="6" t="s">
        <v>20</v>
      </c>
      <c r="J613" s="6">
        <v>2004.0</v>
      </c>
      <c r="K613" s="10">
        <v>46055.0</v>
      </c>
      <c r="L613" s="6">
        <v>1.0</v>
      </c>
      <c r="M613" s="8">
        <f t="shared" si="1"/>
        <v>0.07</v>
      </c>
      <c r="P613" s="9"/>
    </row>
    <row r="614">
      <c r="A614" s="6" t="s">
        <v>1699</v>
      </c>
      <c r="B614" s="6" t="s">
        <v>1700</v>
      </c>
      <c r="C614" s="6" t="s">
        <v>23</v>
      </c>
      <c r="D614" s="6" t="s">
        <v>1701</v>
      </c>
      <c r="E614" s="6" t="s">
        <v>167</v>
      </c>
      <c r="F614" s="6" t="s">
        <v>103</v>
      </c>
      <c r="G614" s="7">
        <v>0.08</v>
      </c>
      <c r="H614" s="6" t="s">
        <v>204</v>
      </c>
      <c r="I614" s="6" t="s">
        <v>20</v>
      </c>
      <c r="J614" s="6">
        <v>2026.0</v>
      </c>
      <c r="K614" s="10">
        <v>46023.0</v>
      </c>
      <c r="L614" s="6">
        <v>3.0</v>
      </c>
      <c r="M614" s="8">
        <f t="shared" si="1"/>
        <v>0.24</v>
      </c>
      <c r="P614" s="9"/>
    </row>
    <row r="615">
      <c r="A615" s="6" t="s">
        <v>1702</v>
      </c>
      <c r="B615" s="6" t="s">
        <v>366</v>
      </c>
      <c r="C615" s="6" t="s">
        <v>48</v>
      </c>
      <c r="D615" s="6" t="s">
        <v>1703</v>
      </c>
      <c r="E615" s="6" t="s">
        <v>196</v>
      </c>
      <c r="F615" s="6" t="s">
        <v>65</v>
      </c>
      <c r="G615" s="7">
        <v>0.18</v>
      </c>
      <c r="H615" s="6" t="s">
        <v>109</v>
      </c>
      <c r="I615" s="6" t="s">
        <v>20</v>
      </c>
      <c r="J615" s="6">
        <v>1995.0</v>
      </c>
      <c r="L615" s="6">
        <v>1.0</v>
      </c>
      <c r="M615" s="8">
        <f t="shared" si="1"/>
        <v>0.18</v>
      </c>
      <c r="P615" s="9"/>
    </row>
    <row r="616">
      <c r="A616" s="6" t="s">
        <v>1702</v>
      </c>
      <c r="B616" s="6" t="s">
        <v>366</v>
      </c>
      <c r="C616" s="6" t="s">
        <v>48</v>
      </c>
      <c r="D616" s="6" t="s">
        <v>1703</v>
      </c>
      <c r="E616" s="6" t="s">
        <v>196</v>
      </c>
      <c r="F616" s="6" t="s">
        <v>65</v>
      </c>
      <c r="G616" s="7">
        <v>0.43</v>
      </c>
      <c r="H616" s="6" t="s">
        <v>1382</v>
      </c>
      <c r="I616" s="6" t="s">
        <v>20</v>
      </c>
      <c r="J616" s="6">
        <v>1995.0</v>
      </c>
      <c r="L616" s="6">
        <v>1.0</v>
      </c>
      <c r="M616" s="8">
        <f t="shared" si="1"/>
        <v>0.43</v>
      </c>
      <c r="P616" s="9"/>
    </row>
    <row r="617">
      <c r="A617" s="6" t="s">
        <v>1704</v>
      </c>
      <c r="B617" s="6" t="s">
        <v>62</v>
      </c>
      <c r="C617" s="6" t="s">
        <v>23</v>
      </c>
      <c r="D617" s="6" t="s">
        <v>1705</v>
      </c>
      <c r="E617" s="6" t="s">
        <v>196</v>
      </c>
      <c r="F617" s="6" t="s">
        <v>65</v>
      </c>
      <c r="G617" s="7">
        <v>0.12</v>
      </c>
      <c r="H617" s="6" t="s">
        <v>113</v>
      </c>
      <c r="I617" s="6" t="s">
        <v>20</v>
      </c>
      <c r="J617" s="6">
        <v>2024.0</v>
      </c>
      <c r="L617" s="6">
        <v>1.0</v>
      </c>
      <c r="M617" s="8">
        <f t="shared" si="1"/>
        <v>0.12</v>
      </c>
      <c r="P617" s="9"/>
    </row>
    <row r="618">
      <c r="A618" s="6" t="s">
        <v>1706</v>
      </c>
      <c r="B618" s="6" t="s">
        <v>1707</v>
      </c>
      <c r="C618" s="6" t="s">
        <v>23</v>
      </c>
      <c r="D618" s="6" t="s">
        <v>1708</v>
      </c>
      <c r="E618" s="6" t="s">
        <v>149</v>
      </c>
      <c r="F618" s="6" t="s">
        <v>18</v>
      </c>
      <c r="G618" s="7">
        <v>0.05</v>
      </c>
      <c r="H618" s="6" t="s">
        <v>192</v>
      </c>
      <c r="I618" s="6" t="s">
        <v>20</v>
      </c>
      <c r="J618" s="6">
        <v>2026.0</v>
      </c>
      <c r="K618" s="10">
        <v>46023.0</v>
      </c>
      <c r="L618" s="6">
        <v>3.0</v>
      </c>
      <c r="M618" s="8">
        <f t="shared" si="1"/>
        <v>0.15</v>
      </c>
      <c r="P618" s="9"/>
    </row>
    <row r="619">
      <c r="A619" s="6" t="s">
        <v>1709</v>
      </c>
      <c r="B619" s="6" t="s">
        <v>1710</v>
      </c>
      <c r="C619" s="6" t="s">
        <v>48</v>
      </c>
      <c r="D619" s="6" t="s">
        <v>1711</v>
      </c>
      <c r="E619" s="6" t="s">
        <v>153</v>
      </c>
      <c r="F619" s="6" t="s">
        <v>103</v>
      </c>
      <c r="G619" s="7">
        <v>0.13</v>
      </c>
      <c r="H619" s="6" t="s">
        <v>45</v>
      </c>
      <c r="I619" s="6" t="s">
        <v>20</v>
      </c>
      <c r="J619" s="6">
        <v>2025.0</v>
      </c>
      <c r="K619" s="10">
        <v>46055.0</v>
      </c>
      <c r="L619" s="6">
        <v>1.0</v>
      </c>
      <c r="M619" s="8">
        <f t="shared" si="1"/>
        <v>0.13</v>
      </c>
      <c r="P619" s="9"/>
    </row>
    <row r="620">
      <c r="A620" s="6" t="s">
        <v>1712</v>
      </c>
      <c r="B620" s="6" t="s">
        <v>1713</v>
      </c>
      <c r="C620" s="6" t="s">
        <v>72</v>
      </c>
      <c r="D620" s="6" t="s">
        <v>1714</v>
      </c>
      <c r="E620" s="6" t="s">
        <v>1715</v>
      </c>
      <c r="F620" s="6" t="s">
        <v>65</v>
      </c>
      <c r="G620" s="7">
        <v>0.1</v>
      </c>
      <c r="H620" s="6" t="s">
        <v>1194</v>
      </c>
      <c r="I620" s="6" t="s">
        <v>20</v>
      </c>
      <c r="J620" s="6">
        <v>2023.0</v>
      </c>
      <c r="K620" s="10">
        <v>46117.0</v>
      </c>
      <c r="L620" s="6">
        <v>1.0</v>
      </c>
      <c r="M620" s="8">
        <f t="shared" si="1"/>
        <v>0.1</v>
      </c>
      <c r="P620" s="9"/>
    </row>
    <row r="621">
      <c r="A621" s="6" t="s">
        <v>1716</v>
      </c>
      <c r="B621" s="6" t="s">
        <v>62</v>
      </c>
      <c r="C621" s="6" t="s">
        <v>41</v>
      </c>
      <c r="D621" s="6" t="s">
        <v>1717</v>
      </c>
      <c r="E621" s="6" t="s">
        <v>293</v>
      </c>
      <c r="F621" s="6" t="s">
        <v>18</v>
      </c>
      <c r="G621" s="7">
        <v>0.5</v>
      </c>
      <c r="H621" s="6" t="s">
        <v>491</v>
      </c>
      <c r="I621" s="6" t="s">
        <v>20</v>
      </c>
      <c r="J621" s="6">
        <v>2011.0</v>
      </c>
      <c r="L621" s="6">
        <v>1.0</v>
      </c>
      <c r="M621" s="8">
        <f t="shared" si="1"/>
        <v>0.5</v>
      </c>
      <c r="P621" s="9"/>
    </row>
    <row r="622">
      <c r="A622" s="6" t="s">
        <v>1718</v>
      </c>
      <c r="B622" s="6" t="s">
        <v>1719</v>
      </c>
      <c r="C622" s="6" t="s">
        <v>15</v>
      </c>
      <c r="D622" s="6" t="s">
        <v>1720</v>
      </c>
      <c r="E622" s="6" t="s">
        <v>238</v>
      </c>
      <c r="F622" s="6" t="s">
        <v>159</v>
      </c>
      <c r="G622" s="7">
        <v>0.23</v>
      </c>
      <c r="H622" s="6" t="s">
        <v>209</v>
      </c>
      <c r="I622" s="6" t="s">
        <v>20</v>
      </c>
      <c r="J622" s="6">
        <v>2025.0</v>
      </c>
      <c r="K622" s="10">
        <v>46084.0</v>
      </c>
      <c r="L622" s="6">
        <v>2.0</v>
      </c>
      <c r="M622" s="8">
        <f t="shared" si="1"/>
        <v>0.46</v>
      </c>
      <c r="P622" s="9"/>
    </row>
    <row r="623">
      <c r="A623" s="6" t="s">
        <v>1721</v>
      </c>
      <c r="B623" s="6" t="s">
        <v>1722</v>
      </c>
      <c r="C623" s="6" t="s">
        <v>48</v>
      </c>
      <c r="D623" s="6" t="s">
        <v>1723</v>
      </c>
      <c r="E623" s="6" t="s">
        <v>825</v>
      </c>
      <c r="F623" s="6" t="s">
        <v>826</v>
      </c>
      <c r="G623" s="7">
        <v>0.58</v>
      </c>
      <c r="H623" s="6" t="s">
        <v>216</v>
      </c>
      <c r="I623" s="6" t="s">
        <v>55</v>
      </c>
      <c r="J623" s="6">
        <v>2024.0</v>
      </c>
      <c r="K623" s="10">
        <v>46116.0</v>
      </c>
      <c r="L623" s="6">
        <v>1.0</v>
      </c>
      <c r="M623" s="8">
        <f t="shared" si="1"/>
        <v>0.58</v>
      </c>
      <c r="P623" s="9"/>
    </row>
    <row r="624">
      <c r="A624" s="6" t="s">
        <v>1724</v>
      </c>
      <c r="B624" s="6" t="s">
        <v>1359</v>
      </c>
      <c r="C624" s="6" t="s">
        <v>23</v>
      </c>
      <c r="D624" s="6" t="s">
        <v>1725</v>
      </c>
      <c r="E624" s="6" t="s">
        <v>1336</v>
      </c>
      <c r="F624" s="6" t="s">
        <v>103</v>
      </c>
      <c r="G624" s="7">
        <v>0.17</v>
      </c>
      <c r="H624" s="6" t="s">
        <v>163</v>
      </c>
      <c r="I624" s="6" t="s">
        <v>20</v>
      </c>
      <c r="J624" s="6">
        <v>2023.0</v>
      </c>
      <c r="K624" s="10">
        <v>46023.0</v>
      </c>
      <c r="L624" s="6">
        <v>1.0</v>
      </c>
      <c r="M624" s="8">
        <f t="shared" si="1"/>
        <v>0.17</v>
      </c>
      <c r="P624" s="9"/>
    </row>
    <row r="625">
      <c r="A625" s="6" t="s">
        <v>1724</v>
      </c>
      <c r="B625" s="6" t="s">
        <v>1359</v>
      </c>
      <c r="C625" s="6" t="s">
        <v>23</v>
      </c>
      <c r="D625" s="6" t="s">
        <v>1725</v>
      </c>
      <c r="E625" s="6" t="s">
        <v>1336</v>
      </c>
      <c r="F625" s="6" t="s">
        <v>103</v>
      </c>
      <c r="G625" s="7">
        <v>0.03</v>
      </c>
      <c r="H625" s="6" t="s">
        <v>163</v>
      </c>
      <c r="I625" s="6" t="s">
        <v>20</v>
      </c>
      <c r="J625" s="6">
        <v>2023.0</v>
      </c>
      <c r="K625" s="10">
        <v>46023.0</v>
      </c>
      <c r="L625" s="6">
        <v>1.0</v>
      </c>
      <c r="M625" s="8">
        <f t="shared" si="1"/>
        <v>0.03</v>
      </c>
      <c r="P625" s="9"/>
    </row>
    <row r="626">
      <c r="A626" s="6" t="s">
        <v>1726</v>
      </c>
      <c r="B626" s="6" t="s">
        <v>372</v>
      </c>
      <c r="C626" s="6" t="s">
        <v>23</v>
      </c>
      <c r="D626" s="6" t="s">
        <v>1727</v>
      </c>
      <c r="E626" s="6" t="s">
        <v>79</v>
      </c>
      <c r="F626" s="6" t="s">
        <v>51</v>
      </c>
      <c r="G626" s="7">
        <v>0.14</v>
      </c>
      <c r="H626" s="6" t="s">
        <v>581</v>
      </c>
      <c r="I626" s="6" t="s">
        <v>20</v>
      </c>
      <c r="J626" s="6">
        <v>2022.0</v>
      </c>
      <c r="L626" s="6">
        <v>1.0</v>
      </c>
      <c r="M626" s="8">
        <f t="shared" si="1"/>
        <v>0.14</v>
      </c>
      <c r="P626" s="9"/>
    </row>
    <row r="627">
      <c r="A627" s="6" t="s">
        <v>1728</v>
      </c>
      <c r="B627" s="6" t="s">
        <v>62</v>
      </c>
      <c r="C627" s="6" t="s">
        <v>23</v>
      </c>
      <c r="D627" s="6" t="s">
        <v>1729</v>
      </c>
      <c r="E627" s="6" t="s">
        <v>25</v>
      </c>
      <c r="F627" s="6" t="s">
        <v>18</v>
      </c>
      <c r="G627" s="7">
        <v>0.04</v>
      </c>
      <c r="H627" s="6" t="s">
        <v>184</v>
      </c>
      <c r="I627" s="6" t="s">
        <v>20</v>
      </c>
      <c r="J627" s="6">
        <v>2015.0</v>
      </c>
      <c r="L627" s="6">
        <v>3.0</v>
      </c>
      <c r="M627" s="8">
        <f t="shared" si="1"/>
        <v>0.12</v>
      </c>
      <c r="P627" s="9"/>
    </row>
    <row r="628">
      <c r="A628" s="6" t="s">
        <v>1730</v>
      </c>
      <c r="B628" s="6" t="s">
        <v>543</v>
      </c>
      <c r="C628" s="6" t="s">
        <v>34</v>
      </c>
      <c r="D628" s="6" t="s">
        <v>1731</v>
      </c>
      <c r="E628" s="6" t="s">
        <v>1080</v>
      </c>
      <c r="F628" s="6" t="s">
        <v>1732</v>
      </c>
      <c r="G628" s="7">
        <v>0.05</v>
      </c>
      <c r="H628" s="6" t="s">
        <v>1733</v>
      </c>
      <c r="I628" s="6" t="s">
        <v>55</v>
      </c>
      <c r="J628" s="6">
        <v>2025.0</v>
      </c>
      <c r="L628" s="6">
        <v>1.0</v>
      </c>
      <c r="M628" s="8">
        <f t="shared" si="1"/>
        <v>0.05</v>
      </c>
      <c r="P628" s="9"/>
    </row>
    <row r="629">
      <c r="A629" s="6" t="s">
        <v>1730</v>
      </c>
      <c r="B629" s="6" t="s">
        <v>543</v>
      </c>
      <c r="C629" s="6" t="s">
        <v>34</v>
      </c>
      <c r="D629" s="6" t="s">
        <v>1731</v>
      </c>
      <c r="E629" s="6" t="s">
        <v>1080</v>
      </c>
      <c r="F629" s="6" t="s">
        <v>1732</v>
      </c>
      <c r="G629" s="7">
        <v>0.05</v>
      </c>
      <c r="H629" s="6" t="s">
        <v>1733</v>
      </c>
      <c r="I629" s="6" t="s">
        <v>20</v>
      </c>
      <c r="J629" s="6">
        <v>2025.0</v>
      </c>
      <c r="L629" s="6">
        <v>3.0</v>
      </c>
      <c r="M629" s="8">
        <f t="shared" si="1"/>
        <v>0.15</v>
      </c>
      <c r="P629" s="9"/>
    </row>
    <row r="630">
      <c r="A630" s="6" t="s">
        <v>1734</v>
      </c>
      <c r="B630" s="6" t="s">
        <v>182</v>
      </c>
      <c r="C630" s="6" t="s">
        <v>23</v>
      </c>
      <c r="D630" s="6" t="s">
        <v>1735</v>
      </c>
      <c r="E630" s="6" t="s">
        <v>802</v>
      </c>
      <c r="F630" s="6" t="s">
        <v>98</v>
      </c>
      <c r="G630" s="7">
        <v>0.25</v>
      </c>
      <c r="H630" s="6" t="s">
        <v>384</v>
      </c>
      <c r="I630" s="6" t="s">
        <v>55</v>
      </c>
      <c r="J630" s="6">
        <v>2022.0</v>
      </c>
      <c r="L630" s="6">
        <v>2.0</v>
      </c>
      <c r="M630" s="8">
        <f t="shared" si="1"/>
        <v>0.5</v>
      </c>
      <c r="P630" s="9"/>
    </row>
    <row r="631">
      <c r="A631" s="6" t="s">
        <v>1736</v>
      </c>
      <c r="B631" s="6" t="s">
        <v>729</v>
      </c>
      <c r="C631" s="6" t="s">
        <v>23</v>
      </c>
      <c r="D631" s="6" t="s">
        <v>1737</v>
      </c>
      <c r="E631" s="6" t="s">
        <v>167</v>
      </c>
      <c r="F631" s="6" t="s">
        <v>103</v>
      </c>
      <c r="G631" s="7">
        <v>0.06</v>
      </c>
      <c r="H631" s="6" t="s">
        <v>45</v>
      </c>
      <c r="I631" s="6" t="s">
        <v>20</v>
      </c>
      <c r="J631" s="6">
        <v>2025.0</v>
      </c>
      <c r="K631" s="10">
        <v>46023.0</v>
      </c>
      <c r="L631" s="6">
        <v>5.0</v>
      </c>
      <c r="M631" s="8">
        <f t="shared" si="1"/>
        <v>0.3</v>
      </c>
      <c r="P631" s="9"/>
    </row>
    <row r="632">
      <c r="A632" s="6" t="s">
        <v>1738</v>
      </c>
      <c r="B632" s="6" t="s">
        <v>182</v>
      </c>
      <c r="C632" s="6" t="s">
        <v>41</v>
      </c>
      <c r="D632" s="6" t="s">
        <v>1739</v>
      </c>
      <c r="E632" s="6" t="s">
        <v>1740</v>
      </c>
      <c r="F632" s="6" t="s">
        <v>874</v>
      </c>
      <c r="G632" s="7">
        <v>0.46</v>
      </c>
      <c r="H632" s="6" t="s">
        <v>1084</v>
      </c>
      <c r="I632" s="6" t="s">
        <v>20</v>
      </c>
      <c r="J632" s="6">
        <v>2018.0</v>
      </c>
      <c r="L632" s="6">
        <v>2.0</v>
      </c>
      <c r="M632" s="8">
        <f t="shared" si="1"/>
        <v>0.92</v>
      </c>
      <c r="P632" s="9"/>
    </row>
    <row r="633">
      <c r="A633" s="6" t="s">
        <v>1741</v>
      </c>
      <c r="B633" s="6" t="s">
        <v>307</v>
      </c>
      <c r="C633" s="6" t="s">
        <v>23</v>
      </c>
      <c r="D633" s="6" t="s">
        <v>1742</v>
      </c>
      <c r="E633" s="6" t="s">
        <v>303</v>
      </c>
      <c r="F633" s="6" t="s">
        <v>37</v>
      </c>
      <c r="G633" s="7">
        <v>13.99</v>
      </c>
      <c r="H633" s="6" t="s">
        <v>163</v>
      </c>
      <c r="I633" s="6" t="s">
        <v>20</v>
      </c>
      <c r="J633" s="6">
        <v>2023.0</v>
      </c>
      <c r="L633" s="6">
        <v>1.0</v>
      </c>
      <c r="M633" s="8">
        <f t="shared" si="1"/>
        <v>13.99</v>
      </c>
      <c r="N633" s="6" t="s">
        <v>172</v>
      </c>
      <c r="P633" s="9"/>
    </row>
    <row r="634">
      <c r="A634" s="6" t="s">
        <v>1743</v>
      </c>
      <c r="B634" s="6" t="s">
        <v>694</v>
      </c>
      <c r="C634" s="6" t="s">
        <v>23</v>
      </c>
      <c r="D634" s="6" t="s">
        <v>1744</v>
      </c>
      <c r="E634" s="6" t="s">
        <v>36</v>
      </c>
      <c r="F634" s="6" t="s">
        <v>37</v>
      </c>
      <c r="G634" s="7">
        <v>0.05</v>
      </c>
      <c r="H634" s="6" t="s">
        <v>1745</v>
      </c>
      <c r="I634" s="6" t="s">
        <v>20</v>
      </c>
      <c r="J634" s="6">
        <v>2024.0</v>
      </c>
      <c r="K634" s="10">
        <v>46024.0</v>
      </c>
      <c r="L634" s="6">
        <v>1.0</v>
      </c>
      <c r="M634" s="8">
        <f t="shared" si="1"/>
        <v>0.05</v>
      </c>
      <c r="P634" s="9"/>
    </row>
    <row r="635">
      <c r="A635" s="6" t="s">
        <v>1743</v>
      </c>
      <c r="B635" s="6" t="s">
        <v>694</v>
      </c>
      <c r="C635" s="6" t="s">
        <v>23</v>
      </c>
      <c r="D635" s="6" t="s">
        <v>1744</v>
      </c>
      <c r="E635" s="6" t="s">
        <v>36</v>
      </c>
      <c r="F635" s="6" t="s">
        <v>37</v>
      </c>
      <c r="G635" s="7">
        <v>0.25</v>
      </c>
      <c r="H635" s="6" t="s">
        <v>1745</v>
      </c>
      <c r="I635" s="6" t="s">
        <v>55</v>
      </c>
      <c r="J635" s="6">
        <v>2024.0</v>
      </c>
      <c r="K635" s="10">
        <v>46024.0</v>
      </c>
      <c r="L635" s="6">
        <v>1.0</v>
      </c>
      <c r="M635" s="8">
        <f t="shared" si="1"/>
        <v>0.25</v>
      </c>
      <c r="P635" s="9"/>
    </row>
    <row r="636">
      <c r="A636" s="6" t="s">
        <v>1746</v>
      </c>
      <c r="B636" s="6" t="s">
        <v>62</v>
      </c>
      <c r="C636" s="6" t="s">
        <v>23</v>
      </c>
      <c r="D636" s="6" t="s">
        <v>1747</v>
      </c>
      <c r="E636" s="6" t="s">
        <v>293</v>
      </c>
      <c r="F636" s="6" t="s">
        <v>18</v>
      </c>
      <c r="G636" s="7">
        <v>0.03</v>
      </c>
      <c r="H636" s="6" t="s">
        <v>1514</v>
      </c>
      <c r="I636" s="6" t="s">
        <v>20</v>
      </c>
      <c r="J636" s="6">
        <v>2009.0</v>
      </c>
      <c r="L636" s="6">
        <v>1.0</v>
      </c>
      <c r="M636" s="8">
        <f t="shared" si="1"/>
        <v>0.03</v>
      </c>
      <c r="P636" s="9"/>
    </row>
    <row r="637">
      <c r="A637" s="6" t="s">
        <v>1746</v>
      </c>
      <c r="B637" s="6" t="s">
        <v>62</v>
      </c>
      <c r="C637" s="6" t="s">
        <v>23</v>
      </c>
      <c r="D637" s="6" t="s">
        <v>1747</v>
      </c>
      <c r="E637" s="6" t="s">
        <v>293</v>
      </c>
      <c r="F637" s="6" t="s">
        <v>18</v>
      </c>
      <c r="G637" s="7">
        <v>0.03</v>
      </c>
      <c r="H637" s="6" t="s">
        <v>1748</v>
      </c>
      <c r="I637" s="6" t="s">
        <v>20</v>
      </c>
      <c r="J637" s="6">
        <v>2008.0</v>
      </c>
      <c r="L637" s="6">
        <v>1.0</v>
      </c>
      <c r="M637" s="8">
        <f t="shared" si="1"/>
        <v>0.03</v>
      </c>
      <c r="P637" s="9"/>
    </row>
    <row r="638">
      <c r="A638" s="6" t="s">
        <v>1749</v>
      </c>
      <c r="B638" s="6" t="s">
        <v>372</v>
      </c>
      <c r="C638" s="6" t="s">
        <v>23</v>
      </c>
      <c r="D638" s="6" t="s">
        <v>1750</v>
      </c>
      <c r="E638" s="6" t="s">
        <v>50</v>
      </c>
      <c r="F638" s="6" t="s">
        <v>51</v>
      </c>
      <c r="G638" s="7">
        <v>0.03</v>
      </c>
      <c r="H638" s="6" t="s">
        <v>1084</v>
      </c>
      <c r="I638" s="6" t="s">
        <v>20</v>
      </c>
      <c r="J638" s="6">
        <v>2018.0</v>
      </c>
      <c r="L638" s="6">
        <v>1.0</v>
      </c>
      <c r="M638" s="8">
        <f t="shared" si="1"/>
        <v>0.03</v>
      </c>
      <c r="P638" s="9"/>
    </row>
    <row r="639">
      <c r="A639" s="6" t="s">
        <v>1751</v>
      </c>
      <c r="B639" s="6" t="s">
        <v>561</v>
      </c>
      <c r="C639" s="6" t="s">
        <v>48</v>
      </c>
      <c r="D639" s="6" t="s">
        <v>1752</v>
      </c>
      <c r="E639" s="6" t="s">
        <v>149</v>
      </c>
      <c r="F639" s="6" t="s">
        <v>18</v>
      </c>
      <c r="G639" s="7">
        <v>0.09</v>
      </c>
      <c r="H639" s="6" t="s">
        <v>216</v>
      </c>
      <c r="I639" s="6" t="s">
        <v>20</v>
      </c>
      <c r="J639" s="6">
        <v>2024.0</v>
      </c>
      <c r="K639" s="6" t="s">
        <v>137</v>
      </c>
      <c r="L639" s="6">
        <v>1.0</v>
      </c>
      <c r="M639" s="8">
        <f t="shared" si="1"/>
        <v>0.09</v>
      </c>
      <c r="P639" s="9"/>
    </row>
    <row r="640">
      <c r="A640" s="6" t="s">
        <v>1753</v>
      </c>
      <c r="B640" s="6" t="s">
        <v>1754</v>
      </c>
      <c r="C640" s="6" t="s">
        <v>23</v>
      </c>
      <c r="D640" s="6" t="s">
        <v>1755</v>
      </c>
      <c r="E640" s="6" t="s">
        <v>1321</v>
      </c>
      <c r="F640" s="6" t="s">
        <v>103</v>
      </c>
      <c r="G640" s="7">
        <v>0.04</v>
      </c>
      <c r="H640" s="6" t="s">
        <v>45</v>
      </c>
      <c r="I640" s="6" t="s">
        <v>20</v>
      </c>
      <c r="J640" s="6">
        <v>2025.0</v>
      </c>
      <c r="K640" s="10">
        <v>46179.0</v>
      </c>
      <c r="L640" s="6">
        <v>3.0</v>
      </c>
      <c r="M640" s="8">
        <f t="shared" si="1"/>
        <v>0.12</v>
      </c>
      <c r="P640" s="9"/>
    </row>
    <row r="641">
      <c r="A641" s="6" t="s">
        <v>1756</v>
      </c>
      <c r="B641" s="6" t="s">
        <v>1757</v>
      </c>
      <c r="C641" s="6" t="s">
        <v>23</v>
      </c>
      <c r="E641" s="6" t="s">
        <v>533</v>
      </c>
      <c r="F641" s="6" t="s">
        <v>65</v>
      </c>
      <c r="G641" s="7">
        <v>0.05</v>
      </c>
      <c r="H641" s="6" t="s">
        <v>701</v>
      </c>
      <c r="I641" s="6" t="s">
        <v>20</v>
      </c>
      <c r="J641" s="6">
        <v>2009.0</v>
      </c>
      <c r="K641" s="10">
        <v>46084.0</v>
      </c>
      <c r="L641" s="6">
        <v>2.0</v>
      </c>
      <c r="M641" s="8">
        <f t="shared" si="1"/>
        <v>0.1</v>
      </c>
      <c r="P641" s="9"/>
    </row>
    <row r="642">
      <c r="A642" s="6" t="s">
        <v>1758</v>
      </c>
      <c r="B642" s="6" t="s">
        <v>1759</v>
      </c>
      <c r="C642" s="6" t="s">
        <v>23</v>
      </c>
      <c r="D642" s="6" t="s">
        <v>1760</v>
      </c>
      <c r="E642" s="6" t="s">
        <v>112</v>
      </c>
      <c r="F642" s="6" t="s">
        <v>65</v>
      </c>
      <c r="G642" s="7">
        <v>0.08</v>
      </c>
      <c r="H642" s="6" t="s">
        <v>494</v>
      </c>
      <c r="I642" s="6" t="s">
        <v>20</v>
      </c>
      <c r="J642" s="6">
        <v>2003.0</v>
      </c>
      <c r="K642" s="10">
        <v>46024.0</v>
      </c>
      <c r="L642" s="6">
        <v>1.0</v>
      </c>
      <c r="M642" s="8">
        <f t="shared" si="1"/>
        <v>0.08</v>
      </c>
      <c r="P642" s="9"/>
    </row>
    <row r="643">
      <c r="A643" s="6" t="s">
        <v>1761</v>
      </c>
      <c r="B643" s="6" t="s">
        <v>1762</v>
      </c>
      <c r="C643" s="6" t="s">
        <v>23</v>
      </c>
      <c r="D643" s="6" t="s">
        <v>1763</v>
      </c>
      <c r="E643" s="6" t="s">
        <v>118</v>
      </c>
      <c r="F643" s="6" t="s">
        <v>51</v>
      </c>
      <c r="G643" s="7">
        <v>0.07</v>
      </c>
      <c r="H643" s="6" t="s">
        <v>574</v>
      </c>
      <c r="I643" s="6" t="s">
        <v>20</v>
      </c>
      <c r="J643" s="6">
        <v>2000.0</v>
      </c>
      <c r="K643" s="10">
        <v>46054.0</v>
      </c>
      <c r="L643" s="6">
        <v>1.0</v>
      </c>
      <c r="M643" s="8">
        <f t="shared" si="1"/>
        <v>0.07</v>
      </c>
      <c r="P643" s="9"/>
    </row>
    <row r="644">
      <c r="A644" s="6" t="s">
        <v>1764</v>
      </c>
      <c r="B644" s="6" t="s">
        <v>1765</v>
      </c>
      <c r="C644" s="6" t="s">
        <v>34</v>
      </c>
      <c r="D644" s="6" t="s">
        <v>1766</v>
      </c>
      <c r="E644" s="6" t="s">
        <v>1767</v>
      </c>
      <c r="F644" s="6" t="s">
        <v>18</v>
      </c>
      <c r="G644" s="7">
        <v>0.08</v>
      </c>
      <c r="H644" s="6" t="s">
        <v>19</v>
      </c>
      <c r="I644" s="6" t="s">
        <v>20</v>
      </c>
      <c r="J644" s="6">
        <v>2023.0</v>
      </c>
      <c r="K644" s="10">
        <v>46083.0</v>
      </c>
      <c r="L644" s="6">
        <v>2.0</v>
      </c>
      <c r="M644" s="8">
        <f t="shared" si="1"/>
        <v>0.16</v>
      </c>
      <c r="P644" s="9"/>
    </row>
    <row r="645">
      <c r="A645" s="6" t="s">
        <v>1768</v>
      </c>
      <c r="B645" s="6" t="s">
        <v>1769</v>
      </c>
      <c r="C645" s="6" t="s">
        <v>41</v>
      </c>
      <c r="D645" s="6" t="s">
        <v>1770</v>
      </c>
      <c r="E645" s="6" t="s">
        <v>1771</v>
      </c>
      <c r="F645" s="6" t="s">
        <v>51</v>
      </c>
      <c r="G645" s="7">
        <v>29.7</v>
      </c>
      <c r="H645" s="6" t="s">
        <v>26</v>
      </c>
      <c r="I645" s="6" t="s">
        <v>20</v>
      </c>
      <c r="J645" s="6">
        <v>2026.0</v>
      </c>
      <c r="K645" s="10">
        <v>46116.0</v>
      </c>
      <c r="L645" s="6">
        <v>1.0</v>
      </c>
      <c r="M645" s="8">
        <f t="shared" si="1"/>
        <v>29.7</v>
      </c>
      <c r="P645" s="9"/>
    </row>
    <row r="646">
      <c r="A646" s="6" t="s">
        <v>1772</v>
      </c>
      <c r="B646" s="6" t="s">
        <v>1773</v>
      </c>
      <c r="C646" s="6" t="s">
        <v>48</v>
      </c>
      <c r="D646" s="6" t="s">
        <v>1774</v>
      </c>
      <c r="E646" s="6" t="s">
        <v>64</v>
      </c>
      <c r="F646" s="6" t="s">
        <v>65</v>
      </c>
      <c r="G646" s="7">
        <v>0.18</v>
      </c>
      <c r="H646" s="6" t="s">
        <v>163</v>
      </c>
      <c r="I646" s="6" t="s">
        <v>20</v>
      </c>
      <c r="J646" s="6">
        <v>2023.0</v>
      </c>
      <c r="K646" s="10">
        <v>46056.0</v>
      </c>
      <c r="L646" s="6">
        <v>1.0</v>
      </c>
      <c r="M646" s="8">
        <f t="shared" si="1"/>
        <v>0.18</v>
      </c>
      <c r="P646" s="9"/>
    </row>
    <row r="647">
      <c r="A647" s="6" t="s">
        <v>1775</v>
      </c>
      <c r="B647" s="6" t="s">
        <v>194</v>
      </c>
      <c r="C647" s="6" t="s">
        <v>23</v>
      </c>
      <c r="D647" s="6" t="s">
        <v>1776</v>
      </c>
      <c r="E647" s="6" t="s">
        <v>175</v>
      </c>
      <c r="F647" s="6" t="s">
        <v>51</v>
      </c>
      <c r="G647" s="7">
        <v>1.0</v>
      </c>
      <c r="H647" s="6" t="s">
        <v>26</v>
      </c>
      <c r="I647" s="6" t="s">
        <v>20</v>
      </c>
      <c r="J647" s="6">
        <v>2026.0</v>
      </c>
      <c r="L647" s="6">
        <v>1.0</v>
      </c>
      <c r="M647" s="8">
        <f t="shared" si="1"/>
        <v>1</v>
      </c>
      <c r="P647" s="9"/>
    </row>
    <row r="648">
      <c r="A648" s="6" t="s">
        <v>1777</v>
      </c>
      <c r="B648" s="6" t="s">
        <v>372</v>
      </c>
      <c r="C648" s="6" t="s">
        <v>23</v>
      </c>
      <c r="D648" s="6" t="s">
        <v>1778</v>
      </c>
      <c r="E648" s="6" t="s">
        <v>30</v>
      </c>
      <c r="F648" s="6" t="s">
        <v>18</v>
      </c>
      <c r="G648" s="7">
        <v>0.03</v>
      </c>
      <c r="H648" s="6" t="s">
        <v>1084</v>
      </c>
      <c r="I648" s="6" t="s">
        <v>20</v>
      </c>
      <c r="J648" s="6">
        <v>2018.0</v>
      </c>
      <c r="L648" s="6">
        <v>1.0</v>
      </c>
      <c r="M648" s="8">
        <f t="shared" si="1"/>
        <v>0.03</v>
      </c>
      <c r="P648" s="9"/>
    </row>
    <row r="649">
      <c r="A649" s="6" t="s">
        <v>1779</v>
      </c>
      <c r="B649" s="6" t="s">
        <v>372</v>
      </c>
      <c r="C649" s="6" t="s">
        <v>23</v>
      </c>
      <c r="D649" s="6" t="s">
        <v>1780</v>
      </c>
      <c r="E649" s="6" t="s">
        <v>270</v>
      </c>
      <c r="F649" s="6" t="s">
        <v>159</v>
      </c>
      <c r="G649" s="7">
        <v>0.14</v>
      </c>
      <c r="H649" s="6" t="s">
        <v>418</v>
      </c>
      <c r="I649" s="6" t="s">
        <v>20</v>
      </c>
      <c r="J649" s="6">
        <v>2022.0</v>
      </c>
      <c r="L649" s="6">
        <v>1.0</v>
      </c>
      <c r="M649" s="8">
        <f t="shared" si="1"/>
        <v>0.14</v>
      </c>
      <c r="P649" s="9"/>
    </row>
    <row r="650">
      <c r="A650" s="6" t="s">
        <v>1781</v>
      </c>
      <c r="B650" s="6" t="s">
        <v>1782</v>
      </c>
      <c r="C650" s="6" t="s">
        <v>48</v>
      </c>
      <c r="D650" s="6" t="s">
        <v>1783</v>
      </c>
      <c r="E650" s="6" t="s">
        <v>1311</v>
      </c>
      <c r="F650" s="6" t="s">
        <v>426</v>
      </c>
      <c r="G650" s="7">
        <v>0.08</v>
      </c>
      <c r="H650" s="6" t="s">
        <v>1784</v>
      </c>
      <c r="I650" s="6" t="s">
        <v>20</v>
      </c>
      <c r="J650" s="6">
        <v>2013.0</v>
      </c>
      <c r="K650" s="10">
        <v>46057.0</v>
      </c>
      <c r="L650" s="6">
        <v>1.0</v>
      </c>
      <c r="M650" s="8">
        <f t="shared" si="1"/>
        <v>0.08</v>
      </c>
      <c r="P650" s="9"/>
    </row>
    <row r="651">
      <c r="A651" s="6" t="s">
        <v>1785</v>
      </c>
      <c r="B651" s="6" t="s">
        <v>1786</v>
      </c>
      <c r="C651" s="6" t="s">
        <v>15</v>
      </c>
      <c r="D651" s="6" t="s">
        <v>1787</v>
      </c>
      <c r="E651" s="6" t="s">
        <v>1788</v>
      </c>
      <c r="F651" s="6" t="s">
        <v>215</v>
      </c>
      <c r="G651" s="7">
        <v>0.09</v>
      </c>
      <c r="H651" s="6" t="s">
        <v>1692</v>
      </c>
      <c r="I651" s="6" t="s">
        <v>20</v>
      </c>
      <c r="J651" s="6">
        <v>2021.0</v>
      </c>
      <c r="K651" s="10">
        <v>46085.0</v>
      </c>
      <c r="L651" s="6">
        <v>1.0</v>
      </c>
      <c r="M651" s="8">
        <f t="shared" si="1"/>
        <v>0.09</v>
      </c>
      <c r="P651" s="9"/>
    </row>
    <row r="652">
      <c r="A652" s="6" t="s">
        <v>1789</v>
      </c>
      <c r="B652" s="6" t="s">
        <v>1790</v>
      </c>
      <c r="C652" s="6" t="s">
        <v>48</v>
      </c>
      <c r="D652" s="6" t="s">
        <v>1791</v>
      </c>
      <c r="E652" s="6" t="s">
        <v>1792</v>
      </c>
      <c r="F652" s="6" t="s">
        <v>426</v>
      </c>
      <c r="G652" s="7">
        <v>0.13</v>
      </c>
      <c r="H652" s="6" t="s">
        <v>185</v>
      </c>
      <c r="I652" s="6" t="s">
        <v>20</v>
      </c>
      <c r="J652" s="6">
        <v>2019.0</v>
      </c>
      <c r="L652" s="6">
        <v>4.0</v>
      </c>
      <c r="M652" s="8">
        <f t="shared" si="1"/>
        <v>0.52</v>
      </c>
      <c r="P652" s="9"/>
    </row>
    <row r="653">
      <c r="A653" s="6" t="s">
        <v>1789</v>
      </c>
      <c r="B653" s="6" t="s">
        <v>1790</v>
      </c>
      <c r="C653" s="6" t="s">
        <v>48</v>
      </c>
      <c r="D653" s="6" t="s">
        <v>1791</v>
      </c>
      <c r="E653" s="6" t="s">
        <v>1792</v>
      </c>
      <c r="F653" s="6" t="s">
        <v>426</v>
      </c>
      <c r="G653" s="7">
        <v>0.09</v>
      </c>
      <c r="H653" s="6" t="s">
        <v>185</v>
      </c>
      <c r="I653" s="6" t="s">
        <v>20</v>
      </c>
      <c r="J653" s="6">
        <v>2019.0</v>
      </c>
      <c r="L653" s="6">
        <v>1.0</v>
      </c>
      <c r="M653" s="8">
        <f t="shared" si="1"/>
        <v>0.09</v>
      </c>
      <c r="N653" s="6" t="s">
        <v>518</v>
      </c>
      <c r="P653" s="9"/>
    </row>
    <row r="654">
      <c r="A654" s="6" t="s">
        <v>1793</v>
      </c>
      <c r="B654" s="6" t="s">
        <v>1794</v>
      </c>
      <c r="C654" s="6" t="s">
        <v>15</v>
      </c>
      <c r="D654" s="6" t="s">
        <v>1795</v>
      </c>
      <c r="E654" s="6" t="s">
        <v>1796</v>
      </c>
      <c r="F654" s="6" t="s">
        <v>1797</v>
      </c>
      <c r="G654" s="7">
        <v>0.08</v>
      </c>
      <c r="H654" s="6" t="s">
        <v>19</v>
      </c>
      <c r="I654" s="6" t="s">
        <v>20</v>
      </c>
      <c r="J654" s="6">
        <v>2023.0</v>
      </c>
      <c r="K654" s="10">
        <v>46084.0</v>
      </c>
      <c r="L654" s="6">
        <v>2.0</v>
      </c>
      <c r="M654" s="8">
        <f t="shared" si="1"/>
        <v>0.16</v>
      </c>
      <c r="P654" s="9"/>
    </row>
    <row r="655">
      <c r="A655" s="6" t="s">
        <v>1798</v>
      </c>
      <c r="B655" s="6" t="s">
        <v>1799</v>
      </c>
      <c r="C655" s="6" t="s">
        <v>41</v>
      </c>
      <c r="D655" s="6" t="s">
        <v>1800</v>
      </c>
      <c r="E655" s="6" t="s">
        <v>124</v>
      </c>
      <c r="F655" s="6" t="s">
        <v>103</v>
      </c>
      <c r="G655" s="7">
        <v>0.1</v>
      </c>
      <c r="H655" s="6" t="s">
        <v>109</v>
      </c>
      <c r="I655" s="6" t="s">
        <v>20</v>
      </c>
      <c r="J655" s="6">
        <v>1995.0</v>
      </c>
      <c r="K655" s="6" t="s">
        <v>422</v>
      </c>
      <c r="L655" s="6">
        <v>2.0</v>
      </c>
      <c r="M655" s="8">
        <f t="shared" si="1"/>
        <v>0.2</v>
      </c>
      <c r="P655" s="9"/>
    </row>
    <row r="656">
      <c r="A656" s="6" t="s">
        <v>1798</v>
      </c>
      <c r="B656" s="6" t="s">
        <v>1799</v>
      </c>
      <c r="C656" s="6" t="s">
        <v>41</v>
      </c>
      <c r="D656" s="6" t="s">
        <v>1800</v>
      </c>
      <c r="E656" s="6" t="s">
        <v>124</v>
      </c>
      <c r="F656" s="6" t="s">
        <v>103</v>
      </c>
      <c r="G656" s="7">
        <v>0.15</v>
      </c>
      <c r="H656" s="6" t="s">
        <v>1382</v>
      </c>
      <c r="I656" s="6" t="s">
        <v>20</v>
      </c>
      <c r="J656" s="6">
        <v>1995.0</v>
      </c>
      <c r="K656" s="6" t="s">
        <v>422</v>
      </c>
      <c r="L656" s="6">
        <v>1.0</v>
      </c>
      <c r="M656" s="8">
        <f t="shared" si="1"/>
        <v>0.15</v>
      </c>
      <c r="P656" s="9"/>
    </row>
    <row r="657">
      <c r="A657" s="6" t="s">
        <v>1801</v>
      </c>
      <c r="B657" s="6" t="s">
        <v>1799</v>
      </c>
      <c r="C657" s="6" t="s">
        <v>23</v>
      </c>
      <c r="D657" s="6" t="s">
        <v>1802</v>
      </c>
      <c r="E657" s="6" t="s">
        <v>167</v>
      </c>
      <c r="F657" s="6" t="s">
        <v>103</v>
      </c>
      <c r="G657" s="7">
        <v>0.1</v>
      </c>
      <c r="H657" s="6" t="s">
        <v>1803</v>
      </c>
      <c r="I657" s="6" t="s">
        <v>20</v>
      </c>
      <c r="J657" s="6">
        <v>1998.0</v>
      </c>
      <c r="K657" s="10">
        <v>46023.0</v>
      </c>
      <c r="L657" s="6">
        <v>1.0</v>
      </c>
      <c r="M657" s="8">
        <f t="shared" si="1"/>
        <v>0.1</v>
      </c>
      <c r="P657" s="9"/>
    </row>
    <row r="658">
      <c r="A658" s="6" t="s">
        <v>1804</v>
      </c>
      <c r="B658" s="6" t="s">
        <v>1805</v>
      </c>
      <c r="C658" s="6" t="s">
        <v>23</v>
      </c>
      <c r="D658" s="6" t="s">
        <v>1806</v>
      </c>
      <c r="E658" s="6" t="s">
        <v>235</v>
      </c>
      <c r="F658" s="6" t="s">
        <v>103</v>
      </c>
      <c r="G658" s="7">
        <v>0.06</v>
      </c>
      <c r="H658" s="6" t="s">
        <v>188</v>
      </c>
      <c r="I658" s="6" t="s">
        <v>20</v>
      </c>
      <c r="J658" s="6">
        <v>2014.0</v>
      </c>
      <c r="K658" s="10">
        <v>46055.0</v>
      </c>
      <c r="L658" s="6">
        <v>1.0</v>
      </c>
      <c r="M658" s="8">
        <f t="shared" si="1"/>
        <v>0.06</v>
      </c>
      <c r="P658" s="9"/>
    </row>
    <row r="659">
      <c r="A659" s="6" t="s">
        <v>1807</v>
      </c>
      <c r="B659" s="6" t="s">
        <v>1808</v>
      </c>
      <c r="C659" s="6" t="s">
        <v>48</v>
      </c>
      <c r="D659" s="6" t="s">
        <v>1809</v>
      </c>
      <c r="E659" s="6" t="s">
        <v>153</v>
      </c>
      <c r="F659" s="6" t="s">
        <v>103</v>
      </c>
      <c r="G659" s="7">
        <v>0.05</v>
      </c>
      <c r="H659" s="6" t="s">
        <v>1810</v>
      </c>
      <c r="I659" s="6" t="s">
        <v>20</v>
      </c>
      <c r="J659" s="6">
        <v>2020.0</v>
      </c>
      <c r="K659" s="6" t="s">
        <v>137</v>
      </c>
      <c r="L659" s="6">
        <v>1.0</v>
      </c>
      <c r="M659" s="8">
        <f t="shared" si="1"/>
        <v>0.05</v>
      </c>
      <c r="P659" s="9"/>
    </row>
    <row r="660">
      <c r="A660" s="6" t="s">
        <v>1811</v>
      </c>
      <c r="B660" s="6" t="s">
        <v>1359</v>
      </c>
      <c r="C660" s="6" t="s">
        <v>23</v>
      </c>
      <c r="D660" s="6" t="s">
        <v>1812</v>
      </c>
      <c r="E660" s="6" t="s">
        <v>153</v>
      </c>
      <c r="F660" s="6" t="s">
        <v>103</v>
      </c>
      <c r="G660" s="7">
        <v>0.03</v>
      </c>
      <c r="H660" s="6" t="s">
        <v>185</v>
      </c>
      <c r="I660" s="6" t="s">
        <v>20</v>
      </c>
      <c r="J660" s="6">
        <v>2019.0</v>
      </c>
      <c r="K660" s="10">
        <v>46083.0</v>
      </c>
      <c r="L660" s="6">
        <v>2.0</v>
      </c>
      <c r="M660" s="8">
        <f t="shared" si="1"/>
        <v>0.06</v>
      </c>
      <c r="P660" s="9"/>
    </row>
    <row r="661">
      <c r="A661" s="6" t="s">
        <v>1813</v>
      </c>
      <c r="B661" s="6" t="s">
        <v>1805</v>
      </c>
      <c r="C661" s="6" t="s">
        <v>23</v>
      </c>
      <c r="D661" s="6" t="s">
        <v>974</v>
      </c>
      <c r="E661" s="6" t="s">
        <v>153</v>
      </c>
      <c r="F661" s="6" t="s">
        <v>103</v>
      </c>
      <c r="G661" s="7">
        <v>0.03</v>
      </c>
      <c r="H661" s="6" t="s">
        <v>265</v>
      </c>
      <c r="I661" s="6" t="s">
        <v>20</v>
      </c>
      <c r="J661" s="6">
        <v>2017.0</v>
      </c>
      <c r="K661" s="10">
        <v>46025.0</v>
      </c>
      <c r="L661" s="6">
        <v>1.0</v>
      </c>
      <c r="M661" s="8">
        <f t="shared" si="1"/>
        <v>0.03</v>
      </c>
      <c r="P661" s="9"/>
    </row>
    <row r="662">
      <c r="A662" s="6" t="s">
        <v>1814</v>
      </c>
      <c r="B662" s="6" t="s">
        <v>1815</v>
      </c>
      <c r="C662" s="6" t="s">
        <v>23</v>
      </c>
      <c r="D662" s="6" t="s">
        <v>1816</v>
      </c>
      <c r="E662" s="6" t="s">
        <v>118</v>
      </c>
      <c r="F662" s="6" t="s">
        <v>51</v>
      </c>
      <c r="G662" s="7">
        <v>0.45</v>
      </c>
      <c r="H662" s="6" t="s">
        <v>994</v>
      </c>
      <c r="I662" s="6" t="s">
        <v>55</v>
      </c>
      <c r="J662" s="6">
        <v>2024.0</v>
      </c>
      <c r="L662" s="6">
        <v>4.0</v>
      </c>
      <c r="M662" s="8">
        <f t="shared" si="1"/>
        <v>1.8</v>
      </c>
      <c r="P662" s="9"/>
    </row>
    <row r="663">
      <c r="A663" s="6" t="s">
        <v>1817</v>
      </c>
      <c r="B663" s="6" t="s">
        <v>1818</v>
      </c>
      <c r="C663" s="6" t="s">
        <v>23</v>
      </c>
      <c r="D663" s="6" t="s">
        <v>1819</v>
      </c>
      <c r="E663" s="6" t="s">
        <v>149</v>
      </c>
      <c r="F663" s="6" t="s">
        <v>18</v>
      </c>
      <c r="G663" s="7">
        <v>0.05</v>
      </c>
      <c r="H663" s="6" t="s">
        <v>562</v>
      </c>
      <c r="I663" s="6" t="s">
        <v>20</v>
      </c>
      <c r="J663" s="6">
        <v>2017.0</v>
      </c>
      <c r="L663" s="6">
        <v>1.0</v>
      </c>
      <c r="M663" s="8">
        <f t="shared" si="1"/>
        <v>0.05</v>
      </c>
      <c r="P663" s="9"/>
    </row>
    <row r="664">
      <c r="A664" s="6" t="s">
        <v>1820</v>
      </c>
      <c r="B664" s="6" t="s">
        <v>1818</v>
      </c>
      <c r="C664" s="6" t="s">
        <v>23</v>
      </c>
      <c r="D664" s="6" t="s">
        <v>1821</v>
      </c>
      <c r="E664" s="6" t="s">
        <v>175</v>
      </c>
      <c r="F664" s="6" t="s">
        <v>51</v>
      </c>
      <c r="G664" s="7">
        <v>0.3</v>
      </c>
      <c r="H664" s="6" t="s">
        <v>562</v>
      </c>
      <c r="I664" s="6" t="s">
        <v>20</v>
      </c>
      <c r="J664" s="6">
        <v>2017.0</v>
      </c>
      <c r="L664" s="6">
        <v>1.0</v>
      </c>
      <c r="M664" s="8">
        <f t="shared" si="1"/>
        <v>0.3</v>
      </c>
      <c r="P664" s="9"/>
    </row>
    <row r="665">
      <c r="A665" s="6" t="s">
        <v>1822</v>
      </c>
      <c r="B665" s="6" t="s">
        <v>1818</v>
      </c>
      <c r="C665" s="6" t="s">
        <v>23</v>
      </c>
      <c r="D665" s="6" t="s">
        <v>1823</v>
      </c>
      <c r="E665" s="6" t="s">
        <v>270</v>
      </c>
      <c r="F665" s="6" t="s">
        <v>159</v>
      </c>
      <c r="G665" s="7">
        <v>0.06</v>
      </c>
      <c r="H665" s="6" t="s">
        <v>562</v>
      </c>
      <c r="I665" s="6" t="s">
        <v>20</v>
      </c>
      <c r="J665" s="6">
        <v>2017.0</v>
      </c>
      <c r="L665" s="6">
        <v>2.0</v>
      </c>
      <c r="M665" s="8">
        <f t="shared" si="1"/>
        <v>0.12</v>
      </c>
      <c r="P665" s="9"/>
    </row>
    <row r="666">
      <c r="A666" s="6" t="s">
        <v>1824</v>
      </c>
      <c r="B666" s="6" t="s">
        <v>1825</v>
      </c>
      <c r="C666" s="6" t="s">
        <v>72</v>
      </c>
      <c r="D666" s="6" t="s">
        <v>1826</v>
      </c>
      <c r="E666" s="6" t="s">
        <v>890</v>
      </c>
      <c r="F666" s="6" t="s">
        <v>37</v>
      </c>
      <c r="G666" s="7">
        <v>0.09</v>
      </c>
      <c r="H666" s="6" t="s">
        <v>146</v>
      </c>
      <c r="I666" s="6" t="s">
        <v>20</v>
      </c>
      <c r="J666" s="6">
        <v>2010.0</v>
      </c>
      <c r="K666" s="10">
        <v>46055.0</v>
      </c>
      <c r="L666" s="6">
        <v>1.0</v>
      </c>
      <c r="M666" s="8">
        <f t="shared" si="1"/>
        <v>0.09</v>
      </c>
      <c r="P666" s="9"/>
    </row>
    <row r="667">
      <c r="A667" s="6" t="s">
        <v>1827</v>
      </c>
      <c r="B667" s="6" t="s">
        <v>1828</v>
      </c>
      <c r="C667" s="6" t="s">
        <v>48</v>
      </c>
      <c r="D667" s="6" t="s">
        <v>1829</v>
      </c>
      <c r="E667" s="6" t="s">
        <v>79</v>
      </c>
      <c r="F667" s="6" t="s">
        <v>51</v>
      </c>
      <c r="G667" s="7">
        <v>0.06</v>
      </c>
      <c r="H667" s="6" t="s">
        <v>346</v>
      </c>
      <c r="I667" s="6" t="s">
        <v>20</v>
      </c>
      <c r="J667" s="6">
        <v>2024.0</v>
      </c>
      <c r="K667" s="10">
        <v>46113.0</v>
      </c>
      <c r="L667" s="6">
        <v>1.0</v>
      </c>
      <c r="M667" s="8">
        <f t="shared" si="1"/>
        <v>0.06</v>
      </c>
      <c r="P667" s="9"/>
    </row>
    <row r="668">
      <c r="A668" s="6" t="s">
        <v>1830</v>
      </c>
      <c r="B668" s="6" t="s">
        <v>1831</v>
      </c>
      <c r="C668" s="6" t="s">
        <v>48</v>
      </c>
      <c r="D668" s="6" t="s">
        <v>1832</v>
      </c>
      <c r="E668" s="6" t="s">
        <v>118</v>
      </c>
      <c r="F668" s="6" t="s">
        <v>51</v>
      </c>
      <c r="G668" s="7">
        <v>1.2</v>
      </c>
      <c r="H668" s="6" t="s">
        <v>346</v>
      </c>
      <c r="I668" s="6" t="s">
        <v>55</v>
      </c>
      <c r="J668" s="6">
        <v>2024.0</v>
      </c>
      <c r="L668" s="6">
        <v>1.0</v>
      </c>
      <c r="M668" s="8">
        <f t="shared" si="1"/>
        <v>1.2</v>
      </c>
      <c r="N668" s="6" t="s">
        <v>172</v>
      </c>
      <c r="P668" s="9"/>
    </row>
    <row r="669">
      <c r="A669" s="6" t="s">
        <v>1833</v>
      </c>
      <c r="B669" s="6" t="s">
        <v>1834</v>
      </c>
      <c r="C669" s="6" t="s">
        <v>48</v>
      </c>
      <c r="D669" s="6" t="s">
        <v>1835</v>
      </c>
      <c r="E669" s="6" t="s">
        <v>112</v>
      </c>
      <c r="F669" s="6" t="s">
        <v>65</v>
      </c>
      <c r="G669" s="7">
        <v>0.1</v>
      </c>
      <c r="H669" s="6" t="s">
        <v>192</v>
      </c>
      <c r="I669" s="6" t="s">
        <v>20</v>
      </c>
      <c r="J669" s="6">
        <v>2026.0</v>
      </c>
      <c r="K669" s="10">
        <v>46024.0</v>
      </c>
      <c r="L669" s="6">
        <v>2.0</v>
      </c>
      <c r="M669" s="8">
        <f t="shared" si="1"/>
        <v>0.2</v>
      </c>
      <c r="P669" s="9"/>
    </row>
    <row r="670">
      <c r="A670" s="6" t="s">
        <v>1836</v>
      </c>
      <c r="B670" s="6" t="s">
        <v>372</v>
      </c>
      <c r="C670" s="6" t="s">
        <v>23</v>
      </c>
      <c r="D670" s="6" t="s">
        <v>1837</v>
      </c>
      <c r="E670" s="6" t="s">
        <v>102</v>
      </c>
      <c r="F670" s="6" t="s">
        <v>103</v>
      </c>
      <c r="G670" s="7">
        <v>0.03</v>
      </c>
      <c r="H670" s="6" t="s">
        <v>359</v>
      </c>
      <c r="I670" s="6" t="s">
        <v>20</v>
      </c>
      <c r="J670" s="6">
        <v>2014.0</v>
      </c>
      <c r="L670" s="6">
        <v>3.0</v>
      </c>
      <c r="M670" s="8">
        <f t="shared" si="1"/>
        <v>0.09</v>
      </c>
      <c r="P670" s="9"/>
    </row>
    <row r="671">
      <c r="A671" s="6" t="s">
        <v>1836</v>
      </c>
      <c r="B671" s="6" t="s">
        <v>372</v>
      </c>
      <c r="C671" s="6" t="s">
        <v>23</v>
      </c>
      <c r="D671" s="6" t="s">
        <v>1837</v>
      </c>
      <c r="E671" s="6" t="s">
        <v>102</v>
      </c>
      <c r="F671" s="6" t="s">
        <v>103</v>
      </c>
      <c r="G671" s="7">
        <v>0.03</v>
      </c>
      <c r="H671" s="6" t="s">
        <v>359</v>
      </c>
      <c r="I671" s="6" t="s">
        <v>20</v>
      </c>
      <c r="J671" s="6">
        <v>2014.0</v>
      </c>
      <c r="L671" s="6">
        <v>1.0</v>
      </c>
      <c r="M671" s="8">
        <f t="shared" si="1"/>
        <v>0.03</v>
      </c>
      <c r="P671" s="9"/>
    </row>
    <row r="672">
      <c r="A672" s="6" t="s">
        <v>1838</v>
      </c>
      <c r="B672" s="6" t="s">
        <v>202</v>
      </c>
      <c r="C672" s="6" t="s">
        <v>48</v>
      </c>
      <c r="D672" s="6" t="s">
        <v>1839</v>
      </c>
      <c r="E672" s="6" t="s">
        <v>50</v>
      </c>
      <c r="F672" s="6" t="s">
        <v>51</v>
      </c>
      <c r="G672" s="7">
        <v>0.09</v>
      </c>
      <c r="H672" s="6" t="s">
        <v>562</v>
      </c>
      <c r="I672" s="6" t="s">
        <v>20</v>
      </c>
      <c r="J672" s="6">
        <v>2017.0</v>
      </c>
      <c r="L672" s="6">
        <v>1.0</v>
      </c>
      <c r="M672" s="8">
        <f t="shared" si="1"/>
        <v>0.09</v>
      </c>
      <c r="P672" s="9"/>
    </row>
    <row r="673">
      <c r="A673" s="6" t="s">
        <v>1840</v>
      </c>
      <c r="B673" s="6" t="s">
        <v>1041</v>
      </c>
      <c r="C673" s="6" t="s">
        <v>15</v>
      </c>
      <c r="D673" s="6" t="s">
        <v>1841</v>
      </c>
      <c r="E673" s="6" t="s">
        <v>50</v>
      </c>
      <c r="F673" s="6" t="s">
        <v>51</v>
      </c>
      <c r="G673" s="7">
        <v>0.43</v>
      </c>
      <c r="H673" s="6" t="s">
        <v>453</v>
      </c>
      <c r="I673" s="6" t="s">
        <v>20</v>
      </c>
      <c r="J673" s="6">
        <v>1995.0</v>
      </c>
      <c r="L673" s="6">
        <v>1.0</v>
      </c>
      <c r="M673" s="8">
        <f t="shared" si="1"/>
        <v>0.43</v>
      </c>
      <c r="P673" s="9"/>
    </row>
    <row r="674">
      <c r="A674" s="6" t="s">
        <v>1840</v>
      </c>
      <c r="B674" s="6" t="s">
        <v>1041</v>
      </c>
      <c r="C674" s="6" t="s">
        <v>15</v>
      </c>
      <c r="D674" s="6" t="s">
        <v>1841</v>
      </c>
      <c r="E674" s="6" t="s">
        <v>50</v>
      </c>
      <c r="F674" s="6" t="s">
        <v>51</v>
      </c>
      <c r="G674" s="7">
        <v>0.17</v>
      </c>
      <c r="H674" s="6" t="s">
        <v>453</v>
      </c>
      <c r="I674" s="6" t="s">
        <v>20</v>
      </c>
      <c r="J674" s="6">
        <v>1999.0</v>
      </c>
      <c r="L674" s="6">
        <v>1.0</v>
      </c>
      <c r="M674" s="8">
        <f t="shared" si="1"/>
        <v>0.17</v>
      </c>
      <c r="P674" s="9"/>
    </row>
    <row r="675">
      <c r="A675" s="6" t="s">
        <v>1842</v>
      </c>
      <c r="B675" s="6" t="s">
        <v>182</v>
      </c>
      <c r="C675" s="6" t="s">
        <v>41</v>
      </c>
      <c r="D675" s="6" t="s">
        <v>1843</v>
      </c>
      <c r="E675" s="6" t="s">
        <v>1844</v>
      </c>
      <c r="F675" s="6" t="s">
        <v>98</v>
      </c>
      <c r="G675" s="7">
        <v>0.21</v>
      </c>
      <c r="H675" s="6" t="s">
        <v>1845</v>
      </c>
      <c r="I675" s="6" t="s">
        <v>55</v>
      </c>
      <c r="J675" s="6">
        <v>2006.0</v>
      </c>
      <c r="L675" s="6">
        <v>4.0</v>
      </c>
      <c r="M675" s="8">
        <f t="shared" si="1"/>
        <v>0.84</v>
      </c>
      <c r="P675" s="9"/>
    </row>
    <row r="676">
      <c r="A676" s="6" t="s">
        <v>1846</v>
      </c>
      <c r="B676" s="6" t="s">
        <v>366</v>
      </c>
      <c r="C676" s="6" t="s">
        <v>23</v>
      </c>
      <c r="D676" s="6" t="s">
        <v>1847</v>
      </c>
      <c r="E676" s="6" t="s">
        <v>235</v>
      </c>
      <c r="F676" s="6" t="s">
        <v>103</v>
      </c>
      <c r="G676" s="7">
        <v>0.1</v>
      </c>
      <c r="H676" s="6" t="s">
        <v>289</v>
      </c>
      <c r="I676" s="6" t="s">
        <v>20</v>
      </c>
      <c r="J676" s="6">
        <v>1996.0</v>
      </c>
      <c r="L676" s="6">
        <v>1.0</v>
      </c>
      <c r="M676" s="8">
        <f t="shared" si="1"/>
        <v>0.1</v>
      </c>
      <c r="P676" s="9"/>
    </row>
    <row r="677">
      <c r="A677" s="6" t="s">
        <v>1848</v>
      </c>
      <c r="B677" s="6" t="s">
        <v>592</v>
      </c>
      <c r="C677" s="6" t="s">
        <v>48</v>
      </c>
      <c r="D677" s="6" t="s">
        <v>1849</v>
      </c>
      <c r="E677" s="6" t="s">
        <v>50</v>
      </c>
      <c r="F677" s="6" t="s">
        <v>51</v>
      </c>
      <c r="G677" s="7">
        <v>0.2</v>
      </c>
      <c r="H677" s="6" t="s">
        <v>607</v>
      </c>
      <c r="I677" s="6" t="s">
        <v>20</v>
      </c>
      <c r="J677" s="6">
        <v>1994.0</v>
      </c>
      <c r="L677" s="6">
        <v>1.0</v>
      </c>
      <c r="M677" s="8">
        <f t="shared" si="1"/>
        <v>0.2</v>
      </c>
      <c r="P677" s="9"/>
    </row>
    <row r="678">
      <c r="A678" s="6" t="s">
        <v>1850</v>
      </c>
      <c r="B678" s="6" t="s">
        <v>68</v>
      </c>
      <c r="C678" s="6" t="s">
        <v>41</v>
      </c>
      <c r="D678" s="6" t="s">
        <v>1851</v>
      </c>
      <c r="F678" s="6" t="s">
        <v>37</v>
      </c>
      <c r="G678" s="7">
        <v>11.18</v>
      </c>
      <c r="H678" s="6" t="s">
        <v>31</v>
      </c>
      <c r="I678" s="6" t="s">
        <v>20</v>
      </c>
      <c r="J678" s="6">
        <v>2026.0</v>
      </c>
      <c r="L678" s="6">
        <v>1.0</v>
      </c>
      <c r="M678" s="8">
        <f t="shared" si="1"/>
        <v>11.18</v>
      </c>
      <c r="P678" s="9"/>
    </row>
    <row r="679">
      <c r="A679" s="6" t="s">
        <v>1852</v>
      </c>
      <c r="B679" s="6" t="s">
        <v>1853</v>
      </c>
      <c r="C679" s="6" t="s">
        <v>23</v>
      </c>
      <c r="D679" s="6" t="s">
        <v>1854</v>
      </c>
      <c r="E679" s="6" t="s">
        <v>1855</v>
      </c>
      <c r="F679" s="6" t="s">
        <v>261</v>
      </c>
      <c r="G679" s="7">
        <v>0.05</v>
      </c>
      <c r="H679" s="6" t="s">
        <v>45</v>
      </c>
      <c r="I679" s="6" t="s">
        <v>20</v>
      </c>
      <c r="J679" s="6">
        <v>2025.0</v>
      </c>
      <c r="K679" s="10">
        <v>46084.0</v>
      </c>
      <c r="L679" s="6">
        <v>1.0</v>
      </c>
      <c r="M679" s="8">
        <f t="shared" si="1"/>
        <v>0.05</v>
      </c>
      <c r="P679" s="9"/>
    </row>
    <row r="680">
      <c r="A680" s="6" t="s">
        <v>1856</v>
      </c>
      <c r="B680" s="6" t="s">
        <v>1857</v>
      </c>
      <c r="C680" s="6" t="s">
        <v>23</v>
      </c>
      <c r="E680" s="6" t="s">
        <v>611</v>
      </c>
      <c r="F680" s="6" t="s">
        <v>103</v>
      </c>
      <c r="G680" s="7">
        <v>0.03</v>
      </c>
      <c r="H680" s="6" t="s">
        <v>185</v>
      </c>
      <c r="I680" s="6" t="s">
        <v>20</v>
      </c>
      <c r="J680" s="6">
        <v>2019.0</v>
      </c>
      <c r="K680" s="10">
        <v>46206.0</v>
      </c>
      <c r="L680" s="6">
        <v>2.0</v>
      </c>
      <c r="M680" s="8">
        <f t="shared" si="1"/>
        <v>0.06</v>
      </c>
      <c r="P680" s="9"/>
    </row>
    <row r="681">
      <c r="A681" s="6" t="s">
        <v>1856</v>
      </c>
      <c r="B681" s="6" t="s">
        <v>1857</v>
      </c>
      <c r="C681" s="6" t="s">
        <v>23</v>
      </c>
      <c r="E681" s="6" t="s">
        <v>611</v>
      </c>
      <c r="F681" s="6" t="s">
        <v>103</v>
      </c>
      <c r="G681" s="7">
        <v>0.03</v>
      </c>
      <c r="H681" s="6" t="s">
        <v>185</v>
      </c>
      <c r="I681" s="6" t="s">
        <v>20</v>
      </c>
      <c r="J681" s="6">
        <v>2019.0</v>
      </c>
      <c r="K681" s="10">
        <v>46206.0</v>
      </c>
      <c r="L681" s="6">
        <v>1.0</v>
      </c>
      <c r="M681" s="8">
        <f t="shared" si="1"/>
        <v>0.03</v>
      </c>
      <c r="P681" s="9"/>
    </row>
    <row r="682">
      <c r="A682" s="6" t="s">
        <v>1858</v>
      </c>
      <c r="B682" s="6" t="s">
        <v>1234</v>
      </c>
      <c r="C682" s="6" t="s">
        <v>48</v>
      </c>
      <c r="D682" s="6" t="s">
        <v>1859</v>
      </c>
      <c r="E682" s="6" t="s">
        <v>1860</v>
      </c>
      <c r="F682" s="6" t="s">
        <v>215</v>
      </c>
      <c r="G682" s="7">
        <v>0.08</v>
      </c>
      <c r="H682" s="6" t="s">
        <v>621</v>
      </c>
      <c r="I682" s="6" t="s">
        <v>20</v>
      </c>
      <c r="J682" s="6">
        <v>2015.0</v>
      </c>
      <c r="K682" s="10">
        <v>46083.0</v>
      </c>
      <c r="L682" s="6">
        <v>6.0</v>
      </c>
      <c r="M682" s="8">
        <f t="shared" si="1"/>
        <v>0.48</v>
      </c>
      <c r="P682" s="9"/>
    </row>
    <row r="683">
      <c r="A683" s="6" t="s">
        <v>1861</v>
      </c>
      <c r="B683" s="6" t="s">
        <v>1862</v>
      </c>
      <c r="C683" s="6" t="s">
        <v>23</v>
      </c>
      <c r="E683" s="6" t="s">
        <v>611</v>
      </c>
      <c r="F683" s="6" t="s">
        <v>103</v>
      </c>
      <c r="G683" s="7">
        <v>0.05</v>
      </c>
      <c r="H683" s="6" t="s">
        <v>184</v>
      </c>
      <c r="I683" s="6" t="s">
        <v>20</v>
      </c>
      <c r="J683" s="6">
        <v>2015.0</v>
      </c>
      <c r="K683" s="10">
        <v>46175.0</v>
      </c>
      <c r="L683" s="6">
        <v>3.0</v>
      </c>
      <c r="M683" s="8">
        <f t="shared" si="1"/>
        <v>0.15</v>
      </c>
      <c r="P683" s="9"/>
    </row>
    <row r="684">
      <c r="A684" s="6" t="s">
        <v>1861</v>
      </c>
      <c r="B684" s="6" t="s">
        <v>1862</v>
      </c>
      <c r="C684" s="6" t="s">
        <v>23</v>
      </c>
      <c r="E684" s="6" t="s">
        <v>611</v>
      </c>
      <c r="F684" s="6" t="s">
        <v>103</v>
      </c>
      <c r="G684" s="7">
        <v>0.05</v>
      </c>
      <c r="H684" s="6" t="s">
        <v>184</v>
      </c>
      <c r="I684" s="6" t="s">
        <v>20</v>
      </c>
      <c r="J684" s="6">
        <v>2015.0</v>
      </c>
      <c r="K684" s="10">
        <v>46175.0</v>
      </c>
      <c r="L684" s="6">
        <v>1.0</v>
      </c>
      <c r="M684" s="8">
        <f t="shared" si="1"/>
        <v>0.05</v>
      </c>
      <c r="P684" s="9"/>
    </row>
    <row r="685">
      <c r="A685" s="6" t="s">
        <v>1861</v>
      </c>
      <c r="B685" s="6" t="s">
        <v>1862</v>
      </c>
      <c r="C685" s="6" t="s">
        <v>23</v>
      </c>
      <c r="E685" s="6" t="s">
        <v>611</v>
      </c>
      <c r="F685" s="6" t="s">
        <v>103</v>
      </c>
      <c r="G685" s="7">
        <v>0.05</v>
      </c>
      <c r="H685" s="6" t="s">
        <v>271</v>
      </c>
      <c r="I685" s="6" t="s">
        <v>20</v>
      </c>
      <c r="J685" s="6">
        <v>2012.0</v>
      </c>
      <c r="K685" s="10">
        <v>46175.0</v>
      </c>
      <c r="L685" s="6">
        <v>1.0</v>
      </c>
      <c r="M685" s="8">
        <f t="shared" si="1"/>
        <v>0.05</v>
      </c>
      <c r="P685" s="9"/>
    </row>
    <row r="686">
      <c r="A686" s="6" t="s">
        <v>1863</v>
      </c>
      <c r="B686" s="6" t="s">
        <v>62</v>
      </c>
      <c r="C686" s="6" t="s">
        <v>23</v>
      </c>
      <c r="D686" s="6" t="s">
        <v>1864</v>
      </c>
      <c r="E686" s="6" t="s">
        <v>25</v>
      </c>
      <c r="F686" s="6" t="s">
        <v>18</v>
      </c>
      <c r="G686" s="7">
        <v>0.09</v>
      </c>
      <c r="H686" s="6" t="s">
        <v>93</v>
      </c>
      <c r="I686" s="6" t="s">
        <v>20</v>
      </c>
      <c r="J686" s="6">
        <v>2016.0</v>
      </c>
      <c r="L686" s="6">
        <v>1.0</v>
      </c>
      <c r="M686" s="8">
        <f t="shared" si="1"/>
        <v>0.09</v>
      </c>
      <c r="P686" s="9"/>
    </row>
    <row r="687">
      <c r="A687" s="6" t="s">
        <v>1865</v>
      </c>
      <c r="B687" s="6" t="s">
        <v>182</v>
      </c>
      <c r="C687" s="6" t="s">
        <v>23</v>
      </c>
      <c r="D687" s="6" t="s">
        <v>1866</v>
      </c>
      <c r="E687" s="6" t="s">
        <v>112</v>
      </c>
      <c r="F687" s="6" t="s">
        <v>65</v>
      </c>
      <c r="G687" s="7">
        <v>0.05</v>
      </c>
      <c r="H687" s="6" t="s">
        <v>316</v>
      </c>
      <c r="I687" s="6" t="s">
        <v>20</v>
      </c>
      <c r="J687" s="6">
        <v>2016.0</v>
      </c>
      <c r="L687" s="6">
        <v>2.0</v>
      </c>
      <c r="M687" s="8">
        <f t="shared" si="1"/>
        <v>0.1</v>
      </c>
      <c r="P687" s="9"/>
    </row>
    <row r="688">
      <c r="A688" s="6" t="s">
        <v>1867</v>
      </c>
      <c r="B688" s="6" t="s">
        <v>372</v>
      </c>
      <c r="C688" s="6" t="s">
        <v>23</v>
      </c>
      <c r="D688" s="6" t="s">
        <v>1868</v>
      </c>
      <c r="E688" s="6" t="s">
        <v>79</v>
      </c>
      <c r="F688" s="6" t="s">
        <v>51</v>
      </c>
      <c r="G688" s="7">
        <v>0.03</v>
      </c>
      <c r="H688" s="6" t="s">
        <v>299</v>
      </c>
      <c r="I688" s="6" t="s">
        <v>20</v>
      </c>
      <c r="J688" s="6">
        <v>2017.0</v>
      </c>
      <c r="L688" s="6">
        <v>1.0</v>
      </c>
      <c r="M688" s="8">
        <f t="shared" si="1"/>
        <v>0.03</v>
      </c>
      <c r="P688" s="9"/>
    </row>
    <row r="689">
      <c r="A689" s="6" t="s">
        <v>1869</v>
      </c>
      <c r="B689" s="6" t="s">
        <v>1808</v>
      </c>
      <c r="C689" s="6" t="s">
        <v>23</v>
      </c>
      <c r="D689" s="6" t="s">
        <v>1870</v>
      </c>
      <c r="E689" s="6" t="s">
        <v>238</v>
      </c>
      <c r="F689" s="6" t="s">
        <v>159</v>
      </c>
      <c r="G689" s="7">
        <v>0.1</v>
      </c>
      <c r="H689" s="6" t="s">
        <v>184</v>
      </c>
      <c r="I689" s="6" t="s">
        <v>20</v>
      </c>
      <c r="J689" s="6">
        <v>2015.0</v>
      </c>
      <c r="K689" s="10">
        <v>46023.0</v>
      </c>
      <c r="L689" s="6">
        <v>1.0</v>
      </c>
      <c r="M689" s="8">
        <f t="shared" si="1"/>
        <v>0.1</v>
      </c>
      <c r="P689" s="9"/>
    </row>
    <row r="690">
      <c r="A690" s="6" t="s">
        <v>1871</v>
      </c>
      <c r="B690" s="6" t="s">
        <v>1872</v>
      </c>
      <c r="C690" s="6" t="s">
        <v>23</v>
      </c>
      <c r="D690" s="6" t="s">
        <v>1873</v>
      </c>
      <c r="E690" s="6" t="s">
        <v>298</v>
      </c>
      <c r="F690" s="6" t="s">
        <v>159</v>
      </c>
      <c r="G690" s="7">
        <v>0.05</v>
      </c>
      <c r="H690" s="6" t="s">
        <v>645</v>
      </c>
      <c r="I690" s="6" t="s">
        <v>20</v>
      </c>
      <c r="J690" s="6">
        <v>2024.0</v>
      </c>
      <c r="K690" s="10">
        <v>46116.0</v>
      </c>
      <c r="L690" s="6">
        <v>1.0</v>
      </c>
      <c r="M690" s="8">
        <f t="shared" si="1"/>
        <v>0.05</v>
      </c>
      <c r="P690" s="9"/>
    </row>
    <row r="691">
      <c r="A691" s="6" t="s">
        <v>1874</v>
      </c>
      <c r="B691" s="6" t="s">
        <v>202</v>
      </c>
      <c r="C691" s="6" t="s">
        <v>48</v>
      </c>
      <c r="D691" s="6" t="s">
        <v>1875</v>
      </c>
      <c r="E691" s="6" t="s">
        <v>112</v>
      </c>
      <c r="F691" s="6" t="s">
        <v>65</v>
      </c>
      <c r="G691" s="7">
        <v>0.13</v>
      </c>
      <c r="H691" s="6" t="s">
        <v>185</v>
      </c>
      <c r="I691" s="6" t="s">
        <v>20</v>
      </c>
      <c r="J691" s="6">
        <v>2019.0</v>
      </c>
      <c r="L691" s="6">
        <v>1.0</v>
      </c>
      <c r="M691" s="8">
        <f t="shared" si="1"/>
        <v>0.13</v>
      </c>
      <c r="P691" s="9"/>
    </row>
    <row r="692">
      <c r="A692" s="6" t="s">
        <v>1876</v>
      </c>
      <c r="B692" s="6" t="s">
        <v>1877</v>
      </c>
      <c r="C692" s="6" t="s">
        <v>34</v>
      </c>
      <c r="D692" s="6" t="s">
        <v>1878</v>
      </c>
      <c r="E692" s="6" t="s">
        <v>17</v>
      </c>
      <c r="F692" s="6" t="s">
        <v>18</v>
      </c>
      <c r="G692" s="7">
        <v>0.14</v>
      </c>
      <c r="H692" s="6" t="s">
        <v>19</v>
      </c>
      <c r="I692" s="6" t="s">
        <v>20</v>
      </c>
      <c r="J692" s="6">
        <v>2023.0</v>
      </c>
      <c r="K692" s="10">
        <v>46084.0</v>
      </c>
      <c r="L692" s="6">
        <v>1.0</v>
      </c>
      <c r="M692" s="8">
        <f t="shared" si="1"/>
        <v>0.14</v>
      </c>
      <c r="P692" s="9"/>
    </row>
    <row r="693">
      <c r="A693" s="6" t="s">
        <v>1879</v>
      </c>
      <c r="B693" s="6" t="s">
        <v>139</v>
      </c>
      <c r="C693" s="6" t="s">
        <v>23</v>
      </c>
      <c r="D693" s="6" t="s">
        <v>1880</v>
      </c>
      <c r="E693" s="6" t="s">
        <v>118</v>
      </c>
      <c r="F693" s="6" t="s">
        <v>51</v>
      </c>
      <c r="G693" s="7">
        <v>0.1</v>
      </c>
      <c r="H693" s="6" t="s">
        <v>581</v>
      </c>
      <c r="I693" s="6" t="s">
        <v>20</v>
      </c>
      <c r="J693" s="6">
        <v>2022.0</v>
      </c>
      <c r="K693" s="10">
        <v>46024.0</v>
      </c>
      <c r="L693" s="6">
        <v>1.0</v>
      </c>
      <c r="M693" s="8">
        <f t="shared" si="1"/>
        <v>0.1</v>
      </c>
      <c r="P693" s="9"/>
    </row>
    <row r="694">
      <c r="A694" s="6" t="s">
        <v>1881</v>
      </c>
      <c r="B694" s="6" t="s">
        <v>1882</v>
      </c>
      <c r="C694" s="6" t="s">
        <v>48</v>
      </c>
      <c r="D694" s="6" t="s">
        <v>1883</v>
      </c>
      <c r="E694" s="6" t="s">
        <v>1001</v>
      </c>
      <c r="F694" s="6" t="s">
        <v>65</v>
      </c>
      <c r="G694" s="7">
        <v>0.1</v>
      </c>
      <c r="H694" s="6" t="s">
        <v>119</v>
      </c>
      <c r="I694" s="6" t="s">
        <v>20</v>
      </c>
      <c r="J694" s="6">
        <v>1995.0</v>
      </c>
      <c r="K694" s="10">
        <v>46113.0</v>
      </c>
      <c r="L694" s="6">
        <v>1.0</v>
      </c>
      <c r="M694" s="8">
        <f t="shared" si="1"/>
        <v>0.1</v>
      </c>
      <c r="P694" s="9"/>
    </row>
    <row r="695">
      <c r="A695" s="6" t="s">
        <v>1881</v>
      </c>
      <c r="B695" s="6" t="s">
        <v>1882</v>
      </c>
      <c r="C695" s="6" t="s">
        <v>48</v>
      </c>
      <c r="D695" s="6" t="s">
        <v>1883</v>
      </c>
      <c r="E695" s="6" t="s">
        <v>1001</v>
      </c>
      <c r="F695" s="6" t="s">
        <v>65</v>
      </c>
      <c r="G695" s="7">
        <v>0.2</v>
      </c>
      <c r="H695" s="6" t="s">
        <v>120</v>
      </c>
      <c r="I695" s="6" t="s">
        <v>20</v>
      </c>
      <c r="J695" s="6">
        <v>1995.0</v>
      </c>
      <c r="K695" s="10">
        <v>46113.0</v>
      </c>
      <c r="L695" s="6">
        <v>2.0</v>
      </c>
      <c r="M695" s="8">
        <f t="shared" si="1"/>
        <v>0.4</v>
      </c>
      <c r="P695" s="9"/>
    </row>
    <row r="696">
      <c r="A696" s="6" t="s">
        <v>1884</v>
      </c>
      <c r="B696" s="6" t="s">
        <v>1885</v>
      </c>
      <c r="C696" s="6" t="s">
        <v>23</v>
      </c>
      <c r="D696" s="6" t="s">
        <v>1886</v>
      </c>
      <c r="E696" s="6" t="s">
        <v>153</v>
      </c>
      <c r="F696" s="6" t="s">
        <v>103</v>
      </c>
      <c r="G696" s="7">
        <v>0.06</v>
      </c>
      <c r="H696" s="6" t="s">
        <v>626</v>
      </c>
      <c r="I696" s="6" t="s">
        <v>20</v>
      </c>
      <c r="J696" s="6">
        <v>2013.0</v>
      </c>
      <c r="K696" s="10">
        <v>46055.0</v>
      </c>
      <c r="L696" s="6">
        <v>3.0</v>
      </c>
      <c r="M696" s="8">
        <f t="shared" si="1"/>
        <v>0.18</v>
      </c>
      <c r="P696" s="9"/>
    </row>
    <row r="697">
      <c r="A697" s="6" t="s">
        <v>1884</v>
      </c>
      <c r="B697" s="6" t="s">
        <v>1885</v>
      </c>
      <c r="C697" s="6" t="s">
        <v>23</v>
      </c>
      <c r="D697" s="6" t="s">
        <v>1886</v>
      </c>
      <c r="E697" s="6" t="s">
        <v>153</v>
      </c>
      <c r="F697" s="6" t="s">
        <v>103</v>
      </c>
      <c r="G697" s="7">
        <v>0.06</v>
      </c>
      <c r="H697" s="6" t="s">
        <v>626</v>
      </c>
      <c r="I697" s="6" t="s">
        <v>20</v>
      </c>
      <c r="J697" s="6">
        <v>2013.0</v>
      </c>
      <c r="K697" s="10">
        <v>46055.0</v>
      </c>
      <c r="L697" s="6">
        <v>1.0</v>
      </c>
      <c r="M697" s="8">
        <f t="shared" si="1"/>
        <v>0.06</v>
      </c>
      <c r="P697" s="9"/>
    </row>
    <row r="698">
      <c r="A698" s="6" t="s">
        <v>1887</v>
      </c>
      <c r="B698" s="6" t="s">
        <v>62</v>
      </c>
      <c r="C698" s="6" t="s">
        <v>23</v>
      </c>
      <c r="D698" s="6" t="s">
        <v>1888</v>
      </c>
      <c r="E698" s="6" t="s">
        <v>79</v>
      </c>
      <c r="F698" s="6" t="s">
        <v>51</v>
      </c>
      <c r="G698" s="7">
        <v>0.15</v>
      </c>
      <c r="H698" s="6" t="s">
        <v>911</v>
      </c>
      <c r="I698" s="6" t="s">
        <v>20</v>
      </c>
      <c r="J698" s="6">
        <v>2001.0</v>
      </c>
      <c r="L698" s="6">
        <v>4.0</v>
      </c>
      <c r="M698" s="8">
        <f t="shared" si="1"/>
        <v>0.6</v>
      </c>
      <c r="P698" s="9"/>
    </row>
    <row r="699">
      <c r="A699" s="6" t="s">
        <v>1889</v>
      </c>
      <c r="B699" s="6" t="s">
        <v>1890</v>
      </c>
      <c r="C699" s="6" t="s">
        <v>15</v>
      </c>
      <c r="D699" s="6" t="s">
        <v>1891</v>
      </c>
      <c r="E699" s="6" t="s">
        <v>1265</v>
      </c>
      <c r="F699" s="6" t="s">
        <v>159</v>
      </c>
      <c r="G699" s="7">
        <v>0.2</v>
      </c>
      <c r="H699" s="6" t="s">
        <v>19</v>
      </c>
      <c r="I699" s="6" t="s">
        <v>20</v>
      </c>
      <c r="J699" s="6">
        <v>2023.0</v>
      </c>
      <c r="K699" s="10">
        <v>46084.0</v>
      </c>
      <c r="L699" s="6">
        <v>2.0</v>
      </c>
      <c r="M699" s="8">
        <f t="shared" si="1"/>
        <v>0.4</v>
      </c>
      <c r="P699" s="9"/>
    </row>
    <row r="700">
      <c r="A700" s="6" t="s">
        <v>1892</v>
      </c>
      <c r="B700" s="6" t="s">
        <v>62</v>
      </c>
      <c r="C700" s="6" t="s">
        <v>23</v>
      </c>
      <c r="D700" s="6" t="s">
        <v>1893</v>
      </c>
      <c r="E700" s="6" t="s">
        <v>410</v>
      </c>
      <c r="F700" s="6" t="s">
        <v>51</v>
      </c>
      <c r="G700" s="7">
        <v>0.08</v>
      </c>
      <c r="H700" s="6" t="s">
        <v>154</v>
      </c>
      <c r="I700" s="6" t="s">
        <v>20</v>
      </c>
      <c r="J700" s="6">
        <v>2013.0</v>
      </c>
      <c r="L700" s="6">
        <v>3.0</v>
      </c>
      <c r="M700" s="8">
        <f t="shared" si="1"/>
        <v>0.24</v>
      </c>
      <c r="P700" s="9"/>
    </row>
    <row r="701">
      <c r="A701" s="6" t="s">
        <v>1892</v>
      </c>
      <c r="B701" s="6" t="s">
        <v>62</v>
      </c>
      <c r="C701" s="6" t="s">
        <v>23</v>
      </c>
      <c r="D701" s="6" t="s">
        <v>1893</v>
      </c>
      <c r="E701" s="6" t="s">
        <v>410</v>
      </c>
      <c r="F701" s="6" t="s">
        <v>51</v>
      </c>
      <c r="G701" s="7">
        <v>0.08</v>
      </c>
      <c r="H701" s="6" t="s">
        <v>184</v>
      </c>
      <c r="I701" s="6" t="s">
        <v>20</v>
      </c>
      <c r="J701" s="6">
        <v>2015.0</v>
      </c>
      <c r="L701" s="6">
        <v>1.0</v>
      </c>
      <c r="M701" s="8">
        <f t="shared" si="1"/>
        <v>0.08</v>
      </c>
      <c r="P701" s="9"/>
    </row>
    <row r="702">
      <c r="A702" s="6" t="s">
        <v>1894</v>
      </c>
      <c r="B702" s="6" t="s">
        <v>250</v>
      </c>
      <c r="C702" s="6" t="s">
        <v>48</v>
      </c>
      <c r="D702" s="6" t="s">
        <v>1895</v>
      </c>
      <c r="E702" s="6" t="s">
        <v>243</v>
      </c>
      <c r="F702" s="6" t="s">
        <v>37</v>
      </c>
      <c r="G702" s="7">
        <v>0.15</v>
      </c>
      <c r="H702" s="6" t="s">
        <v>119</v>
      </c>
      <c r="I702" s="6" t="s">
        <v>20</v>
      </c>
      <c r="J702" s="6">
        <v>1995.0</v>
      </c>
      <c r="L702" s="6">
        <v>1.0</v>
      </c>
      <c r="M702" s="8">
        <f t="shared" si="1"/>
        <v>0.15</v>
      </c>
      <c r="P702" s="9"/>
    </row>
    <row r="703">
      <c r="A703" s="6" t="s">
        <v>1894</v>
      </c>
      <c r="B703" s="6" t="s">
        <v>250</v>
      </c>
      <c r="C703" s="6" t="s">
        <v>48</v>
      </c>
      <c r="D703" s="6" t="s">
        <v>1895</v>
      </c>
      <c r="E703" s="6" t="s">
        <v>243</v>
      </c>
      <c r="F703" s="6" t="s">
        <v>37</v>
      </c>
      <c r="G703" s="7">
        <v>0.5</v>
      </c>
      <c r="H703" s="6" t="s">
        <v>120</v>
      </c>
      <c r="I703" s="6" t="s">
        <v>20</v>
      </c>
      <c r="J703" s="6">
        <v>1995.0</v>
      </c>
      <c r="L703" s="6">
        <v>1.0</v>
      </c>
      <c r="M703" s="8">
        <f t="shared" si="1"/>
        <v>0.5</v>
      </c>
      <c r="P703" s="9"/>
    </row>
    <row r="704">
      <c r="A704" s="6" t="s">
        <v>1896</v>
      </c>
      <c r="B704" s="6" t="s">
        <v>1897</v>
      </c>
      <c r="C704" s="6" t="s">
        <v>23</v>
      </c>
      <c r="D704" s="6" t="s">
        <v>1898</v>
      </c>
      <c r="E704" s="6" t="s">
        <v>235</v>
      </c>
      <c r="F704" s="6" t="s">
        <v>103</v>
      </c>
      <c r="G704" s="7">
        <v>0.1</v>
      </c>
      <c r="H704" s="6" t="s">
        <v>75</v>
      </c>
      <c r="I704" s="6" t="s">
        <v>20</v>
      </c>
      <c r="J704" s="6">
        <v>1995.0</v>
      </c>
      <c r="K704" s="6" t="s">
        <v>137</v>
      </c>
      <c r="L704" s="6">
        <v>1.0</v>
      </c>
      <c r="M704" s="8">
        <f t="shared" si="1"/>
        <v>0.1</v>
      </c>
      <c r="P704" s="9"/>
    </row>
    <row r="705">
      <c r="A705" s="6" t="s">
        <v>1899</v>
      </c>
      <c r="B705" s="6" t="s">
        <v>1900</v>
      </c>
      <c r="C705" s="6" t="s">
        <v>1900</v>
      </c>
      <c r="D705" s="6" t="s">
        <v>1901</v>
      </c>
      <c r="E705" s="6" t="s">
        <v>238</v>
      </c>
      <c r="F705" s="6" t="s">
        <v>159</v>
      </c>
      <c r="G705" s="7">
        <v>0.15</v>
      </c>
      <c r="H705" s="6" t="s">
        <v>271</v>
      </c>
      <c r="I705" s="6" t="s">
        <v>20</v>
      </c>
      <c r="J705" s="6">
        <v>2012.0</v>
      </c>
      <c r="K705" s="10">
        <v>46084.0</v>
      </c>
      <c r="L705" s="6">
        <v>1.0</v>
      </c>
      <c r="M705" s="8">
        <f t="shared" si="1"/>
        <v>0.15</v>
      </c>
      <c r="P705" s="9"/>
    </row>
    <row r="706">
      <c r="A706" s="6" t="s">
        <v>1902</v>
      </c>
      <c r="B706" s="6" t="s">
        <v>1903</v>
      </c>
      <c r="C706" s="6" t="s">
        <v>23</v>
      </c>
      <c r="E706" s="6" t="s">
        <v>1098</v>
      </c>
      <c r="F706" s="6" t="s">
        <v>159</v>
      </c>
      <c r="G706" s="7">
        <v>0.03</v>
      </c>
      <c r="H706" s="6" t="s">
        <v>359</v>
      </c>
      <c r="I706" s="6" t="s">
        <v>20</v>
      </c>
      <c r="J706" s="6">
        <v>2014.0</v>
      </c>
      <c r="K706" s="10">
        <v>46056.0</v>
      </c>
      <c r="L706" s="6">
        <v>1.0</v>
      </c>
      <c r="M706" s="8">
        <f t="shared" si="1"/>
        <v>0.03</v>
      </c>
      <c r="P706" s="9"/>
    </row>
    <row r="707">
      <c r="A707" s="6" t="s">
        <v>1904</v>
      </c>
      <c r="B707" s="6" t="s">
        <v>1903</v>
      </c>
      <c r="C707" s="6" t="s">
        <v>23</v>
      </c>
      <c r="E707" s="6" t="s">
        <v>270</v>
      </c>
      <c r="F707" s="6" t="s">
        <v>159</v>
      </c>
      <c r="G707" s="7">
        <v>0.03</v>
      </c>
      <c r="H707" s="6" t="s">
        <v>104</v>
      </c>
      <c r="I707" s="6" t="s">
        <v>20</v>
      </c>
      <c r="J707" s="6">
        <v>2018.0</v>
      </c>
      <c r="K707" s="10">
        <v>46084.0</v>
      </c>
      <c r="L707" s="6">
        <v>3.0</v>
      </c>
      <c r="M707" s="8">
        <f t="shared" si="1"/>
        <v>0.09</v>
      </c>
      <c r="P707" s="9"/>
    </row>
    <row r="708">
      <c r="A708" s="6" t="s">
        <v>1904</v>
      </c>
      <c r="B708" s="6" t="s">
        <v>1903</v>
      </c>
      <c r="C708" s="6" t="s">
        <v>23</v>
      </c>
      <c r="E708" s="6" t="s">
        <v>270</v>
      </c>
      <c r="F708" s="6" t="s">
        <v>159</v>
      </c>
      <c r="G708" s="7">
        <v>0.03</v>
      </c>
      <c r="H708" s="6" t="s">
        <v>541</v>
      </c>
      <c r="I708" s="6" t="s">
        <v>20</v>
      </c>
      <c r="J708" s="6">
        <v>2019.0</v>
      </c>
      <c r="K708" s="10">
        <v>46084.0</v>
      </c>
      <c r="L708" s="6">
        <v>1.0</v>
      </c>
      <c r="M708" s="8">
        <f t="shared" si="1"/>
        <v>0.03</v>
      </c>
      <c r="P708" s="9"/>
    </row>
    <row r="709">
      <c r="A709" s="6" t="s">
        <v>1905</v>
      </c>
      <c r="B709" s="6" t="s">
        <v>1903</v>
      </c>
      <c r="C709" s="6" t="s">
        <v>23</v>
      </c>
      <c r="E709" s="6" t="s">
        <v>270</v>
      </c>
      <c r="F709" s="6" t="s">
        <v>159</v>
      </c>
      <c r="G709" s="7">
        <v>0.1</v>
      </c>
      <c r="H709" s="6" t="s">
        <v>188</v>
      </c>
      <c r="I709" s="6" t="s">
        <v>20</v>
      </c>
      <c r="J709" s="6">
        <v>2014.0</v>
      </c>
      <c r="K709" s="10">
        <v>46084.0</v>
      </c>
      <c r="L709" s="6">
        <v>2.0</v>
      </c>
      <c r="M709" s="8">
        <f t="shared" si="1"/>
        <v>0.2</v>
      </c>
      <c r="P709" s="9"/>
    </row>
    <row r="710">
      <c r="A710" s="6" t="s">
        <v>1906</v>
      </c>
      <c r="B710" s="6" t="s">
        <v>1907</v>
      </c>
      <c r="C710" s="6" t="s">
        <v>23</v>
      </c>
      <c r="D710" s="6" t="s">
        <v>1908</v>
      </c>
      <c r="E710" s="6" t="s">
        <v>238</v>
      </c>
      <c r="F710" s="6" t="s">
        <v>159</v>
      </c>
      <c r="G710" s="7">
        <v>0.06</v>
      </c>
      <c r="H710" s="6" t="s">
        <v>271</v>
      </c>
      <c r="I710" s="6" t="s">
        <v>20</v>
      </c>
      <c r="J710" s="6">
        <v>2012.0</v>
      </c>
      <c r="K710" s="6" t="s">
        <v>422</v>
      </c>
      <c r="L710" s="6">
        <v>1.0</v>
      </c>
      <c r="M710" s="8">
        <f t="shared" si="1"/>
        <v>0.06</v>
      </c>
      <c r="P710" s="9"/>
    </row>
    <row r="711">
      <c r="A711" s="6" t="s">
        <v>1909</v>
      </c>
      <c r="B711" s="6" t="s">
        <v>1910</v>
      </c>
      <c r="C711" s="6" t="s">
        <v>48</v>
      </c>
      <c r="D711" s="6" t="s">
        <v>1911</v>
      </c>
      <c r="E711" s="6" t="s">
        <v>25</v>
      </c>
      <c r="F711" s="6" t="s">
        <v>18</v>
      </c>
      <c r="G711" s="7">
        <v>0.11</v>
      </c>
      <c r="H711" s="6" t="s">
        <v>113</v>
      </c>
      <c r="I711" s="6" t="s">
        <v>20</v>
      </c>
      <c r="J711" s="6">
        <v>2024.0</v>
      </c>
      <c r="K711" s="10">
        <v>46055.0</v>
      </c>
      <c r="L711" s="6">
        <v>1.0</v>
      </c>
      <c r="M711" s="8">
        <f t="shared" si="1"/>
        <v>0.11</v>
      </c>
      <c r="P711" s="9"/>
    </row>
    <row r="712">
      <c r="A712" s="6" t="s">
        <v>1912</v>
      </c>
      <c r="B712" s="6" t="s">
        <v>1913</v>
      </c>
      <c r="C712" s="6" t="s">
        <v>23</v>
      </c>
      <c r="D712" s="6" t="s">
        <v>1914</v>
      </c>
      <c r="E712" s="6" t="s">
        <v>25</v>
      </c>
      <c r="F712" s="6" t="s">
        <v>18</v>
      </c>
      <c r="G712" s="7">
        <v>0.08</v>
      </c>
      <c r="H712" s="6" t="s">
        <v>911</v>
      </c>
      <c r="I712" s="6" t="s">
        <v>20</v>
      </c>
      <c r="J712" s="6">
        <v>2001.0</v>
      </c>
      <c r="K712" s="10">
        <v>46024.0</v>
      </c>
      <c r="L712" s="6">
        <v>2.0</v>
      </c>
      <c r="M712" s="8">
        <f t="shared" si="1"/>
        <v>0.16</v>
      </c>
      <c r="P712" s="9"/>
    </row>
    <row r="713">
      <c r="A713" s="6" t="s">
        <v>1915</v>
      </c>
      <c r="B713" s="6" t="s">
        <v>1916</v>
      </c>
      <c r="C713" s="6" t="s">
        <v>287</v>
      </c>
      <c r="D713" s="6" t="s">
        <v>1917</v>
      </c>
      <c r="E713" s="6" t="s">
        <v>149</v>
      </c>
      <c r="F713" s="6" t="s">
        <v>18</v>
      </c>
      <c r="G713" s="7">
        <v>0.05</v>
      </c>
      <c r="H713" s="6" t="s">
        <v>911</v>
      </c>
      <c r="I713" s="6" t="s">
        <v>20</v>
      </c>
      <c r="J713" s="6">
        <v>2001.0</v>
      </c>
      <c r="K713" s="10">
        <v>46023.0</v>
      </c>
      <c r="L713" s="6">
        <v>1.0</v>
      </c>
      <c r="M713" s="8">
        <f t="shared" si="1"/>
        <v>0.05</v>
      </c>
      <c r="P713" s="9"/>
    </row>
    <row r="714">
      <c r="A714" s="6" t="s">
        <v>1918</v>
      </c>
      <c r="B714" s="6" t="s">
        <v>165</v>
      </c>
      <c r="C714" s="6" t="s">
        <v>34</v>
      </c>
      <c r="D714" s="6" t="s">
        <v>1919</v>
      </c>
      <c r="E714" s="6" t="s">
        <v>17</v>
      </c>
      <c r="F714" s="6" t="s">
        <v>18</v>
      </c>
      <c r="G714" s="7">
        <v>0.08</v>
      </c>
      <c r="H714" s="6" t="s">
        <v>19</v>
      </c>
      <c r="I714" s="6" t="s">
        <v>20</v>
      </c>
      <c r="J714" s="6">
        <v>2023.0</v>
      </c>
      <c r="L714" s="6">
        <v>1.0</v>
      </c>
      <c r="M714" s="8">
        <f t="shared" si="1"/>
        <v>0.08</v>
      </c>
      <c r="P714" s="9"/>
    </row>
    <row r="715">
      <c r="A715" s="6" t="s">
        <v>1920</v>
      </c>
      <c r="B715" s="6" t="s">
        <v>62</v>
      </c>
      <c r="C715" s="6" t="s">
        <v>48</v>
      </c>
      <c r="D715" s="6" t="s">
        <v>1921</v>
      </c>
      <c r="E715" s="6" t="s">
        <v>248</v>
      </c>
      <c r="F715" s="6" t="s">
        <v>18</v>
      </c>
      <c r="G715" s="7">
        <v>0.03</v>
      </c>
      <c r="H715" s="6" t="s">
        <v>316</v>
      </c>
      <c r="I715" s="6" t="s">
        <v>20</v>
      </c>
      <c r="J715" s="6">
        <v>2016.0</v>
      </c>
      <c r="L715" s="6">
        <v>1.0</v>
      </c>
      <c r="M715" s="8">
        <f t="shared" si="1"/>
        <v>0.03</v>
      </c>
      <c r="P715" s="9"/>
    </row>
    <row r="716">
      <c r="A716" s="6" t="s">
        <v>1922</v>
      </c>
      <c r="B716" s="6" t="s">
        <v>1923</v>
      </c>
      <c r="C716" s="6" t="s">
        <v>48</v>
      </c>
      <c r="D716" s="6" t="s">
        <v>1924</v>
      </c>
      <c r="E716" s="6" t="s">
        <v>345</v>
      </c>
      <c r="F716" s="6" t="s">
        <v>18</v>
      </c>
      <c r="G716" s="7">
        <v>0.1</v>
      </c>
      <c r="H716" s="6" t="s">
        <v>786</v>
      </c>
      <c r="I716" s="6" t="s">
        <v>20</v>
      </c>
      <c r="J716" s="6">
        <v>2024.0</v>
      </c>
      <c r="K716" s="10">
        <v>46147.0</v>
      </c>
      <c r="L716" s="6">
        <v>1.0</v>
      </c>
      <c r="M716" s="8">
        <f t="shared" si="1"/>
        <v>0.1</v>
      </c>
      <c r="P716" s="9"/>
    </row>
    <row r="717">
      <c r="A717" s="6" t="s">
        <v>1925</v>
      </c>
      <c r="B717" s="6" t="s">
        <v>1926</v>
      </c>
      <c r="C717" s="6" t="s">
        <v>23</v>
      </c>
      <c r="D717" s="6" t="s">
        <v>1927</v>
      </c>
      <c r="E717" s="6" t="s">
        <v>625</v>
      </c>
      <c r="F717" s="6" t="s">
        <v>37</v>
      </c>
      <c r="G717" s="7">
        <v>0.09</v>
      </c>
      <c r="H717" s="6" t="s">
        <v>1361</v>
      </c>
      <c r="I717" s="6" t="s">
        <v>20</v>
      </c>
      <c r="J717" s="6">
        <v>2008.0</v>
      </c>
      <c r="K717" s="10">
        <v>46056.0</v>
      </c>
      <c r="L717" s="6">
        <v>1.0</v>
      </c>
      <c r="M717" s="8">
        <f t="shared" si="1"/>
        <v>0.09</v>
      </c>
      <c r="P717" s="9"/>
    </row>
    <row r="718">
      <c r="A718" s="6" t="s">
        <v>1928</v>
      </c>
      <c r="B718" s="6" t="s">
        <v>1929</v>
      </c>
      <c r="C718" s="6" t="s">
        <v>23</v>
      </c>
      <c r="D718" s="6" t="s">
        <v>1930</v>
      </c>
      <c r="E718" s="6" t="s">
        <v>153</v>
      </c>
      <c r="F718" s="6" t="s">
        <v>103</v>
      </c>
      <c r="G718" s="7">
        <v>0.1</v>
      </c>
      <c r="H718" s="6" t="s">
        <v>845</v>
      </c>
      <c r="I718" s="6" t="s">
        <v>20</v>
      </c>
      <c r="J718" s="6">
        <v>2022.0</v>
      </c>
      <c r="K718" s="10">
        <v>46057.0</v>
      </c>
      <c r="L718" s="6">
        <v>1.0</v>
      </c>
      <c r="M718" s="8">
        <f t="shared" si="1"/>
        <v>0.1</v>
      </c>
      <c r="P718" s="9"/>
    </row>
    <row r="719">
      <c r="A719" s="6" t="s">
        <v>1931</v>
      </c>
      <c r="B719" s="6" t="s">
        <v>182</v>
      </c>
      <c r="C719" s="6" t="s">
        <v>23</v>
      </c>
      <c r="D719" s="6" t="s">
        <v>1932</v>
      </c>
      <c r="E719" s="6" t="s">
        <v>196</v>
      </c>
      <c r="F719" s="6" t="s">
        <v>65</v>
      </c>
      <c r="G719" s="7">
        <v>3.15</v>
      </c>
      <c r="H719" s="6" t="s">
        <v>663</v>
      </c>
      <c r="I719" s="6" t="s">
        <v>20</v>
      </c>
      <c r="J719" s="6">
        <v>2023.0</v>
      </c>
      <c r="L719" s="6">
        <v>3.0</v>
      </c>
      <c r="M719" s="8">
        <f t="shared" si="1"/>
        <v>9.45</v>
      </c>
      <c r="P719" s="9"/>
    </row>
    <row r="720">
      <c r="A720" s="6" t="s">
        <v>1931</v>
      </c>
      <c r="B720" s="6" t="s">
        <v>182</v>
      </c>
      <c r="C720" s="6" t="s">
        <v>23</v>
      </c>
      <c r="D720" s="6" t="s">
        <v>1932</v>
      </c>
      <c r="E720" s="6" t="s">
        <v>196</v>
      </c>
      <c r="F720" s="6" t="s">
        <v>65</v>
      </c>
      <c r="G720" s="7">
        <v>4.75</v>
      </c>
      <c r="H720" s="6" t="s">
        <v>1933</v>
      </c>
      <c r="I720" s="6" t="s">
        <v>20</v>
      </c>
      <c r="J720" s="6">
        <v>2020.0</v>
      </c>
      <c r="L720" s="6">
        <v>1.0</v>
      </c>
      <c r="M720" s="8">
        <f t="shared" si="1"/>
        <v>4.75</v>
      </c>
      <c r="P720" s="9"/>
    </row>
    <row r="721">
      <c r="A721" s="6" t="s">
        <v>1934</v>
      </c>
      <c r="B721" s="6" t="s">
        <v>372</v>
      </c>
      <c r="C721" s="6" t="s">
        <v>41</v>
      </c>
      <c r="D721" s="6" t="s">
        <v>1935</v>
      </c>
      <c r="E721" s="6" t="s">
        <v>175</v>
      </c>
      <c r="F721" s="6" t="s">
        <v>51</v>
      </c>
      <c r="G721" s="7">
        <v>0.65</v>
      </c>
      <c r="H721" s="6" t="s">
        <v>626</v>
      </c>
      <c r="I721" s="6" t="s">
        <v>20</v>
      </c>
      <c r="J721" s="6">
        <v>2013.0</v>
      </c>
      <c r="L721" s="6">
        <v>1.0</v>
      </c>
      <c r="M721" s="8">
        <f t="shared" si="1"/>
        <v>0.65</v>
      </c>
      <c r="P721" s="9"/>
    </row>
    <row r="722">
      <c r="A722" s="6" t="s">
        <v>1936</v>
      </c>
      <c r="B722" s="6" t="s">
        <v>1937</v>
      </c>
      <c r="C722" s="6" t="s">
        <v>449</v>
      </c>
      <c r="D722" s="6" t="s">
        <v>1938</v>
      </c>
      <c r="E722" s="6" t="s">
        <v>533</v>
      </c>
      <c r="F722" s="6" t="s">
        <v>65</v>
      </c>
      <c r="G722" s="7">
        <v>0.49</v>
      </c>
      <c r="H722" s="6" t="s">
        <v>641</v>
      </c>
      <c r="I722" s="6" t="s">
        <v>20</v>
      </c>
      <c r="J722" s="6">
        <v>2026.0</v>
      </c>
      <c r="K722" s="10">
        <v>46088.0</v>
      </c>
      <c r="L722" s="6">
        <v>1.0</v>
      </c>
      <c r="M722" s="8">
        <f t="shared" si="1"/>
        <v>0.49</v>
      </c>
      <c r="P722" s="9"/>
    </row>
    <row r="723">
      <c r="A723" s="6" t="s">
        <v>1939</v>
      </c>
      <c r="B723" s="6" t="s">
        <v>1498</v>
      </c>
      <c r="C723" s="6" t="s">
        <v>449</v>
      </c>
      <c r="D723" s="6" t="s">
        <v>1940</v>
      </c>
      <c r="E723" s="6" t="s">
        <v>153</v>
      </c>
      <c r="F723" s="6" t="s">
        <v>103</v>
      </c>
      <c r="G723" s="7">
        <v>0.7</v>
      </c>
      <c r="H723" s="6" t="s">
        <v>641</v>
      </c>
      <c r="I723" s="6" t="s">
        <v>20</v>
      </c>
      <c r="J723" s="6">
        <v>2026.0</v>
      </c>
      <c r="K723" s="10">
        <v>46147.0</v>
      </c>
      <c r="L723" s="6">
        <v>1.0</v>
      </c>
      <c r="M723" s="8">
        <f t="shared" si="1"/>
        <v>0.7</v>
      </c>
      <c r="P723" s="9"/>
    </row>
    <row r="724">
      <c r="A724" s="6" t="s">
        <v>1941</v>
      </c>
      <c r="B724" s="6" t="s">
        <v>860</v>
      </c>
      <c r="C724" s="6" t="s">
        <v>41</v>
      </c>
      <c r="D724" s="6" t="s">
        <v>1942</v>
      </c>
      <c r="E724" s="6" t="s">
        <v>30</v>
      </c>
      <c r="F724" s="6" t="s">
        <v>18</v>
      </c>
      <c r="G724" s="7">
        <v>0.25</v>
      </c>
      <c r="H724" s="6" t="s">
        <v>641</v>
      </c>
      <c r="I724" s="6" t="s">
        <v>20</v>
      </c>
      <c r="J724" s="6">
        <v>2026.0</v>
      </c>
      <c r="K724" s="10">
        <v>46177.0</v>
      </c>
      <c r="L724" s="6">
        <v>1.0</v>
      </c>
      <c r="M724" s="8">
        <f t="shared" si="1"/>
        <v>0.25</v>
      </c>
      <c r="P724" s="9"/>
    </row>
    <row r="725">
      <c r="A725" s="6" t="s">
        <v>1943</v>
      </c>
      <c r="B725" s="6" t="s">
        <v>1944</v>
      </c>
      <c r="C725" s="6" t="s">
        <v>23</v>
      </c>
      <c r="D725" s="6" t="s">
        <v>1945</v>
      </c>
      <c r="E725" s="6" t="s">
        <v>502</v>
      </c>
      <c r="F725" s="6" t="s">
        <v>65</v>
      </c>
      <c r="G725" s="7">
        <v>0.1</v>
      </c>
      <c r="H725" s="6" t="s">
        <v>75</v>
      </c>
      <c r="I725" s="6" t="s">
        <v>20</v>
      </c>
      <c r="J725" s="6">
        <v>1995.0</v>
      </c>
      <c r="K725" s="10">
        <v>46084.0</v>
      </c>
      <c r="L725" s="6">
        <v>1.0</v>
      </c>
      <c r="M725" s="8">
        <f t="shared" si="1"/>
        <v>0.1</v>
      </c>
      <c r="P725" s="9"/>
    </row>
    <row r="726">
      <c r="A726" s="6" t="s">
        <v>1946</v>
      </c>
      <c r="B726" s="6" t="s">
        <v>62</v>
      </c>
      <c r="C726" s="6" t="s">
        <v>23</v>
      </c>
      <c r="D726" s="6" t="s">
        <v>1947</v>
      </c>
      <c r="E726" s="6" t="s">
        <v>502</v>
      </c>
      <c r="F726" s="6" t="s">
        <v>65</v>
      </c>
      <c r="G726" s="7">
        <v>0.05</v>
      </c>
      <c r="H726" s="6" t="s">
        <v>701</v>
      </c>
      <c r="I726" s="6" t="s">
        <v>20</v>
      </c>
      <c r="J726" s="6">
        <v>2012.0</v>
      </c>
      <c r="L726" s="6">
        <v>6.0</v>
      </c>
      <c r="M726" s="8">
        <f t="shared" si="1"/>
        <v>0.3</v>
      </c>
      <c r="P726" s="9"/>
    </row>
    <row r="727">
      <c r="A727" s="6" t="s">
        <v>1946</v>
      </c>
      <c r="B727" s="6" t="s">
        <v>62</v>
      </c>
      <c r="C727" s="6" t="s">
        <v>23</v>
      </c>
      <c r="D727" s="6" t="s">
        <v>1947</v>
      </c>
      <c r="E727" s="6" t="s">
        <v>502</v>
      </c>
      <c r="F727" s="6" t="s">
        <v>65</v>
      </c>
      <c r="G727" s="7">
        <v>0.06</v>
      </c>
      <c r="H727" s="6" t="s">
        <v>184</v>
      </c>
      <c r="I727" s="6" t="s">
        <v>20</v>
      </c>
      <c r="J727" s="6">
        <v>2015.0</v>
      </c>
      <c r="L727" s="6">
        <v>1.0</v>
      </c>
      <c r="M727" s="8">
        <f t="shared" si="1"/>
        <v>0.06</v>
      </c>
      <c r="P727" s="9"/>
    </row>
    <row r="728">
      <c r="A728" s="6" t="s">
        <v>1948</v>
      </c>
      <c r="B728" s="6" t="s">
        <v>326</v>
      </c>
      <c r="C728" s="6" t="s">
        <v>41</v>
      </c>
      <c r="D728" s="6" t="s">
        <v>1949</v>
      </c>
      <c r="E728" s="6" t="s">
        <v>1950</v>
      </c>
      <c r="F728" s="6" t="s">
        <v>65</v>
      </c>
      <c r="G728" s="7">
        <v>13.5</v>
      </c>
      <c r="H728" s="6" t="s">
        <v>1810</v>
      </c>
      <c r="I728" s="6" t="s">
        <v>20</v>
      </c>
      <c r="J728" s="6">
        <v>2020.0</v>
      </c>
      <c r="K728" s="10">
        <v>46179.0</v>
      </c>
      <c r="L728" s="6">
        <v>1.0</v>
      </c>
      <c r="M728" s="8">
        <f t="shared" si="1"/>
        <v>13.5</v>
      </c>
      <c r="N728" s="6" t="s">
        <v>172</v>
      </c>
      <c r="P728" s="9"/>
    </row>
    <row r="729">
      <c r="A729" s="6" t="s">
        <v>1951</v>
      </c>
      <c r="B729" s="6" t="s">
        <v>62</v>
      </c>
      <c r="C729" s="6" t="s">
        <v>23</v>
      </c>
      <c r="D729" s="6" t="s">
        <v>1952</v>
      </c>
      <c r="E729" s="6" t="s">
        <v>1005</v>
      </c>
      <c r="F729" s="6" t="s">
        <v>65</v>
      </c>
      <c r="G729" s="7">
        <v>0.04</v>
      </c>
      <c r="H729" s="6" t="s">
        <v>914</v>
      </c>
      <c r="I729" s="6" t="s">
        <v>20</v>
      </c>
      <c r="J729" s="6">
        <v>2011.0</v>
      </c>
      <c r="L729" s="6">
        <v>1.0</v>
      </c>
      <c r="M729" s="8">
        <f t="shared" si="1"/>
        <v>0.04</v>
      </c>
      <c r="P729" s="9"/>
    </row>
    <row r="730">
      <c r="A730" s="6" t="s">
        <v>1953</v>
      </c>
      <c r="B730" s="6" t="s">
        <v>62</v>
      </c>
      <c r="C730" s="6" t="s">
        <v>23</v>
      </c>
      <c r="D730" s="6" t="s">
        <v>1954</v>
      </c>
      <c r="E730" s="6" t="s">
        <v>112</v>
      </c>
      <c r="F730" s="6" t="s">
        <v>65</v>
      </c>
      <c r="G730" s="7">
        <v>0.04</v>
      </c>
      <c r="H730" s="6" t="s">
        <v>406</v>
      </c>
      <c r="I730" s="6" t="s">
        <v>20</v>
      </c>
      <c r="J730" s="6">
        <v>2019.0</v>
      </c>
      <c r="L730" s="6">
        <v>2.0</v>
      </c>
      <c r="M730" s="8">
        <f t="shared" si="1"/>
        <v>0.08</v>
      </c>
      <c r="P730" s="9"/>
    </row>
    <row r="731">
      <c r="A731" s="6" t="s">
        <v>1955</v>
      </c>
      <c r="B731" s="6" t="s">
        <v>182</v>
      </c>
      <c r="C731" s="6" t="s">
        <v>1956</v>
      </c>
      <c r="D731" s="6" t="s">
        <v>1957</v>
      </c>
      <c r="E731" s="6" t="s">
        <v>1098</v>
      </c>
      <c r="F731" s="6" t="s">
        <v>159</v>
      </c>
      <c r="G731" s="7">
        <v>0.78</v>
      </c>
      <c r="H731" s="6" t="s">
        <v>1958</v>
      </c>
      <c r="I731" s="6" t="s">
        <v>55</v>
      </c>
      <c r="J731" s="6">
        <v>2009.0</v>
      </c>
      <c r="L731" s="6">
        <v>1.0</v>
      </c>
      <c r="M731" s="8">
        <f t="shared" si="1"/>
        <v>0.78</v>
      </c>
      <c r="P731" s="9"/>
    </row>
    <row r="732">
      <c r="A732" s="6" t="s">
        <v>1959</v>
      </c>
      <c r="B732" s="6" t="s">
        <v>62</v>
      </c>
      <c r="C732" s="6" t="s">
        <v>48</v>
      </c>
      <c r="D732" s="6" t="s">
        <v>1960</v>
      </c>
      <c r="E732" s="6" t="s">
        <v>721</v>
      </c>
      <c r="F732" s="6" t="s">
        <v>51</v>
      </c>
      <c r="G732" s="7">
        <v>0.09</v>
      </c>
      <c r="H732" s="6" t="s">
        <v>705</v>
      </c>
      <c r="I732" s="6" t="s">
        <v>20</v>
      </c>
      <c r="J732" s="6">
        <v>2015.0</v>
      </c>
      <c r="L732" s="6">
        <v>1.0</v>
      </c>
      <c r="M732" s="8">
        <f t="shared" si="1"/>
        <v>0.09</v>
      </c>
      <c r="P732" s="9"/>
    </row>
    <row r="733">
      <c r="A733" s="6" t="s">
        <v>1961</v>
      </c>
      <c r="B733" s="6" t="s">
        <v>372</v>
      </c>
      <c r="C733" s="6" t="s">
        <v>23</v>
      </c>
      <c r="D733" s="6" t="s">
        <v>1962</v>
      </c>
      <c r="E733" s="6" t="s">
        <v>25</v>
      </c>
      <c r="F733" s="6" t="s">
        <v>18</v>
      </c>
      <c r="G733" s="7">
        <v>0.05</v>
      </c>
      <c r="H733" s="6" t="s">
        <v>1494</v>
      </c>
      <c r="I733" s="6" t="s">
        <v>20</v>
      </c>
      <c r="J733" s="6">
        <v>2012.0</v>
      </c>
      <c r="L733" s="6">
        <v>1.0</v>
      </c>
      <c r="M733" s="8">
        <f t="shared" si="1"/>
        <v>0.05</v>
      </c>
      <c r="P733" s="9"/>
    </row>
    <row r="734">
      <c r="A734" s="6" t="s">
        <v>1963</v>
      </c>
      <c r="B734" s="6" t="s">
        <v>1452</v>
      </c>
      <c r="C734" s="6" t="s">
        <v>23</v>
      </c>
      <c r="D734" s="6" t="s">
        <v>1964</v>
      </c>
      <c r="E734" s="6" t="s">
        <v>1965</v>
      </c>
      <c r="F734" s="6" t="s">
        <v>426</v>
      </c>
      <c r="G734" s="7">
        <v>0.11</v>
      </c>
      <c r="H734" s="6" t="s">
        <v>641</v>
      </c>
      <c r="I734" s="6" t="s">
        <v>20</v>
      </c>
      <c r="J734" s="6">
        <v>2026.0</v>
      </c>
      <c r="K734" s="10">
        <v>46117.0</v>
      </c>
      <c r="L734" s="6">
        <v>1.0</v>
      </c>
      <c r="M734" s="8">
        <f t="shared" si="1"/>
        <v>0.11</v>
      </c>
      <c r="P734" s="9"/>
    </row>
    <row r="735">
      <c r="A735" s="6" t="s">
        <v>1966</v>
      </c>
      <c r="B735" s="6" t="s">
        <v>151</v>
      </c>
      <c r="C735" s="6" t="s">
        <v>23</v>
      </c>
      <c r="D735" s="6" t="s">
        <v>974</v>
      </c>
      <c r="E735" s="6" t="s">
        <v>738</v>
      </c>
      <c r="F735" s="6" t="s">
        <v>51</v>
      </c>
      <c r="G735" s="7">
        <v>0.05</v>
      </c>
      <c r="H735" s="6" t="s">
        <v>491</v>
      </c>
      <c r="I735" s="6" t="s">
        <v>20</v>
      </c>
      <c r="J735" s="6">
        <v>2011.0</v>
      </c>
      <c r="K735" s="10">
        <v>46083.0</v>
      </c>
      <c r="L735" s="6">
        <v>1.0</v>
      </c>
      <c r="M735" s="8">
        <f t="shared" si="1"/>
        <v>0.05</v>
      </c>
      <c r="P735" s="9"/>
    </row>
    <row r="736">
      <c r="A736" s="6" t="s">
        <v>1967</v>
      </c>
      <c r="B736" s="6" t="s">
        <v>182</v>
      </c>
      <c r="C736" s="6" t="s">
        <v>23</v>
      </c>
      <c r="D736" s="6" t="s">
        <v>1968</v>
      </c>
      <c r="E736" s="6" t="s">
        <v>175</v>
      </c>
      <c r="F736" s="6" t="s">
        <v>51</v>
      </c>
      <c r="G736" s="7">
        <v>0.08</v>
      </c>
      <c r="H736" s="6" t="s">
        <v>93</v>
      </c>
      <c r="I736" s="6" t="s">
        <v>20</v>
      </c>
      <c r="J736" s="6">
        <v>2016.0</v>
      </c>
      <c r="L736" s="6">
        <v>2.0</v>
      </c>
      <c r="M736" s="8">
        <f t="shared" si="1"/>
        <v>0.16</v>
      </c>
      <c r="P736" s="9"/>
    </row>
    <row r="737">
      <c r="A737" s="6" t="s">
        <v>1969</v>
      </c>
      <c r="B737" s="6" t="s">
        <v>307</v>
      </c>
      <c r="C737" s="6" t="s">
        <v>23</v>
      </c>
      <c r="D737" s="6" t="s">
        <v>1970</v>
      </c>
      <c r="E737" s="6" t="s">
        <v>36</v>
      </c>
      <c r="F737" s="6" t="s">
        <v>103</v>
      </c>
      <c r="G737" s="7">
        <v>0.75</v>
      </c>
      <c r="H737" s="6" t="s">
        <v>1971</v>
      </c>
      <c r="I737" s="6" t="s">
        <v>20</v>
      </c>
      <c r="J737" s="6">
        <v>2021.0</v>
      </c>
      <c r="L737" s="6">
        <v>1.0</v>
      </c>
      <c r="M737" s="8">
        <f t="shared" si="1"/>
        <v>0.75</v>
      </c>
      <c r="P737" s="9"/>
    </row>
    <row r="738">
      <c r="A738" s="6" t="s">
        <v>1972</v>
      </c>
      <c r="B738" s="6" t="s">
        <v>182</v>
      </c>
      <c r="C738" s="6" t="s">
        <v>48</v>
      </c>
      <c r="D738" s="6" t="s">
        <v>1973</v>
      </c>
      <c r="E738" s="6" t="s">
        <v>270</v>
      </c>
      <c r="F738" s="6" t="s">
        <v>159</v>
      </c>
      <c r="G738" s="7">
        <v>0.09</v>
      </c>
      <c r="H738" s="6" t="s">
        <v>477</v>
      </c>
      <c r="I738" s="6" t="s">
        <v>20</v>
      </c>
      <c r="J738" s="6">
        <v>2020.0</v>
      </c>
      <c r="L738" s="6">
        <v>1.0</v>
      </c>
      <c r="M738" s="8">
        <f t="shared" si="1"/>
        <v>0.09</v>
      </c>
      <c r="P738" s="9"/>
    </row>
    <row r="739">
      <c r="A739" s="6" t="s">
        <v>1974</v>
      </c>
      <c r="B739" s="6" t="s">
        <v>1975</v>
      </c>
      <c r="C739" s="6" t="s">
        <v>23</v>
      </c>
      <c r="D739" s="6" t="s">
        <v>1976</v>
      </c>
      <c r="E739" s="6" t="s">
        <v>238</v>
      </c>
      <c r="F739" s="6" t="s">
        <v>159</v>
      </c>
      <c r="G739" s="7">
        <v>0.03</v>
      </c>
      <c r="H739" s="6" t="s">
        <v>276</v>
      </c>
      <c r="I739" s="6" t="s">
        <v>20</v>
      </c>
      <c r="J739" s="6">
        <v>2014.0</v>
      </c>
      <c r="K739" s="10">
        <v>46023.0</v>
      </c>
      <c r="L739" s="6">
        <v>1.0</v>
      </c>
      <c r="M739" s="8">
        <f t="shared" si="1"/>
        <v>0.03</v>
      </c>
      <c r="P739" s="9"/>
    </row>
    <row r="740">
      <c r="A740" s="6" t="s">
        <v>1977</v>
      </c>
      <c r="B740" s="6" t="s">
        <v>1978</v>
      </c>
      <c r="C740" s="6" t="s">
        <v>23</v>
      </c>
      <c r="D740" s="6" t="s">
        <v>1979</v>
      </c>
      <c r="E740" s="6" t="s">
        <v>50</v>
      </c>
      <c r="F740" s="6" t="s">
        <v>51</v>
      </c>
      <c r="G740" s="7">
        <v>0.05</v>
      </c>
      <c r="H740" s="6" t="s">
        <v>184</v>
      </c>
      <c r="I740" s="6" t="s">
        <v>20</v>
      </c>
      <c r="J740" s="6">
        <v>2015.0</v>
      </c>
      <c r="K740" s="10">
        <v>46055.0</v>
      </c>
      <c r="L740" s="6">
        <v>2.0</v>
      </c>
      <c r="M740" s="8">
        <f t="shared" si="1"/>
        <v>0.1</v>
      </c>
      <c r="P740" s="9"/>
    </row>
    <row r="741">
      <c r="A741" s="6" t="s">
        <v>1980</v>
      </c>
      <c r="B741" s="6" t="s">
        <v>1981</v>
      </c>
      <c r="C741" s="6" t="s">
        <v>23</v>
      </c>
      <c r="D741" s="6" t="s">
        <v>1982</v>
      </c>
      <c r="E741" s="6" t="s">
        <v>158</v>
      </c>
      <c r="F741" s="6" t="s">
        <v>159</v>
      </c>
      <c r="G741" s="7">
        <v>0.1</v>
      </c>
      <c r="H741" s="6" t="s">
        <v>411</v>
      </c>
      <c r="I741" s="6" t="s">
        <v>20</v>
      </c>
      <c r="J741" s="6">
        <v>2014.0</v>
      </c>
      <c r="K741" s="10">
        <v>46116.0</v>
      </c>
      <c r="L741" s="6">
        <v>1.0</v>
      </c>
      <c r="M741" s="8">
        <f t="shared" si="1"/>
        <v>0.1</v>
      </c>
      <c r="P741" s="9"/>
    </row>
    <row r="742">
      <c r="A742" s="6" t="s">
        <v>1983</v>
      </c>
      <c r="B742" s="6" t="s">
        <v>250</v>
      </c>
      <c r="C742" s="6" t="s">
        <v>48</v>
      </c>
      <c r="D742" s="6" t="s">
        <v>1984</v>
      </c>
      <c r="E742" s="6" t="s">
        <v>243</v>
      </c>
      <c r="F742" s="6" t="s">
        <v>37</v>
      </c>
      <c r="G742" s="7">
        <v>0.15</v>
      </c>
      <c r="H742" s="6" t="s">
        <v>370</v>
      </c>
      <c r="I742" s="6" t="s">
        <v>20</v>
      </c>
      <c r="J742" s="6">
        <v>1996.0</v>
      </c>
      <c r="L742" s="6">
        <v>1.0</v>
      </c>
      <c r="M742" s="8">
        <f t="shared" si="1"/>
        <v>0.15</v>
      </c>
      <c r="P742" s="9"/>
    </row>
    <row r="743">
      <c r="A743" s="6" t="s">
        <v>1985</v>
      </c>
      <c r="B743" s="6" t="s">
        <v>1929</v>
      </c>
      <c r="C743" s="6" t="s">
        <v>41</v>
      </c>
      <c r="D743" s="6" t="s">
        <v>1986</v>
      </c>
      <c r="E743" s="6" t="s">
        <v>1950</v>
      </c>
      <c r="F743" s="6" t="s">
        <v>65</v>
      </c>
      <c r="G743" s="7">
        <v>0.85</v>
      </c>
      <c r="H743" s="6" t="s">
        <v>239</v>
      </c>
      <c r="I743" s="6" t="s">
        <v>20</v>
      </c>
      <c r="J743" s="6">
        <v>2024.0</v>
      </c>
      <c r="K743" s="10">
        <v>46116.0</v>
      </c>
      <c r="L743" s="6">
        <v>1.0</v>
      </c>
      <c r="M743" s="8">
        <f t="shared" si="1"/>
        <v>0.85</v>
      </c>
      <c r="P743" s="9"/>
    </row>
    <row r="744">
      <c r="A744" s="6" t="s">
        <v>1987</v>
      </c>
      <c r="B744" s="6" t="s">
        <v>331</v>
      </c>
      <c r="C744" s="6" t="s">
        <v>23</v>
      </c>
      <c r="D744" s="6" t="s">
        <v>1988</v>
      </c>
      <c r="E744" s="6" t="s">
        <v>175</v>
      </c>
      <c r="F744" s="6" t="s">
        <v>51</v>
      </c>
      <c r="G744" s="7">
        <v>0.06</v>
      </c>
      <c r="H744" s="6" t="s">
        <v>406</v>
      </c>
      <c r="I744" s="6" t="s">
        <v>20</v>
      </c>
      <c r="J744" s="6">
        <v>2019.0</v>
      </c>
      <c r="K744" s="10">
        <v>46023.0</v>
      </c>
      <c r="L744" s="6">
        <v>1.0</v>
      </c>
      <c r="M744" s="8">
        <f t="shared" si="1"/>
        <v>0.06</v>
      </c>
      <c r="P744" s="9"/>
    </row>
    <row r="745">
      <c r="A745" s="6" t="s">
        <v>1989</v>
      </c>
      <c r="B745" s="6" t="s">
        <v>1990</v>
      </c>
      <c r="C745" s="6" t="s">
        <v>23</v>
      </c>
      <c r="D745" s="6" t="s">
        <v>1991</v>
      </c>
      <c r="E745" s="6" t="s">
        <v>248</v>
      </c>
      <c r="F745" s="6" t="s">
        <v>18</v>
      </c>
      <c r="G745" s="7">
        <v>0.06</v>
      </c>
      <c r="H745" s="6" t="s">
        <v>204</v>
      </c>
      <c r="I745" s="6" t="s">
        <v>20</v>
      </c>
      <c r="J745" s="6">
        <v>2026.0</v>
      </c>
      <c r="L745" s="6">
        <v>1.0</v>
      </c>
      <c r="M745" s="8">
        <f t="shared" si="1"/>
        <v>0.06</v>
      </c>
      <c r="P745" s="9"/>
    </row>
    <row r="746">
      <c r="A746" s="6" t="s">
        <v>1992</v>
      </c>
      <c r="B746" s="6" t="s">
        <v>263</v>
      </c>
      <c r="C746" s="6" t="s">
        <v>23</v>
      </c>
      <c r="D746" s="6" t="s">
        <v>1993</v>
      </c>
      <c r="E746" s="6" t="s">
        <v>558</v>
      </c>
      <c r="F746" s="6" t="s">
        <v>18</v>
      </c>
      <c r="G746" s="7">
        <v>0.04</v>
      </c>
      <c r="H746" s="6" t="s">
        <v>914</v>
      </c>
      <c r="I746" s="6" t="s">
        <v>20</v>
      </c>
      <c r="J746" s="6">
        <v>2011.0</v>
      </c>
      <c r="K746" s="10">
        <v>46084.0</v>
      </c>
      <c r="L746" s="6">
        <v>1.0</v>
      </c>
      <c r="M746" s="8">
        <f t="shared" si="1"/>
        <v>0.04</v>
      </c>
      <c r="P746" s="9"/>
    </row>
    <row r="747">
      <c r="A747" s="6" t="s">
        <v>1994</v>
      </c>
      <c r="B747" s="6" t="s">
        <v>62</v>
      </c>
      <c r="C747" s="6" t="s">
        <v>48</v>
      </c>
      <c r="D747" s="6" t="s">
        <v>1995</v>
      </c>
      <c r="E747" s="6" t="s">
        <v>30</v>
      </c>
      <c r="F747" s="6" t="s">
        <v>18</v>
      </c>
      <c r="G747" s="7">
        <v>0.14</v>
      </c>
      <c r="H747" s="6" t="s">
        <v>1084</v>
      </c>
      <c r="I747" s="6" t="s">
        <v>20</v>
      </c>
      <c r="J747" s="6">
        <v>2018.0</v>
      </c>
      <c r="L747" s="6">
        <v>1.0</v>
      </c>
      <c r="M747" s="8">
        <f t="shared" si="1"/>
        <v>0.14</v>
      </c>
      <c r="P747" s="9"/>
    </row>
    <row r="748">
      <c r="A748" s="6" t="s">
        <v>1996</v>
      </c>
      <c r="B748" s="6" t="s">
        <v>841</v>
      </c>
      <c r="C748" s="6" t="s">
        <v>48</v>
      </c>
      <c r="D748" s="6" t="s">
        <v>1997</v>
      </c>
      <c r="E748" s="6" t="s">
        <v>243</v>
      </c>
      <c r="F748" s="6" t="s">
        <v>37</v>
      </c>
      <c r="G748" s="7">
        <v>0.13</v>
      </c>
      <c r="H748" s="6" t="s">
        <v>184</v>
      </c>
      <c r="I748" s="6" t="s">
        <v>20</v>
      </c>
      <c r="J748" s="6">
        <v>2015.0</v>
      </c>
      <c r="K748" s="10">
        <v>46083.0</v>
      </c>
      <c r="L748" s="6">
        <v>2.0</v>
      </c>
      <c r="M748" s="8">
        <f t="shared" si="1"/>
        <v>0.26</v>
      </c>
      <c r="P748" s="9"/>
    </row>
    <row r="749">
      <c r="A749" s="6" t="s">
        <v>1998</v>
      </c>
      <c r="B749" s="6" t="s">
        <v>326</v>
      </c>
      <c r="C749" s="6" t="s">
        <v>23</v>
      </c>
      <c r="D749" s="6" t="s">
        <v>1999</v>
      </c>
      <c r="E749" s="6" t="s">
        <v>558</v>
      </c>
      <c r="F749" s="6" t="s">
        <v>18</v>
      </c>
      <c r="G749" s="7">
        <v>0.03</v>
      </c>
      <c r="H749" s="6" t="s">
        <v>185</v>
      </c>
      <c r="I749" s="6" t="s">
        <v>20</v>
      </c>
      <c r="J749" s="6">
        <v>2019.0</v>
      </c>
      <c r="K749" s="10">
        <v>46084.0</v>
      </c>
      <c r="L749" s="6">
        <v>1.0</v>
      </c>
      <c r="M749" s="8">
        <f t="shared" si="1"/>
        <v>0.03</v>
      </c>
      <c r="P749" s="9"/>
    </row>
    <row r="750">
      <c r="A750" s="6" t="s">
        <v>2000</v>
      </c>
      <c r="B750" s="6" t="s">
        <v>62</v>
      </c>
      <c r="C750" s="6" t="s">
        <v>48</v>
      </c>
      <c r="D750" s="6" t="s">
        <v>2001</v>
      </c>
      <c r="E750" s="6" t="s">
        <v>25</v>
      </c>
      <c r="F750" s="6" t="s">
        <v>18</v>
      </c>
      <c r="G750" s="7">
        <v>0.08</v>
      </c>
      <c r="H750" s="6" t="s">
        <v>66</v>
      </c>
      <c r="I750" s="6" t="s">
        <v>20</v>
      </c>
      <c r="J750" s="6">
        <v>2016.0</v>
      </c>
      <c r="L750" s="6">
        <v>1.0</v>
      </c>
      <c r="M750" s="8">
        <f t="shared" si="1"/>
        <v>0.08</v>
      </c>
      <c r="P750" s="9"/>
    </row>
    <row r="751">
      <c r="A751" s="6" t="s">
        <v>2002</v>
      </c>
      <c r="B751" s="6" t="s">
        <v>2003</v>
      </c>
      <c r="C751" s="6" t="s">
        <v>23</v>
      </c>
      <c r="D751" s="6" t="s">
        <v>2004</v>
      </c>
      <c r="E751" s="6" t="s">
        <v>235</v>
      </c>
      <c r="F751" s="6" t="s">
        <v>103</v>
      </c>
      <c r="G751" s="7">
        <v>0.07</v>
      </c>
      <c r="H751" s="6" t="s">
        <v>2005</v>
      </c>
      <c r="I751" s="6" t="s">
        <v>20</v>
      </c>
      <c r="J751" s="6">
        <v>2006.0</v>
      </c>
      <c r="K751" s="10">
        <v>46023.0</v>
      </c>
      <c r="L751" s="6">
        <v>1.0</v>
      </c>
      <c r="M751" s="8">
        <f t="shared" si="1"/>
        <v>0.07</v>
      </c>
      <c r="P751" s="9"/>
    </row>
    <row r="752">
      <c r="A752" s="6" t="s">
        <v>2006</v>
      </c>
      <c r="B752" s="6" t="s">
        <v>2007</v>
      </c>
      <c r="C752" s="6" t="s">
        <v>41</v>
      </c>
      <c r="D752" s="6" t="s">
        <v>2008</v>
      </c>
      <c r="E752" s="6" t="s">
        <v>700</v>
      </c>
      <c r="F752" s="6" t="s">
        <v>18</v>
      </c>
      <c r="G752" s="7">
        <v>1.19</v>
      </c>
      <c r="H752" s="6" t="s">
        <v>2009</v>
      </c>
      <c r="I752" s="6" t="s">
        <v>20</v>
      </c>
      <c r="J752" s="6">
        <v>2005.0</v>
      </c>
      <c r="K752" s="10">
        <v>46116.0</v>
      </c>
      <c r="L752" s="6">
        <v>1.0</v>
      </c>
      <c r="M752" s="8">
        <f t="shared" si="1"/>
        <v>1.19</v>
      </c>
      <c r="P752" s="9"/>
    </row>
    <row r="753">
      <c r="A753" s="6" t="s">
        <v>2010</v>
      </c>
      <c r="B753" s="6" t="s">
        <v>2011</v>
      </c>
      <c r="C753" s="6" t="s">
        <v>521</v>
      </c>
      <c r="D753" s="6" t="s">
        <v>2012</v>
      </c>
      <c r="E753" s="6" t="s">
        <v>2013</v>
      </c>
      <c r="F753" s="6" t="s">
        <v>2014</v>
      </c>
      <c r="G753" s="7">
        <v>0.1</v>
      </c>
      <c r="H753" s="6" t="s">
        <v>641</v>
      </c>
      <c r="I753" s="6" t="s">
        <v>20</v>
      </c>
      <c r="J753" s="6">
        <v>2026.0</v>
      </c>
      <c r="K753" s="10">
        <v>46115.0</v>
      </c>
      <c r="L753" s="6">
        <v>3.0</v>
      </c>
      <c r="M753" s="8">
        <f t="shared" si="1"/>
        <v>0.3</v>
      </c>
      <c r="P753" s="9"/>
    </row>
    <row r="754">
      <c r="A754" s="6" t="s">
        <v>2010</v>
      </c>
      <c r="B754" s="6" t="s">
        <v>2011</v>
      </c>
      <c r="C754" s="6" t="s">
        <v>23</v>
      </c>
      <c r="D754" s="6" t="s">
        <v>2015</v>
      </c>
      <c r="E754" s="6" t="s">
        <v>2013</v>
      </c>
      <c r="F754" s="6" t="s">
        <v>284</v>
      </c>
      <c r="G754" s="7">
        <v>0.1</v>
      </c>
      <c r="H754" s="6" t="s">
        <v>641</v>
      </c>
      <c r="I754" s="6" t="s">
        <v>20</v>
      </c>
      <c r="J754" s="6">
        <v>2026.0</v>
      </c>
      <c r="K754" s="10">
        <v>46115.0</v>
      </c>
      <c r="L754" s="6">
        <v>1.0</v>
      </c>
      <c r="M754" s="8">
        <f t="shared" si="1"/>
        <v>0.1</v>
      </c>
      <c r="P754" s="9"/>
    </row>
    <row r="755">
      <c r="A755" s="6" t="s">
        <v>2016</v>
      </c>
      <c r="B755" s="6" t="s">
        <v>165</v>
      </c>
      <c r="C755" s="6" t="s">
        <v>15</v>
      </c>
      <c r="D755" s="6" t="s">
        <v>2017</v>
      </c>
      <c r="E755" s="6" t="s">
        <v>2018</v>
      </c>
      <c r="F755" s="6" t="s">
        <v>65</v>
      </c>
      <c r="G755" s="7">
        <v>0.21</v>
      </c>
      <c r="H755" s="6" t="s">
        <v>209</v>
      </c>
      <c r="I755" s="6" t="s">
        <v>20</v>
      </c>
      <c r="J755" s="6">
        <v>2025.0</v>
      </c>
      <c r="L755" s="6">
        <v>1.0</v>
      </c>
      <c r="M755" s="8">
        <f t="shared" si="1"/>
        <v>0.21</v>
      </c>
      <c r="P755" s="9"/>
    </row>
    <row r="756">
      <c r="A756" s="6" t="s">
        <v>2019</v>
      </c>
      <c r="B756" s="6" t="s">
        <v>165</v>
      </c>
      <c r="C756" s="6" t="s">
        <v>34</v>
      </c>
      <c r="D756" s="6" t="s">
        <v>2020</v>
      </c>
      <c r="E756" s="6" t="s">
        <v>1265</v>
      </c>
      <c r="F756" s="6" t="s">
        <v>159</v>
      </c>
      <c r="G756" s="7">
        <v>0.05</v>
      </c>
      <c r="H756" s="6" t="s">
        <v>209</v>
      </c>
      <c r="I756" s="6" t="s">
        <v>20</v>
      </c>
      <c r="J756" s="6">
        <v>2025.0</v>
      </c>
      <c r="L756" s="6">
        <v>8.0</v>
      </c>
      <c r="M756" s="8">
        <f t="shared" si="1"/>
        <v>0.4</v>
      </c>
      <c r="P756" s="9"/>
    </row>
    <row r="757">
      <c r="A757" s="6" t="s">
        <v>2021</v>
      </c>
      <c r="B757" s="6" t="s">
        <v>301</v>
      </c>
      <c r="C757" s="6" t="s">
        <v>15</v>
      </c>
      <c r="D757" s="6" t="s">
        <v>2022</v>
      </c>
      <c r="E757" s="6" t="s">
        <v>1088</v>
      </c>
      <c r="F757" s="6" t="s">
        <v>159</v>
      </c>
      <c r="G757" s="7">
        <v>0.28</v>
      </c>
      <c r="H757" s="6" t="s">
        <v>209</v>
      </c>
      <c r="I757" s="6" t="s">
        <v>20</v>
      </c>
      <c r="J757" s="6">
        <v>2025.0</v>
      </c>
      <c r="L757" s="6">
        <v>1.0</v>
      </c>
      <c r="M757" s="8">
        <f t="shared" si="1"/>
        <v>0.28</v>
      </c>
      <c r="P757" s="9"/>
    </row>
    <row r="758">
      <c r="A758" s="6" t="s">
        <v>2023</v>
      </c>
      <c r="B758" s="6" t="s">
        <v>2011</v>
      </c>
      <c r="C758" s="6" t="s">
        <v>571</v>
      </c>
      <c r="D758" s="6" t="s">
        <v>2024</v>
      </c>
      <c r="E758" s="6" t="s">
        <v>270</v>
      </c>
      <c r="F758" s="6" t="s">
        <v>159</v>
      </c>
      <c r="G758" s="7">
        <v>0.48</v>
      </c>
      <c r="H758" s="6" t="s">
        <v>641</v>
      </c>
      <c r="I758" s="6" t="s">
        <v>20</v>
      </c>
      <c r="J758" s="6">
        <v>2026.0</v>
      </c>
      <c r="K758" s="10">
        <v>46054.0</v>
      </c>
      <c r="L758" s="6">
        <v>2.0</v>
      </c>
      <c r="M758" s="8">
        <f t="shared" si="1"/>
        <v>0.96</v>
      </c>
      <c r="P758" s="9"/>
    </row>
    <row r="759">
      <c r="A759" s="6" t="s">
        <v>2025</v>
      </c>
      <c r="B759" s="6" t="s">
        <v>2026</v>
      </c>
      <c r="C759" s="6" t="s">
        <v>212</v>
      </c>
      <c r="D759" s="6" t="s">
        <v>2027</v>
      </c>
      <c r="E759" s="6" t="s">
        <v>2028</v>
      </c>
      <c r="F759" s="6" t="s">
        <v>103</v>
      </c>
      <c r="G759" s="7">
        <v>0.32</v>
      </c>
      <c r="H759" s="6" t="s">
        <v>1043</v>
      </c>
      <c r="I759" s="6" t="s">
        <v>20</v>
      </c>
      <c r="J759" s="6">
        <v>2025.0</v>
      </c>
      <c r="L759" s="6">
        <v>1.0</v>
      </c>
      <c r="M759" s="8">
        <f t="shared" si="1"/>
        <v>0.32</v>
      </c>
      <c r="P759" s="9"/>
    </row>
    <row r="760">
      <c r="A760" s="6" t="s">
        <v>2029</v>
      </c>
      <c r="B760" s="6" t="s">
        <v>62</v>
      </c>
      <c r="C760" s="6" t="s">
        <v>23</v>
      </c>
      <c r="D760" s="6" t="s">
        <v>2030</v>
      </c>
      <c r="E760" s="6" t="s">
        <v>298</v>
      </c>
      <c r="F760" s="6" t="s">
        <v>159</v>
      </c>
      <c r="G760" s="7">
        <v>0.05</v>
      </c>
      <c r="H760" s="6" t="s">
        <v>271</v>
      </c>
      <c r="I760" s="6" t="s">
        <v>20</v>
      </c>
      <c r="J760" s="6">
        <v>2012.0</v>
      </c>
      <c r="L760" s="6">
        <v>1.0</v>
      </c>
      <c r="M760" s="8">
        <f t="shared" si="1"/>
        <v>0.05</v>
      </c>
      <c r="P760" s="9"/>
    </row>
    <row r="761">
      <c r="A761" s="6" t="s">
        <v>2031</v>
      </c>
      <c r="B761" s="6" t="s">
        <v>543</v>
      </c>
      <c r="C761" s="6" t="s">
        <v>23</v>
      </c>
      <c r="D761" s="6" t="s">
        <v>2032</v>
      </c>
      <c r="E761" s="6" t="s">
        <v>167</v>
      </c>
      <c r="F761" s="6" t="s">
        <v>103</v>
      </c>
      <c r="G761" s="7">
        <v>0.74</v>
      </c>
      <c r="H761" s="6" t="s">
        <v>2033</v>
      </c>
      <c r="I761" s="6" t="s">
        <v>20</v>
      </c>
      <c r="J761" s="6">
        <v>1998.0</v>
      </c>
      <c r="L761" s="6">
        <v>1.0</v>
      </c>
      <c r="M761" s="8">
        <f t="shared" si="1"/>
        <v>0.74</v>
      </c>
      <c r="P761" s="9"/>
    </row>
    <row r="762">
      <c r="A762" s="6" t="s">
        <v>2034</v>
      </c>
      <c r="B762" s="6" t="s">
        <v>2035</v>
      </c>
      <c r="C762" s="6" t="s">
        <v>23</v>
      </c>
      <c r="D762" s="6" t="s">
        <v>2036</v>
      </c>
      <c r="E762" s="6" t="s">
        <v>235</v>
      </c>
      <c r="F762" s="6" t="s">
        <v>103</v>
      </c>
      <c r="G762" s="7">
        <v>0.09</v>
      </c>
      <c r="H762" s="6" t="s">
        <v>1494</v>
      </c>
      <c r="I762" s="6" t="s">
        <v>20</v>
      </c>
      <c r="J762" s="6">
        <v>2012.0</v>
      </c>
      <c r="K762" s="10">
        <v>46055.0</v>
      </c>
      <c r="L762" s="6">
        <v>2.0</v>
      </c>
      <c r="M762" s="8">
        <f t="shared" si="1"/>
        <v>0.18</v>
      </c>
      <c r="P762" s="9"/>
    </row>
    <row r="763">
      <c r="A763" s="6" t="s">
        <v>2037</v>
      </c>
      <c r="B763" s="6" t="s">
        <v>366</v>
      </c>
      <c r="C763" s="6" t="s">
        <v>41</v>
      </c>
      <c r="D763" s="6" t="s">
        <v>2038</v>
      </c>
      <c r="E763" s="6" t="s">
        <v>2039</v>
      </c>
      <c r="F763" s="6" t="s">
        <v>261</v>
      </c>
      <c r="G763" s="7">
        <v>2.4</v>
      </c>
      <c r="H763" s="6" t="s">
        <v>245</v>
      </c>
      <c r="I763" s="6" t="s">
        <v>20</v>
      </c>
      <c r="J763" s="6">
        <v>1995.0</v>
      </c>
      <c r="L763" s="6">
        <v>1.0</v>
      </c>
      <c r="M763" s="8">
        <f t="shared" si="1"/>
        <v>2.4</v>
      </c>
      <c r="N763" s="6" t="s">
        <v>172</v>
      </c>
      <c r="P763" s="9"/>
    </row>
    <row r="764">
      <c r="A764" s="6" t="s">
        <v>2040</v>
      </c>
      <c r="B764" s="6" t="s">
        <v>2041</v>
      </c>
      <c r="C764" s="6" t="s">
        <v>521</v>
      </c>
      <c r="D764" s="6" t="s">
        <v>2042</v>
      </c>
      <c r="E764" s="6" t="s">
        <v>36</v>
      </c>
      <c r="F764" s="6" t="s">
        <v>452</v>
      </c>
      <c r="G764" s="7">
        <v>0.05</v>
      </c>
      <c r="H764" s="6" t="s">
        <v>2043</v>
      </c>
      <c r="I764" s="6" t="s">
        <v>20</v>
      </c>
      <c r="J764" s="6">
        <v>2025.0</v>
      </c>
      <c r="K764" s="10">
        <v>46024.0</v>
      </c>
      <c r="L764" s="6">
        <v>1.0</v>
      </c>
      <c r="M764" s="8">
        <f t="shared" si="1"/>
        <v>0.05</v>
      </c>
      <c r="P764" s="9"/>
    </row>
    <row r="765">
      <c r="A765" s="6" t="s">
        <v>2044</v>
      </c>
      <c r="B765" s="6" t="s">
        <v>372</v>
      </c>
      <c r="C765" s="6" t="s">
        <v>23</v>
      </c>
      <c r="D765" s="6" t="s">
        <v>2045</v>
      </c>
      <c r="E765" s="6" t="s">
        <v>149</v>
      </c>
      <c r="F765" s="6" t="s">
        <v>18</v>
      </c>
      <c r="G765" s="7">
        <v>0.05</v>
      </c>
      <c r="H765" s="6" t="s">
        <v>271</v>
      </c>
      <c r="I765" s="6" t="s">
        <v>20</v>
      </c>
      <c r="J765" s="6">
        <v>2012.0</v>
      </c>
      <c r="L765" s="6">
        <v>1.0</v>
      </c>
      <c r="M765" s="8">
        <f t="shared" si="1"/>
        <v>0.05</v>
      </c>
      <c r="P765" s="9"/>
    </row>
    <row r="766">
      <c r="A766" s="6" t="s">
        <v>2044</v>
      </c>
      <c r="B766" s="6" t="s">
        <v>372</v>
      </c>
      <c r="C766" s="6" t="s">
        <v>23</v>
      </c>
      <c r="D766" s="6" t="s">
        <v>2045</v>
      </c>
      <c r="E766" s="6" t="s">
        <v>149</v>
      </c>
      <c r="F766" s="6" t="s">
        <v>18</v>
      </c>
      <c r="G766" s="7">
        <v>0.05</v>
      </c>
      <c r="H766" s="6" t="s">
        <v>271</v>
      </c>
      <c r="I766" s="6" t="s">
        <v>20</v>
      </c>
      <c r="J766" s="6">
        <v>2012.0</v>
      </c>
      <c r="L766" s="6">
        <v>1.0</v>
      </c>
      <c r="M766" s="8">
        <f t="shared" si="1"/>
        <v>0.05</v>
      </c>
      <c r="P766" s="9"/>
    </row>
    <row r="767">
      <c r="A767" s="6" t="s">
        <v>2046</v>
      </c>
      <c r="B767" s="6" t="s">
        <v>2047</v>
      </c>
      <c r="C767" s="6" t="s">
        <v>48</v>
      </c>
      <c r="D767" s="6" t="s">
        <v>2048</v>
      </c>
      <c r="E767" s="6" t="s">
        <v>873</v>
      </c>
      <c r="F767" s="6" t="s">
        <v>874</v>
      </c>
      <c r="G767" s="7">
        <v>0.05</v>
      </c>
      <c r="H767" s="6" t="s">
        <v>626</v>
      </c>
      <c r="I767" s="6" t="s">
        <v>20</v>
      </c>
      <c r="J767" s="6">
        <v>2013.0</v>
      </c>
      <c r="K767" s="10">
        <v>46084.0</v>
      </c>
      <c r="L767" s="6">
        <v>3.0</v>
      </c>
      <c r="M767" s="8">
        <f t="shared" si="1"/>
        <v>0.15</v>
      </c>
      <c r="P767" s="9"/>
    </row>
    <row r="768">
      <c r="A768" s="6" t="s">
        <v>2049</v>
      </c>
      <c r="B768" s="6" t="s">
        <v>796</v>
      </c>
      <c r="C768" s="6" t="s">
        <v>34</v>
      </c>
      <c r="D768" s="6" t="s">
        <v>2050</v>
      </c>
      <c r="E768" s="6" t="s">
        <v>2051</v>
      </c>
      <c r="F768" s="6" t="s">
        <v>1732</v>
      </c>
      <c r="G768" s="7">
        <v>0.03</v>
      </c>
      <c r="H768" s="6" t="s">
        <v>483</v>
      </c>
      <c r="I768" s="6" t="s">
        <v>20</v>
      </c>
      <c r="J768" s="6">
        <v>2014.0</v>
      </c>
      <c r="L768" s="6">
        <v>5.0</v>
      </c>
      <c r="M768" s="8">
        <f t="shared" si="1"/>
        <v>0.15</v>
      </c>
      <c r="P768" s="9"/>
    </row>
    <row r="769">
      <c r="A769" s="6" t="s">
        <v>2052</v>
      </c>
      <c r="B769" s="6" t="s">
        <v>2053</v>
      </c>
      <c r="C769" s="6" t="s">
        <v>287</v>
      </c>
      <c r="D769" s="6" t="s">
        <v>2054</v>
      </c>
      <c r="E769" s="6" t="s">
        <v>502</v>
      </c>
      <c r="F769" s="6" t="s">
        <v>65</v>
      </c>
      <c r="G769" s="7">
        <v>0.03</v>
      </c>
      <c r="H769" s="6" t="s">
        <v>406</v>
      </c>
      <c r="I769" s="6" t="s">
        <v>20</v>
      </c>
      <c r="J769" s="6">
        <v>2019.0</v>
      </c>
      <c r="K769" s="10">
        <v>46116.0</v>
      </c>
      <c r="L769" s="6">
        <v>1.0</v>
      </c>
      <c r="M769" s="8">
        <f t="shared" si="1"/>
        <v>0.03</v>
      </c>
      <c r="P769" s="9"/>
    </row>
    <row r="770">
      <c r="A770" s="6" t="s">
        <v>2055</v>
      </c>
      <c r="B770" s="6" t="s">
        <v>2056</v>
      </c>
      <c r="C770" s="6" t="s">
        <v>34</v>
      </c>
      <c r="D770" s="6" t="s">
        <v>2057</v>
      </c>
      <c r="E770" s="6" t="s">
        <v>2058</v>
      </c>
      <c r="F770" s="6" t="s">
        <v>1732</v>
      </c>
      <c r="G770" s="7">
        <v>0.03</v>
      </c>
      <c r="H770" s="6" t="s">
        <v>483</v>
      </c>
      <c r="I770" s="6" t="s">
        <v>20</v>
      </c>
      <c r="J770" s="6">
        <v>2014.0</v>
      </c>
      <c r="K770" s="10">
        <v>46117.0</v>
      </c>
      <c r="L770" s="6">
        <v>2.0</v>
      </c>
      <c r="M770" s="8">
        <f t="shared" si="1"/>
        <v>0.06</v>
      </c>
      <c r="P770" s="9"/>
    </row>
    <row r="771">
      <c r="A771" s="6" t="s">
        <v>2059</v>
      </c>
      <c r="B771" s="6" t="s">
        <v>424</v>
      </c>
      <c r="C771" s="6" t="s">
        <v>48</v>
      </c>
      <c r="D771" s="6" t="s">
        <v>2060</v>
      </c>
      <c r="F771" s="6" t="s">
        <v>426</v>
      </c>
      <c r="G771" s="7">
        <v>0.19</v>
      </c>
      <c r="H771" s="6" t="s">
        <v>336</v>
      </c>
      <c r="I771" s="6" t="s">
        <v>20</v>
      </c>
      <c r="J771" s="6">
        <v>2016.0</v>
      </c>
      <c r="L771" s="6">
        <v>1.0</v>
      </c>
      <c r="M771" s="8">
        <f t="shared" si="1"/>
        <v>0.19</v>
      </c>
      <c r="N771" s="6" t="s">
        <v>518</v>
      </c>
      <c r="P771" s="9"/>
    </row>
    <row r="772">
      <c r="A772" s="6" t="s">
        <v>2059</v>
      </c>
      <c r="B772" s="6" t="s">
        <v>424</v>
      </c>
      <c r="C772" s="6" t="s">
        <v>48</v>
      </c>
      <c r="D772" s="6" t="s">
        <v>2060</v>
      </c>
      <c r="F772" s="6" t="s">
        <v>426</v>
      </c>
      <c r="G772" s="7">
        <v>0.2</v>
      </c>
      <c r="H772" s="6" t="s">
        <v>336</v>
      </c>
      <c r="I772" s="6" t="s">
        <v>20</v>
      </c>
      <c r="J772" s="6">
        <v>2016.0</v>
      </c>
      <c r="L772" s="6">
        <v>2.0</v>
      </c>
      <c r="M772" s="8">
        <f t="shared" si="1"/>
        <v>0.4</v>
      </c>
      <c r="P772" s="9"/>
    </row>
    <row r="773">
      <c r="A773" s="6" t="s">
        <v>2061</v>
      </c>
      <c r="B773" s="6" t="s">
        <v>2062</v>
      </c>
      <c r="C773" s="6" t="s">
        <v>15</v>
      </c>
      <c r="D773" s="6" t="s">
        <v>2063</v>
      </c>
      <c r="E773" s="6" t="s">
        <v>2051</v>
      </c>
      <c r="F773" s="6" t="s">
        <v>65</v>
      </c>
      <c r="G773" s="7">
        <v>0.05</v>
      </c>
      <c r="H773" s="6" t="s">
        <v>483</v>
      </c>
      <c r="I773" s="6" t="s">
        <v>20</v>
      </c>
      <c r="J773" s="6">
        <v>2014.0</v>
      </c>
      <c r="K773" s="10">
        <v>46085.0</v>
      </c>
      <c r="L773" s="6">
        <v>1.0</v>
      </c>
      <c r="M773" s="8">
        <f t="shared" si="1"/>
        <v>0.05</v>
      </c>
      <c r="P773" s="9"/>
    </row>
    <row r="774">
      <c r="A774" s="6" t="s">
        <v>2064</v>
      </c>
      <c r="B774" s="6" t="s">
        <v>68</v>
      </c>
      <c r="C774" s="6" t="s">
        <v>571</v>
      </c>
      <c r="D774" s="6" t="s">
        <v>2065</v>
      </c>
      <c r="E774" s="6" t="s">
        <v>145</v>
      </c>
      <c r="F774" s="6" t="s">
        <v>452</v>
      </c>
      <c r="G774" s="7">
        <v>0.45</v>
      </c>
      <c r="H774" s="6" t="s">
        <v>2066</v>
      </c>
      <c r="I774" s="6" t="s">
        <v>20</v>
      </c>
      <c r="J774" s="6">
        <v>1997.0</v>
      </c>
      <c r="L774" s="6">
        <v>1.0</v>
      </c>
      <c r="M774" s="8">
        <f t="shared" si="1"/>
        <v>0.45</v>
      </c>
      <c r="P774" s="9"/>
    </row>
    <row r="775">
      <c r="A775" s="6" t="s">
        <v>2067</v>
      </c>
      <c r="B775" s="6" t="s">
        <v>2068</v>
      </c>
      <c r="C775" s="6" t="s">
        <v>23</v>
      </c>
      <c r="D775" s="6" t="s">
        <v>2069</v>
      </c>
      <c r="E775" s="6" t="s">
        <v>2070</v>
      </c>
      <c r="F775" s="6" t="s">
        <v>65</v>
      </c>
      <c r="G775" s="7">
        <v>0.06</v>
      </c>
      <c r="H775" s="6" t="s">
        <v>881</v>
      </c>
      <c r="I775" s="6" t="s">
        <v>20</v>
      </c>
      <c r="J775" s="6">
        <v>2021.0</v>
      </c>
      <c r="K775" s="10">
        <v>46180.0</v>
      </c>
      <c r="L775" s="6">
        <v>1.0</v>
      </c>
      <c r="M775" s="8">
        <f t="shared" si="1"/>
        <v>0.06</v>
      </c>
      <c r="P775" s="9"/>
    </row>
    <row r="776">
      <c r="A776" s="6" t="s">
        <v>2071</v>
      </c>
      <c r="B776" s="6" t="s">
        <v>2072</v>
      </c>
      <c r="C776" s="6" t="s">
        <v>48</v>
      </c>
      <c r="D776" s="6" t="s">
        <v>2073</v>
      </c>
      <c r="E776" s="6" t="s">
        <v>2074</v>
      </c>
      <c r="F776" s="6" t="s">
        <v>826</v>
      </c>
      <c r="G776" s="7">
        <v>0.04</v>
      </c>
      <c r="H776" s="6" t="s">
        <v>1050</v>
      </c>
      <c r="I776" s="6" t="s">
        <v>20</v>
      </c>
      <c r="J776" s="6">
        <v>2023.0</v>
      </c>
      <c r="K776" s="10">
        <v>46147.0</v>
      </c>
      <c r="L776" s="6">
        <v>1.0</v>
      </c>
      <c r="M776" s="8">
        <f t="shared" si="1"/>
        <v>0.04</v>
      </c>
      <c r="P776" s="9"/>
    </row>
    <row r="777">
      <c r="A777" s="6" t="s">
        <v>2075</v>
      </c>
      <c r="B777" s="6" t="s">
        <v>202</v>
      </c>
      <c r="C777" s="6" t="s">
        <v>48</v>
      </c>
      <c r="D777" s="6" t="s">
        <v>2076</v>
      </c>
      <c r="E777" s="6" t="s">
        <v>102</v>
      </c>
      <c r="F777" s="6" t="s">
        <v>103</v>
      </c>
      <c r="G777" s="7">
        <v>0.17</v>
      </c>
      <c r="H777" s="6" t="s">
        <v>2077</v>
      </c>
      <c r="I777" s="6" t="s">
        <v>20</v>
      </c>
      <c r="J777" s="6">
        <v>2007.0</v>
      </c>
      <c r="L777" s="6">
        <v>1.0</v>
      </c>
      <c r="M777" s="8">
        <f t="shared" si="1"/>
        <v>0.17</v>
      </c>
      <c r="P777" s="9"/>
    </row>
    <row r="778">
      <c r="A778" s="6" t="s">
        <v>2078</v>
      </c>
      <c r="B778" s="6" t="s">
        <v>165</v>
      </c>
      <c r="C778" s="6" t="s">
        <v>15</v>
      </c>
      <c r="D778" s="6" t="s">
        <v>2079</v>
      </c>
      <c r="E778" s="6" t="s">
        <v>2028</v>
      </c>
      <c r="F778" s="6" t="s">
        <v>103</v>
      </c>
      <c r="G778" s="7">
        <v>0.25</v>
      </c>
      <c r="H778" s="6" t="s">
        <v>209</v>
      </c>
      <c r="I778" s="6" t="s">
        <v>20</v>
      </c>
      <c r="J778" s="6">
        <v>2025.0</v>
      </c>
      <c r="L778" s="6">
        <v>3.0</v>
      </c>
      <c r="M778" s="8">
        <f t="shared" si="1"/>
        <v>0.75</v>
      </c>
      <c r="P778" s="9"/>
    </row>
    <row r="779">
      <c r="A779" s="6" t="s">
        <v>2080</v>
      </c>
      <c r="B779" s="6" t="s">
        <v>736</v>
      </c>
      <c r="C779" s="6" t="s">
        <v>287</v>
      </c>
      <c r="D779" s="6" t="s">
        <v>2081</v>
      </c>
      <c r="E779" s="6" t="s">
        <v>118</v>
      </c>
      <c r="F779" s="6" t="s">
        <v>51</v>
      </c>
      <c r="G779" s="7">
        <v>0.25</v>
      </c>
      <c r="H779" s="6" t="s">
        <v>119</v>
      </c>
      <c r="I779" s="6" t="s">
        <v>20</v>
      </c>
      <c r="J779" s="6">
        <v>1995.0</v>
      </c>
      <c r="L779" s="6">
        <v>1.0</v>
      </c>
      <c r="M779" s="8">
        <f t="shared" si="1"/>
        <v>0.25</v>
      </c>
      <c r="P779" s="9"/>
    </row>
    <row r="780">
      <c r="A780" s="6" t="s">
        <v>2082</v>
      </c>
      <c r="B780" s="6" t="s">
        <v>202</v>
      </c>
      <c r="C780" s="6" t="s">
        <v>23</v>
      </c>
      <c r="D780" s="6" t="s">
        <v>2083</v>
      </c>
      <c r="E780" s="6" t="s">
        <v>118</v>
      </c>
      <c r="F780" s="6" t="s">
        <v>51</v>
      </c>
      <c r="G780" s="7">
        <v>0.51</v>
      </c>
      <c r="H780" s="6" t="s">
        <v>453</v>
      </c>
      <c r="I780" s="6" t="s">
        <v>20</v>
      </c>
      <c r="J780" s="6">
        <v>1995.0</v>
      </c>
      <c r="L780" s="6">
        <v>1.0</v>
      </c>
      <c r="M780" s="8">
        <f t="shared" si="1"/>
        <v>0.51</v>
      </c>
      <c r="P780" s="9"/>
    </row>
    <row r="781">
      <c r="A781" s="6" t="s">
        <v>2084</v>
      </c>
      <c r="B781" s="6" t="s">
        <v>202</v>
      </c>
      <c r="C781" s="6" t="s">
        <v>23</v>
      </c>
      <c r="D781" s="6" t="s">
        <v>2085</v>
      </c>
      <c r="E781" s="6" t="s">
        <v>118</v>
      </c>
      <c r="F781" s="6" t="s">
        <v>51</v>
      </c>
      <c r="G781" s="7">
        <v>0.29</v>
      </c>
      <c r="H781" s="6" t="s">
        <v>607</v>
      </c>
      <c r="I781" s="6" t="s">
        <v>20</v>
      </c>
      <c r="J781" s="6">
        <v>1994.0</v>
      </c>
      <c r="L781" s="6">
        <v>1.0</v>
      </c>
      <c r="M781" s="8">
        <f t="shared" si="1"/>
        <v>0.29</v>
      </c>
      <c r="P781" s="9"/>
    </row>
    <row r="782">
      <c r="A782" s="6" t="s">
        <v>2086</v>
      </c>
      <c r="B782" s="6" t="s">
        <v>736</v>
      </c>
      <c r="C782" s="6" t="s">
        <v>287</v>
      </c>
      <c r="D782" s="6" t="s">
        <v>2087</v>
      </c>
      <c r="E782" s="6" t="s">
        <v>118</v>
      </c>
      <c r="F782" s="6" t="s">
        <v>51</v>
      </c>
      <c r="G782" s="7">
        <v>0.02</v>
      </c>
      <c r="H782" s="6" t="s">
        <v>821</v>
      </c>
      <c r="I782" s="6" t="s">
        <v>20</v>
      </c>
      <c r="J782" s="6">
        <v>1995.0</v>
      </c>
      <c r="L782" s="6">
        <v>4.0</v>
      </c>
      <c r="M782" s="8">
        <f t="shared" si="1"/>
        <v>0.08</v>
      </c>
      <c r="P782" s="9"/>
    </row>
    <row r="783">
      <c r="A783" s="6" t="s">
        <v>2086</v>
      </c>
      <c r="B783" s="6" t="s">
        <v>736</v>
      </c>
      <c r="C783" s="6" t="s">
        <v>287</v>
      </c>
      <c r="D783" s="6" t="s">
        <v>2087</v>
      </c>
      <c r="E783" s="6" t="s">
        <v>118</v>
      </c>
      <c r="F783" s="6" t="s">
        <v>51</v>
      </c>
      <c r="G783" s="7">
        <v>0.1</v>
      </c>
      <c r="H783" s="6" t="s">
        <v>119</v>
      </c>
      <c r="I783" s="6" t="s">
        <v>20</v>
      </c>
      <c r="J783" s="6">
        <v>1995.0</v>
      </c>
      <c r="L783" s="6">
        <v>1.0</v>
      </c>
      <c r="M783" s="8">
        <f t="shared" si="1"/>
        <v>0.1</v>
      </c>
      <c r="P783" s="9"/>
    </row>
    <row r="784">
      <c r="A784" s="6" t="s">
        <v>2088</v>
      </c>
      <c r="B784" s="6" t="s">
        <v>592</v>
      </c>
      <c r="C784" s="6" t="s">
        <v>521</v>
      </c>
      <c r="D784" s="6" t="s">
        <v>2087</v>
      </c>
      <c r="E784" s="6" t="s">
        <v>118</v>
      </c>
      <c r="F784" s="6" t="s">
        <v>51</v>
      </c>
      <c r="G784" s="7">
        <v>0.1</v>
      </c>
      <c r="H784" s="6" t="s">
        <v>2089</v>
      </c>
      <c r="I784" s="6" t="s">
        <v>20</v>
      </c>
      <c r="J784" s="6">
        <v>1995.0</v>
      </c>
      <c r="L784" s="6">
        <v>1.0</v>
      </c>
      <c r="M784" s="8">
        <f t="shared" si="1"/>
        <v>0.1</v>
      </c>
      <c r="P784" s="9"/>
    </row>
    <row r="785">
      <c r="A785" s="6" t="s">
        <v>2090</v>
      </c>
      <c r="B785" s="6" t="s">
        <v>592</v>
      </c>
      <c r="C785" s="6" t="s">
        <v>521</v>
      </c>
      <c r="D785" s="6" t="s">
        <v>2091</v>
      </c>
      <c r="E785" s="6" t="s">
        <v>118</v>
      </c>
      <c r="F785" s="6" t="s">
        <v>904</v>
      </c>
      <c r="G785" s="7">
        <v>0.2</v>
      </c>
      <c r="H785" s="6" t="s">
        <v>453</v>
      </c>
      <c r="I785" s="6" t="s">
        <v>20</v>
      </c>
      <c r="J785" s="6">
        <v>1995.0</v>
      </c>
      <c r="L785" s="6">
        <v>3.0</v>
      </c>
      <c r="M785" s="8">
        <f t="shared" si="1"/>
        <v>0.6</v>
      </c>
      <c r="P785" s="9"/>
    </row>
    <row r="786">
      <c r="A786" s="6" t="s">
        <v>2092</v>
      </c>
      <c r="B786" s="6" t="s">
        <v>592</v>
      </c>
      <c r="C786" s="6" t="s">
        <v>521</v>
      </c>
      <c r="D786" s="6" t="s">
        <v>2093</v>
      </c>
      <c r="E786" s="6" t="s">
        <v>118</v>
      </c>
      <c r="F786" s="6" t="s">
        <v>904</v>
      </c>
      <c r="G786" s="7">
        <v>0.24</v>
      </c>
      <c r="H786" s="6" t="s">
        <v>453</v>
      </c>
      <c r="I786" s="6" t="s">
        <v>20</v>
      </c>
      <c r="J786" s="6">
        <v>1995.0</v>
      </c>
      <c r="L786" s="6">
        <v>4.0</v>
      </c>
      <c r="M786" s="8">
        <f t="shared" si="1"/>
        <v>0.96</v>
      </c>
      <c r="P786" s="9"/>
    </row>
    <row r="787">
      <c r="A787" s="6" t="s">
        <v>2094</v>
      </c>
      <c r="B787" s="6" t="s">
        <v>202</v>
      </c>
      <c r="C787" s="6" t="s">
        <v>23</v>
      </c>
      <c r="D787" s="6" t="s">
        <v>2095</v>
      </c>
      <c r="E787" s="6" t="s">
        <v>118</v>
      </c>
      <c r="F787" s="6" t="s">
        <v>51</v>
      </c>
      <c r="G787" s="7">
        <v>0.45</v>
      </c>
      <c r="H787" s="6" t="s">
        <v>453</v>
      </c>
      <c r="I787" s="6" t="s">
        <v>20</v>
      </c>
      <c r="J787" s="6">
        <v>1995.0</v>
      </c>
      <c r="L787" s="6">
        <v>1.0</v>
      </c>
      <c r="M787" s="8">
        <f t="shared" si="1"/>
        <v>0.45</v>
      </c>
      <c r="P787" s="9"/>
    </row>
    <row r="788">
      <c r="A788" s="6" t="s">
        <v>2094</v>
      </c>
      <c r="B788" s="6" t="s">
        <v>202</v>
      </c>
      <c r="C788" s="6" t="s">
        <v>23</v>
      </c>
      <c r="D788" s="6" t="s">
        <v>2096</v>
      </c>
      <c r="E788" s="6" t="s">
        <v>118</v>
      </c>
      <c r="F788" s="6" t="s">
        <v>51</v>
      </c>
      <c r="G788" s="7">
        <v>0.34</v>
      </c>
      <c r="H788" s="6" t="s">
        <v>607</v>
      </c>
      <c r="I788" s="6" t="s">
        <v>20</v>
      </c>
      <c r="J788" s="6">
        <v>1994.0</v>
      </c>
      <c r="L788" s="6">
        <v>1.0</v>
      </c>
      <c r="M788" s="8">
        <f t="shared" si="1"/>
        <v>0.34</v>
      </c>
      <c r="P788" s="9"/>
    </row>
    <row r="789">
      <c r="A789" s="6" t="s">
        <v>2097</v>
      </c>
      <c r="B789" s="6" t="s">
        <v>2098</v>
      </c>
      <c r="C789" s="6" t="s">
        <v>287</v>
      </c>
      <c r="D789" s="6" t="s">
        <v>2099</v>
      </c>
      <c r="E789" s="6" t="s">
        <v>118</v>
      </c>
      <c r="F789" s="6" t="s">
        <v>51</v>
      </c>
      <c r="G789" s="7">
        <v>0.2</v>
      </c>
      <c r="H789" s="6" t="s">
        <v>119</v>
      </c>
      <c r="I789" s="6" t="s">
        <v>20</v>
      </c>
      <c r="J789" s="6">
        <v>1994.0</v>
      </c>
      <c r="L789" s="6">
        <v>1.0</v>
      </c>
      <c r="M789" s="8">
        <f t="shared" si="1"/>
        <v>0.2</v>
      </c>
      <c r="P789" s="9"/>
    </row>
    <row r="790">
      <c r="A790" s="6" t="s">
        <v>2097</v>
      </c>
      <c r="B790" s="6" t="s">
        <v>2098</v>
      </c>
      <c r="C790" s="6" t="s">
        <v>287</v>
      </c>
      <c r="D790" s="6" t="s">
        <v>2099</v>
      </c>
      <c r="E790" s="6" t="s">
        <v>118</v>
      </c>
      <c r="F790" s="6" t="s">
        <v>51</v>
      </c>
      <c r="G790" s="7">
        <v>1.0</v>
      </c>
      <c r="H790" s="6" t="s">
        <v>120</v>
      </c>
      <c r="I790" s="6" t="s">
        <v>20</v>
      </c>
      <c r="J790" s="6">
        <v>1994.0</v>
      </c>
      <c r="L790" s="6">
        <v>8.0</v>
      </c>
      <c r="M790" s="8">
        <f t="shared" si="1"/>
        <v>8</v>
      </c>
      <c r="P790" s="9"/>
    </row>
    <row r="791">
      <c r="A791" s="6" t="s">
        <v>2100</v>
      </c>
      <c r="B791" s="6" t="s">
        <v>736</v>
      </c>
      <c r="C791" s="6" t="s">
        <v>287</v>
      </c>
      <c r="D791" s="6" t="s">
        <v>2101</v>
      </c>
      <c r="E791" s="6" t="s">
        <v>118</v>
      </c>
      <c r="F791" s="6" t="s">
        <v>51</v>
      </c>
      <c r="G791" s="7">
        <v>0.1</v>
      </c>
      <c r="H791" s="6" t="s">
        <v>119</v>
      </c>
      <c r="I791" s="6" t="s">
        <v>20</v>
      </c>
      <c r="J791" s="6">
        <v>1995.0</v>
      </c>
      <c r="L791" s="6">
        <v>1.0</v>
      </c>
      <c r="M791" s="8">
        <f t="shared" si="1"/>
        <v>0.1</v>
      </c>
      <c r="P791" s="9"/>
    </row>
    <row r="792">
      <c r="A792" s="6" t="s">
        <v>2100</v>
      </c>
      <c r="B792" s="6" t="s">
        <v>736</v>
      </c>
      <c r="C792" s="6" t="s">
        <v>287</v>
      </c>
      <c r="D792" s="6" t="s">
        <v>2101</v>
      </c>
      <c r="E792" s="6" t="s">
        <v>118</v>
      </c>
      <c r="F792" s="6" t="s">
        <v>51</v>
      </c>
      <c r="G792" s="7">
        <v>0.49</v>
      </c>
      <c r="H792" s="6" t="s">
        <v>120</v>
      </c>
      <c r="I792" s="6" t="s">
        <v>20</v>
      </c>
      <c r="J792" s="6">
        <v>1995.0</v>
      </c>
      <c r="L792" s="6">
        <v>7.0</v>
      </c>
      <c r="M792" s="8">
        <f t="shared" si="1"/>
        <v>3.43</v>
      </c>
      <c r="P792" s="9"/>
    </row>
    <row r="793">
      <c r="A793" s="6" t="s">
        <v>2102</v>
      </c>
      <c r="B793" s="6" t="s">
        <v>736</v>
      </c>
      <c r="C793" s="6" t="s">
        <v>287</v>
      </c>
      <c r="D793" s="6" t="s">
        <v>2103</v>
      </c>
      <c r="E793" s="6" t="s">
        <v>118</v>
      </c>
      <c r="F793" s="6" t="s">
        <v>51</v>
      </c>
      <c r="G793" s="7">
        <v>0.14</v>
      </c>
      <c r="H793" s="6" t="s">
        <v>119</v>
      </c>
      <c r="I793" s="6" t="s">
        <v>20</v>
      </c>
      <c r="J793" s="6">
        <v>1995.0</v>
      </c>
      <c r="L793" s="6">
        <v>2.0</v>
      </c>
      <c r="M793" s="8">
        <f t="shared" si="1"/>
        <v>0.28</v>
      </c>
      <c r="P793" s="9"/>
    </row>
    <row r="794">
      <c r="A794" s="6" t="s">
        <v>2102</v>
      </c>
      <c r="B794" s="6" t="s">
        <v>736</v>
      </c>
      <c r="C794" s="6" t="s">
        <v>287</v>
      </c>
      <c r="D794" s="6" t="s">
        <v>2103</v>
      </c>
      <c r="E794" s="6" t="s">
        <v>118</v>
      </c>
      <c r="F794" s="6" t="s">
        <v>51</v>
      </c>
      <c r="G794" s="7">
        <v>0.48</v>
      </c>
      <c r="H794" s="6" t="s">
        <v>120</v>
      </c>
      <c r="I794" s="6" t="s">
        <v>20</v>
      </c>
      <c r="J794" s="6">
        <v>1995.0</v>
      </c>
      <c r="L794" s="6">
        <v>3.0</v>
      </c>
      <c r="M794" s="8">
        <f t="shared" si="1"/>
        <v>1.44</v>
      </c>
      <c r="P794" s="9"/>
    </row>
    <row r="795">
      <c r="A795" s="6" t="s">
        <v>2104</v>
      </c>
      <c r="B795" s="6" t="s">
        <v>736</v>
      </c>
      <c r="C795" s="6" t="s">
        <v>287</v>
      </c>
      <c r="D795" s="6" t="s">
        <v>2105</v>
      </c>
      <c r="E795" s="6" t="s">
        <v>118</v>
      </c>
      <c r="F795" s="6" t="s">
        <v>51</v>
      </c>
      <c r="G795" s="7">
        <v>0.15</v>
      </c>
      <c r="H795" s="6" t="s">
        <v>119</v>
      </c>
      <c r="I795" s="6" t="s">
        <v>20</v>
      </c>
      <c r="J795" s="6">
        <v>1995.0</v>
      </c>
      <c r="L795" s="6">
        <v>3.0</v>
      </c>
      <c r="M795" s="8">
        <f t="shared" si="1"/>
        <v>0.45</v>
      </c>
      <c r="P795" s="9"/>
    </row>
    <row r="796">
      <c r="A796" s="6" t="s">
        <v>2104</v>
      </c>
      <c r="B796" s="6" t="s">
        <v>736</v>
      </c>
      <c r="C796" s="6" t="s">
        <v>287</v>
      </c>
      <c r="D796" s="6" t="s">
        <v>2105</v>
      </c>
      <c r="E796" s="6" t="s">
        <v>118</v>
      </c>
      <c r="F796" s="6" t="s">
        <v>51</v>
      </c>
      <c r="G796" s="7">
        <v>0.36</v>
      </c>
      <c r="H796" s="6" t="s">
        <v>120</v>
      </c>
      <c r="I796" s="6" t="s">
        <v>20</v>
      </c>
      <c r="J796" s="6">
        <v>1995.0</v>
      </c>
      <c r="L796" s="6">
        <v>2.0</v>
      </c>
      <c r="M796" s="8">
        <f t="shared" si="1"/>
        <v>0.72</v>
      </c>
      <c r="P796" s="9"/>
    </row>
    <row r="797">
      <c r="A797" s="6" t="s">
        <v>2104</v>
      </c>
      <c r="B797" s="6" t="s">
        <v>736</v>
      </c>
      <c r="C797" s="6" t="s">
        <v>287</v>
      </c>
      <c r="D797" s="6" t="s">
        <v>2105</v>
      </c>
      <c r="E797" s="6" t="s">
        <v>118</v>
      </c>
      <c r="F797" s="6" t="s">
        <v>51</v>
      </c>
      <c r="G797" s="7">
        <v>0.3</v>
      </c>
      <c r="H797" s="6" t="s">
        <v>245</v>
      </c>
      <c r="I797" s="6" t="s">
        <v>20</v>
      </c>
      <c r="J797" s="6">
        <v>1995.0</v>
      </c>
      <c r="L797" s="6">
        <v>3.0</v>
      </c>
      <c r="M797" s="8">
        <f t="shared" si="1"/>
        <v>0.9</v>
      </c>
      <c r="P797" s="9"/>
    </row>
    <row r="798">
      <c r="A798" s="6" t="s">
        <v>2104</v>
      </c>
      <c r="B798" s="6" t="s">
        <v>736</v>
      </c>
      <c r="C798" s="6" t="s">
        <v>287</v>
      </c>
      <c r="D798" s="6" t="s">
        <v>2105</v>
      </c>
      <c r="E798" s="6" t="s">
        <v>118</v>
      </c>
      <c r="F798" s="6" t="s">
        <v>51</v>
      </c>
      <c r="G798" s="7">
        <v>0.3</v>
      </c>
      <c r="H798" s="6" t="s">
        <v>607</v>
      </c>
      <c r="I798" s="6" t="s">
        <v>20</v>
      </c>
      <c r="J798" s="6">
        <v>1994.0</v>
      </c>
      <c r="L798" s="6">
        <v>1.0</v>
      </c>
      <c r="M798" s="8">
        <f t="shared" si="1"/>
        <v>0.3</v>
      </c>
      <c r="P798" s="9"/>
    </row>
    <row r="799">
      <c r="A799" s="6" t="s">
        <v>2106</v>
      </c>
      <c r="B799" s="6" t="s">
        <v>736</v>
      </c>
      <c r="C799" s="6" t="s">
        <v>287</v>
      </c>
      <c r="D799" s="6" t="s">
        <v>2107</v>
      </c>
      <c r="E799" s="6" t="s">
        <v>118</v>
      </c>
      <c r="F799" s="6" t="s">
        <v>51</v>
      </c>
      <c r="G799" s="7">
        <v>0.1</v>
      </c>
      <c r="H799" s="6" t="s">
        <v>119</v>
      </c>
      <c r="I799" s="6" t="s">
        <v>20</v>
      </c>
      <c r="J799" s="6">
        <v>1995.0</v>
      </c>
      <c r="L799" s="6">
        <v>4.0</v>
      </c>
      <c r="M799" s="8">
        <f t="shared" si="1"/>
        <v>0.4</v>
      </c>
      <c r="P799" s="9"/>
    </row>
    <row r="800">
      <c r="A800" s="6" t="s">
        <v>2106</v>
      </c>
      <c r="B800" s="6" t="s">
        <v>1041</v>
      </c>
      <c r="C800" s="6" t="s">
        <v>34</v>
      </c>
      <c r="D800" s="6" t="s">
        <v>2107</v>
      </c>
      <c r="E800" s="6" t="s">
        <v>118</v>
      </c>
      <c r="F800" s="6" t="s">
        <v>51</v>
      </c>
      <c r="G800" s="7">
        <v>0.2</v>
      </c>
      <c r="H800" s="6" t="s">
        <v>453</v>
      </c>
      <c r="I800" s="6" t="s">
        <v>20</v>
      </c>
      <c r="J800" s="6">
        <v>1995.0</v>
      </c>
      <c r="L800" s="6">
        <v>3.0</v>
      </c>
      <c r="M800" s="8">
        <f t="shared" si="1"/>
        <v>0.6</v>
      </c>
      <c r="P800" s="9"/>
    </row>
    <row r="801">
      <c r="A801" s="6" t="s">
        <v>2106</v>
      </c>
      <c r="B801" s="6" t="s">
        <v>736</v>
      </c>
      <c r="C801" s="6" t="s">
        <v>287</v>
      </c>
      <c r="D801" s="6" t="s">
        <v>2107</v>
      </c>
      <c r="E801" s="6" t="s">
        <v>118</v>
      </c>
      <c r="F801" s="6" t="s">
        <v>51</v>
      </c>
      <c r="G801" s="7">
        <v>0.2</v>
      </c>
      <c r="H801" s="6" t="s">
        <v>120</v>
      </c>
      <c r="I801" s="6" t="s">
        <v>20</v>
      </c>
      <c r="J801" s="6">
        <v>1995.0</v>
      </c>
      <c r="L801" s="6">
        <v>3.0</v>
      </c>
      <c r="M801" s="8">
        <f t="shared" si="1"/>
        <v>0.6</v>
      </c>
      <c r="P801" s="9"/>
    </row>
    <row r="802">
      <c r="A802" s="6" t="s">
        <v>2108</v>
      </c>
      <c r="B802" s="6" t="s">
        <v>2109</v>
      </c>
      <c r="C802" s="6" t="s">
        <v>34</v>
      </c>
      <c r="D802" s="6" t="s">
        <v>2110</v>
      </c>
      <c r="E802" s="6" t="s">
        <v>175</v>
      </c>
      <c r="F802" s="6" t="s">
        <v>51</v>
      </c>
      <c r="G802" s="7">
        <v>0.05</v>
      </c>
      <c r="H802" s="6" t="s">
        <v>2111</v>
      </c>
      <c r="I802" s="6" t="s">
        <v>20</v>
      </c>
      <c r="J802" s="6">
        <v>2025.0</v>
      </c>
      <c r="K802" s="10">
        <v>46023.0</v>
      </c>
      <c r="L802" s="6">
        <v>7.0</v>
      </c>
      <c r="M802" s="8">
        <f t="shared" si="1"/>
        <v>0.35</v>
      </c>
      <c r="P802" s="9"/>
    </row>
    <row r="803">
      <c r="A803" s="6" t="s">
        <v>2108</v>
      </c>
      <c r="B803" s="6" t="s">
        <v>2109</v>
      </c>
      <c r="C803" s="6" t="s">
        <v>34</v>
      </c>
      <c r="D803" s="6" t="s">
        <v>2110</v>
      </c>
      <c r="E803" s="6" t="s">
        <v>175</v>
      </c>
      <c r="F803" s="6" t="s">
        <v>51</v>
      </c>
      <c r="G803" s="7">
        <v>0.3</v>
      </c>
      <c r="H803" s="6" t="s">
        <v>2111</v>
      </c>
      <c r="I803" s="6" t="s">
        <v>20</v>
      </c>
      <c r="J803" s="6">
        <v>2025.0</v>
      </c>
      <c r="K803" s="10">
        <v>46023.0</v>
      </c>
      <c r="L803" s="6">
        <v>2.0</v>
      </c>
      <c r="M803" s="8">
        <f t="shared" si="1"/>
        <v>0.6</v>
      </c>
      <c r="P803" s="9"/>
    </row>
    <row r="804">
      <c r="A804" s="6" t="s">
        <v>2112</v>
      </c>
      <c r="B804" s="6" t="s">
        <v>2113</v>
      </c>
      <c r="C804" s="6" t="s">
        <v>23</v>
      </c>
      <c r="D804" s="6" t="s">
        <v>2114</v>
      </c>
      <c r="E804" s="6" t="s">
        <v>50</v>
      </c>
      <c r="F804" s="6" t="s">
        <v>51</v>
      </c>
      <c r="G804" s="7">
        <v>0.03</v>
      </c>
      <c r="H804" s="6" t="s">
        <v>185</v>
      </c>
      <c r="I804" s="6" t="s">
        <v>20</v>
      </c>
      <c r="J804" s="6">
        <v>2019.0</v>
      </c>
      <c r="K804" s="10">
        <v>46084.0</v>
      </c>
      <c r="L804" s="6">
        <v>1.0</v>
      </c>
      <c r="M804" s="8">
        <f t="shared" si="1"/>
        <v>0.03</v>
      </c>
      <c r="P804" s="9"/>
    </row>
    <row r="805">
      <c r="A805" s="6" t="s">
        <v>2115</v>
      </c>
      <c r="B805" s="6" t="s">
        <v>2116</v>
      </c>
      <c r="C805" s="6" t="s">
        <v>15</v>
      </c>
      <c r="D805" s="6" t="s">
        <v>2117</v>
      </c>
      <c r="E805" s="6" t="s">
        <v>1265</v>
      </c>
      <c r="F805" s="6" t="s">
        <v>159</v>
      </c>
      <c r="G805" s="7">
        <v>0.64</v>
      </c>
      <c r="H805" s="6" t="s">
        <v>38</v>
      </c>
      <c r="I805" s="6" t="s">
        <v>20</v>
      </c>
      <c r="J805" s="6">
        <v>2026.0</v>
      </c>
      <c r="L805" s="6">
        <v>2.0</v>
      </c>
      <c r="M805" s="8">
        <f t="shared" si="1"/>
        <v>1.28</v>
      </c>
      <c r="P805" s="9"/>
    </row>
    <row r="806">
      <c r="A806" s="6" t="s">
        <v>2118</v>
      </c>
      <c r="B806" s="6" t="s">
        <v>2119</v>
      </c>
      <c r="C806" s="6" t="s">
        <v>48</v>
      </c>
      <c r="D806" s="6" t="s">
        <v>2120</v>
      </c>
      <c r="E806" s="6" t="s">
        <v>64</v>
      </c>
      <c r="F806" s="6" t="s">
        <v>65</v>
      </c>
      <c r="G806" s="7">
        <v>0.04</v>
      </c>
      <c r="H806" s="6" t="s">
        <v>185</v>
      </c>
      <c r="I806" s="6" t="s">
        <v>20</v>
      </c>
      <c r="J806" s="6">
        <v>2019.0</v>
      </c>
      <c r="K806" s="10">
        <v>46023.0</v>
      </c>
      <c r="L806" s="6">
        <v>1.0</v>
      </c>
      <c r="M806" s="8">
        <f t="shared" si="1"/>
        <v>0.04</v>
      </c>
      <c r="P806" s="9"/>
    </row>
    <row r="807">
      <c r="A807" s="6" t="s">
        <v>2121</v>
      </c>
      <c r="B807" s="6" t="s">
        <v>740</v>
      </c>
      <c r="C807" s="6" t="s">
        <v>48</v>
      </c>
      <c r="D807" s="6" t="s">
        <v>2122</v>
      </c>
      <c r="E807" s="6" t="s">
        <v>1159</v>
      </c>
      <c r="F807" s="6" t="s">
        <v>826</v>
      </c>
      <c r="G807" s="7">
        <v>0.03</v>
      </c>
      <c r="H807" s="6" t="s">
        <v>185</v>
      </c>
      <c r="I807" s="6" t="s">
        <v>20</v>
      </c>
      <c r="J807" s="6">
        <v>2019.0</v>
      </c>
      <c r="K807" s="10">
        <v>46055.0</v>
      </c>
      <c r="L807" s="6">
        <v>1.0</v>
      </c>
      <c r="M807" s="8">
        <f t="shared" si="1"/>
        <v>0.03</v>
      </c>
      <c r="P807" s="9"/>
    </row>
    <row r="808">
      <c r="A808" s="6" t="s">
        <v>2123</v>
      </c>
      <c r="B808" s="6" t="s">
        <v>543</v>
      </c>
      <c r="C808" s="6" t="s">
        <v>15</v>
      </c>
      <c r="D808" s="6" t="s">
        <v>2124</v>
      </c>
      <c r="E808" s="6" t="s">
        <v>2125</v>
      </c>
      <c r="F808" s="6" t="s">
        <v>159</v>
      </c>
      <c r="G808" s="7">
        <v>0.76</v>
      </c>
      <c r="H808" s="6" t="s">
        <v>2126</v>
      </c>
      <c r="I808" s="6" t="s">
        <v>55</v>
      </c>
      <c r="J808" s="6">
        <v>2025.0</v>
      </c>
      <c r="L808" s="6">
        <v>2.0</v>
      </c>
      <c r="M808" s="8">
        <f t="shared" si="1"/>
        <v>1.52</v>
      </c>
      <c r="P808" s="9"/>
    </row>
    <row r="809">
      <c r="A809" s="6" t="s">
        <v>2127</v>
      </c>
      <c r="B809" s="6" t="s">
        <v>62</v>
      </c>
      <c r="C809" s="6" t="s">
        <v>48</v>
      </c>
      <c r="D809" s="6" t="s">
        <v>2128</v>
      </c>
      <c r="E809" s="6" t="s">
        <v>2129</v>
      </c>
      <c r="F809" s="6" t="s">
        <v>65</v>
      </c>
      <c r="G809" s="7">
        <v>0.08</v>
      </c>
      <c r="H809" s="6" t="s">
        <v>477</v>
      </c>
      <c r="I809" s="6" t="s">
        <v>20</v>
      </c>
      <c r="J809" s="6">
        <v>2020.0</v>
      </c>
      <c r="L809" s="6">
        <v>1.0</v>
      </c>
      <c r="M809" s="8">
        <f t="shared" si="1"/>
        <v>0.08</v>
      </c>
      <c r="P809" s="9"/>
    </row>
    <row r="810">
      <c r="A810" s="6" t="s">
        <v>2130</v>
      </c>
      <c r="B810" s="6" t="s">
        <v>62</v>
      </c>
      <c r="C810" s="6" t="s">
        <v>48</v>
      </c>
      <c r="D810" s="6" t="s">
        <v>2131</v>
      </c>
      <c r="E810" s="6" t="s">
        <v>2132</v>
      </c>
      <c r="F810" s="6" t="s">
        <v>18</v>
      </c>
      <c r="G810" s="7">
        <v>0.09</v>
      </c>
      <c r="H810" s="6" t="s">
        <v>184</v>
      </c>
      <c r="I810" s="6" t="s">
        <v>20</v>
      </c>
      <c r="J810" s="6">
        <v>2015.0</v>
      </c>
      <c r="L810" s="6">
        <v>1.0</v>
      </c>
      <c r="M810" s="8">
        <f t="shared" si="1"/>
        <v>0.09</v>
      </c>
      <c r="P810" s="9"/>
    </row>
    <row r="811">
      <c r="A811" s="6" t="s">
        <v>2133</v>
      </c>
      <c r="B811" s="6" t="s">
        <v>372</v>
      </c>
      <c r="C811" s="6" t="s">
        <v>23</v>
      </c>
      <c r="D811" s="6" t="s">
        <v>2134</v>
      </c>
      <c r="E811" s="6" t="s">
        <v>293</v>
      </c>
      <c r="F811" s="6" t="s">
        <v>18</v>
      </c>
      <c r="G811" s="7">
        <v>0.06</v>
      </c>
      <c r="H811" s="6" t="s">
        <v>2135</v>
      </c>
      <c r="I811" s="6" t="s">
        <v>20</v>
      </c>
      <c r="J811" s="6">
        <v>2011.0</v>
      </c>
      <c r="L811" s="6">
        <v>1.0</v>
      </c>
      <c r="M811" s="8">
        <f t="shared" si="1"/>
        <v>0.06</v>
      </c>
      <c r="P811" s="9"/>
    </row>
    <row r="812">
      <c r="A812" s="6" t="s">
        <v>2133</v>
      </c>
      <c r="B812" s="6" t="s">
        <v>372</v>
      </c>
      <c r="C812" s="6" t="s">
        <v>23</v>
      </c>
      <c r="D812" s="6" t="s">
        <v>2134</v>
      </c>
      <c r="E812" s="6" t="s">
        <v>293</v>
      </c>
      <c r="F812" s="6" t="s">
        <v>18</v>
      </c>
      <c r="G812" s="7">
        <v>0.06</v>
      </c>
      <c r="H812" s="6" t="s">
        <v>184</v>
      </c>
      <c r="I812" s="6" t="s">
        <v>20</v>
      </c>
      <c r="J812" s="6">
        <v>2015.0</v>
      </c>
      <c r="L812" s="6">
        <v>1.0</v>
      </c>
      <c r="M812" s="8">
        <f t="shared" si="1"/>
        <v>0.06</v>
      </c>
      <c r="P812" s="9"/>
    </row>
    <row r="813">
      <c r="A813" s="6" t="s">
        <v>2133</v>
      </c>
      <c r="B813" s="6" t="s">
        <v>372</v>
      </c>
      <c r="C813" s="6" t="s">
        <v>23</v>
      </c>
      <c r="D813" s="6" t="s">
        <v>2134</v>
      </c>
      <c r="E813" s="6" t="s">
        <v>293</v>
      </c>
      <c r="F813" s="6" t="s">
        <v>18</v>
      </c>
      <c r="G813" s="7">
        <v>0.06</v>
      </c>
      <c r="H813" s="6" t="s">
        <v>184</v>
      </c>
      <c r="I813" s="6" t="s">
        <v>20</v>
      </c>
      <c r="J813" s="6">
        <v>2015.0</v>
      </c>
      <c r="L813" s="6">
        <v>1.0</v>
      </c>
      <c r="M813" s="8">
        <f t="shared" si="1"/>
        <v>0.06</v>
      </c>
      <c r="P813" s="9"/>
    </row>
    <row r="814">
      <c r="A814" s="6" t="s">
        <v>2136</v>
      </c>
      <c r="B814" s="6" t="s">
        <v>372</v>
      </c>
      <c r="C814" s="6" t="s">
        <v>23</v>
      </c>
      <c r="D814" s="6" t="s">
        <v>2137</v>
      </c>
      <c r="E814" s="6" t="s">
        <v>167</v>
      </c>
      <c r="F814" s="6" t="s">
        <v>103</v>
      </c>
      <c r="G814" s="7">
        <v>0.2</v>
      </c>
      <c r="H814" s="6" t="s">
        <v>418</v>
      </c>
      <c r="I814" s="6" t="s">
        <v>20</v>
      </c>
      <c r="J814" s="6">
        <v>2022.0</v>
      </c>
      <c r="L814" s="6">
        <v>1.0</v>
      </c>
      <c r="M814" s="8">
        <f t="shared" si="1"/>
        <v>0.2</v>
      </c>
      <c r="P814" s="9"/>
    </row>
    <row r="815">
      <c r="A815" s="6" t="s">
        <v>2138</v>
      </c>
      <c r="B815" s="6" t="s">
        <v>2139</v>
      </c>
      <c r="C815" s="6" t="s">
        <v>23</v>
      </c>
      <c r="D815" s="6" t="s">
        <v>2140</v>
      </c>
      <c r="E815" s="6" t="s">
        <v>625</v>
      </c>
      <c r="F815" s="6" t="s">
        <v>37</v>
      </c>
      <c r="G815" s="7">
        <v>0.05</v>
      </c>
      <c r="H815" s="6" t="s">
        <v>119</v>
      </c>
      <c r="I815" s="6" t="s">
        <v>20</v>
      </c>
      <c r="J815" s="6">
        <v>1995.0</v>
      </c>
      <c r="K815" s="10">
        <v>46025.0</v>
      </c>
      <c r="L815" s="6">
        <v>3.0</v>
      </c>
      <c r="M815" s="8">
        <f t="shared" si="1"/>
        <v>0.15</v>
      </c>
      <c r="P815" s="9"/>
    </row>
    <row r="816">
      <c r="A816" s="6" t="s">
        <v>2138</v>
      </c>
      <c r="B816" s="6" t="s">
        <v>2139</v>
      </c>
      <c r="C816" s="6" t="s">
        <v>23</v>
      </c>
      <c r="D816" s="6" t="s">
        <v>2140</v>
      </c>
      <c r="E816" s="6" t="s">
        <v>625</v>
      </c>
      <c r="F816" s="6" t="s">
        <v>37</v>
      </c>
      <c r="G816" s="7">
        <v>0.1</v>
      </c>
      <c r="H816" s="6" t="s">
        <v>120</v>
      </c>
      <c r="I816" s="6" t="s">
        <v>20</v>
      </c>
      <c r="J816" s="6">
        <v>1995.0</v>
      </c>
      <c r="K816" s="10">
        <v>46025.0</v>
      </c>
      <c r="L816" s="6">
        <v>4.0</v>
      </c>
      <c r="M816" s="8">
        <f t="shared" si="1"/>
        <v>0.4</v>
      </c>
      <c r="P816" s="9"/>
    </row>
    <row r="817">
      <c r="A817" s="6" t="s">
        <v>2141</v>
      </c>
      <c r="B817" s="6" t="s">
        <v>307</v>
      </c>
      <c r="C817" s="6" t="s">
        <v>48</v>
      </c>
      <c r="D817" s="6" t="s">
        <v>2142</v>
      </c>
      <c r="E817" s="6" t="s">
        <v>118</v>
      </c>
      <c r="F817" s="6" t="s">
        <v>51</v>
      </c>
      <c r="G817" s="7">
        <v>0.1</v>
      </c>
      <c r="H817" s="6" t="s">
        <v>769</v>
      </c>
      <c r="I817" s="6" t="s">
        <v>20</v>
      </c>
      <c r="J817" s="6">
        <v>2023.0</v>
      </c>
      <c r="L817" s="6">
        <v>1.0</v>
      </c>
      <c r="M817" s="8">
        <f t="shared" si="1"/>
        <v>0.1</v>
      </c>
      <c r="P817" s="9"/>
    </row>
    <row r="818">
      <c r="A818" s="6" t="s">
        <v>2143</v>
      </c>
      <c r="B818" s="6" t="s">
        <v>182</v>
      </c>
      <c r="C818" s="6" t="s">
        <v>23</v>
      </c>
      <c r="D818" s="6" t="s">
        <v>2144</v>
      </c>
      <c r="E818" s="6" t="s">
        <v>118</v>
      </c>
      <c r="F818" s="6" t="s">
        <v>51</v>
      </c>
      <c r="G818" s="7">
        <v>0.04</v>
      </c>
      <c r="H818" s="6" t="s">
        <v>875</v>
      </c>
      <c r="I818" s="6" t="s">
        <v>20</v>
      </c>
      <c r="J818" s="6">
        <v>2018.0</v>
      </c>
      <c r="L818" s="6">
        <v>3.0</v>
      </c>
      <c r="M818" s="8">
        <f t="shared" si="1"/>
        <v>0.12</v>
      </c>
      <c r="P818" s="9"/>
    </row>
    <row r="819">
      <c r="A819" s="6" t="s">
        <v>2145</v>
      </c>
      <c r="B819" s="6" t="s">
        <v>182</v>
      </c>
      <c r="C819" s="6" t="s">
        <v>23</v>
      </c>
      <c r="D819" s="6" t="s">
        <v>2146</v>
      </c>
      <c r="E819" s="6" t="s">
        <v>25</v>
      </c>
      <c r="F819" s="6" t="s">
        <v>18</v>
      </c>
      <c r="G819" s="7">
        <v>0.06</v>
      </c>
      <c r="H819" s="6" t="s">
        <v>185</v>
      </c>
      <c r="I819" s="6" t="s">
        <v>20</v>
      </c>
      <c r="J819" s="6">
        <v>2019.0</v>
      </c>
      <c r="L819" s="6">
        <v>3.0</v>
      </c>
      <c r="M819" s="8">
        <f t="shared" si="1"/>
        <v>0.18</v>
      </c>
      <c r="P819" s="9"/>
    </row>
    <row r="820">
      <c r="A820" s="6" t="s">
        <v>2147</v>
      </c>
      <c r="B820" s="6" t="s">
        <v>127</v>
      </c>
      <c r="C820" s="6" t="s">
        <v>23</v>
      </c>
      <c r="D820" s="6" t="s">
        <v>2148</v>
      </c>
      <c r="E820" s="6" t="s">
        <v>118</v>
      </c>
      <c r="F820" s="6" t="s">
        <v>51</v>
      </c>
      <c r="G820" s="7">
        <v>0.06</v>
      </c>
      <c r="H820" s="6" t="s">
        <v>184</v>
      </c>
      <c r="I820" s="6" t="s">
        <v>20</v>
      </c>
      <c r="J820" s="6">
        <v>2015.0</v>
      </c>
      <c r="K820" s="10">
        <v>46055.0</v>
      </c>
      <c r="L820" s="6">
        <v>5.0</v>
      </c>
      <c r="M820" s="8">
        <f t="shared" si="1"/>
        <v>0.3</v>
      </c>
      <c r="P820" s="9"/>
    </row>
    <row r="821">
      <c r="A821" s="6" t="s">
        <v>2149</v>
      </c>
      <c r="B821" s="6" t="s">
        <v>2150</v>
      </c>
      <c r="C821" s="6" t="s">
        <v>23</v>
      </c>
      <c r="D821" s="6" t="s">
        <v>2151</v>
      </c>
      <c r="E821" s="6" t="s">
        <v>175</v>
      </c>
      <c r="F821" s="6" t="s">
        <v>51</v>
      </c>
      <c r="G821" s="7">
        <v>0.08</v>
      </c>
      <c r="H821" s="6" t="s">
        <v>621</v>
      </c>
      <c r="I821" s="6" t="s">
        <v>20</v>
      </c>
      <c r="J821" s="6">
        <v>2015.0</v>
      </c>
      <c r="K821" s="10">
        <v>46023.0</v>
      </c>
      <c r="L821" s="6">
        <v>1.0</v>
      </c>
      <c r="M821" s="8">
        <f t="shared" si="1"/>
        <v>0.08</v>
      </c>
      <c r="P821" s="9"/>
    </row>
    <row r="822">
      <c r="A822" s="6" t="s">
        <v>2152</v>
      </c>
      <c r="B822" s="6" t="s">
        <v>62</v>
      </c>
      <c r="C822" s="6" t="s">
        <v>23</v>
      </c>
      <c r="D822" s="6" t="s">
        <v>2153</v>
      </c>
      <c r="E822" s="6" t="s">
        <v>270</v>
      </c>
      <c r="F822" s="6" t="s">
        <v>159</v>
      </c>
      <c r="G822" s="7">
        <v>0.05</v>
      </c>
      <c r="H822" s="6" t="s">
        <v>1494</v>
      </c>
      <c r="I822" s="6" t="s">
        <v>20</v>
      </c>
      <c r="J822" s="6">
        <v>2012.0</v>
      </c>
      <c r="L822" s="6">
        <v>1.0</v>
      </c>
      <c r="M822" s="8">
        <f t="shared" si="1"/>
        <v>0.05</v>
      </c>
      <c r="P822" s="9"/>
    </row>
    <row r="823">
      <c r="A823" s="6" t="s">
        <v>2152</v>
      </c>
      <c r="B823" s="6" t="s">
        <v>62</v>
      </c>
      <c r="C823" s="6" t="s">
        <v>23</v>
      </c>
      <c r="D823" s="6" t="s">
        <v>2153</v>
      </c>
      <c r="E823" s="6" t="s">
        <v>270</v>
      </c>
      <c r="F823" s="6" t="s">
        <v>159</v>
      </c>
      <c r="G823" s="7">
        <v>0.05</v>
      </c>
      <c r="H823" s="6" t="s">
        <v>1494</v>
      </c>
      <c r="I823" s="6" t="s">
        <v>20</v>
      </c>
      <c r="J823" s="6">
        <v>2012.0</v>
      </c>
      <c r="L823" s="6">
        <v>1.0</v>
      </c>
      <c r="M823" s="8">
        <f t="shared" si="1"/>
        <v>0.05</v>
      </c>
      <c r="P823" s="9"/>
    </row>
    <row r="824">
      <c r="A824" s="6" t="s">
        <v>2154</v>
      </c>
      <c r="B824" s="6" t="s">
        <v>2155</v>
      </c>
      <c r="C824" s="6" t="s">
        <v>34</v>
      </c>
      <c r="D824" s="6" t="s">
        <v>2156</v>
      </c>
      <c r="E824" s="6" t="s">
        <v>2157</v>
      </c>
      <c r="F824" s="6" t="s">
        <v>18</v>
      </c>
      <c r="G824" s="7">
        <v>0.03</v>
      </c>
      <c r="H824" s="6" t="s">
        <v>483</v>
      </c>
      <c r="I824" s="6" t="s">
        <v>20</v>
      </c>
      <c r="J824" s="6">
        <v>2014.0</v>
      </c>
      <c r="K824" s="10">
        <v>46056.0</v>
      </c>
      <c r="L824" s="6">
        <v>4.0</v>
      </c>
      <c r="M824" s="8">
        <f t="shared" si="1"/>
        <v>0.12</v>
      </c>
      <c r="P824" s="9"/>
    </row>
    <row r="825">
      <c r="A825" s="6" t="s">
        <v>2158</v>
      </c>
      <c r="B825" s="6" t="s">
        <v>2159</v>
      </c>
      <c r="C825" s="6" t="s">
        <v>48</v>
      </c>
      <c r="D825" s="6" t="s">
        <v>2160</v>
      </c>
      <c r="E825" s="6" t="s">
        <v>270</v>
      </c>
      <c r="F825" s="6" t="s">
        <v>159</v>
      </c>
      <c r="G825" s="7">
        <v>0.06</v>
      </c>
      <c r="H825" s="6" t="s">
        <v>845</v>
      </c>
      <c r="I825" s="6" t="s">
        <v>20</v>
      </c>
      <c r="J825" s="6">
        <v>2022.0</v>
      </c>
      <c r="L825" s="6">
        <v>1.0</v>
      </c>
      <c r="M825" s="8">
        <f t="shared" si="1"/>
        <v>0.06</v>
      </c>
      <c r="P825" s="9"/>
    </row>
    <row r="826">
      <c r="A826" s="6" t="s">
        <v>2158</v>
      </c>
      <c r="B826" s="6" t="s">
        <v>2159</v>
      </c>
      <c r="C826" s="6" t="s">
        <v>48</v>
      </c>
      <c r="D826" s="6" t="s">
        <v>2160</v>
      </c>
      <c r="E826" s="6" t="s">
        <v>270</v>
      </c>
      <c r="F826" s="6" t="s">
        <v>159</v>
      </c>
      <c r="G826" s="7">
        <v>0.68</v>
      </c>
      <c r="H826" s="6" t="s">
        <v>2161</v>
      </c>
      <c r="I826" s="6" t="s">
        <v>55</v>
      </c>
      <c r="J826" s="6">
        <v>2022.0</v>
      </c>
      <c r="L826" s="6">
        <v>1.0</v>
      </c>
      <c r="M826" s="8">
        <f t="shared" si="1"/>
        <v>0.68</v>
      </c>
      <c r="P826" s="9"/>
    </row>
    <row r="827">
      <c r="A827" s="6" t="s">
        <v>2162</v>
      </c>
      <c r="B827" s="6" t="s">
        <v>2163</v>
      </c>
      <c r="C827" s="6" t="s">
        <v>41</v>
      </c>
      <c r="D827" s="6" t="s">
        <v>2164</v>
      </c>
      <c r="E827" s="6" t="s">
        <v>696</v>
      </c>
      <c r="F827" s="6" t="s">
        <v>37</v>
      </c>
      <c r="G827" s="7">
        <v>0.5</v>
      </c>
      <c r="H827" s="6" t="s">
        <v>119</v>
      </c>
      <c r="I827" s="6" t="s">
        <v>20</v>
      </c>
      <c r="J827" s="6">
        <v>1995.0</v>
      </c>
      <c r="K827" s="6" t="s">
        <v>597</v>
      </c>
      <c r="L827" s="6">
        <v>1.0</v>
      </c>
      <c r="M827" s="8">
        <f t="shared" si="1"/>
        <v>0.5</v>
      </c>
      <c r="P827" s="9"/>
    </row>
    <row r="828">
      <c r="A828" s="6" t="s">
        <v>2162</v>
      </c>
      <c r="B828" s="6" t="s">
        <v>2163</v>
      </c>
      <c r="C828" s="6" t="s">
        <v>41</v>
      </c>
      <c r="D828" s="6" t="s">
        <v>2164</v>
      </c>
      <c r="E828" s="6" t="s">
        <v>696</v>
      </c>
      <c r="F828" s="6" t="s">
        <v>37</v>
      </c>
      <c r="G828" s="7">
        <v>1.5</v>
      </c>
      <c r="H828" s="6" t="s">
        <v>607</v>
      </c>
      <c r="I828" s="6" t="s">
        <v>20</v>
      </c>
      <c r="J828" s="6">
        <v>1994.0</v>
      </c>
      <c r="K828" s="6" t="s">
        <v>597</v>
      </c>
      <c r="L828" s="6">
        <v>1.0</v>
      </c>
      <c r="M828" s="8">
        <f t="shared" si="1"/>
        <v>1.5</v>
      </c>
      <c r="N828" s="6" t="s">
        <v>172</v>
      </c>
      <c r="P828" s="9"/>
    </row>
    <row r="829">
      <c r="A829" s="6" t="s">
        <v>2165</v>
      </c>
      <c r="B829" s="6" t="s">
        <v>623</v>
      </c>
      <c r="C829" s="6" t="s">
        <v>23</v>
      </c>
      <c r="D829" s="6" t="s">
        <v>2166</v>
      </c>
      <c r="E829" s="6" t="s">
        <v>625</v>
      </c>
      <c r="F829" s="6" t="s">
        <v>37</v>
      </c>
      <c r="G829" s="7">
        <v>0.08</v>
      </c>
      <c r="H829" s="6" t="s">
        <v>305</v>
      </c>
      <c r="I829" s="6" t="s">
        <v>20</v>
      </c>
      <c r="J829" s="6">
        <v>2003.0</v>
      </c>
      <c r="K829" s="6" t="s">
        <v>697</v>
      </c>
      <c r="L829" s="6">
        <v>1.0</v>
      </c>
      <c r="M829" s="8">
        <f t="shared" si="1"/>
        <v>0.08</v>
      </c>
      <c r="P829" s="9"/>
    </row>
    <row r="830">
      <c r="A830" s="6" t="s">
        <v>2167</v>
      </c>
      <c r="B830" s="6" t="s">
        <v>2168</v>
      </c>
      <c r="C830" s="6" t="s">
        <v>23</v>
      </c>
      <c r="D830" s="6" t="s">
        <v>2169</v>
      </c>
      <c r="E830" s="6" t="s">
        <v>625</v>
      </c>
      <c r="F830" s="6" t="s">
        <v>37</v>
      </c>
      <c r="G830" s="7">
        <v>0.1</v>
      </c>
      <c r="H830" s="6" t="s">
        <v>75</v>
      </c>
      <c r="I830" s="6" t="s">
        <v>20</v>
      </c>
      <c r="J830" s="6">
        <v>1995.0</v>
      </c>
      <c r="K830" s="10">
        <v>46055.0</v>
      </c>
      <c r="L830" s="6">
        <v>2.0</v>
      </c>
      <c r="M830" s="8">
        <f t="shared" si="1"/>
        <v>0.2</v>
      </c>
      <c r="P830" s="9"/>
    </row>
    <row r="831">
      <c r="A831" s="6" t="s">
        <v>2170</v>
      </c>
      <c r="B831" s="6" t="s">
        <v>2171</v>
      </c>
      <c r="C831" s="6" t="s">
        <v>48</v>
      </c>
      <c r="D831" s="6" t="s">
        <v>2172</v>
      </c>
      <c r="E831" s="6" t="s">
        <v>890</v>
      </c>
      <c r="F831" s="6" t="s">
        <v>37</v>
      </c>
      <c r="G831" s="7">
        <v>0.15</v>
      </c>
      <c r="H831" s="6" t="s">
        <v>581</v>
      </c>
      <c r="I831" s="6" t="s">
        <v>20</v>
      </c>
      <c r="J831" s="6">
        <v>2022.0</v>
      </c>
      <c r="K831" s="6" t="s">
        <v>697</v>
      </c>
      <c r="L831" s="6">
        <v>1.0</v>
      </c>
      <c r="M831" s="8">
        <f t="shared" si="1"/>
        <v>0.15</v>
      </c>
      <c r="P831" s="9"/>
    </row>
    <row r="832">
      <c r="A832" s="6" t="s">
        <v>2173</v>
      </c>
      <c r="B832" s="6" t="s">
        <v>796</v>
      </c>
      <c r="C832" s="6" t="s">
        <v>15</v>
      </c>
      <c r="D832" s="6" t="s">
        <v>2174</v>
      </c>
      <c r="E832" s="6" t="s">
        <v>1265</v>
      </c>
      <c r="F832" s="6" t="s">
        <v>159</v>
      </c>
      <c r="G832" s="7">
        <v>0.09</v>
      </c>
      <c r="H832" s="6" t="s">
        <v>1043</v>
      </c>
      <c r="I832" s="6" t="s">
        <v>20</v>
      </c>
      <c r="J832" s="6">
        <v>2025.0</v>
      </c>
      <c r="L832" s="6">
        <v>1.0</v>
      </c>
      <c r="M832" s="8">
        <f t="shared" si="1"/>
        <v>0.09</v>
      </c>
      <c r="P832" s="9"/>
    </row>
    <row r="833">
      <c r="A833" s="6" t="s">
        <v>2175</v>
      </c>
      <c r="B833" s="6" t="s">
        <v>326</v>
      </c>
      <c r="C833" s="6" t="s">
        <v>23</v>
      </c>
      <c r="D833" s="6" t="s">
        <v>2176</v>
      </c>
      <c r="E833" s="6" t="s">
        <v>25</v>
      </c>
      <c r="F833" s="6" t="s">
        <v>18</v>
      </c>
      <c r="G833" s="7">
        <v>0.06</v>
      </c>
      <c r="H833" s="6" t="s">
        <v>294</v>
      </c>
      <c r="I833" s="6" t="s">
        <v>20</v>
      </c>
      <c r="J833" s="6">
        <v>2010.0</v>
      </c>
      <c r="K833" s="10">
        <v>46083.0</v>
      </c>
      <c r="L833" s="6">
        <v>1.0</v>
      </c>
      <c r="M833" s="8">
        <f t="shared" si="1"/>
        <v>0.06</v>
      </c>
      <c r="P833" s="9"/>
    </row>
    <row r="834">
      <c r="A834" s="6" t="s">
        <v>2177</v>
      </c>
      <c r="B834" s="6" t="s">
        <v>2178</v>
      </c>
      <c r="C834" s="6" t="s">
        <v>23</v>
      </c>
      <c r="D834" s="6" t="s">
        <v>2179</v>
      </c>
      <c r="E834" s="6" t="s">
        <v>248</v>
      </c>
      <c r="F834" s="6" t="s">
        <v>18</v>
      </c>
      <c r="G834" s="7">
        <v>0.28</v>
      </c>
      <c r="H834" s="6" t="s">
        <v>2180</v>
      </c>
      <c r="I834" s="6" t="s">
        <v>20</v>
      </c>
      <c r="J834" s="6">
        <v>2010.0</v>
      </c>
      <c r="K834" s="10">
        <v>46023.0</v>
      </c>
      <c r="L834" s="6">
        <v>1.0</v>
      </c>
      <c r="M834" s="8">
        <f t="shared" si="1"/>
        <v>0.28</v>
      </c>
      <c r="P834" s="9"/>
    </row>
    <row r="835">
      <c r="A835" s="6" t="s">
        <v>2181</v>
      </c>
      <c r="B835" s="6" t="s">
        <v>2182</v>
      </c>
      <c r="C835" s="6" t="s">
        <v>34</v>
      </c>
      <c r="D835" s="6" t="s">
        <v>2183</v>
      </c>
      <c r="E835" s="6" t="s">
        <v>2184</v>
      </c>
      <c r="F835" s="6" t="s">
        <v>51</v>
      </c>
      <c r="G835" s="7">
        <v>0.09</v>
      </c>
      <c r="H835" s="6" t="s">
        <v>209</v>
      </c>
      <c r="I835" s="6" t="s">
        <v>20</v>
      </c>
      <c r="J835" s="6">
        <v>2025.0</v>
      </c>
      <c r="K835" s="10">
        <v>46083.0</v>
      </c>
      <c r="L835" s="6">
        <v>8.0</v>
      </c>
      <c r="M835" s="8">
        <f t="shared" si="1"/>
        <v>0.72</v>
      </c>
      <c r="P835" s="9"/>
    </row>
    <row r="836">
      <c r="A836" s="6" t="s">
        <v>2185</v>
      </c>
      <c r="B836" s="6" t="s">
        <v>628</v>
      </c>
      <c r="C836" s="6" t="s">
        <v>23</v>
      </c>
      <c r="D836" s="6" t="s">
        <v>2186</v>
      </c>
      <c r="E836" s="6" t="s">
        <v>50</v>
      </c>
      <c r="F836" s="6" t="s">
        <v>51</v>
      </c>
      <c r="G836" s="7">
        <v>0.03</v>
      </c>
      <c r="H836" s="6" t="s">
        <v>2066</v>
      </c>
      <c r="I836" s="6" t="s">
        <v>20</v>
      </c>
      <c r="J836" s="6">
        <v>1997.0</v>
      </c>
      <c r="K836" s="10">
        <v>46055.0</v>
      </c>
      <c r="L836" s="6">
        <v>1.0</v>
      </c>
      <c r="M836" s="8">
        <f t="shared" si="1"/>
        <v>0.03</v>
      </c>
      <c r="P836" s="9"/>
    </row>
    <row r="837">
      <c r="A837" s="6" t="s">
        <v>2187</v>
      </c>
      <c r="B837" s="6" t="s">
        <v>2188</v>
      </c>
      <c r="C837" s="6" t="s">
        <v>23</v>
      </c>
      <c r="D837" s="6" t="s">
        <v>2189</v>
      </c>
      <c r="E837" s="6" t="s">
        <v>25</v>
      </c>
      <c r="F837" s="6" t="s">
        <v>18</v>
      </c>
      <c r="G837" s="7">
        <v>0.1</v>
      </c>
      <c r="H837" s="6" t="s">
        <v>541</v>
      </c>
      <c r="I837" s="6" t="s">
        <v>20</v>
      </c>
      <c r="J837" s="6">
        <v>2019.0</v>
      </c>
      <c r="K837" s="10">
        <v>46024.0</v>
      </c>
      <c r="L837" s="6">
        <v>2.0</v>
      </c>
      <c r="M837" s="8">
        <f t="shared" si="1"/>
        <v>0.2</v>
      </c>
      <c r="P837" s="9"/>
    </row>
    <row r="838">
      <c r="A838" s="6" t="s">
        <v>2190</v>
      </c>
      <c r="B838" s="6" t="s">
        <v>62</v>
      </c>
      <c r="C838" s="6" t="s">
        <v>23</v>
      </c>
      <c r="D838" s="6" t="s">
        <v>2191</v>
      </c>
      <c r="E838" s="6" t="s">
        <v>175</v>
      </c>
      <c r="F838" s="6" t="s">
        <v>51</v>
      </c>
      <c r="G838" s="7">
        <v>0.05</v>
      </c>
      <c r="H838" s="6" t="s">
        <v>596</v>
      </c>
      <c r="I838" s="6" t="s">
        <v>20</v>
      </c>
      <c r="J838" s="6">
        <v>2012.0</v>
      </c>
      <c r="L838" s="6">
        <v>1.0</v>
      </c>
      <c r="M838" s="8">
        <f t="shared" si="1"/>
        <v>0.05</v>
      </c>
      <c r="P838" s="9"/>
    </row>
    <row r="839">
      <c r="A839" s="6" t="s">
        <v>2192</v>
      </c>
      <c r="B839" s="6" t="s">
        <v>2193</v>
      </c>
      <c r="C839" s="6" t="s">
        <v>48</v>
      </c>
      <c r="D839" s="6" t="s">
        <v>2194</v>
      </c>
      <c r="E839" s="6" t="s">
        <v>2195</v>
      </c>
      <c r="F839" s="6" t="s">
        <v>986</v>
      </c>
      <c r="G839" s="7">
        <v>0.12</v>
      </c>
      <c r="H839" s="6" t="s">
        <v>324</v>
      </c>
      <c r="I839" s="6" t="s">
        <v>20</v>
      </c>
      <c r="J839" s="6">
        <v>2025.0</v>
      </c>
      <c r="K839" s="10">
        <v>46083.0</v>
      </c>
      <c r="L839" s="6">
        <v>1.0</v>
      </c>
      <c r="M839" s="8">
        <f t="shared" si="1"/>
        <v>0.12</v>
      </c>
      <c r="P839" s="9"/>
    </row>
    <row r="840">
      <c r="A840" s="6" t="s">
        <v>2196</v>
      </c>
      <c r="B840" s="6" t="s">
        <v>169</v>
      </c>
      <c r="C840" s="6" t="s">
        <v>287</v>
      </c>
      <c r="D840" s="6" t="s">
        <v>2197</v>
      </c>
      <c r="E840" s="6" t="s">
        <v>167</v>
      </c>
      <c r="F840" s="6" t="s">
        <v>103</v>
      </c>
      <c r="G840" s="7">
        <v>0.08</v>
      </c>
      <c r="H840" s="6" t="s">
        <v>2198</v>
      </c>
      <c r="I840" s="6" t="s">
        <v>20</v>
      </c>
      <c r="J840" s="6">
        <v>2012.0</v>
      </c>
      <c r="L840" s="6">
        <v>3.0</v>
      </c>
      <c r="M840" s="8">
        <f t="shared" si="1"/>
        <v>0.24</v>
      </c>
      <c r="P840" s="9"/>
    </row>
    <row r="841">
      <c r="A841" s="6" t="s">
        <v>2196</v>
      </c>
      <c r="B841" s="6" t="s">
        <v>169</v>
      </c>
      <c r="C841" s="6" t="s">
        <v>287</v>
      </c>
      <c r="D841" s="6" t="s">
        <v>2197</v>
      </c>
      <c r="E841" s="6" t="s">
        <v>167</v>
      </c>
      <c r="F841" s="6" t="s">
        <v>103</v>
      </c>
      <c r="G841" s="7">
        <v>0.1</v>
      </c>
      <c r="H841" s="6" t="s">
        <v>2199</v>
      </c>
      <c r="I841" s="6" t="s">
        <v>20</v>
      </c>
      <c r="J841" s="6">
        <v>2013.0</v>
      </c>
      <c r="L841" s="6">
        <v>1.0</v>
      </c>
      <c r="M841" s="8">
        <f t="shared" si="1"/>
        <v>0.1</v>
      </c>
      <c r="P841" s="9"/>
    </row>
    <row r="842">
      <c r="A842" s="6" t="s">
        <v>2196</v>
      </c>
      <c r="B842" s="6" t="s">
        <v>169</v>
      </c>
      <c r="C842" s="6" t="s">
        <v>287</v>
      </c>
      <c r="D842" s="6" t="s">
        <v>2197</v>
      </c>
      <c r="E842" s="6" t="s">
        <v>167</v>
      </c>
      <c r="F842" s="6" t="s">
        <v>103</v>
      </c>
      <c r="G842" s="7">
        <v>0.09</v>
      </c>
      <c r="H842" s="6" t="s">
        <v>541</v>
      </c>
      <c r="I842" s="6" t="s">
        <v>20</v>
      </c>
      <c r="J842" s="6">
        <v>2019.0</v>
      </c>
      <c r="L842" s="6">
        <v>1.0</v>
      </c>
      <c r="M842" s="8">
        <f t="shared" si="1"/>
        <v>0.09</v>
      </c>
      <c r="P842" s="9"/>
    </row>
    <row r="843">
      <c r="A843" s="6" t="s">
        <v>2200</v>
      </c>
      <c r="B843" s="6" t="s">
        <v>2201</v>
      </c>
      <c r="C843" s="6" t="s">
        <v>287</v>
      </c>
      <c r="D843" s="6" t="s">
        <v>2202</v>
      </c>
      <c r="E843" s="6" t="s">
        <v>50</v>
      </c>
      <c r="F843" s="6" t="s">
        <v>51</v>
      </c>
      <c r="G843" s="7">
        <v>0.59</v>
      </c>
      <c r="H843" s="6" t="s">
        <v>2203</v>
      </c>
      <c r="I843" s="6" t="s">
        <v>20</v>
      </c>
      <c r="J843" s="6">
        <v>2001.0</v>
      </c>
      <c r="K843" s="10">
        <v>46114.0</v>
      </c>
      <c r="L843" s="6">
        <v>2.0</v>
      </c>
      <c r="M843" s="8">
        <f t="shared" si="1"/>
        <v>1.18</v>
      </c>
      <c r="P843" s="9"/>
    </row>
    <row r="844">
      <c r="A844" s="6" t="s">
        <v>2204</v>
      </c>
      <c r="B844" s="6" t="s">
        <v>139</v>
      </c>
      <c r="C844" s="6" t="s">
        <v>48</v>
      </c>
      <c r="D844" s="6" t="s">
        <v>2205</v>
      </c>
      <c r="E844" s="6" t="s">
        <v>50</v>
      </c>
      <c r="F844" s="6" t="s">
        <v>51</v>
      </c>
      <c r="G844" s="7">
        <v>0.04</v>
      </c>
      <c r="H844" s="6" t="s">
        <v>136</v>
      </c>
      <c r="I844" s="6" t="s">
        <v>20</v>
      </c>
      <c r="J844" s="6">
        <v>2022.0</v>
      </c>
      <c r="K844" s="10">
        <v>46055.0</v>
      </c>
      <c r="L844" s="6">
        <v>1.0</v>
      </c>
      <c r="M844" s="8">
        <f t="shared" si="1"/>
        <v>0.04</v>
      </c>
      <c r="P844" s="9"/>
    </row>
    <row r="845">
      <c r="A845" s="6" t="s">
        <v>2206</v>
      </c>
      <c r="B845" s="6" t="s">
        <v>182</v>
      </c>
      <c r="C845" s="6" t="s">
        <v>48</v>
      </c>
      <c r="D845" s="6" t="s">
        <v>2207</v>
      </c>
      <c r="E845" s="6" t="s">
        <v>30</v>
      </c>
      <c r="F845" s="6" t="s">
        <v>18</v>
      </c>
      <c r="G845" s="7">
        <v>0.06</v>
      </c>
      <c r="H845" s="6" t="s">
        <v>621</v>
      </c>
      <c r="I845" s="6" t="s">
        <v>20</v>
      </c>
      <c r="J845" s="6">
        <v>2015.0</v>
      </c>
      <c r="L845" s="6">
        <v>1.0</v>
      </c>
      <c r="M845" s="8">
        <f t="shared" si="1"/>
        <v>0.06</v>
      </c>
      <c r="P845" s="9"/>
    </row>
    <row r="846">
      <c r="A846" s="6" t="s">
        <v>2208</v>
      </c>
      <c r="B846" s="6" t="s">
        <v>2209</v>
      </c>
      <c r="C846" s="6" t="s">
        <v>23</v>
      </c>
      <c r="D846" s="6" t="s">
        <v>2210</v>
      </c>
      <c r="E846" s="6" t="s">
        <v>30</v>
      </c>
      <c r="F846" s="6" t="s">
        <v>18</v>
      </c>
      <c r="G846" s="7">
        <v>0.03</v>
      </c>
      <c r="H846" s="6" t="s">
        <v>626</v>
      </c>
      <c r="I846" s="6" t="s">
        <v>20</v>
      </c>
      <c r="J846" s="6">
        <v>2013.0</v>
      </c>
      <c r="K846" s="10">
        <v>46143.0</v>
      </c>
      <c r="L846" s="6">
        <v>1.0</v>
      </c>
      <c r="M846" s="8">
        <f t="shared" si="1"/>
        <v>0.03</v>
      </c>
      <c r="P846" s="9"/>
    </row>
    <row r="847">
      <c r="A847" s="6" t="s">
        <v>2211</v>
      </c>
      <c r="B847" s="6" t="s">
        <v>326</v>
      </c>
      <c r="C847" s="6" t="s">
        <v>23</v>
      </c>
      <c r="E847" s="6" t="s">
        <v>533</v>
      </c>
      <c r="F847" s="6" t="s">
        <v>65</v>
      </c>
      <c r="G847" s="7">
        <v>0.06</v>
      </c>
      <c r="H847" s="6" t="s">
        <v>184</v>
      </c>
      <c r="I847" s="6" t="s">
        <v>20</v>
      </c>
      <c r="J847" s="6">
        <v>2015.0</v>
      </c>
      <c r="K847" s="10">
        <v>46058.0</v>
      </c>
      <c r="L847" s="6">
        <v>5.0</v>
      </c>
      <c r="M847" s="8">
        <f t="shared" si="1"/>
        <v>0.3</v>
      </c>
      <c r="P847" s="9"/>
    </row>
    <row r="848">
      <c r="A848" s="6" t="s">
        <v>2212</v>
      </c>
      <c r="B848" s="6" t="s">
        <v>2213</v>
      </c>
      <c r="C848" s="6" t="s">
        <v>34</v>
      </c>
      <c r="D848" s="6" t="s">
        <v>2214</v>
      </c>
      <c r="E848" s="6" t="s">
        <v>208</v>
      </c>
      <c r="F848" s="6" t="s">
        <v>51</v>
      </c>
      <c r="G848" s="7">
        <v>0.05</v>
      </c>
      <c r="H848" s="6" t="s">
        <v>209</v>
      </c>
      <c r="I848" s="6" t="s">
        <v>20</v>
      </c>
      <c r="J848" s="6">
        <v>2025.0</v>
      </c>
      <c r="K848" s="10">
        <v>46055.0</v>
      </c>
      <c r="L848" s="6">
        <v>6.0</v>
      </c>
      <c r="M848" s="8">
        <f t="shared" si="1"/>
        <v>0.3</v>
      </c>
      <c r="P848" s="9"/>
    </row>
    <row r="849">
      <c r="A849" s="6" t="s">
        <v>2215</v>
      </c>
      <c r="B849" s="6" t="s">
        <v>836</v>
      </c>
      <c r="C849" s="6" t="s">
        <v>48</v>
      </c>
      <c r="D849" s="6" t="s">
        <v>2216</v>
      </c>
      <c r="E849" s="6" t="s">
        <v>243</v>
      </c>
      <c r="F849" s="6" t="s">
        <v>37</v>
      </c>
      <c r="G849" s="7">
        <v>0.03</v>
      </c>
      <c r="H849" s="6" t="s">
        <v>299</v>
      </c>
      <c r="I849" s="6" t="s">
        <v>20</v>
      </c>
      <c r="J849" s="6">
        <v>2017.0</v>
      </c>
      <c r="K849" s="10">
        <v>46083.0</v>
      </c>
      <c r="L849" s="6">
        <v>1.0</v>
      </c>
      <c r="M849" s="8">
        <f t="shared" si="1"/>
        <v>0.03</v>
      </c>
      <c r="P849" s="9"/>
    </row>
    <row r="850">
      <c r="A850" s="6" t="s">
        <v>2217</v>
      </c>
      <c r="B850" s="6" t="s">
        <v>1536</v>
      </c>
      <c r="C850" s="6" t="s">
        <v>23</v>
      </c>
      <c r="D850" s="6" t="s">
        <v>2218</v>
      </c>
      <c r="E850" s="6" t="s">
        <v>248</v>
      </c>
      <c r="F850" s="6" t="s">
        <v>18</v>
      </c>
      <c r="G850" s="7">
        <v>0.09</v>
      </c>
      <c r="H850" s="6" t="s">
        <v>769</v>
      </c>
      <c r="I850" s="6" t="s">
        <v>20</v>
      </c>
      <c r="J850" s="6">
        <v>2023.0</v>
      </c>
      <c r="K850" s="10">
        <v>46054.0</v>
      </c>
      <c r="L850" s="6">
        <v>4.0</v>
      </c>
      <c r="M850" s="8">
        <f t="shared" si="1"/>
        <v>0.36</v>
      </c>
      <c r="P850" s="9"/>
    </row>
    <row r="851">
      <c r="A851" s="6" t="s">
        <v>2219</v>
      </c>
      <c r="B851" s="6" t="s">
        <v>2220</v>
      </c>
      <c r="C851" s="6" t="s">
        <v>15</v>
      </c>
      <c r="D851" s="6" t="s">
        <v>2221</v>
      </c>
      <c r="E851" s="6" t="s">
        <v>2222</v>
      </c>
      <c r="F851" s="6" t="s">
        <v>159</v>
      </c>
      <c r="G851" s="7">
        <v>0.19</v>
      </c>
      <c r="H851" s="6" t="s">
        <v>209</v>
      </c>
      <c r="I851" s="6" t="s">
        <v>20</v>
      </c>
      <c r="J851" s="6">
        <v>2025.0</v>
      </c>
      <c r="K851" s="10">
        <v>46210.0</v>
      </c>
      <c r="L851" s="6">
        <v>1.0</v>
      </c>
      <c r="M851" s="8">
        <f t="shared" si="1"/>
        <v>0.19</v>
      </c>
      <c r="P851" s="9"/>
    </row>
    <row r="852">
      <c r="A852" s="6" t="s">
        <v>2223</v>
      </c>
      <c r="B852" s="6" t="s">
        <v>143</v>
      </c>
      <c r="C852" s="6" t="s">
        <v>23</v>
      </c>
      <c r="D852" s="6" t="s">
        <v>2224</v>
      </c>
      <c r="E852" s="6" t="s">
        <v>1570</v>
      </c>
      <c r="F852" s="6" t="s">
        <v>159</v>
      </c>
      <c r="G852" s="7">
        <v>0.05</v>
      </c>
      <c r="H852" s="6" t="s">
        <v>509</v>
      </c>
      <c r="I852" s="6" t="s">
        <v>20</v>
      </c>
      <c r="J852" s="6">
        <v>2024.0</v>
      </c>
      <c r="L852" s="6">
        <v>1.0</v>
      </c>
      <c r="M852" s="8">
        <f t="shared" si="1"/>
        <v>0.05</v>
      </c>
      <c r="P852" s="9"/>
    </row>
    <row r="853">
      <c r="A853" s="6" t="s">
        <v>2225</v>
      </c>
      <c r="B853" s="6" t="s">
        <v>507</v>
      </c>
      <c r="C853" s="6" t="s">
        <v>23</v>
      </c>
      <c r="D853" s="6" t="s">
        <v>2226</v>
      </c>
      <c r="E853" s="6" t="s">
        <v>1570</v>
      </c>
      <c r="F853" s="6" t="s">
        <v>159</v>
      </c>
      <c r="G853" s="7">
        <v>0.05</v>
      </c>
      <c r="H853" s="6" t="s">
        <v>875</v>
      </c>
      <c r="I853" s="6" t="s">
        <v>20</v>
      </c>
      <c r="J853" s="6">
        <v>2018.0</v>
      </c>
      <c r="K853" s="10">
        <v>46179.0</v>
      </c>
      <c r="L853" s="6">
        <v>4.0</v>
      </c>
      <c r="M853" s="8">
        <f t="shared" si="1"/>
        <v>0.2</v>
      </c>
      <c r="P853" s="9"/>
    </row>
    <row r="854">
      <c r="A854" s="6" t="s">
        <v>2225</v>
      </c>
      <c r="B854" s="6" t="s">
        <v>507</v>
      </c>
      <c r="C854" s="6" t="s">
        <v>23</v>
      </c>
      <c r="D854" s="6" t="s">
        <v>2227</v>
      </c>
      <c r="E854" s="6" t="s">
        <v>1570</v>
      </c>
      <c r="F854" s="6" t="s">
        <v>159</v>
      </c>
      <c r="G854" s="7">
        <v>0.05</v>
      </c>
      <c r="H854" s="6" t="s">
        <v>875</v>
      </c>
      <c r="I854" s="6" t="s">
        <v>20</v>
      </c>
      <c r="J854" s="6">
        <v>2018.0</v>
      </c>
      <c r="K854" s="10">
        <v>46179.0</v>
      </c>
      <c r="L854" s="6">
        <v>1.0</v>
      </c>
      <c r="M854" s="8">
        <f t="shared" si="1"/>
        <v>0.05</v>
      </c>
      <c r="P854" s="9"/>
    </row>
    <row r="855">
      <c r="A855" s="6" t="s">
        <v>2225</v>
      </c>
      <c r="B855" s="6" t="s">
        <v>507</v>
      </c>
      <c r="C855" s="6" t="s">
        <v>23</v>
      </c>
      <c r="D855" s="6" t="s">
        <v>2227</v>
      </c>
      <c r="E855" s="6" t="s">
        <v>1570</v>
      </c>
      <c r="F855" s="6" t="s">
        <v>159</v>
      </c>
      <c r="G855" s="7">
        <v>0.05</v>
      </c>
      <c r="H855" s="6" t="s">
        <v>875</v>
      </c>
      <c r="I855" s="6" t="s">
        <v>20</v>
      </c>
      <c r="J855" s="6">
        <v>2018.0</v>
      </c>
      <c r="K855" s="10">
        <v>46179.0</v>
      </c>
      <c r="L855" s="6">
        <v>1.0</v>
      </c>
      <c r="M855" s="8">
        <f t="shared" si="1"/>
        <v>0.05</v>
      </c>
      <c r="P855" s="9"/>
    </row>
    <row r="856">
      <c r="A856" s="6" t="s">
        <v>2225</v>
      </c>
      <c r="B856" s="6" t="s">
        <v>507</v>
      </c>
      <c r="C856" s="6" t="s">
        <v>23</v>
      </c>
      <c r="D856" s="6" t="s">
        <v>2227</v>
      </c>
      <c r="E856" s="6" t="s">
        <v>1570</v>
      </c>
      <c r="F856" s="6" t="s">
        <v>159</v>
      </c>
      <c r="G856" s="7">
        <v>0.05</v>
      </c>
      <c r="H856" s="6" t="s">
        <v>875</v>
      </c>
      <c r="I856" s="6" t="s">
        <v>20</v>
      </c>
      <c r="J856" s="6">
        <v>2018.0</v>
      </c>
      <c r="K856" s="10">
        <v>46179.0</v>
      </c>
      <c r="L856" s="6">
        <v>1.0</v>
      </c>
      <c r="M856" s="8">
        <f t="shared" si="1"/>
        <v>0.05</v>
      </c>
      <c r="P856" s="9"/>
    </row>
    <row r="857">
      <c r="A857" s="6" t="s">
        <v>2228</v>
      </c>
      <c r="B857" s="6" t="s">
        <v>1808</v>
      </c>
      <c r="C857" s="6" t="s">
        <v>23</v>
      </c>
      <c r="E857" s="6" t="s">
        <v>602</v>
      </c>
      <c r="F857" s="6" t="s">
        <v>159</v>
      </c>
      <c r="G857" s="7">
        <v>0.03</v>
      </c>
      <c r="H857" s="6" t="s">
        <v>562</v>
      </c>
      <c r="I857" s="6" t="s">
        <v>20</v>
      </c>
      <c r="J857" s="6">
        <v>2017.0</v>
      </c>
      <c r="K857" s="10">
        <v>46147.0</v>
      </c>
      <c r="L857" s="6">
        <v>3.0</v>
      </c>
      <c r="M857" s="8">
        <f t="shared" si="1"/>
        <v>0.09</v>
      </c>
      <c r="P857" s="9"/>
    </row>
    <row r="858">
      <c r="A858" s="6" t="s">
        <v>2229</v>
      </c>
      <c r="B858" s="6" t="s">
        <v>413</v>
      </c>
      <c r="C858" s="6" t="s">
        <v>72</v>
      </c>
      <c r="D858" s="6" t="s">
        <v>2230</v>
      </c>
      <c r="E858" s="6" t="s">
        <v>2231</v>
      </c>
      <c r="F858" s="6" t="s">
        <v>2232</v>
      </c>
      <c r="G858" s="7">
        <v>0.09</v>
      </c>
      <c r="H858" s="6" t="s">
        <v>185</v>
      </c>
      <c r="I858" s="6" t="s">
        <v>20</v>
      </c>
      <c r="J858" s="6">
        <v>2019.0</v>
      </c>
      <c r="L858" s="6">
        <v>1.0</v>
      </c>
      <c r="M858" s="8">
        <f t="shared" si="1"/>
        <v>0.09</v>
      </c>
      <c r="P858" s="9"/>
    </row>
    <row r="859">
      <c r="A859" s="6" t="s">
        <v>2233</v>
      </c>
      <c r="B859" s="6" t="s">
        <v>1013</v>
      </c>
      <c r="C859" s="6" t="s">
        <v>23</v>
      </c>
      <c r="D859" s="6" t="s">
        <v>2234</v>
      </c>
      <c r="E859" s="6" t="s">
        <v>2235</v>
      </c>
      <c r="F859" s="6" t="s">
        <v>37</v>
      </c>
      <c r="G859" s="7">
        <v>0.09</v>
      </c>
      <c r="H859" s="6" t="s">
        <v>418</v>
      </c>
      <c r="I859" s="6" t="s">
        <v>20</v>
      </c>
      <c r="J859" s="6">
        <v>2022.0</v>
      </c>
      <c r="K859" s="10">
        <v>46210.0</v>
      </c>
      <c r="L859" s="6">
        <v>1.0</v>
      </c>
      <c r="M859" s="8">
        <f t="shared" si="1"/>
        <v>0.09</v>
      </c>
      <c r="P859" s="9"/>
    </row>
    <row r="860">
      <c r="A860" s="6" t="s">
        <v>2236</v>
      </c>
      <c r="B860" s="6" t="s">
        <v>694</v>
      </c>
      <c r="C860" s="6" t="s">
        <v>41</v>
      </c>
      <c r="D860" s="6" t="s">
        <v>2237</v>
      </c>
      <c r="E860" s="6" t="s">
        <v>458</v>
      </c>
      <c r="F860" s="6" t="s">
        <v>37</v>
      </c>
      <c r="G860" s="7">
        <v>0.1</v>
      </c>
      <c r="H860" s="6" t="s">
        <v>626</v>
      </c>
      <c r="I860" s="6" t="s">
        <v>20</v>
      </c>
      <c r="J860" s="6">
        <v>2013.0</v>
      </c>
      <c r="K860" s="10">
        <v>46305.0</v>
      </c>
      <c r="L860" s="6">
        <v>1.0</v>
      </c>
      <c r="M860" s="8">
        <f t="shared" si="1"/>
        <v>0.1</v>
      </c>
      <c r="P860" s="9"/>
    </row>
    <row r="861">
      <c r="A861" s="6" t="s">
        <v>2238</v>
      </c>
      <c r="B861" s="6" t="s">
        <v>694</v>
      </c>
      <c r="C861" s="6" t="s">
        <v>41</v>
      </c>
      <c r="D861" s="6" t="s">
        <v>2239</v>
      </c>
      <c r="E861" s="6" t="s">
        <v>2240</v>
      </c>
      <c r="F861" s="6" t="s">
        <v>37</v>
      </c>
      <c r="G861" s="7">
        <v>6.75</v>
      </c>
      <c r="H861" s="6" t="s">
        <v>120</v>
      </c>
      <c r="I861" s="6" t="s">
        <v>20</v>
      </c>
      <c r="J861" s="6">
        <v>1995.0</v>
      </c>
      <c r="K861" s="10">
        <v>46274.0</v>
      </c>
      <c r="L861" s="6">
        <v>1.0</v>
      </c>
      <c r="M861" s="8">
        <f t="shared" si="1"/>
        <v>6.75</v>
      </c>
      <c r="N861" s="6" t="s">
        <v>172</v>
      </c>
      <c r="P861" s="9"/>
    </row>
    <row r="862">
      <c r="A862" s="6" t="s">
        <v>2241</v>
      </c>
      <c r="B862" s="6" t="s">
        <v>2242</v>
      </c>
      <c r="C862" s="6" t="s">
        <v>23</v>
      </c>
      <c r="D862" s="6" t="s">
        <v>2243</v>
      </c>
      <c r="E862" s="6" t="s">
        <v>79</v>
      </c>
      <c r="F862" s="6" t="s">
        <v>51</v>
      </c>
      <c r="G862" s="7">
        <v>0.24</v>
      </c>
      <c r="H862" s="6" t="s">
        <v>252</v>
      </c>
      <c r="I862" s="6" t="s">
        <v>20</v>
      </c>
      <c r="J862" s="6">
        <v>1994.0</v>
      </c>
      <c r="K862" s="6" t="s">
        <v>341</v>
      </c>
      <c r="L862" s="6">
        <v>1.0</v>
      </c>
      <c r="M862" s="8">
        <f t="shared" si="1"/>
        <v>0.24</v>
      </c>
      <c r="P862" s="9"/>
    </row>
    <row r="863">
      <c r="A863" s="6" t="s">
        <v>2241</v>
      </c>
      <c r="B863" s="6" t="s">
        <v>2242</v>
      </c>
      <c r="C863" s="6" t="s">
        <v>23</v>
      </c>
      <c r="D863" s="6" t="s">
        <v>2243</v>
      </c>
      <c r="E863" s="6" t="s">
        <v>79</v>
      </c>
      <c r="F863" s="6" t="s">
        <v>51</v>
      </c>
      <c r="G863" s="7">
        <v>0.23</v>
      </c>
      <c r="H863" s="6" t="s">
        <v>252</v>
      </c>
      <c r="I863" s="6" t="s">
        <v>20</v>
      </c>
      <c r="J863" s="6">
        <v>1994.0</v>
      </c>
      <c r="K863" s="6" t="s">
        <v>341</v>
      </c>
      <c r="L863" s="6">
        <v>1.0</v>
      </c>
      <c r="M863" s="8">
        <f t="shared" si="1"/>
        <v>0.23</v>
      </c>
      <c r="P863" s="9"/>
    </row>
    <row r="864">
      <c r="A864" s="6" t="s">
        <v>2241</v>
      </c>
      <c r="B864" s="6" t="s">
        <v>2242</v>
      </c>
      <c r="C864" s="6" t="s">
        <v>23</v>
      </c>
      <c r="D864" s="6" t="s">
        <v>2243</v>
      </c>
      <c r="E864" s="6" t="s">
        <v>79</v>
      </c>
      <c r="F864" s="6" t="s">
        <v>51</v>
      </c>
      <c r="G864" s="7">
        <v>0.15</v>
      </c>
      <c r="H864" s="6" t="s">
        <v>252</v>
      </c>
      <c r="I864" s="6" t="s">
        <v>20</v>
      </c>
      <c r="J864" s="6">
        <v>1994.0</v>
      </c>
      <c r="K864" s="6" t="s">
        <v>341</v>
      </c>
      <c r="L864" s="6">
        <v>2.0</v>
      </c>
      <c r="M864" s="8">
        <f t="shared" si="1"/>
        <v>0.3</v>
      </c>
      <c r="P864" s="9"/>
    </row>
    <row r="865">
      <c r="A865" s="6" t="s">
        <v>2241</v>
      </c>
      <c r="B865" s="6" t="s">
        <v>2242</v>
      </c>
      <c r="C865" s="6" t="s">
        <v>23</v>
      </c>
      <c r="D865" s="6" t="s">
        <v>2243</v>
      </c>
      <c r="E865" s="6" t="s">
        <v>79</v>
      </c>
      <c r="F865" s="6" t="s">
        <v>51</v>
      </c>
      <c r="G865" s="7">
        <v>0.25</v>
      </c>
      <c r="H865" s="6" t="s">
        <v>252</v>
      </c>
      <c r="I865" s="6" t="s">
        <v>20</v>
      </c>
      <c r="J865" s="6">
        <v>1994.0</v>
      </c>
      <c r="K865" s="6" t="s">
        <v>341</v>
      </c>
      <c r="L865" s="6">
        <v>1.0</v>
      </c>
      <c r="M865" s="8">
        <f t="shared" si="1"/>
        <v>0.25</v>
      </c>
      <c r="P865" s="9"/>
    </row>
    <row r="866">
      <c r="A866" s="6" t="s">
        <v>2244</v>
      </c>
      <c r="B866" s="6" t="s">
        <v>2245</v>
      </c>
      <c r="C866" s="6" t="s">
        <v>15</v>
      </c>
      <c r="D866" s="6" t="s">
        <v>2246</v>
      </c>
      <c r="E866" s="6" t="s">
        <v>79</v>
      </c>
      <c r="F866" s="6" t="s">
        <v>51</v>
      </c>
      <c r="G866" s="7">
        <v>0.24</v>
      </c>
      <c r="H866" s="6" t="s">
        <v>252</v>
      </c>
      <c r="I866" s="6" t="s">
        <v>20</v>
      </c>
      <c r="J866" s="6">
        <v>1994.0</v>
      </c>
      <c r="K866" s="6" t="s">
        <v>341</v>
      </c>
      <c r="L866" s="6">
        <v>4.0</v>
      </c>
      <c r="M866" s="8">
        <f t="shared" si="1"/>
        <v>0.96</v>
      </c>
      <c r="P866" s="9"/>
    </row>
    <row r="867">
      <c r="A867" s="6" t="s">
        <v>2247</v>
      </c>
      <c r="B867" s="6" t="s">
        <v>906</v>
      </c>
      <c r="C867" s="6" t="s">
        <v>23</v>
      </c>
      <c r="D867" s="6" t="s">
        <v>2248</v>
      </c>
      <c r="E867" s="6" t="s">
        <v>50</v>
      </c>
      <c r="F867" s="6" t="s">
        <v>51</v>
      </c>
      <c r="G867" s="7">
        <v>0.06</v>
      </c>
      <c r="H867" s="6" t="s">
        <v>581</v>
      </c>
      <c r="I867" s="6" t="s">
        <v>20</v>
      </c>
      <c r="J867" s="6">
        <v>2022.0</v>
      </c>
      <c r="K867" s="10">
        <v>46083.0</v>
      </c>
      <c r="L867" s="6">
        <v>1.0</v>
      </c>
      <c r="M867" s="8">
        <f t="shared" si="1"/>
        <v>0.06</v>
      </c>
      <c r="P867" s="9"/>
    </row>
    <row r="868">
      <c r="A868" s="6" t="s">
        <v>2249</v>
      </c>
      <c r="B868" s="6" t="s">
        <v>372</v>
      </c>
      <c r="C868" s="6" t="s">
        <v>48</v>
      </c>
      <c r="D868" s="6" t="s">
        <v>2250</v>
      </c>
      <c r="E868" s="6" t="s">
        <v>248</v>
      </c>
      <c r="F868" s="6" t="s">
        <v>18</v>
      </c>
      <c r="G868" s="7">
        <v>2.9</v>
      </c>
      <c r="H868" s="6" t="s">
        <v>136</v>
      </c>
      <c r="I868" s="6" t="s">
        <v>20</v>
      </c>
      <c r="J868" s="6">
        <v>2022.0</v>
      </c>
      <c r="L868" s="6">
        <v>1.0</v>
      </c>
      <c r="M868" s="8">
        <f t="shared" si="1"/>
        <v>2.9</v>
      </c>
      <c r="N868" s="6" t="s">
        <v>172</v>
      </c>
      <c r="P868" s="9"/>
    </row>
    <row r="869">
      <c r="A869" s="6" t="s">
        <v>2251</v>
      </c>
      <c r="B869" s="6" t="s">
        <v>165</v>
      </c>
      <c r="C869" s="6" t="s">
        <v>34</v>
      </c>
      <c r="D869" s="6" t="s">
        <v>2252</v>
      </c>
      <c r="E869" s="6" t="s">
        <v>1767</v>
      </c>
      <c r="F869" s="6" t="s">
        <v>18</v>
      </c>
      <c r="G869" s="7">
        <v>0.1</v>
      </c>
      <c r="H869" s="6" t="s">
        <v>209</v>
      </c>
      <c r="I869" s="6" t="s">
        <v>20</v>
      </c>
      <c r="J869" s="6">
        <v>2025.0</v>
      </c>
      <c r="L869" s="6">
        <v>7.0</v>
      </c>
      <c r="M869" s="8">
        <f t="shared" si="1"/>
        <v>0.7</v>
      </c>
      <c r="P869" s="9"/>
    </row>
    <row r="870">
      <c r="A870" s="6" t="s">
        <v>2253</v>
      </c>
      <c r="B870" s="6" t="s">
        <v>2254</v>
      </c>
      <c r="C870" s="6" t="s">
        <v>34</v>
      </c>
      <c r="D870" s="6" t="s">
        <v>2255</v>
      </c>
      <c r="E870" s="6" t="s">
        <v>377</v>
      </c>
      <c r="F870" s="6" t="s">
        <v>103</v>
      </c>
      <c r="G870" s="7">
        <v>0.05</v>
      </c>
      <c r="H870" s="6" t="s">
        <v>1043</v>
      </c>
      <c r="I870" s="6" t="s">
        <v>20</v>
      </c>
      <c r="J870" s="6">
        <v>2025.0</v>
      </c>
      <c r="K870" s="10">
        <v>46083.0</v>
      </c>
      <c r="L870" s="6">
        <v>1.0</v>
      </c>
      <c r="M870" s="8">
        <f t="shared" si="1"/>
        <v>0.05</v>
      </c>
      <c r="P870" s="9"/>
    </row>
    <row r="871">
      <c r="A871" s="6" t="s">
        <v>2256</v>
      </c>
      <c r="B871" s="6" t="s">
        <v>2257</v>
      </c>
      <c r="C871" s="6" t="s">
        <v>34</v>
      </c>
      <c r="D871" s="6" t="s">
        <v>2258</v>
      </c>
      <c r="E871" s="6" t="s">
        <v>231</v>
      </c>
      <c r="F871" s="6" t="s">
        <v>2257</v>
      </c>
      <c r="G871" s="7">
        <v>0.15</v>
      </c>
      <c r="H871" s="6" t="s">
        <v>1043</v>
      </c>
      <c r="I871" s="6" t="s">
        <v>20</v>
      </c>
      <c r="J871" s="6">
        <v>2025.0</v>
      </c>
      <c r="L871" s="6">
        <v>1.0</v>
      </c>
      <c r="M871" s="8">
        <f t="shared" si="1"/>
        <v>0.15</v>
      </c>
      <c r="P871" s="9"/>
    </row>
    <row r="872">
      <c r="A872" s="6" t="s">
        <v>2259</v>
      </c>
      <c r="B872" s="6" t="s">
        <v>307</v>
      </c>
      <c r="C872" s="6" t="s">
        <v>23</v>
      </c>
      <c r="D872" s="6" t="s">
        <v>2260</v>
      </c>
      <c r="E872" s="6" t="s">
        <v>243</v>
      </c>
      <c r="F872" s="6" t="s">
        <v>37</v>
      </c>
      <c r="G872" s="7">
        <v>0.5</v>
      </c>
      <c r="H872" s="6" t="s">
        <v>2261</v>
      </c>
      <c r="I872" s="6" t="s">
        <v>20</v>
      </c>
      <c r="J872" s="6">
        <v>2019.0</v>
      </c>
      <c r="L872" s="6">
        <v>1.0</v>
      </c>
      <c r="M872" s="8">
        <f t="shared" si="1"/>
        <v>0.5</v>
      </c>
      <c r="N872" s="6" t="s">
        <v>518</v>
      </c>
      <c r="P872" s="9"/>
    </row>
    <row r="873">
      <c r="A873" s="6" t="s">
        <v>2259</v>
      </c>
      <c r="B873" s="6" t="s">
        <v>307</v>
      </c>
      <c r="C873" s="6" t="s">
        <v>23</v>
      </c>
      <c r="D873" s="6" t="s">
        <v>2260</v>
      </c>
      <c r="E873" s="6" t="s">
        <v>243</v>
      </c>
      <c r="F873" s="6" t="s">
        <v>37</v>
      </c>
      <c r="G873" s="7">
        <v>0.49</v>
      </c>
      <c r="H873" s="6" t="s">
        <v>163</v>
      </c>
      <c r="I873" s="6" t="s">
        <v>20</v>
      </c>
      <c r="J873" s="6">
        <v>2023.0</v>
      </c>
      <c r="L873" s="6">
        <v>1.0</v>
      </c>
      <c r="M873" s="8">
        <f t="shared" si="1"/>
        <v>0.49</v>
      </c>
      <c r="P873" s="9"/>
    </row>
    <row r="874">
      <c r="A874" s="6" t="s">
        <v>2262</v>
      </c>
      <c r="B874" s="6" t="s">
        <v>62</v>
      </c>
      <c r="C874" s="6" t="s">
        <v>41</v>
      </c>
      <c r="D874" s="6" t="s">
        <v>2263</v>
      </c>
      <c r="E874" s="6" t="s">
        <v>345</v>
      </c>
      <c r="F874" s="6" t="s">
        <v>18</v>
      </c>
      <c r="G874" s="7">
        <v>0.25</v>
      </c>
      <c r="H874" s="6" t="s">
        <v>406</v>
      </c>
      <c r="I874" s="6" t="s">
        <v>20</v>
      </c>
      <c r="J874" s="6">
        <v>2019.0</v>
      </c>
      <c r="L874" s="6">
        <v>2.0</v>
      </c>
      <c r="M874" s="8">
        <f t="shared" si="1"/>
        <v>0.5</v>
      </c>
      <c r="P874" s="9"/>
    </row>
    <row r="875">
      <c r="A875" s="6" t="s">
        <v>2264</v>
      </c>
      <c r="B875" s="6" t="s">
        <v>62</v>
      </c>
      <c r="C875" s="6" t="s">
        <v>23</v>
      </c>
      <c r="D875" s="6" t="s">
        <v>2265</v>
      </c>
      <c r="E875" s="6" t="s">
        <v>223</v>
      </c>
      <c r="F875" s="6" t="s">
        <v>159</v>
      </c>
      <c r="G875" s="7">
        <v>0.03</v>
      </c>
      <c r="H875" s="6" t="s">
        <v>316</v>
      </c>
      <c r="I875" s="6" t="s">
        <v>20</v>
      </c>
      <c r="J875" s="6">
        <v>2016.0</v>
      </c>
      <c r="L875" s="6">
        <v>2.0</v>
      </c>
      <c r="M875" s="8">
        <f t="shared" si="1"/>
        <v>0.06</v>
      </c>
      <c r="P875" s="9"/>
    </row>
    <row r="876">
      <c r="A876" s="6" t="s">
        <v>2266</v>
      </c>
      <c r="B876" s="6" t="s">
        <v>592</v>
      </c>
      <c r="C876" s="6" t="s">
        <v>571</v>
      </c>
      <c r="D876" s="6" t="s">
        <v>2267</v>
      </c>
      <c r="E876" s="6" t="s">
        <v>79</v>
      </c>
      <c r="F876" s="6" t="s">
        <v>904</v>
      </c>
      <c r="G876" s="7">
        <v>3.9</v>
      </c>
      <c r="H876" s="6" t="s">
        <v>1018</v>
      </c>
      <c r="I876" s="6" t="s">
        <v>20</v>
      </c>
      <c r="J876" s="6">
        <v>1999.0</v>
      </c>
      <c r="L876" s="6">
        <v>1.0</v>
      </c>
      <c r="M876" s="8">
        <f t="shared" si="1"/>
        <v>3.9</v>
      </c>
      <c r="P876" s="9"/>
    </row>
    <row r="877">
      <c r="A877" s="6" t="s">
        <v>2268</v>
      </c>
      <c r="B877" s="6" t="s">
        <v>165</v>
      </c>
      <c r="C877" s="6" t="s">
        <v>34</v>
      </c>
      <c r="D877" s="6" t="s">
        <v>2269</v>
      </c>
      <c r="E877" s="6" t="s">
        <v>238</v>
      </c>
      <c r="F877" s="6" t="s">
        <v>159</v>
      </c>
      <c r="G877" s="7">
        <v>0.1</v>
      </c>
      <c r="H877" s="6" t="s">
        <v>209</v>
      </c>
      <c r="I877" s="6" t="s">
        <v>20</v>
      </c>
      <c r="J877" s="6">
        <v>2025.0</v>
      </c>
      <c r="L877" s="6">
        <v>4.0</v>
      </c>
      <c r="M877" s="8">
        <f t="shared" si="1"/>
        <v>0.4</v>
      </c>
      <c r="P877" s="9"/>
    </row>
    <row r="878">
      <c r="A878" s="6" t="s">
        <v>2268</v>
      </c>
      <c r="B878" s="6" t="s">
        <v>165</v>
      </c>
      <c r="C878" s="6" t="s">
        <v>34</v>
      </c>
      <c r="D878" s="6" t="s">
        <v>2269</v>
      </c>
      <c r="E878" s="6" t="s">
        <v>238</v>
      </c>
      <c r="F878" s="6" t="s">
        <v>159</v>
      </c>
      <c r="G878" s="7">
        <v>0.24</v>
      </c>
      <c r="H878" s="6" t="s">
        <v>209</v>
      </c>
      <c r="I878" s="6" t="s">
        <v>55</v>
      </c>
      <c r="J878" s="6">
        <v>2025.0</v>
      </c>
      <c r="L878" s="6">
        <v>1.0</v>
      </c>
      <c r="M878" s="8">
        <f t="shared" si="1"/>
        <v>0.24</v>
      </c>
      <c r="P878" s="9"/>
    </row>
    <row r="879">
      <c r="A879" s="6" t="s">
        <v>2270</v>
      </c>
      <c r="B879" s="6" t="s">
        <v>165</v>
      </c>
      <c r="C879" s="6" t="s">
        <v>15</v>
      </c>
      <c r="D879" s="6" t="s">
        <v>2271</v>
      </c>
      <c r="E879" s="6" t="s">
        <v>2051</v>
      </c>
      <c r="F879" s="6" t="s">
        <v>1732</v>
      </c>
      <c r="G879" s="7">
        <v>0.03</v>
      </c>
      <c r="H879" s="6" t="s">
        <v>483</v>
      </c>
      <c r="I879" s="6" t="s">
        <v>20</v>
      </c>
      <c r="J879" s="6">
        <v>2014.0</v>
      </c>
      <c r="L879" s="6">
        <v>2.0</v>
      </c>
      <c r="M879" s="8">
        <f t="shared" si="1"/>
        <v>0.06</v>
      </c>
      <c r="P879" s="9"/>
    </row>
    <row r="880">
      <c r="A880" s="6" t="s">
        <v>2272</v>
      </c>
      <c r="B880" s="6" t="s">
        <v>1536</v>
      </c>
      <c r="C880" s="6" t="s">
        <v>23</v>
      </c>
      <c r="D880" s="6" t="s">
        <v>2273</v>
      </c>
      <c r="E880" s="6" t="s">
        <v>243</v>
      </c>
      <c r="F880" s="6" t="s">
        <v>37</v>
      </c>
      <c r="G880" s="7">
        <v>0.05</v>
      </c>
      <c r="H880" s="6" t="s">
        <v>769</v>
      </c>
      <c r="I880" s="6" t="s">
        <v>20</v>
      </c>
      <c r="J880" s="6">
        <v>2023.0</v>
      </c>
      <c r="K880" s="10">
        <v>46024.0</v>
      </c>
      <c r="L880" s="6">
        <v>1.0</v>
      </c>
      <c r="M880" s="8">
        <f t="shared" si="1"/>
        <v>0.05</v>
      </c>
      <c r="P880" s="9"/>
    </row>
    <row r="881">
      <c r="A881" s="6" t="s">
        <v>2274</v>
      </c>
      <c r="B881" s="6" t="s">
        <v>62</v>
      </c>
      <c r="C881" s="6" t="s">
        <v>23</v>
      </c>
      <c r="D881" s="6" t="s">
        <v>2275</v>
      </c>
      <c r="E881" s="6" t="s">
        <v>30</v>
      </c>
      <c r="F881" s="6" t="s">
        <v>18</v>
      </c>
      <c r="G881" s="7">
        <v>0.06</v>
      </c>
      <c r="H881" s="6" t="s">
        <v>336</v>
      </c>
      <c r="I881" s="6" t="s">
        <v>20</v>
      </c>
      <c r="J881" s="6">
        <v>2016.0</v>
      </c>
      <c r="L881" s="6">
        <v>1.0</v>
      </c>
      <c r="M881" s="8">
        <f t="shared" si="1"/>
        <v>0.06</v>
      </c>
      <c r="P881" s="9"/>
    </row>
    <row r="882">
      <c r="A882" s="6" t="s">
        <v>2276</v>
      </c>
      <c r="B882" s="6" t="s">
        <v>2277</v>
      </c>
      <c r="C882" s="6" t="s">
        <v>23</v>
      </c>
      <c r="D882" s="6" t="s">
        <v>2278</v>
      </c>
      <c r="E882" s="6" t="s">
        <v>118</v>
      </c>
      <c r="F882" s="6" t="s">
        <v>51</v>
      </c>
      <c r="G882" s="7">
        <v>0.11</v>
      </c>
      <c r="H882" s="6" t="s">
        <v>45</v>
      </c>
      <c r="I882" s="6" t="s">
        <v>20</v>
      </c>
      <c r="J882" s="6">
        <v>2025.0</v>
      </c>
      <c r="K882" s="10">
        <v>46055.0</v>
      </c>
      <c r="L882" s="6">
        <v>1.0</v>
      </c>
      <c r="M882" s="8">
        <f t="shared" si="1"/>
        <v>0.11</v>
      </c>
      <c r="P882" s="9"/>
    </row>
    <row r="883">
      <c r="A883" s="6" t="s">
        <v>2276</v>
      </c>
      <c r="B883" s="6" t="s">
        <v>2277</v>
      </c>
      <c r="C883" s="6" t="s">
        <v>23</v>
      </c>
      <c r="D883" s="6" t="s">
        <v>2278</v>
      </c>
      <c r="E883" s="6" t="s">
        <v>118</v>
      </c>
      <c r="F883" s="6" t="s">
        <v>51</v>
      </c>
      <c r="G883" s="7">
        <v>0.11</v>
      </c>
      <c r="H883" s="6" t="s">
        <v>45</v>
      </c>
      <c r="I883" s="6" t="s">
        <v>20</v>
      </c>
      <c r="J883" s="6">
        <v>2025.0</v>
      </c>
      <c r="K883" s="10">
        <v>46055.0</v>
      </c>
      <c r="L883" s="6">
        <v>1.0</v>
      </c>
      <c r="M883" s="8">
        <f t="shared" si="1"/>
        <v>0.11</v>
      </c>
      <c r="P883" s="9"/>
    </row>
    <row r="884">
      <c r="A884" s="6" t="s">
        <v>2279</v>
      </c>
      <c r="B884" s="6" t="s">
        <v>182</v>
      </c>
      <c r="C884" s="6" t="s">
        <v>23</v>
      </c>
      <c r="D884" s="6" t="s">
        <v>2280</v>
      </c>
      <c r="E884" s="6" t="s">
        <v>149</v>
      </c>
      <c r="F884" s="6" t="s">
        <v>18</v>
      </c>
      <c r="G884" s="7">
        <v>0.06</v>
      </c>
      <c r="H884" s="6" t="s">
        <v>562</v>
      </c>
      <c r="I884" s="6" t="s">
        <v>20</v>
      </c>
      <c r="J884" s="6">
        <v>2017.0</v>
      </c>
      <c r="L884" s="6">
        <v>1.0</v>
      </c>
      <c r="M884" s="8">
        <f t="shared" si="1"/>
        <v>0.06</v>
      </c>
      <c r="P884" s="9"/>
    </row>
    <row r="885">
      <c r="A885" s="6" t="s">
        <v>2281</v>
      </c>
      <c r="B885" s="6" t="s">
        <v>62</v>
      </c>
      <c r="C885" s="6" t="s">
        <v>48</v>
      </c>
      <c r="D885" s="6" t="s">
        <v>2282</v>
      </c>
      <c r="E885" s="6" t="s">
        <v>149</v>
      </c>
      <c r="F885" s="6" t="s">
        <v>18</v>
      </c>
      <c r="G885" s="7">
        <v>0.05</v>
      </c>
      <c r="H885" s="6" t="s">
        <v>93</v>
      </c>
      <c r="I885" s="6" t="s">
        <v>20</v>
      </c>
      <c r="J885" s="6">
        <v>2016.0</v>
      </c>
      <c r="L885" s="6">
        <v>3.0</v>
      </c>
      <c r="M885" s="8">
        <f t="shared" si="1"/>
        <v>0.15</v>
      </c>
      <c r="P885" s="9"/>
    </row>
    <row r="886">
      <c r="A886" s="6" t="s">
        <v>2283</v>
      </c>
      <c r="B886" s="6" t="s">
        <v>372</v>
      </c>
      <c r="C886" s="6" t="s">
        <v>23</v>
      </c>
      <c r="D886" s="6" t="s">
        <v>2284</v>
      </c>
      <c r="E886" s="6" t="s">
        <v>118</v>
      </c>
      <c r="F886" s="6" t="s">
        <v>51</v>
      </c>
      <c r="G886" s="7">
        <v>0.03</v>
      </c>
      <c r="H886" s="6" t="s">
        <v>562</v>
      </c>
      <c r="I886" s="6" t="s">
        <v>20</v>
      </c>
      <c r="J886" s="6">
        <v>2017.0</v>
      </c>
      <c r="L886" s="6">
        <v>1.0</v>
      </c>
      <c r="M886" s="8">
        <f t="shared" si="1"/>
        <v>0.03</v>
      </c>
      <c r="P886" s="9"/>
    </row>
    <row r="887">
      <c r="A887" s="6" t="s">
        <v>2285</v>
      </c>
      <c r="B887" s="6" t="s">
        <v>2286</v>
      </c>
      <c r="C887" s="6" t="s">
        <v>23</v>
      </c>
      <c r="D887" s="6" t="s">
        <v>2287</v>
      </c>
      <c r="E887" s="6" t="s">
        <v>2288</v>
      </c>
      <c r="F887" s="6" t="s">
        <v>51</v>
      </c>
      <c r="G887" s="7">
        <v>0.08</v>
      </c>
      <c r="H887" s="6" t="s">
        <v>786</v>
      </c>
      <c r="I887" s="6" t="s">
        <v>20</v>
      </c>
      <c r="J887" s="6">
        <v>2024.0</v>
      </c>
      <c r="K887" s="10">
        <v>46084.0</v>
      </c>
      <c r="L887" s="6">
        <v>6.0</v>
      </c>
      <c r="M887" s="8">
        <f t="shared" si="1"/>
        <v>0.48</v>
      </c>
      <c r="P887" s="9"/>
    </row>
    <row r="888">
      <c r="A888" s="6" t="s">
        <v>2289</v>
      </c>
      <c r="B888" s="6" t="s">
        <v>2290</v>
      </c>
      <c r="C888" s="6" t="s">
        <v>15</v>
      </c>
      <c r="D888" s="6" t="s">
        <v>2291</v>
      </c>
      <c r="E888" s="6" t="s">
        <v>208</v>
      </c>
      <c r="F888" s="6" t="s">
        <v>51</v>
      </c>
      <c r="G888" s="7">
        <v>0.24</v>
      </c>
      <c r="H888" s="6" t="s">
        <v>19</v>
      </c>
      <c r="I888" s="6" t="s">
        <v>20</v>
      </c>
      <c r="J888" s="6">
        <v>2023.0</v>
      </c>
      <c r="K888" s="10">
        <v>46055.0</v>
      </c>
      <c r="L888" s="6">
        <v>1.0</v>
      </c>
      <c r="M888" s="8">
        <f t="shared" si="1"/>
        <v>0.24</v>
      </c>
      <c r="P888" s="9"/>
    </row>
    <row r="889">
      <c r="A889" s="6" t="s">
        <v>2292</v>
      </c>
      <c r="B889" s="6" t="s">
        <v>62</v>
      </c>
      <c r="C889" s="6" t="s">
        <v>48</v>
      </c>
      <c r="D889" s="6" t="s">
        <v>2293</v>
      </c>
      <c r="E889" s="6" t="s">
        <v>25</v>
      </c>
      <c r="F889" s="6" t="s">
        <v>18</v>
      </c>
      <c r="G889" s="7">
        <v>0.35</v>
      </c>
      <c r="H889" s="6" t="s">
        <v>769</v>
      </c>
      <c r="I889" s="6" t="s">
        <v>20</v>
      </c>
      <c r="J889" s="6">
        <v>2023.0</v>
      </c>
      <c r="L889" s="6">
        <v>1.0</v>
      </c>
      <c r="M889" s="8">
        <f t="shared" si="1"/>
        <v>0.35</v>
      </c>
      <c r="P889" s="9"/>
    </row>
    <row r="890">
      <c r="A890" s="6" t="s">
        <v>2294</v>
      </c>
      <c r="B890" s="6" t="s">
        <v>2295</v>
      </c>
      <c r="C890" s="6" t="s">
        <v>48</v>
      </c>
      <c r="D890" s="6" t="s">
        <v>2296</v>
      </c>
      <c r="E890" s="6" t="s">
        <v>873</v>
      </c>
      <c r="F890" s="6" t="s">
        <v>874</v>
      </c>
      <c r="G890" s="7">
        <v>0.1</v>
      </c>
      <c r="H890" s="6" t="s">
        <v>216</v>
      </c>
      <c r="I890" s="6" t="s">
        <v>20</v>
      </c>
      <c r="J890" s="6">
        <v>2024.0</v>
      </c>
      <c r="K890" s="10">
        <v>46113.0</v>
      </c>
      <c r="L890" s="6">
        <v>1.0</v>
      </c>
      <c r="M890" s="8">
        <f t="shared" si="1"/>
        <v>0.1</v>
      </c>
      <c r="P890" s="9"/>
    </row>
    <row r="891">
      <c r="A891" s="6" t="s">
        <v>2294</v>
      </c>
      <c r="B891" s="6" t="s">
        <v>2295</v>
      </c>
      <c r="C891" s="6" t="s">
        <v>48</v>
      </c>
      <c r="D891" s="6" t="s">
        <v>2296</v>
      </c>
      <c r="E891" s="6" t="s">
        <v>873</v>
      </c>
      <c r="F891" s="6" t="s">
        <v>874</v>
      </c>
      <c r="G891" s="7">
        <v>0.25</v>
      </c>
      <c r="H891" s="6" t="s">
        <v>216</v>
      </c>
      <c r="I891" s="6" t="s">
        <v>55</v>
      </c>
      <c r="J891" s="6">
        <v>2024.0</v>
      </c>
      <c r="K891" s="10">
        <v>46113.0</v>
      </c>
      <c r="L891" s="6">
        <v>1.0</v>
      </c>
      <c r="M891" s="8">
        <f t="shared" si="1"/>
        <v>0.25</v>
      </c>
      <c r="P891" s="9"/>
    </row>
    <row r="892">
      <c r="A892" s="6" t="s">
        <v>2297</v>
      </c>
      <c r="B892" s="6" t="s">
        <v>2298</v>
      </c>
      <c r="C892" s="6" t="s">
        <v>41</v>
      </c>
      <c r="D892" s="6" t="s">
        <v>2299</v>
      </c>
      <c r="E892" s="6" t="s">
        <v>2300</v>
      </c>
      <c r="F892" s="6" t="s">
        <v>717</v>
      </c>
      <c r="G892" s="7">
        <v>0.59</v>
      </c>
      <c r="H892" s="6" t="s">
        <v>2301</v>
      </c>
      <c r="I892" s="6" t="s">
        <v>20</v>
      </c>
      <c r="J892" s="6">
        <v>2024.0</v>
      </c>
      <c r="L892" s="6">
        <v>1.0</v>
      </c>
      <c r="M892" s="8">
        <f t="shared" si="1"/>
        <v>0.59</v>
      </c>
      <c r="P892" s="9"/>
    </row>
    <row r="893">
      <c r="A893" s="6" t="s">
        <v>2302</v>
      </c>
      <c r="B893" s="6" t="s">
        <v>1790</v>
      </c>
      <c r="C893" s="6" t="s">
        <v>48</v>
      </c>
      <c r="D893" s="6" t="s">
        <v>2303</v>
      </c>
      <c r="E893" s="6" t="s">
        <v>2304</v>
      </c>
      <c r="F893" s="6" t="s">
        <v>98</v>
      </c>
      <c r="G893" s="7">
        <v>0.1</v>
      </c>
      <c r="H893" s="6" t="s">
        <v>185</v>
      </c>
      <c r="I893" s="6" t="s">
        <v>20</v>
      </c>
      <c r="J893" s="6">
        <v>2019.0</v>
      </c>
      <c r="L893" s="6">
        <v>1.0</v>
      </c>
      <c r="M893" s="8">
        <f t="shared" si="1"/>
        <v>0.1</v>
      </c>
      <c r="P893" s="9"/>
    </row>
    <row r="894">
      <c r="A894" s="6" t="s">
        <v>2302</v>
      </c>
      <c r="B894" s="6" t="s">
        <v>1790</v>
      </c>
      <c r="C894" s="6" t="s">
        <v>48</v>
      </c>
      <c r="D894" s="6" t="s">
        <v>2303</v>
      </c>
      <c r="E894" s="6" t="s">
        <v>2304</v>
      </c>
      <c r="F894" s="6" t="s">
        <v>98</v>
      </c>
      <c r="G894" s="7">
        <v>0.1</v>
      </c>
      <c r="H894" s="6" t="s">
        <v>185</v>
      </c>
      <c r="I894" s="6" t="s">
        <v>20</v>
      </c>
      <c r="J894" s="6">
        <v>2019.0</v>
      </c>
      <c r="L894" s="6">
        <v>1.0</v>
      </c>
      <c r="M894" s="8">
        <f t="shared" si="1"/>
        <v>0.1</v>
      </c>
      <c r="N894" s="6" t="s">
        <v>518</v>
      </c>
      <c r="P894" s="9"/>
    </row>
    <row r="895">
      <c r="A895" s="6" t="s">
        <v>2305</v>
      </c>
      <c r="B895" s="6" t="s">
        <v>250</v>
      </c>
      <c r="C895" s="6" t="s">
        <v>48</v>
      </c>
      <c r="D895" s="6" t="s">
        <v>2306</v>
      </c>
      <c r="E895" s="6" t="s">
        <v>625</v>
      </c>
      <c r="F895" s="6" t="s">
        <v>37</v>
      </c>
      <c r="G895" s="7">
        <v>0.17</v>
      </c>
      <c r="H895" s="6" t="s">
        <v>119</v>
      </c>
      <c r="I895" s="6" t="s">
        <v>20</v>
      </c>
      <c r="J895" s="6">
        <v>1995.0</v>
      </c>
      <c r="L895" s="6">
        <v>1.0</v>
      </c>
      <c r="M895" s="8">
        <f t="shared" si="1"/>
        <v>0.17</v>
      </c>
      <c r="P895" s="9"/>
    </row>
    <row r="896">
      <c r="A896" s="6" t="s">
        <v>2307</v>
      </c>
      <c r="B896" s="6" t="s">
        <v>62</v>
      </c>
      <c r="C896" s="6" t="s">
        <v>41</v>
      </c>
      <c r="D896" s="6" t="s">
        <v>2308</v>
      </c>
      <c r="E896" s="6" t="s">
        <v>248</v>
      </c>
      <c r="F896" s="6" t="s">
        <v>18</v>
      </c>
      <c r="G896" s="7">
        <v>4.0</v>
      </c>
      <c r="H896" s="6" t="s">
        <v>2309</v>
      </c>
      <c r="I896" s="6" t="s">
        <v>20</v>
      </c>
      <c r="J896" s="6">
        <v>2024.0</v>
      </c>
      <c r="L896" s="6">
        <v>4.0</v>
      </c>
      <c r="M896" s="8">
        <f t="shared" si="1"/>
        <v>16</v>
      </c>
      <c r="P896" s="9"/>
    </row>
    <row r="897">
      <c r="A897" s="6" t="s">
        <v>2310</v>
      </c>
      <c r="B897" s="6" t="s">
        <v>182</v>
      </c>
      <c r="C897" s="6" t="s">
        <v>23</v>
      </c>
      <c r="D897" s="6" t="s">
        <v>2311</v>
      </c>
      <c r="E897" s="6" t="s">
        <v>2312</v>
      </c>
      <c r="F897" s="6" t="s">
        <v>103</v>
      </c>
      <c r="G897" s="7">
        <v>0.03</v>
      </c>
      <c r="H897" s="6" t="s">
        <v>185</v>
      </c>
      <c r="I897" s="6" t="s">
        <v>20</v>
      </c>
      <c r="J897" s="6">
        <v>2019.0</v>
      </c>
      <c r="L897" s="6">
        <v>1.0</v>
      </c>
      <c r="M897" s="8">
        <f t="shared" si="1"/>
        <v>0.03</v>
      </c>
      <c r="P897" s="9"/>
    </row>
    <row r="898">
      <c r="A898" s="6" t="s">
        <v>2313</v>
      </c>
      <c r="B898" s="6" t="s">
        <v>131</v>
      </c>
      <c r="C898" s="6" t="s">
        <v>48</v>
      </c>
      <c r="D898" s="6" t="s">
        <v>2314</v>
      </c>
      <c r="E898" s="6" t="s">
        <v>410</v>
      </c>
      <c r="F898" s="6" t="s">
        <v>51</v>
      </c>
      <c r="G898" s="7">
        <v>0.09</v>
      </c>
      <c r="H898" s="6" t="s">
        <v>184</v>
      </c>
      <c r="I898" s="6" t="s">
        <v>20</v>
      </c>
      <c r="J898" s="6">
        <v>2015.0</v>
      </c>
      <c r="K898" s="10">
        <v>46024.0</v>
      </c>
      <c r="L898" s="6">
        <v>1.0</v>
      </c>
      <c r="M898" s="8">
        <f t="shared" si="1"/>
        <v>0.09</v>
      </c>
      <c r="P898" s="9"/>
    </row>
    <row r="899">
      <c r="A899" s="6" t="s">
        <v>2315</v>
      </c>
      <c r="B899" s="6" t="s">
        <v>307</v>
      </c>
      <c r="C899" s="6" t="s">
        <v>23</v>
      </c>
      <c r="D899" s="6" t="s">
        <v>2316</v>
      </c>
      <c r="E899" s="6" t="s">
        <v>243</v>
      </c>
      <c r="F899" s="6" t="s">
        <v>37</v>
      </c>
      <c r="G899" s="7">
        <v>0.03</v>
      </c>
      <c r="H899" s="6" t="s">
        <v>299</v>
      </c>
      <c r="I899" s="6" t="s">
        <v>20</v>
      </c>
      <c r="J899" s="6">
        <v>2017.0</v>
      </c>
      <c r="L899" s="6">
        <v>1.0</v>
      </c>
      <c r="M899" s="8">
        <f t="shared" si="1"/>
        <v>0.03</v>
      </c>
      <c r="N899" s="6" t="s">
        <v>518</v>
      </c>
      <c r="P899" s="9"/>
    </row>
    <row r="900">
      <c r="A900" s="6" t="s">
        <v>2317</v>
      </c>
      <c r="B900" s="6" t="s">
        <v>194</v>
      </c>
      <c r="C900" s="6" t="s">
        <v>48</v>
      </c>
      <c r="D900" s="6" t="s">
        <v>2318</v>
      </c>
      <c r="E900" s="6" t="s">
        <v>1336</v>
      </c>
      <c r="F900" s="6" t="s">
        <v>103</v>
      </c>
      <c r="G900" s="7">
        <v>0.21</v>
      </c>
      <c r="H900" s="6" t="s">
        <v>994</v>
      </c>
      <c r="I900" s="6" t="s">
        <v>20</v>
      </c>
      <c r="J900" s="6">
        <v>2024.0</v>
      </c>
      <c r="L900" s="6">
        <v>1.0</v>
      </c>
      <c r="M900" s="8">
        <f t="shared" si="1"/>
        <v>0.21</v>
      </c>
      <c r="P900" s="9"/>
    </row>
    <row r="901">
      <c r="A901" s="6" t="s">
        <v>2319</v>
      </c>
      <c r="B901" s="6" t="s">
        <v>182</v>
      </c>
      <c r="C901" s="6" t="s">
        <v>41</v>
      </c>
      <c r="D901" s="6" t="s">
        <v>2320</v>
      </c>
      <c r="E901" s="6" t="s">
        <v>700</v>
      </c>
      <c r="F901" s="6" t="s">
        <v>18</v>
      </c>
      <c r="G901" s="7">
        <v>1.99</v>
      </c>
      <c r="H901" s="6" t="s">
        <v>2321</v>
      </c>
      <c r="I901" s="6" t="s">
        <v>55</v>
      </c>
      <c r="J901" s="6">
        <v>2021.0</v>
      </c>
      <c r="L901" s="6">
        <v>1.0</v>
      </c>
      <c r="M901" s="8">
        <f t="shared" si="1"/>
        <v>1.99</v>
      </c>
      <c r="P901" s="9"/>
    </row>
    <row r="902">
      <c r="A902" s="6" t="s">
        <v>2322</v>
      </c>
      <c r="B902" s="6" t="s">
        <v>372</v>
      </c>
      <c r="C902" s="6" t="s">
        <v>23</v>
      </c>
      <c r="D902" s="6" t="s">
        <v>2323</v>
      </c>
      <c r="E902" s="6" t="s">
        <v>25</v>
      </c>
      <c r="F902" s="6" t="s">
        <v>18</v>
      </c>
      <c r="G902" s="7">
        <v>0.04</v>
      </c>
      <c r="H902" s="6" t="s">
        <v>336</v>
      </c>
      <c r="I902" s="6" t="s">
        <v>20</v>
      </c>
      <c r="J902" s="6">
        <v>2016.0</v>
      </c>
      <c r="L902" s="6">
        <v>3.0</v>
      </c>
      <c r="M902" s="8">
        <f t="shared" si="1"/>
        <v>0.12</v>
      </c>
      <c r="P902" s="9"/>
    </row>
    <row r="903">
      <c r="A903" s="6" t="s">
        <v>2324</v>
      </c>
      <c r="B903" s="6" t="s">
        <v>2026</v>
      </c>
      <c r="C903" s="6" t="s">
        <v>34</v>
      </c>
      <c r="D903" s="6" t="s">
        <v>2325</v>
      </c>
      <c r="E903" s="6" t="s">
        <v>1767</v>
      </c>
      <c r="F903" s="6" t="s">
        <v>18</v>
      </c>
      <c r="G903" s="7">
        <v>0.2</v>
      </c>
      <c r="H903" s="6" t="s">
        <v>2326</v>
      </c>
      <c r="I903" s="6" t="s">
        <v>20</v>
      </c>
      <c r="J903" s="6">
        <v>2026.0</v>
      </c>
      <c r="L903" s="6">
        <v>4.0</v>
      </c>
      <c r="M903" s="8">
        <f t="shared" si="1"/>
        <v>0.8</v>
      </c>
      <c r="P903" s="9"/>
    </row>
    <row r="904">
      <c r="A904" s="6" t="s">
        <v>2327</v>
      </c>
      <c r="B904" s="6" t="s">
        <v>182</v>
      </c>
      <c r="C904" s="6" t="s">
        <v>23</v>
      </c>
      <c r="D904" s="6" t="s">
        <v>2328</v>
      </c>
      <c r="E904" s="6" t="s">
        <v>149</v>
      </c>
      <c r="F904" s="6" t="s">
        <v>18</v>
      </c>
      <c r="G904" s="7">
        <v>0.2</v>
      </c>
      <c r="H904" s="6" t="s">
        <v>406</v>
      </c>
      <c r="I904" s="6" t="s">
        <v>20</v>
      </c>
      <c r="J904" s="6">
        <v>2019.0</v>
      </c>
      <c r="L904" s="6">
        <v>1.0</v>
      </c>
      <c r="M904" s="8">
        <f t="shared" si="1"/>
        <v>0.2</v>
      </c>
      <c r="P904" s="9"/>
    </row>
    <row r="905">
      <c r="A905" s="6" t="s">
        <v>2329</v>
      </c>
      <c r="B905" s="6" t="s">
        <v>736</v>
      </c>
      <c r="C905" s="6" t="s">
        <v>84</v>
      </c>
      <c r="D905" s="6" t="s">
        <v>2330</v>
      </c>
      <c r="E905" s="6" t="s">
        <v>395</v>
      </c>
      <c r="F905" s="6" t="s">
        <v>51</v>
      </c>
      <c r="G905" s="7">
        <v>0.1</v>
      </c>
      <c r="H905" s="6" t="s">
        <v>119</v>
      </c>
      <c r="I905" s="6" t="s">
        <v>20</v>
      </c>
      <c r="J905" s="6">
        <v>1995.0</v>
      </c>
      <c r="L905" s="6">
        <v>1.0</v>
      </c>
      <c r="M905" s="8">
        <f t="shared" si="1"/>
        <v>0.1</v>
      </c>
      <c r="P905" s="9"/>
    </row>
    <row r="906">
      <c r="A906" s="6" t="s">
        <v>2331</v>
      </c>
      <c r="B906" s="6" t="s">
        <v>592</v>
      </c>
      <c r="C906" s="6" t="s">
        <v>15</v>
      </c>
      <c r="D906" s="6" t="s">
        <v>2332</v>
      </c>
      <c r="E906" s="6" t="s">
        <v>395</v>
      </c>
      <c r="F906" s="6" t="s">
        <v>51</v>
      </c>
      <c r="G906" s="7">
        <v>0.5</v>
      </c>
      <c r="H906" s="6" t="s">
        <v>1211</v>
      </c>
      <c r="I906" s="6" t="s">
        <v>20</v>
      </c>
      <c r="J906" s="6">
        <v>1993.0</v>
      </c>
      <c r="L906" s="6">
        <v>1.0</v>
      </c>
      <c r="M906" s="8">
        <f t="shared" si="1"/>
        <v>0.5</v>
      </c>
      <c r="P906" s="9"/>
    </row>
    <row r="907">
      <c r="A907" s="6" t="s">
        <v>2333</v>
      </c>
      <c r="B907" s="6" t="s">
        <v>372</v>
      </c>
      <c r="C907" s="6" t="s">
        <v>23</v>
      </c>
      <c r="D907" s="6" t="s">
        <v>2334</v>
      </c>
      <c r="E907" s="6" t="s">
        <v>118</v>
      </c>
      <c r="F907" s="6" t="s">
        <v>51</v>
      </c>
      <c r="G907" s="7">
        <v>0.03</v>
      </c>
      <c r="H907" s="6" t="s">
        <v>299</v>
      </c>
      <c r="I907" s="6" t="s">
        <v>20</v>
      </c>
      <c r="J907" s="6">
        <v>2017.0</v>
      </c>
      <c r="L907" s="6">
        <v>4.0</v>
      </c>
      <c r="M907" s="8">
        <f t="shared" si="1"/>
        <v>0.12</v>
      </c>
      <c r="P907" s="9"/>
    </row>
    <row r="908">
      <c r="A908" s="6" t="s">
        <v>2335</v>
      </c>
      <c r="B908" s="6" t="s">
        <v>307</v>
      </c>
      <c r="C908" s="6" t="s">
        <v>23</v>
      </c>
      <c r="D908" s="6" t="s">
        <v>2336</v>
      </c>
      <c r="E908" s="6" t="s">
        <v>36</v>
      </c>
      <c r="F908" s="6" t="s">
        <v>37</v>
      </c>
      <c r="G908" s="7">
        <v>1.0</v>
      </c>
      <c r="H908" s="6" t="s">
        <v>114</v>
      </c>
      <c r="I908" s="6" t="s">
        <v>20</v>
      </c>
      <c r="J908" s="6">
        <v>2021.0</v>
      </c>
      <c r="L908" s="6">
        <v>1.0</v>
      </c>
      <c r="M908" s="8">
        <f t="shared" si="1"/>
        <v>1</v>
      </c>
      <c r="P908" s="9"/>
    </row>
    <row r="909">
      <c r="A909" s="6" t="s">
        <v>2337</v>
      </c>
      <c r="B909" s="6" t="s">
        <v>761</v>
      </c>
      <c r="C909" s="6" t="s">
        <v>287</v>
      </c>
      <c r="D909" s="6" t="s">
        <v>2338</v>
      </c>
      <c r="E909" s="6" t="s">
        <v>79</v>
      </c>
      <c r="F909" s="6" t="s">
        <v>51</v>
      </c>
      <c r="G909" s="7">
        <v>0.01</v>
      </c>
      <c r="H909" s="6" t="s">
        <v>245</v>
      </c>
      <c r="I909" s="6" t="s">
        <v>20</v>
      </c>
      <c r="J909" s="6">
        <v>1995.0</v>
      </c>
      <c r="L909" s="6">
        <v>2.0</v>
      </c>
      <c r="M909" s="8">
        <f t="shared" si="1"/>
        <v>0.02</v>
      </c>
      <c r="P909" s="9"/>
    </row>
    <row r="910">
      <c r="A910" s="6" t="s">
        <v>2339</v>
      </c>
      <c r="B910" s="6" t="s">
        <v>543</v>
      </c>
      <c r="C910" s="6" t="s">
        <v>48</v>
      </c>
      <c r="D910" s="6" t="s">
        <v>2340</v>
      </c>
      <c r="E910" s="6" t="s">
        <v>238</v>
      </c>
      <c r="F910" s="6" t="s">
        <v>159</v>
      </c>
      <c r="G910" s="7">
        <v>0.05</v>
      </c>
      <c r="H910" s="6" t="s">
        <v>645</v>
      </c>
      <c r="I910" s="6" t="s">
        <v>20</v>
      </c>
      <c r="J910" s="6">
        <v>2024.0</v>
      </c>
      <c r="L910" s="6">
        <v>1.0</v>
      </c>
      <c r="M910" s="8">
        <f t="shared" si="1"/>
        <v>0.05</v>
      </c>
      <c r="P910" s="9"/>
    </row>
    <row r="911">
      <c r="A911" s="6" t="s">
        <v>2341</v>
      </c>
      <c r="B911" s="6" t="s">
        <v>2342</v>
      </c>
      <c r="C911" s="6" t="s">
        <v>23</v>
      </c>
      <c r="D911" s="6" t="s">
        <v>2343</v>
      </c>
      <c r="E911" s="6" t="s">
        <v>36</v>
      </c>
      <c r="F911" s="6" t="s">
        <v>159</v>
      </c>
      <c r="G911" s="7">
        <v>0.09</v>
      </c>
      <c r="H911" s="6" t="s">
        <v>146</v>
      </c>
      <c r="I911" s="6" t="s">
        <v>20</v>
      </c>
      <c r="J911" s="6">
        <v>2010.0</v>
      </c>
      <c r="K911" s="10">
        <v>46023.0</v>
      </c>
      <c r="L911" s="6">
        <v>2.0</v>
      </c>
      <c r="M911" s="8">
        <f t="shared" si="1"/>
        <v>0.18</v>
      </c>
      <c r="P911" s="9"/>
    </row>
    <row r="912">
      <c r="A912" s="6" t="s">
        <v>2344</v>
      </c>
      <c r="B912" s="6" t="s">
        <v>2345</v>
      </c>
      <c r="C912" s="6" t="s">
        <v>23</v>
      </c>
      <c r="E912" s="6" t="s">
        <v>149</v>
      </c>
      <c r="F912" s="6" t="s">
        <v>18</v>
      </c>
      <c r="G912" s="7">
        <v>0.04</v>
      </c>
      <c r="H912" s="6" t="s">
        <v>494</v>
      </c>
      <c r="I912" s="6" t="s">
        <v>20</v>
      </c>
      <c r="J912" s="6">
        <v>2003.0</v>
      </c>
      <c r="K912" s="10">
        <v>46024.0</v>
      </c>
      <c r="L912" s="6">
        <v>1.0</v>
      </c>
      <c r="M912" s="8">
        <f t="shared" si="1"/>
        <v>0.04</v>
      </c>
      <c r="P912" s="9"/>
    </row>
    <row r="913">
      <c r="A913" s="6" t="s">
        <v>2346</v>
      </c>
      <c r="B913" s="6" t="s">
        <v>250</v>
      </c>
      <c r="C913" s="6" t="s">
        <v>41</v>
      </c>
      <c r="D913" s="6" t="s">
        <v>2347</v>
      </c>
      <c r="E913" s="6" t="s">
        <v>243</v>
      </c>
      <c r="F913" s="6" t="s">
        <v>37</v>
      </c>
      <c r="G913" s="7">
        <v>1.75</v>
      </c>
      <c r="H913" s="6" t="s">
        <v>120</v>
      </c>
      <c r="I913" s="6" t="s">
        <v>20</v>
      </c>
      <c r="J913" s="6">
        <v>1995.0</v>
      </c>
      <c r="L913" s="6">
        <v>2.0</v>
      </c>
      <c r="M913" s="8">
        <f t="shared" si="1"/>
        <v>3.5</v>
      </c>
      <c r="N913" s="6" t="s">
        <v>172</v>
      </c>
      <c r="P913" s="9"/>
    </row>
    <row r="914">
      <c r="A914" s="6" t="s">
        <v>2348</v>
      </c>
      <c r="B914" s="6" t="s">
        <v>2349</v>
      </c>
      <c r="C914" s="6" t="s">
        <v>23</v>
      </c>
      <c r="E914" s="6" t="s">
        <v>149</v>
      </c>
      <c r="F914" s="6" t="s">
        <v>18</v>
      </c>
      <c r="G914" s="7">
        <v>0.06</v>
      </c>
      <c r="H914" s="6" t="s">
        <v>154</v>
      </c>
      <c r="I914" s="6" t="s">
        <v>20</v>
      </c>
      <c r="J914" s="6">
        <v>2013.0</v>
      </c>
      <c r="K914" s="10">
        <v>46024.0</v>
      </c>
      <c r="L914" s="6">
        <v>2.0</v>
      </c>
      <c r="M914" s="8">
        <f t="shared" si="1"/>
        <v>0.12</v>
      </c>
      <c r="P914" s="9"/>
    </row>
    <row r="915">
      <c r="A915" s="6" t="s">
        <v>2348</v>
      </c>
      <c r="B915" s="6" t="s">
        <v>2349</v>
      </c>
      <c r="C915" s="6" t="s">
        <v>23</v>
      </c>
      <c r="E915" s="6" t="s">
        <v>149</v>
      </c>
      <c r="F915" s="6" t="s">
        <v>18</v>
      </c>
      <c r="G915" s="7">
        <v>0.09</v>
      </c>
      <c r="H915" s="6" t="s">
        <v>1803</v>
      </c>
      <c r="I915" s="6" t="s">
        <v>20</v>
      </c>
      <c r="J915" s="6">
        <v>1998.0</v>
      </c>
      <c r="K915" s="10">
        <v>46024.0</v>
      </c>
      <c r="L915" s="6">
        <v>1.0</v>
      </c>
      <c r="M915" s="8">
        <f t="shared" si="1"/>
        <v>0.09</v>
      </c>
      <c r="P915" s="9"/>
    </row>
    <row r="916">
      <c r="A916" s="6" t="s">
        <v>2348</v>
      </c>
      <c r="B916" s="6" t="s">
        <v>2349</v>
      </c>
      <c r="C916" s="6" t="s">
        <v>23</v>
      </c>
      <c r="E916" s="6" t="s">
        <v>149</v>
      </c>
      <c r="F916" s="6" t="s">
        <v>18</v>
      </c>
      <c r="G916" s="7">
        <v>0.05</v>
      </c>
      <c r="H916" s="6" t="s">
        <v>2350</v>
      </c>
      <c r="I916" s="6" t="s">
        <v>20</v>
      </c>
      <c r="J916" s="6">
        <v>2017.0</v>
      </c>
      <c r="K916" s="10">
        <v>46024.0</v>
      </c>
      <c r="L916" s="6">
        <v>2.0</v>
      </c>
      <c r="M916" s="8">
        <f t="shared" si="1"/>
        <v>0.1</v>
      </c>
      <c r="P916" s="9"/>
    </row>
    <row r="917">
      <c r="A917" s="6" t="s">
        <v>2351</v>
      </c>
      <c r="B917" s="6" t="s">
        <v>850</v>
      </c>
      <c r="C917" s="6" t="s">
        <v>15</v>
      </c>
      <c r="D917" s="6" t="s">
        <v>2352</v>
      </c>
      <c r="E917" s="6" t="s">
        <v>196</v>
      </c>
      <c r="F917" s="6" t="s">
        <v>65</v>
      </c>
      <c r="G917" s="7">
        <v>0.14</v>
      </c>
      <c r="H917" s="6" t="s">
        <v>209</v>
      </c>
      <c r="I917" s="6" t="s">
        <v>20</v>
      </c>
      <c r="J917" s="6">
        <v>2025.0</v>
      </c>
      <c r="L917" s="6">
        <v>1.0</v>
      </c>
      <c r="M917" s="8">
        <f t="shared" si="1"/>
        <v>0.14</v>
      </c>
      <c r="P917" s="9"/>
    </row>
    <row r="918">
      <c r="A918" s="6" t="s">
        <v>2353</v>
      </c>
      <c r="B918" s="6" t="s">
        <v>2354</v>
      </c>
      <c r="C918" s="6" t="s">
        <v>23</v>
      </c>
      <c r="D918" s="6" t="s">
        <v>2355</v>
      </c>
      <c r="E918" s="6" t="s">
        <v>149</v>
      </c>
      <c r="F918" s="6" t="s">
        <v>18</v>
      </c>
      <c r="G918" s="7">
        <v>0.12</v>
      </c>
      <c r="H918" s="6" t="s">
        <v>565</v>
      </c>
      <c r="I918" s="6" t="s">
        <v>20</v>
      </c>
      <c r="J918" s="6">
        <v>2021.0</v>
      </c>
      <c r="K918" s="10">
        <v>46024.0</v>
      </c>
      <c r="L918" s="6">
        <v>1.0</v>
      </c>
      <c r="M918" s="8">
        <f t="shared" si="1"/>
        <v>0.12</v>
      </c>
      <c r="N918" s="6" t="s">
        <v>518</v>
      </c>
      <c r="P918" s="9"/>
    </row>
    <row r="919">
      <c r="A919" s="6" t="s">
        <v>2356</v>
      </c>
      <c r="B919" s="6" t="s">
        <v>2357</v>
      </c>
      <c r="C919" s="6" t="s">
        <v>34</v>
      </c>
      <c r="D919" s="6" t="s">
        <v>2358</v>
      </c>
      <c r="E919" s="6" t="s">
        <v>1129</v>
      </c>
      <c r="F919" s="6" t="s">
        <v>18</v>
      </c>
      <c r="G919" s="7">
        <v>0.06</v>
      </c>
      <c r="H919" s="6" t="s">
        <v>180</v>
      </c>
      <c r="I919" s="6" t="s">
        <v>20</v>
      </c>
      <c r="J919" s="6">
        <v>2014.0</v>
      </c>
      <c r="K919" s="10">
        <v>46024.0</v>
      </c>
      <c r="L919" s="6">
        <v>1.0</v>
      </c>
      <c r="M919" s="8">
        <f t="shared" si="1"/>
        <v>0.06</v>
      </c>
      <c r="P919" s="9"/>
    </row>
    <row r="920">
      <c r="A920" s="6" t="s">
        <v>2359</v>
      </c>
      <c r="B920" s="6" t="s">
        <v>2360</v>
      </c>
      <c r="C920" s="6" t="s">
        <v>48</v>
      </c>
      <c r="D920" s="6" t="s">
        <v>2361</v>
      </c>
      <c r="E920" s="6" t="s">
        <v>625</v>
      </c>
      <c r="F920" s="6" t="s">
        <v>37</v>
      </c>
      <c r="G920" s="7">
        <v>1.28</v>
      </c>
      <c r="H920" s="6" t="s">
        <v>1293</v>
      </c>
      <c r="I920" s="6" t="s">
        <v>20</v>
      </c>
      <c r="J920" s="6">
        <v>2011.0</v>
      </c>
      <c r="K920" s="10">
        <v>46055.0</v>
      </c>
      <c r="L920" s="6">
        <v>1.0</v>
      </c>
      <c r="M920" s="8">
        <f t="shared" si="1"/>
        <v>1.28</v>
      </c>
      <c r="N920" s="6" t="s">
        <v>172</v>
      </c>
      <c r="P920" s="9"/>
    </row>
    <row r="921">
      <c r="A921" s="6" t="s">
        <v>2362</v>
      </c>
      <c r="B921" s="6" t="s">
        <v>543</v>
      </c>
      <c r="C921" s="6" t="s">
        <v>34</v>
      </c>
      <c r="D921" s="6" t="s">
        <v>2363</v>
      </c>
      <c r="E921" s="6" t="s">
        <v>2364</v>
      </c>
      <c r="F921" s="6" t="s">
        <v>2365</v>
      </c>
      <c r="G921" s="7">
        <v>0.9</v>
      </c>
      <c r="H921" s="6" t="s">
        <v>392</v>
      </c>
      <c r="I921" s="6" t="s">
        <v>55</v>
      </c>
      <c r="J921" s="6">
        <v>2025.0</v>
      </c>
      <c r="L921" s="6">
        <v>1.0</v>
      </c>
      <c r="M921" s="8">
        <f t="shared" si="1"/>
        <v>0.9</v>
      </c>
      <c r="P921" s="9"/>
    </row>
    <row r="922">
      <c r="A922" s="6" t="s">
        <v>2362</v>
      </c>
      <c r="B922" s="6" t="s">
        <v>543</v>
      </c>
      <c r="C922" s="6" t="s">
        <v>34</v>
      </c>
      <c r="D922" s="6" t="s">
        <v>2363</v>
      </c>
      <c r="E922" s="6" t="s">
        <v>2364</v>
      </c>
      <c r="F922" s="6" t="s">
        <v>2365</v>
      </c>
      <c r="G922" s="7">
        <v>0.2</v>
      </c>
      <c r="H922" s="6" t="s">
        <v>392</v>
      </c>
      <c r="I922" s="6" t="s">
        <v>20</v>
      </c>
      <c r="J922" s="6">
        <v>2025.0</v>
      </c>
      <c r="L922" s="6">
        <v>14.0</v>
      </c>
      <c r="M922" s="8">
        <f t="shared" si="1"/>
        <v>2.8</v>
      </c>
      <c r="P922" s="9"/>
    </row>
    <row r="923">
      <c r="A923" s="6" t="s">
        <v>2366</v>
      </c>
      <c r="B923" s="6" t="s">
        <v>2367</v>
      </c>
      <c r="C923" s="6" t="s">
        <v>48</v>
      </c>
      <c r="D923" s="6" t="s">
        <v>2368</v>
      </c>
      <c r="E923" s="6" t="s">
        <v>153</v>
      </c>
      <c r="F923" s="6" t="s">
        <v>103</v>
      </c>
      <c r="G923" s="7">
        <v>0.24</v>
      </c>
      <c r="H923" s="6" t="s">
        <v>163</v>
      </c>
      <c r="I923" s="6" t="s">
        <v>20</v>
      </c>
      <c r="J923" s="6">
        <v>2023.0</v>
      </c>
      <c r="K923" s="10">
        <v>46057.0</v>
      </c>
      <c r="L923" s="6">
        <v>1.0</v>
      </c>
      <c r="M923" s="8">
        <f t="shared" si="1"/>
        <v>0.24</v>
      </c>
      <c r="P923" s="9"/>
    </row>
    <row r="924">
      <c r="A924" s="6" t="s">
        <v>2366</v>
      </c>
      <c r="B924" s="6" t="s">
        <v>2367</v>
      </c>
      <c r="C924" s="6" t="s">
        <v>48</v>
      </c>
      <c r="D924" s="6" t="s">
        <v>2368</v>
      </c>
      <c r="E924" s="6" t="s">
        <v>153</v>
      </c>
      <c r="F924" s="6" t="s">
        <v>103</v>
      </c>
      <c r="G924" s="7">
        <v>0.25</v>
      </c>
      <c r="H924" s="6" t="s">
        <v>1971</v>
      </c>
      <c r="I924" s="6" t="s">
        <v>20</v>
      </c>
      <c r="J924" s="6">
        <v>2021.0</v>
      </c>
      <c r="K924" s="10">
        <v>46057.0</v>
      </c>
      <c r="L924" s="6">
        <v>1.0</v>
      </c>
      <c r="M924" s="8">
        <f t="shared" si="1"/>
        <v>0.25</v>
      </c>
      <c r="P924" s="9"/>
    </row>
    <row r="925">
      <c r="A925" s="6" t="s">
        <v>2369</v>
      </c>
      <c r="B925" s="6" t="s">
        <v>1032</v>
      </c>
      <c r="C925" s="6" t="s">
        <v>23</v>
      </c>
      <c r="D925" s="6" t="s">
        <v>2370</v>
      </c>
      <c r="E925" s="6" t="s">
        <v>102</v>
      </c>
      <c r="F925" s="6" t="s">
        <v>103</v>
      </c>
      <c r="G925" s="7">
        <v>0.06</v>
      </c>
      <c r="H925" s="6" t="s">
        <v>154</v>
      </c>
      <c r="I925" s="6" t="s">
        <v>20</v>
      </c>
      <c r="J925" s="6">
        <v>2013.0</v>
      </c>
      <c r="K925" s="10">
        <v>46024.0</v>
      </c>
      <c r="L925" s="6">
        <v>3.0</v>
      </c>
      <c r="M925" s="8">
        <f t="shared" si="1"/>
        <v>0.18</v>
      </c>
      <c r="P925" s="9"/>
    </row>
    <row r="926">
      <c r="A926" s="6" t="s">
        <v>2371</v>
      </c>
      <c r="B926" s="6" t="s">
        <v>62</v>
      </c>
      <c r="C926" s="6" t="s">
        <v>23</v>
      </c>
      <c r="D926" s="6" t="s">
        <v>2372</v>
      </c>
      <c r="E926" s="6" t="s">
        <v>235</v>
      </c>
      <c r="F926" s="6" t="s">
        <v>103</v>
      </c>
      <c r="G926" s="7">
        <v>0.06</v>
      </c>
      <c r="H926" s="6" t="s">
        <v>491</v>
      </c>
      <c r="I926" s="6" t="s">
        <v>20</v>
      </c>
      <c r="J926" s="6">
        <v>2011.0</v>
      </c>
      <c r="L926" s="6">
        <v>1.0</v>
      </c>
      <c r="M926" s="8">
        <f t="shared" si="1"/>
        <v>0.06</v>
      </c>
      <c r="P926" s="9"/>
    </row>
    <row r="927">
      <c r="A927" s="6" t="s">
        <v>2373</v>
      </c>
      <c r="B927" s="6" t="s">
        <v>161</v>
      </c>
      <c r="C927" s="6" t="s">
        <v>23</v>
      </c>
      <c r="D927" s="6" t="s">
        <v>2374</v>
      </c>
      <c r="E927" s="6" t="s">
        <v>223</v>
      </c>
      <c r="F927" s="6" t="s">
        <v>159</v>
      </c>
      <c r="G927" s="7">
        <v>0.03</v>
      </c>
      <c r="H927" s="6" t="s">
        <v>200</v>
      </c>
      <c r="I927" s="6" t="s">
        <v>20</v>
      </c>
      <c r="J927" s="6">
        <v>2018.0</v>
      </c>
      <c r="K927" s="10">
        <v>46055.0</v>
      </c>
      <c r="L927" s="6">
        <v>1.0</v>
      </c>
      <c r="M927" s="8">
        <f t="shared" si="1"/>
        <v>0.03</v>
      </c>
      <c r="P927" s="9"/>
    </row>
    <row r="928">
      <c r="A928" s="6" t="s">
        <v>2375</v>
      </c>
      <c r="B928" s="6" t="s">
        <v>2376</v>
      </c>
      <c r="C928" s="6" t="s">
        <v>23</v>
      </c>
      <c r="D928" s="6" t="s">
        <v>2377</v>
      </c>
      <c r="E928" s="6" t="s">
        <v>102</v>
      </c>
      <c r="F928" s="6" t="s">
        <v>103</v>
      </c>
      <c r="G928" s="7">
        <v>0.05</v>
      </c>
      <c r="H928" s="6" t="s">
        <v>45</v>
      </c>
      <c r="I928" s="6" t="s">
        <v>20</v>
      </c>
      <c r="J928" s="6">
        <v>2025.0</v>
      </c>
      <c r="K928" s="10">
        <v>46023.0</v>
      </c>
      <c r="L928" s="6">
        <v>2.0</v>
      </c>
      <c r="M928" s="8">
        <f t="shared" si="1"/>
        <v>0.1</v>
      </c>
      <c r="P928" s="9"/>
    </row>
    <row r="929">
      <c r="A929" s="6" t="s">
        <v>2378</v>
      </c>
      <c r="B929" s="6" t="s">
        <v>106</v>
      </c>
      <c r="C929" s="6" t="s">
        <v>41</v>
      </c>
      <c r="D929" s="6" t="s">
        <v>2379</v>
      </c>
      <c r="E929" s="6" t="s">
        <v>2380</v>
      </c>
      <c r="F929" s="6" t="s">
        <v>103</v>
      </c>
      <c r="G929" s="7">
        <v>5.0</v>
      </c>
      <c r="H929" s="6" t="s">
        <v>1382</v>
      </c>
      <c r="I929" s="6" t="s">
        <v>20</v>
      </c>
      <c r="J929" s="6">
        <v>1995.0</v>
      </c>
      <c r="K929" s="10">
        <v>46210.0</v>
      </c>
      <c r="L929" s="6">
        <v>1.0</v>
      </c>
      <c r="M929" s="8">
        <f t="shared" si="1"/>
        <v>5</v>
      </c>
      <c r="P929" s="9"/>
    </row>
    <row r="930">
      <c r="A930" s="6" t="s">
        <v>2381</v>
      </c>
      <c r="B930" s="6" t="s">
        <v>2382</v>
      </c>
      <c r="C930" s="6" t="s">
        <v>212</v>
      </c>
      <c r="D930" s="6" t="s">
        <v>2383</v>
      </c>
      <c r="E930" s="6" t="s">
        <v>214</v>
      </c>
      <c r="F930" s="6" t="s">
        <v>858</v>
      </c>
      <c r="G930" s="7">
        <v>1.8</v>
      </c>
      <c r="H930" s="6" t="s">
        <v>1043</v>
      </c>
      <c r="I930" s="6" t="s">
        <v>20</v>
      </c>
      <c r="J930" s="6">
        <v>2025.0</v>
      </c>
      <c r="K930" s="6" t="s">
        <v>2384</v>
      </c>
      <c r="L930" s="6">
        <v>1.0</v>
      </c>
      <c r="M930" s="8">
        <f t="shared" si="1"/>
        <v>1.8</v>
      </c>
      <c r="P930" s="9"/>
    </row>
    <row r="931">
      <c r="A931" s="6" t="s">
        <v>2385</v>
      </c>
      <c r="B931" s="6" t="s">
        <v>796</v>
      </c>
      <c r="C931" s="6" t="s">
        <v>34</v>
      </c>
      <c r="D931" s="6" t="s">
        <v>2386</v>
      </c>
      <c r="E931" s="6" t="s">
        <v>667</v>
      </c>
      <c r="F931" s="6" t="s">
        <v>18</v>
      </c>
      <c r="G931" s="7">
        <v>0.03</v>
      </c>
      <c r="H931" s="6" t="s">
        <v>483</v>
      </c>
      <c r="I931" s="6" t="s">
        <v>20</v>
      </c>
      <c r="J931" s="6">
        <v>2014.0</v>
      </c>
      <c r="L931" s="6">
        <v>2.0</v>
      </c>
      <c r="M931" s="8">
        <f t="shared" si="1"/>
        <v>0.06</v>
      </c>
      <c r="P931" s="9"/>
    </row>
    <row r="932">
      <c r="A932" s="6" t="s">
        <v>2387</v>
      </c>
      <c r="B932" s="6" t="s">
        <v>2388</v>
      </c>
      <c r="C932" s="6" t="s">
        <v>23</v>
      </c>
      <c r="D932" s="6" t="s">
        <v>2389</v>
      </c>
      <c r="E932" s="6" t="s">
        <v>118</v>
      </c>
      <c r="F932" s="6" t="s">
        <v>51</v>
      </c>
      <c r="G932" s="7">
        <v>0.03</v>
      </c>
      <c r="H932" s="6" t="s">
        <v>299</v>
      </c>
      <c r="I932" s="6" t="s">
        <v>20</v>
      </c>
      <c r="J932" s="6">
        <v>2017.0</v>
      </c>
      <c r="K932" s="10">
        <v>46055.0</v>
      </c>
      <c r="L932" s="6">
        <v>2.0</v>
      </c>
      <c r="M932" s="8">
        <f t="shared" si="1"/>
        <v>0.06</v>
      </c>
      <c r="P932" s="9"/>
    </row>
    <row r="933">
      <c r="A933" s="6" t="s">
        <v>2390</v>
      </c>
      <c r="B933" s="6" t="s">
        <v>2391</v>
      </c>
      <c r="C933" s="6" t="s">
        <v>48</v>
      </c>
      <c r="D933" s="6" t="s">
        <v>2392</v>
      </c>
      <c r="E933" s="6" t="s">
        <v>50</v>
      </c>
      <c r="F933" s="6" t="s">
        <v>51</v>
      </c>
      <c r="G933" s="7">
        <v>0.06</v>
      </c>
      <c r="H933" s="6" t="s">
        <v>66</v>
      </c>
      <c r="I933" s="6" t="s">
        <v>20</v>
      </c>
      <c r="J933" s="6">
        <v>2016.0</v>
      </c>
      <c r="K933" s="10">
        <v>46115.0</v>
      </c>
      <c r="L933" s="6">
        <v>1.0</v>
      </c>
      <c r="M933" s="8">
        <f t="shared" si="1"/>
        <v>0.06</v>
      </c>
      <c r="P933" s="9"/>
    </row>
    <row r="934">
      <c r="A934" s="6" t="s">
        <v>2393</v>
      </c>
      <c r="B934" s="6" t="s">
        <v>1978</v>
      </c>
      <c r="C934" s="6" t="s">
        <v>23</v>
      </c>
      <c r="D934" s="6" t="s">
        <v>2394</v>
      </c>
      <c r="E934" s="6" t="s">
        <v>50</v>
      </c>
      <c r="F934" s="6" t="s">
        <v>51</v>
      </c>
      <c r="G934" s="7">
        <v>0.05</v>
      </c>
      <c r="H934" s="6" t="s">
        <v>621</v>
      </c>
      <c r="I934" s="6" t="s">
        <v>20</v>
      </c>
      <c r="J934" s="6">
        <v>2015.0</v>
      </c>
      <c r="K934" s="10">
        <v>46083.0</v>
      </c>
      <c r="L934" s="6">
        <v>1.0</v>
      </c>
      <c r="M934" s="8">
        <f t="shared" si="1"/>
        <v>0.05</v>
      </c>
      <c r="P934" s="9"/>
    </row>
    <row r="935">
      <c r="A935" s="6" t="s">
        <v>2395</v>
      </c>
      <c r="B935" s="6" t="s">
        <v>190</v>
      </c>
      <c r="C935" s="6" t="s">
        <v>41</v>
      </c>
      <c r="D935" s="6" t="s">
        <v>2396</v>
      </c>
      <c r="E935" s="6" t="s">
        <v>223</v>
      </c>
      <c r="F935" s="6" t="s">
        <v>159</v>
      </c>
      <c r="G935" s="7">
        <v>2.0</v>
      </c>
      <c r="H935" s="6" t="s">
        <v>2397</v>
      </c>
      <c r="I935" s="6" t="s">
        <v>20</v>
      </c>
      <c r="J935" s="6">
        <v>2026.0</v>
      </c>
      <c r="K935" s="10">
        <v>46054.0</v>
      </c>
      <c r="L935" s="6">
        <v>1.0</v>
      </c>
      <c r="M935" s="8">
        <f t="shared" si="1"/>
        <v>2</v>
      </c>
      <c r="N935" s="6" t="s">
        <v>172</v>
      </c>
      <c r="P935" s="9"/>
    </row>
    <row r="936">
      <c r="A936" s="6" t="s">
        <v>2395</v>
      </c>
      <c r="B936" s="6" t="s">
        <v>190</v>
      </c>
      <c r="C936" s="6" t="s">
        <v>48</v>
      </c>
      <c r="D936" s="6" t="s">
        <v>2396</v>
      </c>
      <c r="E936" s="6" t="s">
        <v>223</v>
      </c>
      <c r="F936" s="6" t="s">
        <v>159</v>
      </c>
      <c r="G936" s="7">
        <v>0.13</v>
      </c>
      <c r="H936" s="6" t="s">
        <v>192</v>
      </c>
      <c r="I936" s="6" t="s">
        <v>20</v>
      </c>
      <c r="J936" s="6">
        <v>2026.0</v>
      </c>
      <c r="K936" s="10">
        <v>46054.0</v>
      </c>
      <c r="L936" s="6">
        <v>3.0</v>
      </c>
      <c r="M936" s="8">
        <f t="shared" si="1"/>
        <v>0.39</v>
      </c>
      <c r="P936" s="9"/>
    </row>
    <row r="937">
      <c r="A937" s="6" t="s">
        <v>2398</v>
      </c>
      <c r="B937" s="6" t="s">
        <v>2399</v>
      </c>
      <c r="C937" s="6" t="s">
        <v>23</v>
      </c>
      <c r="D937" s="6" t="s">
        <v>2400</v>
      </c>
      <c r="E937" s="6" t="s">
        <v>25</v>
      </c>
      <c r="F937" s="6" t="s">
        <v>18</v>
      </c>
      <c r="G937" s="7">
        <v>0.24</v>
      </c>
      <c r="H937" s="6" t="s">
        <v>2401</v>
      </c>
      <c r="I937" s="6" t="s">
        <v>55</v>
      </c>
      <c r="J937" s="6">
        <v>2018.0</v>
      </c>
      <c r="K937" s="10">
        <v>46082.0</v>
      </c>
      <c r="L937" s="6">
        <v>1.0</v>
      </c>
      <c r="M937" s="8">
        <f t="shared" si="1"/>
        <v>0.24</v>
      </c>
      <c r="P937" s="9"/>
    </row>
    <row r="938">
      <c r="A938" s="6" t="s">
        <v>2402</v>
      </c>
      <c r="B938" s="6" t="s">
        <v>131</v>
      </c>
      <c r="C938" s="6" t="s">
        <v>23</v>
      </c>
      <c r="D938" s="6" t="s">
        <v>2403</v>
      </c>
      <c r="E938" s="6" t="s">
        <v>79</v>
      </c>
      <c r="F938" s="6" t="s">
        <v>51</v>
      </c>
      <c r="G938" s="7">
        <v>0.04</v>
      </c>
      <c r="H938" s="6" t="s">
        <v>88</v>
      </c>
      <c r="I938" s="6" t="s">
        <v>20</v>
      </c>
      <c r="J938" s="6">
        <v>2013.0</v>
      </c>
      <c r="K938" s="10">
        <v>46055.0</v>
      </c>
      <c r="L938" s="6">
        <v>1.0</v>
      </c>
      <c r="M938" s="8">
        <f t="shared" si="1"/>
        <v>0.04</v>
      </c>
      <c r="P938" s="9"/>
    </row>
    <row r="939">
      <c r="A939" s="6" t="s">
        <v>2404</v>
      </c>
      <c r="B939" s="6" t="s">
        <v>2405</v>
      </c>
      <c r="C939" s="6" t="s">
        <v>72</v>
      </c>
      <c r="D939" s="6" t="s">
        <v>2406</v>
      </c>
      <c r="E939" s="6" t="s">
        <v>153</v>
      </c>
      <c r="F939" s="6" t="s">
        <v>103</v>
      </c>
      <c r="G939" s="7">
        <v>0.08</v>
      </c>
      <c r="H939" s="6" t="s">
        <v>2407</v>
      </c>
      <c r="I939" s="6" t="s">
        <v>20</v>
      </c>
      <c r="J939" s="6">
        <v>2014.0</v>
      </c>
      <c r="K939" s="10">
        <v>46055.0</v>
      </c>
      <c r="L939" s="6">
        <v>1.0</v>
      </c>
      <c r="M939" s="8">
        <f t="shared" si="1"/>
        <v>0.08</v>
      </c>
      <c r="P939" s="9"/>
    </row>
    <row r="940">
      <c r="A940" s="6" t="s">
        <v>2404</v>
      </c>
      <c r="B940" s="6" t="s">
        <v>2405</v>
      </c>
      <c r="C940" s="6" t="s">
        <v>72</v>
      </c>
      <c r="D940" s="6" t="s">
        <v>2406</v>
      </c>
      <c r="E940" s="6" t="s">
        <v>153</v>
      </c>
      <c r="F940" s="6" t="s">
        <v>103</v>
      </c>
      <c r="G940" s="7">
        <v>0.03</v>
      </c>
      <c r="H940" s="6" t="s">
        <v>541</v>
      </c>
      <c r="I940" s="6" t="s">
        <v>20</v>
      </c>
      <c r="J940" s="6">
        <v>2019.0</v>
      </c>
      <c r="K940" s="10">
        <v>46055.0</v>
      </c>
      <c r="L940" s="6">
        <v>4.0</v>
      </c>
      <c r="M940" s="8">
        <f t="shared" si="1"/>
        <v>0.12</v>
      </c>
      <c r="P940" s="9"/>
    </row>
    <row r="941">
      <c r="A941" s="6" t="s">
        <v>2408</v>
      </c>
      <c r="B941" s="6" t="s">
        <v>628</v>
      </c>
      <c r="C941" s="6" t="s">
        <v>48</v>
      </c>
      <c r="D941" s="6" t="s">
        <v>2409</v>
      </c>
      <c r="E941" s="6" t="s">
        <v>220</v>
      </c>
      <c r="F941" s="6" t="s">
        <v>18</v>
      </c>
      <c r="G941" s="7">
        <v>0.23</v>
      </c>
      <c r="H941" s="6" t="s">
        <v>163</v>
      </c>
      <c r="I941" s="6" t="s">
        <v>20</v>
      </c>
      <c r="J941" s="6">
        <v>2023.0</v>
      </c>
      <c r="K941" s="10">
        <v>46115.0</v>
      </c>
      <c r="L941" s="6">
        <v>1.0</v>
      </c>
      <c r="M941" s="8">
        <f t="shared" si="1"/>
        <v>0.23</v>
      </c>
      <c r="P941" s="9"/>
    </row>
    <row r="942">
      <c r="A942" s="6" t="s">
        <v>2410</v>
      </c>
      <c r="B942" s="6" t="s">
        <v>543</v>
      </c>
      <c r="C942" s="6" t="s">
        <v>23</v>
      </c>
      <c r="D942" s="6" t="s">
        <v>2411</v>
      </c>
      <c r="E942" s="6" t="s">
        <v>238</v>
      </c>
      <c r="F942" s="6" t="s">
        <v>159</v>
      </c>
      <c r="G942" s="7">
        <v>0.1</v>
      </c>
      <c r="H942" s="6" t="s">
        <v>192</v>
      </c>
      <c r="I942" s="6" t="s">
        <v>20</v>
      </c>
      <c r="J942" s="6">
        <v>2026.0</v>
      </c>
      <c r="L942" s="6">
        <v>4.0</v>
      </c>
      <c r="M942" s="8">
        <f t="shared" si="1"/>
        <v>0.4</v>
      </c>
      <c r="P942" s="9"/>
    </row>
    <row r="943">
      <c r="A943" s="6" t="s">
        <v>2412</v>
      </c>
      <c r="B943" s="6" t="s">
        <v>2413</v>
      </c>
      <c r="C943" s="6" t="s">
        <v>23</v>
      </c>
      <c r="E943" s="6" t="s">
        <v>1570</v>
      </c>
      <c r="F943" s="6" t="s">
        <v>159</v>
      </c>
      <c r="G943" s="7">
        <v>0.03</v>
      </c>
      <c r="H943" s="6" t="s">
        <v>316</v>
      </c>
      <c r="I943" s="6" t="s">
        <v>20</v>
      </c>
      <c r="J943" s="6">
        <v>2016.0</v>
      </c>
      <c r="K943" s="10">
        <v>46179.0</v>
      </c>
      <c r="L943" s="6">
        <v>6.0</v>
      </c>
      <c r="M943" s="8">
        <f t="shared" si="1"/>
        <v>0.18</v>
      </c>
      <c r="P943" s="9"/>
    </row>
    <row r="944">
      <c r="A944" s="6" t="s">
        <v>2414</v>
      </c>
      <c r="B944" s="6" t="s">
        <v>841</v>
      </c>
      <c r="C944" s="6" t="s">
        <v>48</v>
      </c>
      <c r="D944" s="6" t="s">
        <v>2415</v>
      </c>
      <c r="E944" s="6" t="s">
        <v>625</v>
      </c>
      <c r="F944" s="6" t="s">
        <v>37</v>
      </c>
      <c r="G944" s="7">
        <v>0.03</v>
      </c>
      <c r="H944" s="6" t="s">
        <v>299</v>
      </c>
      <c r="I944" s="6" t="s">
        <v>20</v>
      </c>
      <c r="J944" s="6">
        <v>2017.0</v>
      </c>
      <c r="K944" s="10">
        <v>46055.0</v>
      </c>
      <c r="L944" s="6">
        <v>1.0</v>
      </c>
      <c r="M944" s="8">
        <f t="shared" si="1"/>
        <v>0.03</v>
      </c>
      <c r="P944" s="9"/>
    </row>
    <row r="945">
      <c r="A945" s="6" t="s">
        <v>2416</v>
      </c>
      <c r="B945" s="6" t="s">
        <v>263</v>
      </c>
      <c r="C945" s="6" t="s">
        <v>48</v>
      </c>
      <c r="D945" s="6" t="s">
        <v>2417</v>
      </c>
      <c r="E945" s="6" t="s">
        <v>2418</v>
      </c>
      <c r="F945" s="6" t="s">
        <v>60</v>
      </c>
      <c r="G945" s="7">
        <v>0.14</v>
      </c>
      <c r="H945" s="6" t="s">
        <v>1084</v>
      </c>
      <c r="I945" s="6" t="s">
        <v>20</v>
      </c>
      <c r="J945" s="6">
        <v>2018.0</v>
      </c>
      <c r="K945" s="6" t="s">
        <v>2419</v>
      </c>
      <c r="L945" s="6">
        <v>4.0</v>
      </c>
      <c r="M945" s="8">
        <f t="shared" si="1"/>
        <v>0.56</v>
      </c>
      <c r="P945" s="9"/>
    </row>
    <row r="946">
      <c r="A946" s="6" t="s">
        <v>2420</v>
      </c>
      <c r="B946" s="6" t="s">
        <v>372</v>
      </c>
      <c r="C946" s="6" t="s">
        <v>23</v>
      </c>
      <c r="D946" s="6" t="s">
        <v>2421</v>
      </c>
      <c r="E946" s="6" t="s">
        <v>112</v>
      </c>
      <c r="F946" s="6" t="s">
        <v>65</v>
      </c>
      <c r="G946" s="7">
        <v>0.06</v>
      </c>
      <c r="H946" s="6" t="s">
        <v>418</v>
      </c>
      <c r="I946" s="6" t="s">
        <v>20</v>
      </c>
      <c r="J946" s="6">
        <v>2022.0</v>
      </c>
      <c r="L946" s="6">
        <v>1.0</v>
      </c>
      <c r="M946" s="8">
        <f t="shared" si="1"/>
        <v>0.06</v>
      </c>
      <c r="P946" s="9"/>
    </row>
    <row r="947">
      <c r="A947" s="6" t="s">
        <v>2422</v>
      </c>
      <c r="B947" s="6" t="s">
        <v>202</v>
      </c>
      <c r="C947" s="6" t="s">
        <v>48</v>
      </c>
      <c r="D947" s="6" t="s">
        <v>2423</v>
      </c>
      <c r="E947" s="6" t="s">
        <v>112</v>
      </c>
      <c r="F947" s="6" t="s">
        <v>65</v>
      </c>
      <c r="G947" s="7">
        <v>0.15</v>
      </c>
      <c r="H947" s="6" t="s">
        <v>88</v>
      </c>
      <c r="I947" s="6" t="s">
        <v>20</v>
      </c>
      <c r="J947" s="6">
        <v>2013.0</v>
      </c>
      <c r="L947" s="6">
        <v>1.0</v>
      </c>
      <c r="M947" s="8">
        <f t="shared" si="1"/>
        <v>0.15</v>
      </c>
      <c r="P947" s="9"/>
    </row>
    <row r="948">
      <c r="A948" s="6" t="s">
        <v>2424</v>
      </c>
      <c r="B948" s="6" t="s">
        <v>291</v>
      </c>
      <c r="C948" s="6" t="s">
        <v>23</v>
      </c>
      <c r="D948" s="6" t="s">
        <v>2425</v>
      </c>
      <c r="E948" s="6" t="s">
        <v>25</v>
      </c>
      <c r="F948" s="6" t="s">
        <v>18</v>
      </c>
      <c r="G948" s="7">
        <v>0.06</v>
      </c>
      <c r="H948" s="6" t="s">
        <v>632</v>
      </c>
      <c r="I948" s="6" t="s">
        <v>20</v>
      </c>
      <c r="J948" s="6">
        <v>2002.0</v>
      </c>
      <c r="K948" s="10">
        <v>46023.0</v>
      </c>
      <c r="L948" s="6">
        <v>1.0</v>
      </c>
      <c r="M948" s="8">
        <f t="shared" si="1"/>
        <v>0.06</v>
      </c>
      <c r="P948" s="9"/>
    </row>
    <row r="949">
      <c r="A949" s="6" t="s">
        <v>2426</v>
      </c>
      <c r="B949" s="6" t="s">
        <v>1808</v>
      </c>
      <c r="C949" s="6" t="s">
        <v>23</v>
      </c>
      <c r="D949" s="6" t="s">
        <v>2427</v>
      </c>
      <c r="E949" s="6" t="s">
        <v>602</v>
      </c>
      <c r="F949" s="6" t="s">
        <v>159</v>
      </c>
      <c r="G949" s="7">
        <v>0.48</v>
      </c>
      <c r="H949" s="6" t="s">
        <v>163</v>
      </c>
      <c r="I949" s="6" t="s">
        <v>20</v>
      </c>
      <c r="J949" s="6">
        <v>2023.0</v>
      </c>
      <c r="K949" s="10">
        <v>46147.0</v>
      </c>
      <c r="L949" s="6">
        <v>1.0</v>
      </c>
      <c r="M949" s="8">
        <f t="shared" si="1"/>
        <v>0.48</v>
      </c>
      <c r="P949" s="9"/>
    </row>
    <row r="950">
      <c r="A950" s="6" t="s">
        <v>2428</v>
      </c>
      <c r="B950" s="6" t="s">
        <v>182</v>
      </c>
      <c r="C950" s="6" t="s">
        <v>23</v>
      </c>
      <c r="D950" s="6" t="s">
        <v>2429</v>
      </c>
      <c r="E950" s="6" t="s">
        <v>196</v>
      </c>
      <c r="F950" s="6" t="s">
        <v>65</v>
      </c>
      <c r="G950" s="7">
        <v>0.05</v>
      </c>
      <c r="H950" s="6" t="s">
        <v>265</v>
      </c>
      <c r="I950" s="6" t="s">
        <v>20</v>
      </c>
      <c r="J950" s="6">
        <v>2017.0</v>
      </c>
      <c r="L950" s="6">
        <v>4.0</v>
      </c>
      <c r="M950" s="8">
        <f t="shared" si="1"/>
        <v>0.2</v>
      </c>
      <c r="P950" s="9"/>
    </row>
    <row r="951">
      <c r="A951" s="6" t="s">
        <v>2430</v>
      </c>
      <c r="B951" s="6" t="s">
        <v>543</v>
      </c>
      <c r="C951" s="6" t="s">
        <v>48</v>
      </c>
      <c r="D951" s="6" t="s">
        <v>2431</v>
      </c>
      <c r="E951" s="6" t="s">
        <v>1505</v>
      </c>
      <c r="F951" s="6" t="s">
        <v>18</v>
      </c>
      <c r="G951" s="7">
        <v>0.2</v>
      </c>
      <c r="H951" s="6" t="s">
        <v>45</v>
      </c>
      <c r="I951" s="6" t="s">
        <v>20</v>
      </c>
      <c r="J951" s="6">
        <v>2025.0</v>
      </c>
      <c r="L951" s="6">
        <v>1.0</v>
      </c>
      <c r="M951" s="8">
        <f t="shared" si="1"/>
        <v>0.2</v>
      </c>
      <c r="P951" s="9"/>
    </row>
    <row r="952">
      <c r="A952" s="6" t="s">
        <v>2432</v>
      </c>
      <c r="B952" s="6" t="s">
        <v>182</v>
      </c>
      <c r="C952" s="6" t="s">
        <v>23</v>
      </c>
      <c r="D952" s="6" t="s">
        <v>2433</v>
      </c>
      <c r="E952" s="6" t="s">
        <v>533</v>
      </c>
      <c r="F952" s="6" t="s">
        <v>65</v>
      </c>
      <c r="G952" s="7">
        <v>0.05</v>
      </c>
      <c r="H952" s="6" t="s">
        <v>701</v>
      </c>
      <c r="I952" s="6" t="s">
        <v>20</v>
      </c>
      <c r="J952" s="6">
        <v>2012.0</v>
      </c>
      <c r="L952" s="6">
        <v>1.0</v>
      </c>
      <c r="M952" s="8">
        <f t="shared" si="1"/>
        <v>0.05</v>
      </c>
      <c r="P952" s="9"/>
    </row>
    <row r="953">
      <c r="A953" s="6" t="s">
        <v>2434</v>
      </c>
      <c r="B953" s="6" t="s">
        <v>2026</v>
      </c>
      <c r="C953" s="6" t="s">
        <v>34</v>
      </c>
      <c r="D953" s="6" t="s">
        <v>2435</v>
      </c>
      <c r="E953" s="6" t="s">
        <v>1129</v>
      </c>
      <c r="F953" s="6" t="s">
        <v>18</v>
      </c>
      <c r="G953" s="7">
        <v>0.03</v>
      </c>
      <c r="H953" s="6" t="s">
        <v>483</v>
      </c>
      <c r="I953" s="6" t="s">
        <v>20</v>
      </c>
      <c r="J953" s="6">
        <v>2014.0</v>
      </c>
      <c r="L953" s="6">
        <v>3.0</v>
      </c>
      <c r="M953" s="8">
        <f t="shared" si="1"/>
        <v>0.09</v>
      </c>
      <c r="P953" s="9"/>
    </row>
    <row r="954">
      <c r="A954" s="6" t="s">
        <v>2434</v>
      </c>
      <c r="B954" s="6" t="s">
        <v>2026</v>
      </c>
      <c r="C954" s="6" t="s">
        <v>34</v>
      </c>
      <c r="D954" s="6" t="s">
        <v>2435</v>
      </c>
      <c r="E954" s="6" t="s">
        <v>1129</v>
      </c>
      <c r="F954" s="6" t="s">
        <v>18</v>
      </c>
      <c r="G954" s="7">
        <v>0.26</v>
      </c>
      <c r="H954" s="6" t="s">
        <v>483</v>
      </c>
      <c r="I954" s="6" t="s">
        <v>20</v>
      </c>
      <c r="J954" s="6">
        <v>2014.0</v>
      </c>
      <c r="L954" s="6">
        <v>1.0</v>
      </c>
      <c r="M954" s="8">
        <f t="shared" si="1"/>
        <v>0.26</v>
      </c>
      <c r="P954" s="9"/>
    </row>
    <row r="955">
      <c r="A955" s="6" t="s">
        <v>2436</v>
      </c>
      <c r="B955" s="6" t="s">
        <v>1697</v>
      </c>
      <c r="C955" s="6" t="s">
        <v>23</v>
      </c>
      <c r="D955" s="6" t="s">
        <v>2437</v>
      </c>
      <c r="E955" s="6" t="s">
        <v>2312</v>
      </c>
      <c r="F955" s="6" t="s">
        <v>103</v>
      </c>
      <c r="G955" s="7">
        <v>0.05</v>
      </c>
      <c r="H955" s="6" t="s">
        <v>2009</v>
      </c>
      <c r="I955" s="6" t="s">
        <v>20</v>
      </c>
      <c r="J955" s="6">
        <v>2005.0</v>
      </c>
      <c r="K955" s="10">
        <v>46055.0</v>
      </c>
      <c r="L955" s="6">
        <v>1.0</v>
      </c>
      <c r="M955" s="8">
        <f t="shared" si="1"/>
        <v>0.05</v>
      </c>
      <c r="P955" s="9"/>
    </row>
    <row r="956">
      <c r="A956" s="6" t="s">
        <v>2438</v>
      </c>
      <c r="B956" s="6" t="s">
        <v>2439</v>
      </c>
      <c r="C956" s="6" t="s">
        <v>23</v>
      </c>
      <c r="D956" s="6" t="s">
        <v>2440</v>
      </c>
      <c r="E956" s="6" t="s">
        <v>196</v>
      </c>
      <c r="F956" s="6" t="s">
        <v>65</v>
      </c>
      <c r="G956" s="7">
        <v>0.08</v>
      </c>
      <c r="H956" s="6" t="s">
        <v>2441</v>
      </c>
      <c r="I956" s="6" t="s">
        <v>20</v>
      </c>
      <c r="J956" s="6">
        <v>2004.0</v>
      </c>
      <c r="K956" s="10">
        <v>46023.0</v>
      </c>
      <c r="L956" s="6">
        <v>1.0</v>
      </c>
      <c r="M956" s="8">
        <f t="shared" si="1"/>
        <v>0.08</v>
      </c>
      <c r="P956" s="9"/>
    </row>
    <row r="957">
      <c r="A957" s="6" t="s">
        <v>2442</v>
      </c>
      <c r="B957" s="6" t="s">
        <v>2443</v>
      </c>
      <c r="C957" s="6" t="s">
        <v>34</v>
      </c>
      <c r="D957" s="6" t="s">
        <v>2444</v>
      </c>
      <c r="E957" s="6" t="s">
        <v>377</v>
      </c>
      <c r="F957" s="6" t="s">
        <v>103</v>
      </c>
      <c r="G957" s="7">
        <v>0.18</v>
      </c>
      <c r="H957" s="6" t="s">
        <v>19</v>
      </c>
      <c r="I957" s="6" t="s">
        <v>20</v>
      </c>
      <c r="J957" s="6">
        <v>2023.0</v>
      </c>
      <c r="K957" s="10">
        <v>46023.0</v>
      </c>
      <c r="L957" s="6">
        <v>2.0</v>
      </c>
      <c r="M957" s="8">
        <f t="shared" si="1"/>
        <v>0.36</v>
      </c>
      <c r="P957" s="9"/>
    </row>
    <row r="958">
      <c r="A958" s="6" t="s">
        <v>2445</v>
      </c>
      <c r="B958" s="6" t="s">
        <v>2446</v>
      </c>
      <c r="C958" s="6" t="s">
        <v>23</v>
      </c>
      <c r="D958" s="6" t="s">
        <v>2447</v>
      </c>
      <c r="E958" s="6" t="s">
        <v>149</v>
      </c>
      <c r="F958" s="6" t="s">
        <v>18</v>
      </c>
      <c r="G958" s="7">
        <v>0.03</v>
      </c>
      <c r="H958" s="6" t="s">
        <v>645</v>
      </c>
      <c r="I958" s="6" t="s">
        <v>20</v>
      </c>
      <c r="J958" s="6">
        <v>2024.0</v>
      </c>
      <c r="K958" s="10">
        <v>46024.0</v>
      </c>
      <c r="L958" s="6">
        <v>1.0</v>
      </c>
      <c r="M958" s="8">
        <f t="shared" si="1"/>
        <v>0.03</v>
      </c>
      <c r="P958" s="9"/>
    </row>
    <row r="959">
      <c r="A959" s="6" t="s">
        <v>2448</v>
      </c>
      <c r="B959" s="6" t="s">
        <v>1032</v>
      </c>
      <c r="C959" s="6" t="s">
        <v>41</v>
      </c>
      <c r="D959" s="6" t="s">
        <v>2449</v>
      </c>
      <c r="E959" s="6" t="s">
        <v>533</v>
      </c>
      <c r="F959" s="6" t="s">
        <v>65</v>
      </c>
      <c r="G959" s="7">
        <v>0.21</v>
      </c>
      <c r="H959" s="6" t="s">
        <v>114</v>
      </c>
      <c r="I959" s="6" t="s">
        <v>20</v>
      </c>
      <c r="J959" s="6">
        <v>2021.0</v>
      </c>
      <c r="K959" s="10">
        <v>46085.0</v>
      </c>
      <c r="L959" s="6">
        <v>1.0</v>
      </c>
      <c r="M959" s="8">
        <f t="shared" si="1"/>
        <v>0.21</v>
      </c>
      <c r="P959" s="9"/>
    </row>
    <row r="960">
      <c r="A960" s="6" t="s">
        <v>2450</v>
      </c>
      <c r="B960" s="6" t="s">
        <v>2451</v>
      </c>
      <c r="C960" s="6" t="s">
        <v>48</v>
      </c>
      <c r="D960" s="6" t="s">
        <v>2452</v>
      </c>
      <c r="E960" s="6" t="s">
        <v>79</v>
      </c>
      <c r="F960" s="6" t="s">
        <v>51</v>
      </c>
      <c r="G960" s="7">
        <v>0.15</v>
      </c>
      <c r="H960" s="6" t="s">
        <v>641</v>
      </c>
      <c r="I960" s="6" t="s">
        <v>20</v>
      </c>
      <c r="J960" s="6">
        <v>2026.0</v>
      </c>
      <c r="L960" s="6">
        <v>1.0</v>
      </c>
      <c r="M960" s="8">
        <f t="shared" si="1"/>
        <v>0.15</v>
      </c>
      <c r="P960" s="9"/>
    </row>
    <row r="961">
      <c r="A961" s="6" t="s">
        <v>2453</v>
      </c>
      <c r="B961" s="6" t="s">
        <v>2454</v>
      </c>
      <c r="C961" s="6" t="s">
        <v>521</v>
      </c>
      <c r="D961" s="6" t="s">
        <v>2455</v>
      </c>
      <c r="E961" s="6" t="s">
        <v>118</v>
      </c>
      <c r="F961" s="6" t="s">
        <v>904</v>
      </c>
      <c r="G961" s="7">
        <v>4.79</v>
      </c>
      <c r="H961" s="6" t="s">
        <v>574</v>
      </c>
      <c r="I961" s="6" t="s">
        <v>20</v>
      </c>
      <c r="J961" s="6">
        <v>2000.0</v>
      </c>
      <c r="K961" s="10">
        <v>46023.0</v>
      </c>
      <c r="L961" s="6">
        <v>1.0</v>
      </c>
      <c r="M961" s="8">
        <f t="shared" si="1"/>
        <v>4.79</v>
      </c>
      <c r="P961" s="9"/>
    </row>
    <row r="962">
      <c r="A962" s="6" t="s">
        <v>2456</v>
      </c>
      <c r="B962" s="6" t="s">
        <v>2457</v>
      </c>
      <c r="C962" s="6" t="s">
        <v>23</v>
      </c>
      <c r="D962" s="6" t="s">
        <v>2458</v>
      </c>
      <c r="E962" s="6" t="s">
        <v>533</v>
      </c>
      <c r="F962" s="6" t="s">
        <v>65</v>
      </c>
      <c r="G962" s="7">
        <v>0.49</v>
      </c>
      <c r="H962" s="6" t="s">
        <v>552</v>
      </c>
      <c r="I962" s="6" t="s">
        <v>20</v>
      </c>
      <c r="J962" s="6">
        <v>2020.0</v>
      </c>
      <c r="K962" s="10">
        <v>46058.0</v>
      </c>
      <c r="L962" s="6">
        <v>4.0</v>
      </c>
      <c r="M962" s="8">
        <f t="shared" si="1"/>
        <v>1.96</v>
      </c>
      <c r="P962" s="9"/>
    </row>
    <row r="963">
      <c r="A963" s="6" t="s">
        <v>2459</v>
      </c>
      <c r="B963" s="6" t="s">
        <v>2460</v>
      </c>
      <c r="C963" s="6" t="s">
        <v>41</v>
      </c>
      <c r="D963" s="6" t="s">
        <v>2461</v>
      </c>
      <c r="E963" s="6" t="s">
        <v>2462</v>
      </c>
      <c r="F963" s="6" t="s">
        <v>65</v>
      </c>
      <c r="G963" s="7">
        <v>1.72</v>
      </c>
      <c r="H963" s="6" t="s">
        <v>370</v>
      </c>
      <c r="I963" s="6" t="s">
        <v>20</v>
      </c>
      <c r="J963" s="6">
        <v>1996.0</v>
      </c>
      <c r="K963" s="10">
        <v>46179.0</v>
      </c>
      <c r="L963" s="6">
        <v>1.0</v>
      </c>
      <c r="M963" s="8">
        <f t="shared" si="1"/>
        <v>1.72</v>
      </c>
      <c r="P963" s="9"/>
    </row>
    <row r="964">
      <c r="A964" s="6" t="s">
        <v>2463</v>
      </c>
      <c r="B964" s="6" t="s">
        <v>2464</v>
      </c>
      <c r="C964" s="6" t="s">
        <v>41</v>
      </c>
      <c r="D964" s="6" t="s">
        <v>2465</v>
      </c>
      <c r="E964" s="6" t="s">
        <v>1005</v>
      </c>
      <c r="F964" s="6" t="s">
        <v>65</v>
      </c>
      <c r="G964" s="7">
        <v>0.18</v>
      </c>
      <c r="H964" s="6" t="s">
        <v>119</v>
      </c>
      <c r="I964" s="6" t="s">
        <v>20</v>
      </c>
      <c r="J964" s="6">
        <v>1995.0</v>
      </c>
      <c r="K964" s="10">
        <v>46055.0</v>
      </c>
      <c r="L964" s="6">
        <v>1.0</v>
      </c>
      <c r="M964" s="8">
        <f t="shared" si="1"/>
        <v>0.18</v>
      </c>
      <c r="P964" s="9"/>
    </row>
    <row r="965">
      <c r="A965" s="6" t="s">
        <v>2466</v>
      </c>
      <c r="B965" s="6" t="s">
        <v>2467</v>
      </c>
      <c r="C965" s="6" t="s">
        <v>34</v>
      </c>
      <c r="D965" s="6" t="s">
        <v>2468</v>
      </c>
      <c r="E965" s="6" t="s">
        <v>2469</v>
      </c>
      <c r="F965" s="6" t="s">
        <v>65</v>
      </c>
      <c r="G965" s="7">
        <v>0.13</v>
      </c>
      <c r="H965" s="6" t="s">
        <v>38</v>
      </c>
      <c r="I965" s="6" t="s">
        <v>20</v>
      </c>
      <c r="J965" s="6">
        <v>2026.0</v>
      </c>
      <c r="K965" s="10">
        <v>46056.0</v>
      </c>
      <c r="L965" s="6">
        <v>1.0</v>
      </c>
      <c r="M965" s="8">
        <f t="shared" si="1"/>
        <v>0.13</v>
      </c>
      <c r="P965" s="9"/>
    </row>
    <row r="966">
      <c r="A966" s="6" t="s">
        <v>2470</v>
      </c>
      <c r="B966" s="6" t="s">
        <v>2471</v>
      </c>
      <c r="C966" s="6" t="s">
        <v>23</v>
      </c>
      <c r="D966" s="6" t="s">
        <v>2472</v>
      </c>
      <c r="E966" s="6" t="s">
        <v>30</v>
      </c>
      <c r="F966" s="6" t="s">
        <v>18</v>
      </c>
      <c r="G966" s="7">
        <v>0.02</v>
      </c>
      <c r="H966" s="6" t="s">
        <v>1246</v>
      </c>
      <c r="I966" s="6" t="s">
        <v>20</v>
      </c>
      <c r="J966" s="6">
        <v>2006.0</v>
      </c>
      <c r="K966" s="10">
        <v>46025.0</v>
      </c>
      <c r="L966" s="6">
        <v>1.0</v>
      </c>
      <c r="M966" s="8">
        <f t="shared" si="1"/>
        <v>0.02</v>
      </c>
      <c r="P966" s="9"/>
    </row>
    <row r="967">
      <c r="A967" s="6" t="s">
        <v>2473</v>
      </c>
      <c r="B967" s="6" t="s">
        <v>2474</v>
      </c>
      <c r="C967" s="6" t="s">
        <v>48</v>
      </c>
      <c r="D967" s="6" t="s">
        <v>2475</v>
      </c>
      <c r="E967" s="6" t="s">
        <v>153</v>
      </c>
      <c r="F967" s="6" t="s">
        <v>103</v>
      </c>
      <c r="G967" s="7">
        <v>0.38</v>
      </c>
      <c r="H967" s="6" t="s">
        <v>31</v>
      </c>
      <c r="I967" s="6" t="s">
        <v>20</v>
      </c>
      <c r="J967" s="6">
        <v>2026.0</v>
      </c>
      <c r="K967" s="10">
        <v>46084.0</v>
      </c>
      <c r="L967" s="6">
        <v>1.0</v>
      </c>
      <c r="M967" s="8">
        <f t="shared" si="1"/>
        <v>0.38</v>
      </c>
      <c r="P967" s="9"/>
    </row>
    <row r="968">
      <c r="A968" s="6" t="s">
        <v>2476</v>
      </c>
      <c r="B968" s="6" t="s">
        <v>726</v>
      </c>
      <c r="C968" s="6" t="s">
        <v>23</v>
      </c>
      <c r="D968" s="6" t="s">
        <v>2477</v>
      </c>
      <c r="E968" s="6" t="s">
        <v>118</v>
      </c>
      <c r="F968" s="6" t="s">
        <v>51</v>
      </c>
      <c r="G968" s="7">
        <v>0.05</v>
      </c>
      <c r="H968" s="6" t="s">
        <v>1018</v>
      </c>
      <c r="I968" s="6" t="s">
        <v>20</v>
      </c>
      <c r="J968" s="6">
        <v>1999.0</v>
      </c>
      <c r="K968" s="10">
        <v>46023.0</v>
      </c>
      <c r="L968" s="6">
        <v>1.0</v>
      </c>
      <c r="M968" s="8">
        <f t="shared" si="1"/>
        <v>0.05</v>
      </c>
      <c r="P968" s="9"/>
    </row>
    <row r="969">
      <c r="A969" s="6" t="s">
        <v>2478</v>
      </c>
      <c r="B969" s="6" t="s">
        <v>229</v>
      </c>
      <c r="C969" s="6" t="s">
        <v>34</v>
      </c>
      <c r="D969" s="6" t="s">
        <v>2479</v>
      </c>
      <c r="E969" s="6" t="s">
        <v>231</v>
      </c>
      <c r="F969" s="6" t="s">
        <v>37</v>
      </c>
      <c r="G969" s="7">
        <v>0.14</v>
      </c>
      <c r="H969" s="6" t="s">
        <v>209</v>
      </c>
      <c r="I969" s="6" t="s">
        <v>20</v>
      </c>
      <c r="J969" s="6">
        <v>2025.0</v>
      </c>
      <c r="L969" s="6">
        <v>7.0</v>
      </c>
      <c r="M969" s="8">
        <f t="shared" si="1"/>
        <v>0.98</v>
      </c>
      <c r="P969" s="9"/>
    </row>
    <row r="970">
      <c r="A970" s="6" t="s">
        <v>2480</v>
      </c>
      <c r="B970" s="6" t="s">
        <v>2481</v>
      </c>
      <c r="C970" s="6" t="s">
        <v>23</v>
      </c>
      <c r="D970" s="6" t="s">
        <v>2482</v>
      </c>
      <c r="E970" s="6" t="s">
        <v>149</v>
      </c>
      <c r="F970" s="6" t="s">
        <v>18</v>
      </c>
      <c r="G970" s="7">
        <v>0.06</v>
      </c>
      <c r="H970" s="6" t="s">
        <v>271</v>
      </c>
      <c r="I970" s="6" t="s">
        <v>20</v>
      </c>
      <c r="J970" s="6">
        <v>2012.0</v>
      </c>
      <c r="K970" s="10">
        <v>46024.0</v>
      </c>
      <c r="L970" s="6">
        <v>1.0</v>
      </c>
      <c r="M970" s="8">
        <f t="shared" si="1"/>
        <v>0.06</v>
      </c>
      <c r="P970" s="9"/>
    </row>
    <row r="971">
      <c r="A971" s="6" t="s">
        <v>2483</v>
      </c>
      <c r="B971" s="6" t="s">
        <v>1805</v>
      </c>
      <c r="C971" s="6" t="s">
        <v>23</v>
      </c>
      <c r="D971" s="6" t="s">
        <v>2484</v>
      </c>
      <c r="E971" s="6" t="s">
        <v>235</v>
      </c>
      <c r="F971" s="6" t="s">
        <v>103</v>
      </c>
      <c r="G971" s="7">
        <v>0.05</v>
      </c>
      <c r="H971" s="6" t="s">
        <v>552</v>
      </c>
      <c r="I971" s="6" t="s">
        <v>20</v>
      </c>
      <c r="J971" s="6">
        <v>2020.0</v>
      </c>
      <c r="K971" s="10">
        <v>46024.0</v>
      </c>
      <c r="L971" s="6">
        <v>1.0</v>
      </c>
      <c r="M971" s="8">
        <f t="shared" si="1"/>
        <v>0.05</v>
      </c>
      <c r="P971" s="9"/>
    </row>
    <row r="972">
      <c r="A972" s="6" t="s">
        <v>2485</v>
      </c>
      <c r="B972" s="6" t="s">
        <v>2486</v>
      </c>
      <c r="C972" s="6" t="s">
        <v>34</v>
      </c>
      <c r="D972" s="6" t="s">
        <v>2487</v>
      </c>
      <c r="E972" s="6" t="s">
        <v>175</v>
      </c>
      <c r="F972" s="6" t="s">
        <v>51</v>
      </c>
      <c r="G972" s="7">
        <v>0.13</v>
      </c>
      <c r="H972" s="6" t="s">
        <v>38</v>
      </c>
      <c r="I972" s="6" t="s">
        <v>20</v>
      </c>
      <c r="J972" s="6">
        <v>2026.0</v>
      </c>
      <c r="K972" s="10">
        <v>46054.0</v>
      </c>
      <c r="L972" s="6">
        <v>2.0</v>
      </c>
      <c r="M972" s="8">
        <f t="shared" si="1"/>
        <v>0.26</v>
      </c>
      <c r="P972" s="9"/>
    </row>
    <row r="973">
      <c r="A973" s="6" t="s">
        <v>2488</v>
      </c>
      <c r="B973" s="6" t="s">
        <v>2489</v>
      </c>
      <c r="C973" s="6" t="s">
        <v>23</v>
      </c>
      <c r="D973" s="6" t="s">
        <v>2490</v>
      </c>
      <c r="E973" s="6" t="s">
        <v>149</v>
      </c>
      <c r="F973" s="6" t="s">
        <v>18</v>
      </c>
      <c r="G973" s="7">
        <v>0.05</v>
      </c>
      <c r="H973" s="6" t="s">
        <v>632</v>
      </c>
      <c r="I973" s="6" t="s">
        <v>20</v>
      </c>
      <c r="J973" s="6">
        <v>2002.0</v>
      </c>
      <c r="L973" s="6">
        <v>1.0</v>
      </c>
      <c r="M973" s="8">
        <f t="shared" si="1"/>
        <v>0.05</v>
      </c>
      <c r="P973" s="9"/>
    </row>
    <row r="974">
      <c r="A974" s="6" t="s">
        <v>2491</v>
      </c>
      <c r="B974" s="6" t="s">
        <v>424</v>
      </c>
      <c r="C974" s="6" t="s">
        <v>41</v>
      </c>
      <c r="D974" s="6" t="s">
        <v>2492</v>
      </c>
      <c r="F974" s="6" t="s">
        <v>37</v>
      </c>
      <c r="G974" s="7">
        <v>0.23</v>
      </c>
      <c r="H974" s="6" t="s">
        <v>705</v>
      </c>
      <c r="I974" s="6" t="s">
        <v>20</v>
      </c>
      <c r="J974" s="6">
        <v>2015.0</v>
      </c>
      <c r="L974" s="6">
        <v>1.0</v>
      </c>
      <c r="M974" s="8">
        <f t="shared" si="1"/>
        <v>0.23</v>
      </c>
      <c r="P974" s="9"/>
    </row>
    <row r="975">
      <c r="A975" s="6" t="s">
        <v>2493</v>
      </c>
      <c r="B975" s="6" t="s">
        <v>165</v>
      </c>
      <c r="C975" s="6" t="s">
        <v>34</v>
      </c>
      <c r="D975" s="6" t="s">
        <v>2494</v>
      </c>
      <c r="E975" s="6" t="s">
        <v>377</v>
      </c>
      <c r="F975" s="6" t="s">
        <v>103</v>
      </c>
      <c r="G975" s="7">
        <v>0.13</v>
      </c>
      <c r="H975" s="6" t="s">
        <v>38</v>
      </c>
      <c r="I975" s="6" t="s">
        <v>20</v>
      </c>
      <c r="J975" s="6">
        <v>2026.0</v>
      </c>
      <c r="L975" s="6">
        <v>1.0</v>
      </c>
      <c r="M975" s="8">
        <f t="shared" si="1"/>
        <v>0.13</v>
      </c>
      <c r="P975" s="9"/>
    </row>
    <row r="976">
      <c r="A976" s="6" t="s">
        <v>2495</v>
      </c>
      <c r="B976" s="6" t="s">
        <v>1697</v>
      </c>
      <c r="C976" s="6" t="s">
        <v>23</v>
      </c>
      <c r="D976" s="6" t="s">
        <v>2496</v>
      </c>
      <c r="E976" s="6" t="s">
        <v>102</v>
      </c>
      <c r="F976" s="6" t="s">
        <v>103</v>
      </c>
      <c r="G976" s="7">
        <v>0.07</v>
      </c>
      <c r="H976" s="6" t="s">
        <v>1665</v>
      </c>
      <c r="I976" s="6" t="s">
        <v>20</v>
      </c>
      <c r="J976" s="6">
        <v>2004.0</v>
      </c>
      <c r="K976" s="10">
        <v>46024.0</v>
      </c>
      <c r="L976" s="6">
        <v>1.0</v>
      </c>
      <c r="M976" s="8">
        <f t="shared" si="1"/>
        <v>0.07</v>
      </c>
      <c r="P976" s="9"/>
    </row>
    <row r="977">
      <c r="A977" s="6" t="s">
        <v>2497</v>
      </c>
      <c r="B977" s="6" t="s">
        <v>62</v>
      </c>
      <c r="C977" s="6" t="s">
        <v>23</v>
      </c>
      <c r="D977" s="6" t="s">
        <v>2498</v>
      </c>
      <c r="E977" s="6" t="s">
        <v>167</v>
      </c>
      <c r="F977" s="6" t="s">
        <v>103</v>
      </c>
      <c r="G977" s="7">
        <v>0.03</v>
      </c>
      <c r="H977" s="6" t="s">
        <v>359</v>
      </c>
      <c r="I977" s="6" t="s">
        <v>20</v>
      </c>
      <c r="J977" s="6">
        <v>2014.0</v>
      </c>
      <c r="L977" s="6">
        <v>6.0</v>
      </c>
      <c r="M977" s="8">
        <f t="shared" si="1"/>
        <v>0.18</v>
      </c>
      <c r="P977" s="9"/>
    </row>
    <row r="978">
      <c r="A978" s="6" t="s">
        <v>2499</v>
      </c>
      <c r="B978" s="6" t="s">
        <v>2500</v>
      </c>
      <c r="C978" s="6" t="s">
        <v>23</v>
      </c>
      <c r="D978" s="6" t="s">
        <v>2501</v>
      </c>
      <c r="E978" s="6" t="s">
        <v>2312</v>
      </c>
      <c r="F978" s="6" t="s">
        <v>103</v>
      </c>
      <c r="G978" s="7">
        <v>0.06</v>
      </c>
      <c r="H978" s="6" t="s">
        <v>1050</v>
      </c>
      <c r="I978" s="6" t="s">
        <v>20</v>
      </c>
      <c r="J978" s="6">
        <v>2023.0</v>
      </c>
      <c r="K978" s="10">
        <v>46147.0</v>
      </c>
      <c r="L978" s="6">
        <v>1.0</v>
      </c>
      <c r="M978" s="8">
        <f t="shared" si="1"/>
        <v>0.06</v>
      </c>
      <c r="P978" s="9"/>
    </row>
    <row r="979">
      <c r="A979" s="6" t="s">
        <v>2502</v>
      </c>
      <c r="B979" s="6" t="s">
        <v>62</v>
      </c>
      <c r="C979" s="6" t="s">
        <v>48</v>
      </c>
      <c r="D979" s="6" t="s">
        <v>2503</v>
      </c>
      <c r="E979" s="6" t="s">
        <v>611</v>
      </c>
      <c r="F979" s="6" t="s">
        <v>103</v>
      </c>
      <c r="G979" s="7">
        <v>0.06</v>
      </c>
      <c r="H979" s="6" t="s">
        <v>184</v>
      </c>
      <c r="I979" s="6" t="s">
        <v>20</v>
      </c>
      <c r="J979" s="6">
        <v>2015.0</v>
      </c>
      <c r="L979" s="6">
        <v>2.0</v>
      </c>
      <c r="M979" s="8">
        <f t="shared" si="1"/>
        <v>0.12</v>
      </c>
      <c r="P979" s="9"/>
    </row>
    <row r="980">
      <c r="A980" s="6" t="s">
        <v>2504</v>
      </c>
      <c r="B980" s="6" t="s">
        <v>2505</v>
      </c>
      <c r="C980" s="6" t="s">
        <v>41</v>
      </c>
      <c r="D980" s="6" t="s">
        <v>2506</v>
      </c>
      <c r="E980" s="6" t="s">
        <v>167</v>
      </c>
      <c r="F980" s="6" t="s">
        <v>103</v>
      </c>
      <c r="G980" s="7">
        <v>0.3</v>
      </c>
      <c r="H980" s="6" t="s">
        <v>188</v>
      </c>
      <c r="I980" s="6" t="s">
        <v>20</v>
      </c>
      <c r="J980" s="6">
        <v>2014.0</v>
      </c>
      <c r="K980" s="10">
        <v>46023.0</v>
      </c>
      <c r="L980" s="6">
        <v>1.0</v>
      </c>
      <c r="M980" s="8">
        <f t="shared" si="1"/>
        <v>0.3</v>
      </c>
      <c r="P980" s="9"/>
    </row>
    <row r="981">
      <c r="A981" s="6" t="s">
        <v>2504</v>
      </c>
      <c r="B981" s="6" t="s">
        <v>2505</v>
      </c>
      <c r="C981" s="6" t="s">
        <v>41</v>
      </c>
      <c r="D981" s="6" t="s">
        <v>2506</v>
      </c>
      <c r="E981" s="6" t="s">
        <v>167</v>
      </c>
      <c r="F981" s="6" t="s">
        <v>103</v>
      </c>
      <c r="G981" s="7">
        <v>0.3</v>
      </c>
      <c r="H981" s="6" t="s">
        <v>188</v>
      </c>
      <c r="I981" s="6" t="s">
        <v>20</v>
      </c>
      <c r="J981" s="6">
        <v>2014.0</v>
      </c>
      <c r="K981" s="10">
        <v>46023.0</v>
      </c>
      <c r="L981" s="6">
        <v>1.0</v>
      </c>
      <c r="M981" s="8">
        <f t="shared" si="1"/>
        <v>0.3</v>
      </c>
      <c r="P981" s="9"/>
    </row>
    <row r="982">
      <c r="A982" s="6" t="s">
        <v>2507</v>
      </c>
      <c r="B982" s="6" t="s">
        <v>2508</v>
      </c>
      <c r="C982" s="6" t="s">
        <v>23</v>
      </c>
      <c r="D982" s="6" t="s">
        <v>2509</v>
      </c>
      <c r="E982" s="6" t="s">
        <v>149</v>
      </c>
      <c r="F982" s="6" t="s">
        <v>18</v>
      </c>
      <c r="G982" s="7">
        <v>0.1</v>
      </c>
      <c r="H982" s="6" t="s">
        <v>192</v>
      </c>
      <c r="I982" s="6" t="s">
        <v>20</v>
      </c>
      <c r="J982" s="6">
        <v>2026.0</v>
      </c>
      <c r="K982" s="6" t="s">
        <v>1035</v>
      </c>
      <c r="L982" s="6">
        <v>7.0</v>
      </c>
      <c r="M982" s="8">
        <f t="shared" si="1"/>
        <v>0.7</v>
      </c>
      <c r="P982" s="9"/>
    </row>
    <row r="983">
      <c r="A983" s="6" t="s">
        <v>2510</v>
      </c>
      <c r="B983" s="6" t="s">
        <v>182</v>
      </c>
      <c r="C983" s="6" t="s">
        <v>23</v>
      </c>
      <c r="D983" s="6" t="s">
        <v>2511</v>
      </c>
      <c r="E983" s="6" t="s">
        <v>167</v>
      </c>
      <c r="F983" s="6" t="s">
        <v>103</v>
      </c>
      <c r="G983" s="7">
        <v>0.15</v>
      </c>
      <c r="H983" s="6" t="s">
        <v>2512</v>
      </c>
      <c r="I983" s="6" t="s">
        <v>20</v>
      </c>
      <c r="J983" s="6">
        <v>2006.0</v>
      </c>
      <c r="L983" s="6">
        <v>1.0</v>
      </c>
      <c r="M983" s="8">
        <f t="shared" si="1"/>
        <v>0.15</v>
      </c>
      <c r="P983" s="9"/>
    </row>
    <row r="984">
      <c r="A984" s="6" t="s">
        <v>2513</v>
      </c>
      <c r="B984" s="6" t="s">
        <v>366</v>
      </c>
      <c r="C984" s="6" t="s">
        <v>23</v>
      </c>
      <c r="D984" s="6" t="s">
        <v>2514</v>
      </c>
      <c r="E984" s="6" t="s">
        <v>248</v>
      </c>
      <c r="F984" s="6" t="s">
        <v>18</v>
      </c>
      <c r="G984" s="7">
        <v>0.33</v>
      </c>
      <c r="H984" s="6" t="s">
        <v>1269</v>
      </c>
      <c r="I984" s="6" t="s">
        <v>55</v>
      </c>
      <c r="J984" s="6">
        <v>2025.0</v>
      </c>
      <c r="L984" s="6">
        <v>2.0</v>
      </c>
      <c r="M984" s="8">
        <f t="shared" si="1"/>
        <v>0.66</v>
      </c>
      <c r="P984" s="9"/>
    </row>
    <row r="985">
      <c r="A985" s="6" t="s">
        <v>2515</v>
      </c>
      <c r="B985" s="6" t="s">
        <v>62</v>
      </c>
      <c r="C985" s="6" t="s">
        <v>23</v>
      </c>
      <c r="D985" s="6" t="s">
        <v>2516</v>
      </c>
      <c r="E985" s="6" t="s">
        <v>235</v>
      </c>
      <c r="F985" s="6" t="s">
        <v>103</v>
      </c>
      <c r="G985" s="7">
        <v>0.88</v>
      </c>
      <c r="H985" s="6" t="s">
        <v>1784</v>
      </c>
      <c r="I985" s="6" t="s">
        <v>20</v>
      </c>
      <c r="J985" s="6">
        <v>2013.0</v>
      </c>
      <c r="L985" s="6">
        <v>1.0</v>
      </c>
      <c r="M985" s="8">
        <f t="shared" si="1"/>
        <v>0.88</v>
      </c>
      <c r="N985" s="6" t="s">
        <v>172</v>
      </c>
      <c r="P985" s="9"/>
    </row>
    <row r="986">
      <c r="A986" s="6" t="s">
        <v>2517</v>
      </c>
      <c r="B986" s="6" t="s">
        <v>2518</v>
      </c>
      <c r="C986" s="6" t="s">
        <v>48</v>
      </c>
      <c r="D986" s="6" t="s">
        <v>2519</v>
      </c>
      <c r="E986" s="6" t="s">
        <v>2520</v>
      </c>
      <c r="F986" s="6" t="s">
        <v>18</v>
      </c>
      <c r="G986" s="7">
        <v>4.2</v>
      </c>
      <c r="H986" s="6" t="s">
        <v>562</v>
      </c>
      <c r="I986" s="6" t="s">
        <v>20</v>
      </c>
      <c r="J986" s="6">
        <v>2017.0</v>
      </c>
      <c r="K986" s="10">
        <v>46148.0</v>
      </c>
      <c r="L986" s="6">
        <v>2.0</v>
      </c>
      <c r="M986" s="8">
        <f t="shared" si="1"/>
        <v>8.4</v>
      </c>
      <c r="N986" s="6" t="s">
        <v>172</v>
      </c>
      <c r="P986" s="9"/>
    </row>
    <row r="987">
      <c r="A987" s="6" t="s">
        <v>2521</v>
      </c>
      <c r="B987" s="6" t="s">
        <v>2522</v>
      </c>
      <c r="C987" s="6" t="s">
        <v>23</v>
      </c>
      <c r="D987" s="6" t="s">
        <v>2523</v>
      </c>
      <c r="E987" s="6" t="s">
        <v>270</v>
      </c>
      <c r="F987" s="6" t="s">
        <v>159</v>
      </c>
      <c r="G987" s="7">
        <v>0.05</v>
      </c>
      <c r="H987" s="6" t="s">
        <v>645</v>
      </c>
      <c r="I987" s="6" t="s">
        <v>20</v>
      </c>
      <c r="J987" s="6">
        <v>2024.0</v>
      </c>
      <c r="K987" s="10">
        <v>46083.0</v>
      </c>
      <c r="L987" s="6">
        <v>1.0</v>
      </c>
      <c r="M987" s="8">
        <f t="shared" si="1"/>
        <v>0.05</v>
      </c>
      <c r="P987" s="9"/>
    </row>
    <row r="988">
      <c r="A988" s="6" t="s">
        <v>2524</v>
      </c>
      <c r="B988" s="6" t="s">
        <v>307</v>
      </c>
      <c r="C988" s="6" t="s">
        <v>48</v>
      </c>
      <c r="D988" s="6" t="s">
        <v>2525</v>
      </c>
      <c r="E988" s="6" t="s">
        <v>243</v>
      </c>
      <c r="F988" s="6" t="s">
        <v>37</v>
      </c>
      <c r="G988" s="7">
        <v>0.35</v>
      </c>
      <c r="H988" s="6" t="s">
        <v>66</v>
      </c>
      <c r="I988" s="6" t="s">
        <v>20</v>
      </c>
      <c r="J988" s="6">
        <v>2016.0</v>
      </c>
      <c r="L988" s="6">
        <v>2.0</v>
      </c>
      <c r="M988" s="8">
        <f t="shared" si="1"/>
        <v>0.7</v>
      </c>
      <c r="P988" s="9"/>
    </row>
    <row r="989">
      <c r="A989" s="6" t="s">
        <v>2526</v>
      </c>
      <c r="B989" s="6" t="s">
        <v>202</v>
      </c>
      <c r="C989" s="6" t="s">
        <v>48</v>
      </c>
      <c r="D989" s="6" t="s">
        <v>2527</v>
      </c>
      <c r="E989" s="6" t="s">
        <v>153</v>
      </c>
      <c r="F989" s="6" t="s">
        <v>103</v>
      </c>
      <c r="G989" s="7">
        <v>0.09</v>
      </c>
      <c r="H989" s="6" t="s">
        <v>2512</v>
      </c>
      <c r="I989" s="6" t="s">
        <v>20</v>
      </c>
      <c r="J989" s="6">
        <v>2006.0</v>
      </c>
      <c r="L989" s="6">
        <v>1.0</v>
      </c>
      <c r="M989" s="8">
        <f t="shared" si="1"/>
        <v>0.09</v>
      </c>
      <c r="P989" s="9"/>
    </row>
    <row r="990">
      <c r="A990" s="6" t="s">
        <v>2528</v>
      </c>
      <c r="B990" s="6" t="s">
        <v>372</v>
      </c>
      <c r="C990" s="6" t="s">
        <v>23</v>
      </c>
      <c r="D990" s="6" t="s">
        <v>2529</v>
      </c>
      <c r="E990" s="6" t="s">
        <v>298</v>
      </c>
      <c r="F990" s="6" t="s">
        <v>159</v>
      </c>
      <c r="G990" s="7">
        <v>0.25</v>
      </c>
      <c r="H990" s="6" t="s">
        <v>848</v>
      </c>
      <c r="I990" s="6" t="s">
        <v>55</v>
      </c>
      <c r="J990" s="6">
        <v>2023.0</v>
      </c>
      <c r="L990" s="6">
        <v>1.0</v>
      </c>
      <c r="M990" s="8">
        <f t="shared" si="1"/>
        <v>0.25</v>
      </c>
      <c r="P990" s="9"/>
    </row>
    <row r="991">
      <c r="A991" s="6" t="s">
        <v>2530</v>
      </c>
      <c r="B991" s="6" t="s">
        <v>307</v>
      </c>
      <c r="C991" s="6" t="s">
        <v>48</v>
      </c>
      <c r="D991" s="6" t="s">
        <v>2531</v>
      </c>
      <c r="E991" s="6" t="s">
        <v>303</v>
      </c>
      <c r="F991" s="6" t="s">
        <v>37</v>
      </c>
      <c r="G991" s="7">
        <v>0.09</v>
      </c>
      <c r="H991" s="6" t="s">
        <v>119</v>
      </c>
      <c r="I991" s="6" t="s">
        <v>20</v>
      </c>
      <c r="J991" s="6">
        <v>1995.0</v>
      </c>
      <c r="L991" s="6">
        <v>1.0</v>
      </c>
      <c r="M991" s="8">
        <f t="shared" si="1"/>
        <v>0.09</v>
      </c>
      <c r="P991" s="9"/>
    </row>
    <row r="992">
      <c r="A992" s="6" t="s">
        <v>2530</v>
      </c>
      <c r="B992" s="6" t="s">
        <v>307</v>
      </c>
      <c r="C992" s="6" t="s">
        <v>48</v>
      </c>
      <c r="D992" s="6" t="s">
        <v>2531</v>
      </c>
      <c r="E992" s="6" t="s">
        <v>303</v>
      </c>
      <c r="F992" s="6" t="s">
        <v>37</v>
      </c>
      <c r="G992" s="7">
        <v>0.2</v>
      </c>
      <c r="H992" s="6" t="s">
        <v>120</v>
      </c>
      <c r="I992" s="6" t="s">
        <v>20</v>
      </c>
      <c r="J992" s="6">
        <v>1995.0</v>
      </c>
      <c r="L992" s="6">
        <v>1.0</v>
      </c>
      <c r="M992" s="8">
        <f t="shared" si="1"/>
        <v>0.2</v>
      </c>
      <c r="P992" s="9"/>
    </row>
    <row r="993">
      <c r="A993" s="6" t="s">
        <v>2532</v>
      </c>
      <c r="B993" s="6" t="s">
        <v>2533</v>
      </c>
      <c r="C993" s="6" t="s">
        <v>15</v>
      </c>
      <c r="D993" s="6" t="s">
        <v>2534</v>
      </c>
      <c r="E993" s="6" t="s">
        <v>2535</v>
      </c>
      <c r="F993" s="6" t="s">
        <v>18</v>
      </c>
      <c r="G993" s="7">
        <v>0.05</v>
      </c>
      <c r="H993" s="6" t="s">
        <v>483</v>
      </c>
      <c r="I993" s="6" t="s">
        <v>20</v>
      </c>
      <c r="J993" s="6">
        <v>2014.0</v>
      </c>
      <c r="K993" s="10">
        <v>46116.0</v>
      </c>
      <c r="L993" s="6">
        <v>1.0</v>
      </c>
      <c r="M993" s="8">
        <f t="shared" si="1"/>
        <v>0.05</v>
      </c>
      <c r="P993" s="9"/>
    </row>
    <row r="994">
      <c r="A994" s="6" t="s">
        <v>2536</v>
      </c>
      <c r="B994" s="6" t="s">
        <v>616</v>
      </c>
      <c r="C994" s="6" t="s">
        <v>15</v>
      </c>
      <c r="D994" s="6" t="s">
        <v>2537</v>
      </c>
      <c r="E994" s="6" t="s">
        <v>650</v>
      </c>
      <c r="F994" s="6" t="s">
        <v>858</v>
      </c>
      <c r="G994" s="7">
        <v>0.25</v>
      </c>
      <c r="H994" s="6" t="s">
        <v>807</v>
      </c>
      <c r="I994" s="6" t="s">
        <v>20</v>
      </c>
      <c r="J994" s="6">
        <v>2026.0</v>
      </c>
      <c r="K994" s="10">
        <v>46023.0</v>
      </c>
      <c r="L994" s="6">
        <v>2.0</v>
      </c>
      <c r="M994" s="8">
        <f t="shared" si="1"/>
        <v>0.5</v>
      </c>
      <c r="P994" s="9"/>
    </row>
    <row r="995">
      <c r="A995" s="6" t="s">
        <v>2538</v>
      </c>
      <c r="B995" s="6" t="s">
        <v>2539</v>
      </c>
      <c r="C995" s="6" t="s">
        <v>23</v>
      </c>
      <c r="D995" s="6" t="s">
        <v>2540</v>
      </c>
      <c r="E995" s="6" t="s">
        <v>2541</v>
      </c>
      <c r="F995" s="6" t="s">
        <v>426</v>
      </c>
      <c r="G995" s="7">
        <v>0.06</v>
      </c>
      <c r="H995" s="6" t="s">
        <v>1361</v>
      </c>
      <c r="I995" s="6" t="s">
        <v>20</v>
      </c>
      <c r="J995" s="6">
        <v>2008.0</v>
      </c>
      <c r="K995" s="10">
        <v>46084.0</v>
      </c>
      <c r="L995" s="6">
        <v>1.0</v>
      </c>
      <c r="M995" s="8">
        <f t="shared" si="1"/>
        <v>0.06</v>
      </c>
      <c r="P995" s="9"/>
    </row>
    <row r="996">
      <c r="A996" s="6" t="s">
        <v>2542</v>
      </c>
      <c r="B996" s="6" t="s">
        <v>1234</v>
      </c>
      <c r="C996" s="6" t="s">
        <v>23</v>
      </c>
      <c r="D996" s="6" t="s">
        <v>2543</v>
      </c>
      <c r="E996" s="6" t="s">
        <v>25</v>
      </c>
      <c r="F996" s="6" t="s">
        <v>18</v>
      </c>
      <c r="G996" s="7">
        <v>0.05</v>
      </c>
      <c r="H996" s="6" t="s">
        <v>336</v>
      </c>
      <c r="I996" s="6" t="s">
        <v>20</v>
      </c>
      <c r="J996" s="6">
        <v>2016.0</v>
      </c>
      <c r="K996" s="10">
        <v>46083.0</v>
      </c>
      <c r="L996" s="6">
        <v>2.0</v>
      </c>
      <c r="M996" s="8">
        <f t="shared" si="1"/>
        <v>0.1</v>
      </c>
      <c r="P996" s="9"/>
    </row>
    <row r="997">
      <c r="A997" s="6" t="s">
        <v>2542</v>
      </c>
      <c r="B997" s="6" t="s">
        <v>1234</v>
      </c>
      <c r="C997" s="6" t="s">
        <v>23</v>
      </c>
      <c r="D997" s="6" t="s">
        <v>2543</v>
      </c>
      <c r="E997" s="6" t="s">
        <v>25</v>
      </c>
      <c r="F997" s="6" t="s">
        <v>18</v>
      </c>
      <c r="G997" s="7">
        <v>0.05</v>
      </c>
      <c r="H997" s="6" t="s">
        <v>336</v>
      </c>
      <c r="I997" s="6" t="s">
        <v>20</v>
      </c>
      <c r="J997" s="6">
        <v>2016.0</v>
      </c>
      <c r="K997" s="10">
        <v>46083.0</v>
      </c>
      <c r="L997" s="6">
        <v>2.0</v>
      </c>
      <c r="M997" s="8">
        <f t="shared" si="1"/>
        <v>0.1</v>
      </c>
      <c r="P997" s="9"/>
    </row>
    <row r="998">
      <c r="A998" s="6" t="s">
        <v>2544</v>
      </c>
      <c r="B998" s="6" t="s">
        <v>2545</v>
      </c>
      <c r="C998" s="6" t="s">
        <v>48</v>
      </c>
      <c r="D998" s="6" t="s">
        <v>2546</v>
      </c>
      <c r="E998" s="6" t="s">
        <v>966</v>
      </c>
      <c r="F998" s="6" t="s">
        <v>261</v>
      </c>
      <c r="G998" s="7">
        <v>0.05</v>
      </c>
      <c r="H998" s="6" t="s">
        <v>559</v>
      </c>
      <c r="I998" s="6" t="s">
        <v>20</v>
      </c>
      <c r="J998" s="6">
        <v>2015.0</v>
      </c>
      <c r="K998" s="10">
        <v>46116.0</v>
      </c>
      <c r="L998" s="6">
        <v>1.0</v>
      </c>
      <c r="M998" s="8">
        <f t="shared" si="1"/>
        <v>0.05</v>
      </c>
      <c r="P998" s="9"/>
    </row>
    <row r="999">
      <c r="A999" s="6" t="s">
        <v>2547</v>
      </c>
      <c r="B999" s="6" t="s">
        <v>194</v>
      </c>
      <c r="C999" s="6" t="s">
        <v>23</v>
      </c>
      <c r="D999" s="6" t="s">
        <v>2548</v>
      </c>
      <c r="E999" s="6" t="s">
        <v>112</v>
      </c>
      <c r="F999" s="6" t="s">
        <v>65</v>
      </c>
      <c r="G999" s="7">
        <v>0.09</v>
      </c>
      <c r="H999" s="6" t="s">
        <v>45</v>
      </c>
      <c r="I999" s="6" t="s">
        <v>20</v>
      </c>
      <c r="J999" s="6">
        <v>2025.0</v>
      </c>
      <c r="L999" s="6">
        <v>1.0</v>
      </c>
      <c r="M999" s="8">
        <f t="shared" si="1"/>
        <v>0.09</v>
      </c>
      <c r="P999" s="9"/>
    </row>
    <row r="1000">
      <c r="A1000" s="6" t="s">
        <v>2549</v>
      </c>
      <c r="B1000" s="6" t="s">
        <v>291</v>
      </c>
      <c r="C1000" s="6" t="s">
        <v>23</v>
      </c>
      <c r="D1000" s="6" t="s">
        <v>2550</v>
      </c>
      <c r="E1000" s="6" t="s">
        <v>1092</v>
      </c>
      <c r="F1000" s="6" t="s">
        <v>103</v>
      </c>
      <c r="G1000" s="7">
        <v>1.02</v>
      </c>
      <c r="H1000" s="6" t="s">
        <v>197</v>
      </c>
      <c r="I1000" s="6" t="s">
        <v>20</v>
      </c>
      <c r="J1000" s="6">
        <v>1995.0</v>
      </c>
      <c r="K1000" s="10">
        <v>46082.0</v>
      </c>
      <c r="L1000" s="6">
        <v>4.0</v>
      </c>
      <c r="M1000" s="8">
        <f t="shared" si="1"/>
        <v>4.08</v>
      </c>
      <c r="P1000" s="9"/>
    </row>
    <row r="1001">
      <c r="A1001" s="6" t="s">
        <v>2551</v>
      </c>
      <c r="B1001" s="6" t="s">
        <v>413</v>
      </c>
      <c r="C1001" s="6" t="s">
        <v>287</v>
      </c>
      <c r="D1001" s="6" t="s">
        <v>2552</v>
      </c>
      <c r="E1001" s="6" t="s">
        <v>1092</v>
      </c>
      <c r="F1001" s="6" t="s">
        <v>103</v>
      </c>
      <c r="G1001" s="7">
        <v>0.05</v>
      </c>
      <c r="H1001" s="6" t="s">
        <v>626</v>
      </c>
      <c r="I1001" s="6" t="s">
        <v>20</v>
      </c>
      <c r="J1001" s="6">
        <v>2013.0</v>
      </c>
      <c r="L1001" s="6">
        <v>4.0</v>
      </c>
      <c r="M1001" s="8">
        <f t="shared" si="1"/>
        <v>0.2</v>
      </c>
      <c r="P1001" s="9"/>
    </row>
    <row r="1002">
      <c r="A1002" s="6" t="s">
        <v>2553</v>
      </c>
      <c r="B1002" s="6" t="s">
        <v>2554</v>
      </c>
      <c r="C1002" s="6" t="s">
        <v>287</v>
      </c>
      <c r="D1002" s="6" t="s">
        <v>2555</v>
      </c>
      <c r="E1002" s="6" t="s">
        <v>118</v>
      </c>
      <c r="F1002" s="6" t="s">
        <v>51</v>
      </c>
      <c r="G1002" s="7">
        <v>0.07</v>
      </c>
      <c r="H1002" s="6" t="s">
        <v>119</v>
      </c>
      <c r="I1002" s="6" t="s">
        <v>20</v>
      </c>
      <c r="J1002" s="6">
        <v>1995.0</v>
      </c>
      <c r="K1002" s="10">
        <v>46023.0</v>
      </c>
      <c r="L1002" s="6">
        <v>5.0</v>
      </c>
      <c r="M1002" s="8">
        <f t="shared" si="1"/>
        <v>0.35</v>
      </c>
      <c r="P1002" s="9"/>
    </row>
    <row r="1003">
      <c r="A1003" s="6" t="s">
        <v>2553</v>
      </c>
      <c r="B1003" s="6" t="s">
        <v>2554</v>
      </c>
      <c r="C1003" s="6" t="s">
        <v>287</v>
      </c>
      <c r="D1003" s="6" t="s">
        <v>2555</v>
      </c>
      <c r="E1003" s="6" t="s">
        <v>118</v>
      </c>
      <c r="F1003" s="6" t="s">
        <v>51</v>
      </c>
      <c r="G1003" s="7">
        <v>0.2</v>
      </c>
      <c r="H1003" s="6" t="s">
        <v>120</v>
      </c>
      <c r="I1003" s="6" t="s">
        <v>20</v>
      </c>
      <c r="J1003" s="6">
        <v>1995.0</v>
      </c>
      <c r="K1003" s="10">
        <v>46023.0</v>
      </c>
      <c r="L1003" s="6">
        <v>3.0</v>
      </c>
      <c r="M1003" s="8">
        <f t="shared" si="1"/>
        <v>0.6</v>
      </c>
      <c r="P1003" s="9"/>
    </row>
    <row r="1004">
      <c r="A1004" s="6" t="s">
        <v>2556</v>
      </c>
      <c r="B1004" s="6" t="s">
        <v>2481</v>
      </c>
      <c r="C1004" s="6" t="s">
        <v>23</v>
      </c>
      <c r="E1004" s="6" t="s">
        <v>149</v>
      </c>
      <c r="F1004" s="6" t="s">
        <v>18</v>
      </c>
      <c r="G1004" s="7">
        <v>0.03</v>
      </c>
      <c r="H1004" s="6" t="s">
        <v>316</v>
      </c>
      <c r="I1004" s="6" t="s">
        <v>20</v>
      </c>
      <c r="J1004" s="6">
        <v>2016.0</v>
      </c>
      <c r="K1004" s="10">
        <v>46024.0</v>
      </c>
      <c r="L1004" s="6">
        <v>2.0</v>
      </c>
      <c r="M1004" s="8">
        <f t="shared" si="1"/>
        <v>0.06</v>
      </c>
      <c r="P1004" s="9"/>
    </row>
    <row r="1005">
      <c r="A1005" s="6" t="s">
        <v>2557</v>
      </c>
      <c r="B1005" s="6" t="s">
        <v>2558</v>
      </c>
      <c r="C1005" s="6" t="s">
        <v>23</v>
      </c>
      <c r="D1005" s="6" t="s">
        <v>2559</v>
      </c>
      <c r="E1005" s="6" t="s">
        <v>175</v>
      </c>
      <c r="F1005" s="6" t="s">
        <v>51</v>
      </c>
      <c r="G1005" s="7">
        <v>0.04</v>
      </c>
      <c r="H1005" s="6" t="s">
        <v>45</v>
      </c>
      <c r="I1005" s="6" t="s">
        <v>20</v>
      </c>
      <c r="J1005" s="6">
        <v>2025.0</v>
      </c>
      <c r="K1005" s="10">
        <v>46023.0</v>
      </c>
      <c r="L1005" s="6">
        <v>5.0</v>
      </c>
      <c r="M1005" s="8">
        <f t="shared" si="1"/>
        <v>0.2</v>
      </c>
      <c r="P1005" s="9"/>
    </row>
    <row r="1006">
      <c r="A1006" s="6" t="s">
        <v>2557</v>
      </c>
      <c r="B1006" s="6" t="s">
        <v>2558</v>
      </c>
      <c r="C1006" s="6" t="s">
        <v>23</v>
      </c>
      <c r="D1006" s="6" t="s">
        <v>2559</v>
      </c>
      <c r="E1006" s="6" t="s">
        <v>175</v>
      </c>
      <c r="F1006" s="6" t="s">
        <v>51</v>
      </c>
      <c r="G1006" s="7">
        <v>0.05</v>
      </c>
      <c r="H1006" s="6" t="s">
        <v>45</v>
      </c>
      <c r="I1006" s="6" t="s">
        <v>20</v>
      </c>
      <c r="J1006" s="6">
        <v>2025.0</v>
      </c>
      <c r="K1006" s="10">
        <v>46023.0</v>
      </c>
      <c r="L1006" s="6">
        <v>3.0</v>
      </c>
      <c r="M1006" s="8">
        <f t="shared" si="1"/>
        <v>0.15</v>
      </c>
      <c r="P1006" s="9"/>
    </row>
    <row r="1007">
      <c r="A1007" s="6" t="s">
        <v>2560</v>
      </c>
      <c r="B1007" s="6" t="s">
        <v>2561</v>
      </c>
      <c r="C1007" s="6" t="s">
        <v>48</v>
      </c>
      <c r="D1007" s="6" t="s">
        <v>2562</v>
      </c>
      <c r="E1007" s="6" t="s">
        <v>149</v>
      </c>
      <c r="F1007" s="6" t="s">
        <v>18</v>
      </c>
      <c r="G1007" s="7">
        <v>0.28</v>
      </c>
      <c r="H1007" s="6" t="s">
        <v>66</v>
      </c>
      <c r="I1007" s="6" t="s">
        <v>20</v>
      </c>
      <c r="J1007" s="6">
        <v>2016.0</v>
      </c>
      <c r="K1007" s="10">
        <v>46023.0</v>
      </c>
      <c r="L1007" s="6">
        <v>1.0</v>
      </c>
      <c r="M1007" s="8">
        <f t="shared" si="1"/>
        <v>0.28</v>
      </c>
      <c r="P1007" s="9"/>
    </row>
    <row r="1008">
      <c r="A1008" s="6" t="s">
        <v>2560</v>
      </c>
      <c r="B1008" s="6" t="s">
        <v>2561</v>
      </c>
      <c r="C1008" s="6" t="s">
        <v>48</v>
      </c>
      <c r="D1008" s="6" t="s">
        <v>2562</v>
      </c>
      <c r="E1008" s="6" t="s">
        <v>149</v>
      </c>
      <c r="F1008" s="6" t="s">
        <v>18</v>
      </c>
      <c r="G1008" s="7">
        <v>0.29</v>
      </c>
      <c r="H1008" s="6" t="s">
        <v>66</v>
      </c>
      <c r="I1008" s="6" t="s">
        <v>20</v>
      </c>
      <c r="J1008" s="6">
        <v>2016.0</v>
      </c>
      <c r="K1008" s="10">
        <v>46023.0</v>
      </c>
      <c r="L1008" s="6">
        <v>1.0</v>
      </c>
      <c r="M1008" s="8">
        <f t="shared" si="1"/>
        <v>0.29</v>
      </c>
      <c r="P1008" s="9"/>
    </row>
    <row r="1009">
      <c r="A1009" s="6" t="s">
        <v>2563</v>
      </c>
      <c r="B1009" s="6" t="s">
        <v>592</v>
      </c>
      <c r="C1009" s="6" t="s">
        <v>41</v>
      </c>
      <c r="D1009" s="6" t="s">
        <v>2564</v>
      </c>
      <c r="E1009" s="6" t="s">
        <v>2129</v>
      </c>
      <c r="F1009" s="6" t="s">
        <v>65</v>
      </c>
      <c r="G1009" s="7">
        <v>0.95</v>
      </c>
      <c r="H1009" s="6" t="s">
        <v>245</v>
      </c>
      <c r="I1009" s="6" t="s">
        <v>20</v>
      </c>
      <c r="J1009" s="6">
        <v>1995.0</v>
      </c>
      <c r="L1009" s="6">
        <v>2.0</v>
      </c>
      <c r="M1009" s="8">
        <f t="shared" si="1"/>
        <v>1.9</v>
      </c>
      <c r="P1009" s="9"/>
    </row>
    <row r="1010">
      <c r="A1010" s="6" t="s">
        <v>2565</v>
      </c>
      <c r="B1010" s="6" t="s">
        <v>182</v>
      </c>
      <c r="C1010" s="6" t="s">
        <v>23</v>
      </c>
      <c r="D1010" s="6" t="s">
        <v>2566</v>
      </c>
      <c r="E1010" s="6" t="s">
        <v>270</v>
      </c>
      <c r="F1010" s="6" t="s">
        <v>159</v>
      </c>
      <c r="G1010" s="7">
        <v>0.25</v>
      </c>
      <c r="H1010" s="6" t="s">
        <v>1194</v>
      </c>
      <c r="I1010" s="6" t="s">
        <v>55</v>
      </c>
      <c r="J1010" s="6">
        <v>2023.0</v>
      </c>
      <c r="L1010" s="6">
        <v>1.0</v>
      </c>
      <c r="M1010" s="8">
        <f t="shared" si="1"/>
        <v>0.25</v>
      </c>
      <c r="P1010" s="9"/>
    </row>
    <row r="1011">
      <c r="A1011" s="6" t="s">
        <v>2567</v>
      </c>
      <c r="B1011" s="6" t="s">
        <v>366</v>
      </c>
      <c r="C1011" s="6" t="s">
        <v>48</v>
      </c>
      <c r="D1011" s="6" t="s">
        <v>2568</v>
      </c>
      <c r="E1011" s="6" t="s">
        <v>124</v>
      </c>
      <c r="F1011" s="6" t="s">
        <v>103</v>
      </c>
      <c r="G1011" s="7">
        <v>0.36</v>
      </c>
      <c r="H1011" s="6" t="s">
        <v>1382</v>
      </c>
      <c r="I1011" s="6" t="s">
        <v>20</v>
      </c>
      <c r="J1011" s="6">
        <v>1995.0</v>
      </c>
      <c r="L1011" s="6">
        <v>2.0</v>
      </c>
      <c r="M1011" s="8">
        <f t="shared" si="1"/>
        <v>0.72</v>
      </c>
      <c r="P1011" s="9"/>
    </row>
    <row r="1012">
      <c r="A1012" s="6" t="s">
        <v>2569</v>
      </c>
      <c r="B1012" s="6" t="s">
        <v>307</v>
      </c>
      <c r="C1012" s="6" t="s">
        <v>48</v>
      </c>
      <c r="D1012" s="6" t="s">
        <v>2570</v>
      </c>
      <c r="E1012" s="6" t="s">
        <v>625</v>
      </c>
      <c r="F1012" s="6" t="s">
        <v>37</v>
      </c>
      <c r="G1012" s="7">
        <v>0.4</v>
      </c>
      <c r="H1012" s="6" t="s">
        <v>119</v>
      </c>
      <c r="I1012" s="6" t="s">
        <v>20</v>
      </c>
      <c r="J1012" s="6">
        <v>1995.0</v>
      </c>
      <c r="L1012" s="6">
        <v>1.0</v>
      </c>
      <c r="M1012" s="8">
        <f t="shared" si="1"/>
        <v>0.4</v>
      </c>
      <c r="P1012" s="9"/>
    </row>
    <row r="1013">
      <c r="A1013" s="6" t="s">
        <v>2569</v>
      </c>
      <c r="B1013" s="6" t="s">
        <v>307</v>
      </c>
      <c r="C1013" s="6" t="s">
        <v>48</v>
      </c>
      <c r="D1013" s="6" t="s">
        <v>2570</v>
      </c>
      <c r="E1013" s="6" t="s">
        <v>625</v>
      </c>
      <c r="F1013" s="6" t="s">
        <v>37</v>
      </c>
      <c r="G1013" s="7">
        <v>0.5</v>
      </c>
      <c r="H1013" s="6" t="s">
        <v>120</v>
      </c>
      <c r="I1013" s="6" t="s">
        <v>20</v>
      </c>
      <c r="J1013" s="6">
        <v>1995.0</v>
      </c>
      <c r="L1013" s="6">
        <v>1.0</v>
      </c>
      <c r="M1013" s="8">
        <f t="shared" si="1"/>
        <v>0.5</v>
      </c>
      <c r="P1013" s="9"/>
    </row>
    <row r="1014">
      <c r="A1014" s="6" t="s">
        <v>2571</v>
      </c>
      <c r="B1014" s="6" t="s">
        <v>62</v>
      </c>
      <c r="C1014" s="6" t="s">
        <v>23</v>
      </c>
      <c r="D1014" s="6" t="s">
        <v>2572</v>
      </c>
      <c r="E1014" s="6" t="s">
        <v>79</v>
      </c>
      <c r="F1014" s="6" t="s">
        <v>51</v>
      </c>
      <c r="G1014" s="7">
        <v>0.04</v>
      </c>
      <c r="H1014" s="6" t="s">
        <v>848</v>
      </c>
      <c r="I1014" s="6" t="s">
        <v>20</v>
      </c>
      <c r="J1014" s="6">
        <v>2023.0</v>
      </c>
      <c r="L1014" s="6">
        <v>2.0</v>
      </c>
      <c r="M1014" s="8">
        <f t="shared" si="1"/>
        <v>0.08</v>
      </c>
      <c r="P1014" s="9"/>
    </row>
    <row r="1015">
      <c r="A1015" s="6" t="s">
        <v>2573</v>
      </c>
      <c r="B1015" s="6" t="s">
        <v>62</v>
      </c>
      <c r="C1015" s="6" t="s">
        <v>48</v>
      </c>
      <c r="D1015" s="6" t="s">
        <v>2574</v>
      </c>
      <c r="E1015" s="6" t="s">
        <v>153</v>
      </c>
      <c r="F1015" s="6" t="s">
        <v>103</v>
      </c>
      <c r="G1015" s="7">
        <v>0.05</v>
      </c>
      <c r="H1015" s="6" t="s">
        <v>626</v>
      </c>
      <c r="I1015" s="6" t="s">
        <v>20</v>
      </c>
      <c r="J1015" s="6">
        <v>2013.0</v>
      </c>
      <c r="L1015" s="6">
        <v>1.0</v>
      </c>
      <c r="M1015" s="8">
        <f t="shared" si="1"/>
        <v>0.05</v>
      </c>
      <c r="P1015" s="9"/>
    </row>
    <row r="1016">
      <c r="A1016" s="6" t="s">
        <v>2575</v>
      </c>
      <c r="B1016" s="6" t="s">
        <v>57</v>
      </c>
      <c r="C1016" s="6" t="s">
        <v>23</v>
      </c>
      <c r="D1016" s="6" t="s">
        <v>2576</v>
      </c>
      <c r="E1016" s="6" t="s">
        <v>270</v>
      </c>
      <c r="F1016" s="6" t="s">
        <v>159</v>
      </c>
      <c r="G1016" s="7">
        <v>0.13</v>
      </c>
      <c r="H1016" s="6" t="s">
        <v>45</v>
      </c>
      <c r="I1016" s="6" t="s">
        <v>20</v>
      </c>
      <c r="J1016" s="6">
        <v>2025.0</v>
      </c>
      <c r="L1016" s="6">
        <v>1.0</v>
      </c>
      <c r="M1016" s="8">
        <f t="shared" si="1"/>
        <v>0.13</v>
      </c>
      <c r="P1016" s="9"/>
    </row>
    <row r="1017">
      <c r="A1017" s="6" t="s">
        <v>2577</v>
      </c>
      <c r="B1017" s="6" t="s">
        <v>815</v>
      </c>
      <c r="C1017" s="6" t="s">
        <v>23</v>
      </c>
      <c r="D1017" s="6" t="s">
        <v>2578</v>
      </c>
      <c r="E1017" s="6" t="s">
        <v>102</v>
      </c>
      <c r="F1017" s="6" t="s">
        <v>103</v>
      </c>
      <c r="G1017" s="7">
        <v>0.05</v>
      </c>
      <c r="H1017" s="6" t="s">
        <v>119</v>
      </c>
      <c r="I1017" s="6" t="s">
        <v>20</v>
      </c>
      <c r="J1017" s="6">
        <v>1995.0</v>
      </c>
      <c r="K1017" s="10">
        <v>46024.0</v>
      </c>
      <c r="L1017" s="6">
        <v>2.0</v>
      </c>
      <c r="M1017" s="8">
        <f t="shared" si="1"/>
        <v>0.1</v>
      </c>
      <c r="P1017" s="9"/>
    </row>
    <row r="1018">
      <c r="A1018" s="6" t="s">
        <v>2577</v>
      </c>
      <c r="B1018" s="6" t="s">
        <v>815</v>
      </c>
      <c r="C1018" s="6" t="s">
        <v>23</v>
      </c>
      <c r="D1018" s="6" t="s">
        <v>2578</v>
      </c>
      <c r="E1018" s="6" t="s">
        <v>102</v>
      </c>
      <c r="F1018" s="6" t="s">
        <v>103</v>
      </c>
      <c r="G1018" s="7">
        <v>0.21</v>
      </c>
      <c r="H1018" s="6" t="s">
        <v>120</v>
      </c>
      <c r="I1018" s="6" t="s">
        <v>20</v>
      </c>
      <c r="J1018" s="6">
        <v>1995.0</v>
      </c>
      <c r="K1018" s="10">
        <v>46024.0</v>
      </c>
      <c r="L1018" s="6">
        <v>3.0</v>
      </c>
      <c r="M1018" s="8">
        <f t="shared" si="1"/>
        <v>0.63</v>
      </c>
      <c r="P1018" s="9"/>
    </row>
    <row r="1019">
      <c r="A1019" s="6" t="s">
        <v>2579</v>
      </c>
      <c r="B1019" s="6" t="s">
        <v>2580</v>
      </c>
      <c r="C1019" s="6" t="s">
        <v>23</v>
      </c>
      <c r="D1019" s="6" t="s">
        <v>2581</v>
      </c>
      <c r="E1019" s="6" t="s">
        <v>502</v>
      </c>
      <c r="F1019" s="6" t="s">
        <v>65</v>
      </c>
      <c r="G1019" s="7">
        <v>0.05</v>
      </c>
      <c r="H1019" s="6" t="s">
        <v>163</v>
      </c>
      <c r="I1019" s="6" t="s">
        <v>20</v>
      </c>
      <c r="J1019" s="6">
        <v>2023.0</v>
      </c>
      <c r="K1019" s="10">
        <v>46057.0</v>
      </c>
      <c r="L1019" s="6">
        <v>1.0</v>
      </c>
      <c r="M1019" s="8">
        <f t="shared" si="1"/>
        <v>0.05</v>
      </c>
      <c r="P1019" s="9"/>
    </row>
    <row r="1020">
      <c r="A1020" s="6" t="s">
        <v>2582</v>
      </c>
      <c r="B1020" s="6" t="s">
        <v>2583</v>
      </c>
      <c r="C1020" s="6" t="s">
        <v>23</v>
      </c>
      <c r="E1020" s="6" t="s">
        <v>1005</v>
      </c>
      <c r="F1020" s="6" t="s">
        <v>65</v>
      </c>
      <c r="G1020" s="7">
        <v>0.03</v>
      </c>
      <c r="H1020" s="6" t="s">
        <v>276</v>
      </c>
      <c r="I1020" s="6" t="s">
        <v>20</v>
      </c>
      <c r="J1020" s="6">
        <v>2014.0</v>
      </c>
      <c r="K1020" s="10">
        <v>46058.0</v>
      </c>
      <c r="L1020" s="6">
        <v>1.0</v>
      </c>
      <c r="M1020" s="8">
        <f t="shared" si="1"/>
        <v>0.03</v>
      </c>
      <c r="P1020" s="9"/>
    </row>
    <row r="1021">
      <c r="A1021" s="6" t="s">
        <v>2584</v>
      </c>
      <c r="B1021" s="6" t="s">
        <v>2580</v>
      </c>
      <c r="C1021" s="6" t="s">
        <v>23</v>
      </c>
      <c r="D1021" s="6" t="s">
        <v>2585</v>
      </c>
      <c r="E1021" s="6" t="s">
        <v>1250</v>
      </c>
      <c r="F1021" s="6" t="s">
        <v>60</v>
      </c>
      <c r="G1021" s="7">
        <v>0.06</v>
      </c>
      <c r="H1021" s="6" t="s">
        <v>509</v>
      </c>
      <c r="I1021" s="6" t="s">
        <v>20</v>
      </c>
      <c r="J1021" s="6">
        <v>2024.0</v>
      </c>
      <c r="K1021" s="10">
        <v>46055.0</v>
      </c>
      <c r="L1021" s="6">
        <v>1.0</v>
      </c>
      <c r="M1021" s="8">
        <f t="shared" si="1"/>
        <v>0.06</v>
      </c>
      <c r="P1021" s="9"/>
    </row>
    <row r="1022">
      <c r="A1022" s="6" t="s">
        <v>2586</v>
      </c>
      <c r="B1022" s="6" t="s">
        <v>2587</v>
      </c>
      <c r="C1022" s="6" t="s">
        <v>23</v>
      </c>
      <c r="D1022" s="6" t="s">
        <v>2588</v>
      </c>
      <c r="E1022" s="6" t="s">
        <v>79</v>
      </c>
      <c r="F1022" s="6" t="s">
        <v>51</v>
      </c>
      <c r="G1022" s="7">
        <v>0.09</v>
      </c>
      <c r="H1022" s="6" t="s">
        <v>821</v>
      </c>
      <c r="I1022" s="6" t="s">
        <v>20</v>
      </c>
      <c r="J1022" s="6">
        <v>1995.0</v>
      </c>
      <c r="K1022" s="10">
        <v>46054.0</v>
      </c>
      <c r="L1022" s="6">
        <v>2.0</v>
      </c>
      <c r="M1022" s="8">
        <f t="shared" si="1"/>
        <v>0.18</v>
      </c>
      <c r="P1022" s="9"/>
    </row>
    <row r="1023">
      <c r="A1023" s="6" t="s">
        <v>2589</v>
      </c>
      <c r="B1023" s="6" t="s">
        <v>652</v>
      </c>
      <c r="C1023" s="6" t="s">
        <v>23</v>
      </c>
      <c r="D1023" s="6" t="s">
        <v>2590</v>
      </c>
      <c r="E1023" s="6" t="s">
        <v>79</v>
      </c>
      <c r="F1023" s="6" t="s">
        <v>51</v>
      </c>
      <c r="G1023" s="7">
        <v>0.03</v>
      </c>
      <c r="H1023" s="6" t="s">
        <v>200</v>
      </c>
      <c r="I1023" s="6" t="s">
        <v>20</v>
      </c>
      <c r="J1023" s="6">
        <v>2018.0</v>
      </c>
      <c r="K1023" s="10">
        <v>46056.0</v>
      </c>
      <c r="L1023" s="6">
        <v>1.0</v>
      </c>
      <c r="M1023" s="8">
        <f t="shared" si="1"/>
        <v>0.03</v>
      </c>
      <c r="P1023" s="9"/>
    </row>
    <row r="1024">
      <c r="A1024" s="6" t="s">
        <v>2591</v>
      </c>
      <c r="B1024" s="6" t="s">
        <v>165</v>
      </c>
      <c r="C1024" s="6" t="s">
        <v>34</v>
      </c>
      <c r="D1024" s="6" t="s">
        <v>2592</v>
      </c>
      <c r="E1024" s="6" t="s">
        <v>17</v>
      </c>
      <c r="F1024" s="6" t="s">
        <v>18</v>
      </c>
      <c r="G1024" s="7">
        <v>0.08</v>
      </c>
      <c r="H1024" s="6" t="s">
        <v>19</v>
      </c>
      <c r="I1024" s="6" t="s">
        <v>20</v>
      </c>
      <c r="J1024" s="6">
        <v>2023.0</v>
      </c>
      <c r="L1024" s="6">
        <v>2.0</v>
      </c>
      <c r="M1024" s="8">
        <f t="shared" si="1"/>
        <v>0.16</v>
      </c>
      <c r="P1024" s="9"/>
    </row>
    <row r="1025">
      <c r="A1025" s="6" t="s">
        <v>2593</v>
      </c>
      <c r="B1025" s="6" t="s">
        <v>2594</v>
      </c>
      <c r="C1025" s="6" t="s">
        <v>48</v>
      </c>
      <c r="D1025" s="6" t="s">
        <v>2595</v>
      </c>
      <c r="E1025" s="6" t="s">
        <v>533</v>
      </c>
      <c r="F1025" s="6" t="s">
        <v>65</v>
      </c>
      <c r="G1025" s="7">
        <v>0.03</v>
      </c>
      <c r="H1025" s="6" t="s">
        <v>185</v>
      </c>
      <c r="I1025" s="6" t="s">
        <v>20</v>
      </c>
      <c r="J1025" s="6">
        <v>2019.0</v>
      </c>
      <c r="K1025" s="10">
        <v>46083.0</v>
      </c>
      <c r="L1025" s="6">
        <v>1.0</v>
      </c>
      <c r="M1025" s="8">
        <f t="shared" si="1"/>
        <v>0.03</v>
      </c>
      <c r="N1025" s="6" t="s">
        <v>518</v>
      </c>
      <c r="P1025" s="9"/>
    </row>
    <row r="1026">
      <c r="A1026" s="6" t="s">
        <v>2596</v>
      </c>
      <c r="B1026" s="6" t="s">
        <v>143</v>
      </c>
      <c r="C1026" s="6" t="s">
        <v>48</v>
      </c>
      <c r="D1026" s="6" t="s">
        <v>2597</v>
      </c>
      <c r="E1026" s="6" t="s">
        <v>36</v>
      </c>
      <c r="F1026" s="6" t="s">
        <v>37</v>
      </c>
      <c r="G1026" s="7">
        <v>0.41</v>
      </c>
      <c r="H1026" s="6" t="s">
        <v>265</v>
      </c>
      <c r="I1026" s="6" t="s">
        <v>55</v>
      </c>
      <c r="J1026" s="6">
        <v>2017.0</v>
      </c>
      <c r="L1026" s="6">
        <v>1.0</v>
      </c>
      <c r="M1026" s="8">
        <f t="shared" si="1"/>
        <v>0.41</v>
      </c>
      <c r="P1026" s="9"/>
    </row>
    <row r="1027">
      <c r="A1027" s="6" t="s">
        <v>2598</v>
      </c>
      <c r="B1027" s="6" t="s">
        <v>2599</v>
      </c>
      <c r="C1027" s="6" t="s">
        <v>41</v>
      </c>
      <c r="D1027" s="6" t="s">
        <v>2600</v>
      </c>
      <c r="E1027" s="6" t="s">
        <v>50</v>
      </c>
      <c r="F1027" s="6" t="s">
        <v>51</v>
      </c>
      <c r="G1027" s="7">
        <v>0.24</v>
      </c>
      <c r="H1027" s="6" t="s">
        <v>705</v>
      </c>
      <c r="I1027" s="6" t="s">
        <v>20</v>
      </c>
      <c r="J1027" s="6">
        <v>2015.0</v>
      </c>
      <c r="K1027" s="6" t="s">
        <v>697</v>
      </c>
      <c r="L1027" s="6">
        <v>1.0</v>
      </c>
      <c r="M1027" s="8">
        <f t="shared" si="1"/>
        <v>0.24</v>
      </c>
      <c r="P1027" s="9"/>
    </row>
    <row r="1028">
      <c r="A1028" s="6" t="s">
        <v>2601</v>
      </c>
      <c r="B1028" s="6" t="s">
        <v>182</v>
      </c>
      <c r="C1028" s="6" t="s">
        <v>23</v>
      </c>
      <c r="D1028" s="6" t="s">
        <v>2602</v>
      </c>
      <c r="E1028" s="6" t="s">
        <v>223</v>
      </c>
      <c r="F1028" s="6" t="s">
        <v>159</v>
      </c>
      <c r="G1028" s="7">
        <v>0.15</v>
      </c>
      <c r="H1028" s="6" t="s">
        <v>216</v>
      </c>
      <c r="I1028" s="6" t="s">
        <v>20</v>
      </c>
      <c r="J1028" s="6">
        <v>2024.0</v>
      </c>
      <c r="L1028" s="6">
        <v>1.0</v>
      </c>
      <c r="M1028" s="8">
        <f t="shared" si="1"/>
        <v>0.15</v>
      </c>
      <c r="P1028" s="9"/>
    </row>
    <row r="1029">
      <c r="A1029" s="6" t="s">
        <v>2603</v>
      </c>
      <c r="B1029" s="6" t="s">
        <v>2604</v>
      </c>
      <c r="C1029" s="6" t="s">
        <v>41</v>
      </c>
      <c r="D1029" s="6" t="s">
        <v>1438</v>
      </c>
      <c r="E1029" s="6" t="s">
        <v>625</v>
      </c>
      <c r="F1029" s="6" t="s">
        <v>37</v>
      </c>
      <c r="G1029" s="7">
        <v>0.25</v>
      </c>
      <c r="H1029" s="6" t="s">
        <v>119</v>
      </c>
      <c r="I1029" s="6" t="s">
        <v>20</v>
      </c>
      <c r="J1029" s="6">
        <v>1995.0</v>
      </c>
      <c r="K1029" s="10">
        <v>46143.0</v>
      </c>
      <c r="L1029" s="6">
        <v>1.0</v>
      </c>
      <c r="M1029" s="8">
        <f t="shared" si="1"/>
        <v>0.25</v>
      </c>
      <c r="P1029" s="9"/>
    </row>
    <row r="1030">
      <c r="A1030" s="6" t="s">
        <v>2603</v>
      </c>
      <c r="B1030" s="6" t="s">
        <v>1106</v>
      </c>
      <c r="C1030" s="6" t="s">
        <v>571</v>
      </c>
      <c r="D1030" s="6" t="s">
        <v>1274</v>
      </c>
      <c r="E1030" s="6" t="s">
        <v>625</v>
      </c>
      <c r="F1030" s="6" t="s">
        <v>37</v>
      </c>
      <c r="G1030" s="7">
        <v>2.99</v>
      </c>
      <c r="H1030" s="6" t="s">
        <v>370</v>
      </c>
      <c r="I1030" s="6" t="s">
        <v>20</v>
      </c>
      <c r="J1030" s="6">
        <v>1996.0</v>
      </c>
      <c r="K1030" s="10">
        <v>46143.0</v>
      </c>
      <c r="L1030" s="6">
        <v>3.0</v>
      </c>
      <c r="M1030" s="8">
        <f t="shared" si="1"/>
        <v>8.97</v>
      </c>
      <c r="P1030" s="9"/>
    </row>
    <row r="1031">
      <c r="A1031" s="6" t="s">
        <v>2603</v>
      </c>
      <c r="B1031" s="6" t="s">
        <v>2604</v>
      </c>
      <c r="C1031" s="6" t="s">
        <v>41</v>
      </c>
      <c r="D1031" s="6" t="s">
        <v>1438</v>
      </c>
      <c r="E1031" s="6" t="s">
        <v>625</v>
      </c>
      <c r="F1031" s="6" t="s">
        <v>37</v>
      </c>
      <c r="G1031" s="7">
        <v>2.99</v>
      </c>
      <c r="H1031" s="6" t="s">
        <v>607</v>
      </c>
      <c r="I1031" s="6" t="s">
        <v>20</v>
      </c>
      <c r="J1031" s="6">
        <v>1994.0</v>
      </c>
      <c r="K1031" s="10">
        <v>46143.0</v>
      </c>
      <c r="L1031" s="6">
        <v>1.0</v>
      </c>
      <c r="M1031" s="8">
        <f t="shared" si="1"/>
        <v>2.99</v>
      </c>
      <c r="P1031" s="9"/>
    </row>
    <row r="1032">
      <c r="A1032" s="6" t="s">
        <v>2605</v>
      </c>
      <c r="B1032" s="6" t="s">
        <v>62</v>
      </c>
      <c r="C1032" s="6" t="s">
        <v>23</v>
      </c>
      <c r="D1032" s="6" t="s">
        <v>2606</v>
      </c>
      <c r="E1032" s="6" t="s">
        <v>112</v>
      </c>
      <c r="F1032" s="6" t="s">
        <v>65</v>
      </c>
      <c r="G1032" s="7">
        <v>0.05</v>
      </c>
      <c r="H1032" s="6" t="s">
        <v>596</v>
      </c>
      <c r="I1032" s="6" t="s">
        <v>20</v>
      </c>
      <c r="J1032" s="6">
        <v>2012.0</v>
      </c>
      <c r="L1032" s="6">
        <v>1.0</v>
      </c>
      <c r="M1032" s="8">
        <f t="shared" si="1"/>
        <v>0.05</v>
      </c>
      <c r="P1032" s="9"/>
    </row>
    <row r="1033">
      <c r="A1033" s="6" t="s">
        <v>2607</v>
      </c>
      <c r="B1033" s="6" t="s">
        <v>182</v>
      </c>
      <c r="C1033" s="6" t="s">
        <v>23</v>
      </c>
      <c r="D1033" s="6" t="s">
        <v>2608</v>
      </c>
      <c r="E1033" s="6" t="s">
        <v>124</v>
      </c>
      <c r="F1033" s="6" t="s">
        <v>103</v>
      </c>
      <c r="G1033" s="7">
        <v>0.03</v>
      </c>
      <c r="H1033" s="6" t="s">
        <v>299</v>
      </c>
      <c r="I1033" s="6" t="s">
        <v>20</v>
      </c>
      <c r="J1033" s="6">
        <v>2017.0</v>
      </c>
      <c r="L1033" s="6">
        <v>1.0</v>
      </c>
      <c r="M1033" s="8">
        <f t="shared" si="1"/>
        <v>0.03</v>
      </c>
      <c r="P1033" s="9"/>
    </row>
    <row r="1034">
      <c r="A1034" s="6" t="s">
        <v>2607</v>
      </c>
      <c r="B1034" s="6" t="s">
        <v>182</v>
      </c>
      <c r="C1034" s="6" t="s">
        <v>23</v>
      </c>
      <c r="D1034" s="6" t="s">
        <v>2608</v>
      </c>
      <c r="E1034" s="6" t="s">
        <v>124</v>
      </c>
      <c r="F1034" s="6" t="s">
        <v>103</v>
      </c>
      <c r="G1034" s="7">
        <v>0.03</v>
      </c>
      <c r="H1034" s="6" t="s">
        <v>299</v>
      </c>
      <c r="I1034" s="6" t="s">
        <v>20</v>
      </c>
      <c r="J1034" s="6">
        <v>2017.0</v>
      </c>
      <c r="L1034" s="6">
        <v>1.0</v>
      </c>
      <c r="M1034" s="8">
        <f t="shared" si="1"/>
        <v>0.03</v>
      </c>
      <c r="P1034" s="9"/>
    </row>
    <row r="1035">
      <c r="A1035" s="6" t="s">
        <v>2609</v>
      </c>
      <c r="B1035" s="6" t="s">
        <v>139</v>
      </c>
      <c r="C1035" s="6" t="s">
        <v>23</v>
      </c>
      <c r="D1035" s="6" t="s">
        <v>2610</v>
      </c>
      <c r="E1035" s="6" t="s">
        <v>118</v>
      </c>
      <c r="F1035" s="6" t="s">
        <v>51</v>
      </c>
      <c r="G1035" s="7">
        <v>0.05</v>
      </c>
      <c r="H1035" s="6" t="s">
        <v>88</v>
      </c>
      <c r="I1035" s="6" t="s">
        <v>20</v>
      </c>
      <c r="J1035" s="6">
        <v>2013.0</v>
      </c>
      <c r="K1035" s="10">
        <v>46025.0</v>
      </c>
      <c r="L1035" s="6">
        <v>1.0</v>
      </c>
      <c r="M1035" s="8">
        <f t="shared" si="1"/>
        <v>0.05</v>
      </c>
      <c r="P1035" s="9"/>
    </row>
    <row r="1036">
      <c r="A1036" s="6" t="s">
        <v>2611</v>
      </c>
      <c r="B1036" s="6" t="s">
        <v>1032</v>
      </c>
      <c r="C1036" s="6" t="s">
        <v>48</v>
      </c>
      <c r="D1036" s="6" t="s">
        <v>2612</v>
      </c>
      <c r="E1036" s="6" t="s">
        <v>149</v>
      </c>
      <c r="F1036" s="6" t="s">
        <v>18</v>
      </c>
      <c r="G1036" s="7">
        <v>0.06</v>
      </c>
      <c r="H1036" s="6" t="s">
        <v>93</v>
      </c>
      <c r="I1036" s="6" t="s">
        <v>20</v>
      </c>
      <c r="J1036" s="6">
        <v>2016.0</v>
      </c>
      <c r="K1036" s="10">
        <v>46024.0</v>
      </c>
      <c r="L1036" s="6">
        <v>3.0</v>
      </c>
      <c r="M1036" s="8">
        <f t="shared" si="1"/>
        <v>0.18</v>
      </c>
      <c r="P1036" s="9"/>
    </row>
    <row r="1037">
      <c r="A1037" s="6" t="s">
        <v>2613</v>
      </c>
      <c r="B1037" s="6" t="s">
        <v>62</v>
      </c>
      <c r="C1037" s="6" t="s">
        <v>23</v>
      </c>
      <c r="D1037" s="6" t="s">
        <v>2614</v>
      </c>
      <c r="E1037" s="6" t="s">
        <v>235</v>
      </c>
      <c r="F1037" s="6" t="s">
        <v>103</v>
      </c>
      <c r="G1037" s="7">
        <v>0.05</v>
      </c>
      <c r="H1037" s="6" t="s">
        <v>245</v>
      </c>
      <c r="I1037" s="6" t="s">
        <v>20</v>
      </c>
      <c r="J1037" s="6">
        <v>1995.0</v>
      </c>
      <c r="L1037" s="6">
        <v>3.0</v>
      </c>
      <c r="M1037" s="8">
        <f t="shared" si="1"/>
        <v>0.15</v>
      </c>
      <c r="P1037" s="9"/>
    </row>
    <row r="1038">
      <c r="A1038" s="6" t="s">
        <v>2615</v>
      </c>
      <c r="B1038" s="6" t="s">
        <v>62</v>
      </c>
      <c r="C1038" s="6" t="s">
        <v>23</v>
      </c>
      <c r="D1038" s="6" t="s">
        <v>2616</v>
      </c>
      <c r="E1038" s="6" t="s">
        <v>235</v>
      </c>
      <c r="F1038" s="6" t="s">
        <v>103</v>
      </c>
      <c r="G1038" s="7">
        <v>0.06</v>
      </c>
      <c r="H1038" s="6" t="s">
        <v>184</v>
      </c>
      <c r="I1038" s="6" t="s">
        <v>20</v>
      </c>
      <c r="J1038" s="6">
        <v>2015.0</v>
      </c>
      <c r="L1038" s="6">
        <v>7.0</v>
      </c>
      <c r="M1038" s="8">
        <f t="shared" si="1"/>
        <v>0.42</v>
      </c>
      <c r="P1038" s="9"/>
    </row>
    <row r="1039">
      <c r="A1039" s="6" t="s">
        <v>2617</v>
      </c>
      <c r="B1039" s="6" t="s">
        <v>194</v>
      </c>
      <c r="C1039" s="6" t="s">
        <v>48</v>
      </c>
      <c r="D1039" s="6" t="s">
        <v>2618</v>
      </c>
      <c r="E1039" s="6" t="s">
        <v>102</v>
      </c>
      <c r="F1039" s="6" t="s">
        <v>103</v>
      </c>
      <c r="G1039" s="7">
        <v>0.32</v>
      </c>
      <c r="H1039" s="6" t="s">
        <v>31</v>
      </c>
      <c r="I1039" s="6" t="s">
        <v>20</v>
      </c>
      <c r="J1039" s="6">
        <v>2026.0</v>
      </c>
      <c r="L1039" s="6">
        <v>1.0</v>
      </c>
      <c r="M1039" s="8">
        <f t="shared" si="1"/>
        <v>0.32</v>
      </c>
      <c r="P1039" s="9"/>
    </row>
    <row r="1040">
      <c r="A1040" s="6" t="s">
        <v>2619</v>
      </c>
      <c r="B1040" s="6" t="s">
        <v>796</v>
      </c>
      <c r="C1040" s="6" t="s">
        <v>34</v>
      </c>
      <c r="D1040" s="6" t="s">
        <v>2620</v>
      </c>
      <c r="E1040" s="6" t="s">
        <v>2621</v>
      </c>
      <c r="F1040" s="6" t="s">
        <v>103</v>
      </c>
      <c r="G1040" s="7">
        <v>0.05</v>
      </c>
      <c r="H1040" s="6" t="s">
        <v>1043</v>
      </c>
      <c r="I1040" s="6" t="s">
        <v>20</v>
      </c>
      <c r="J1040" s="6">
        <v>2025.0</v>
      </c>
      <c r="L1040" s="6">
        <v>1.0</v>
      </c>
      <c r="M1040" s="8">
        <f t="shared" si="1"/>
        <v>0.05</v>
      </c>
      <c r="P1040" s="9"/>
    </row>
    <row r="1041">
      <c r="A1041" s="6" t="s">
        <v>2622</v>
      </c>
      <c r="B1041" s="6" t="s">
        <v>182</v>
      </c>
      <c r="C1041" s="6" t="s">
        <v>23</v>
      </c>
      <c r="D1041" s="6" t="s">
        <v>2623</v>
      </c>
      <c r="E1041" s="6" t="s">
        <v>235</v>
      </c>
      <c r="F1041" s="6" t="s">
        <v>103</v>
      </c>
      <c r="G1041" s="7">
        <v>0.03</v>
      </c>
      <c r="H1041" s="6" t="s">
        <v>875</v>
      </c>
      <c r="I1041" s="6" t="s">
        <v>20</v>
      </c>
      <c r="J1041" s="6">
        <v>2018.0</v>
      </c>
      <c r="L1041" s="6">
        <v>1.0</v>
      </c>
      <c r="M1041" s="8">
        <f t="shared" si="1"/>
        <v>0.03</v>
      </c>
      <c r="P1041" s="9"/>
    </row>
    <row r="1042">
      <c r="A1042" s="6" t="s">
        <v>2622</v>
      </c>
      <c r="B1042" s="6" t="s">
        <v>182</v>
      </c>
      <c r="C1042" s="6" t="s">
        <v>23</v>
      </c>
      <c r="D1042" s="6" t="s">
        <v>2623</v>
      </c>
      <c r="E1042" s="6" t="s">
        <v>235</v>
      </c>
      <c r="F1042" s="6" t="s">
        <v>103</v>
      </c>
      <c r="G1042" s="7">
        <v>0.03</v>
      </c>
      <c r="H1042" s="6" t="s">
        <v>875</v>
      </c>
      <c r="I1042" s="6" t="s">
        <v>20</v>
      </c>
      <c r="J1042" s="6">
        <v>2018.0</v>
      </c>
      <c r="L1042" s="6">
        <v>1.0</v>
      </c>
      <c r="M1042" s="8">
        <f t="shared" si="1"/>
        <v>0.03</v>
      </c>
      <c r="P1042" s="9"/>
    </row>
    <row r="1043">
      <c r="A1043" s="6" t="s">
        <v>2624</v>
      </c>
      <c r="B1043" s="6" t="s">
        <v>2625</v>
      </c>
      <c r="C1043" s="6" t="s">
        <v>23</v>
      </c>
      <c r="D1043" s="6" t="s">
        <v>2626</v>
      </c>
      <c r="F1043" s="6" t="s">
        <v>37</v>
      </c>
      <c r="G1043" s="7">
        <v>2.99</v>
      </c>
      <c r="H1043" s="6" t="s">
        <v>636</v>
      </c>
      <c r="I1043" s="6" t="s">
        <v>20</v>
      </c>
      <c r="J1043" s="6">
        <v>2015.0</v>
      </c>
      <c r="L1043" s="6">
        <v>2.0</v>
      </c>
      <c r="M1043" s="8">
        <f t="shared" si="1"/>
        <v>5.98</v>
      </c>
      <c r="N1043" s="6" t="s">
        <v>172</v>
      </c>
      <c r="P1043" s="9"/>
    </row>
    <row r="1044">
      <c r="A1044" s="6" t="s">
        <v>2627</v>
      </c>
      <c r="B1044" s="6" t="s">
        <v>307</v>
      </c>
      <c r="C1044" s="6" t="s">
        <v>23</v>
      </c>
      <c r="D1044" s="6" t="s">
        <v>2628</v>
      </c>
      <c r="E1044" s="6" t="s">
        <v>36</v>
      </c>
      <c r="F1044" s="6" t="s">
        <v>37</v>
      </c>
      <c r="G1044" s="7">
        <v>0.2</v>
      </c>
      <c r="H1044" s="6" t="s">
        <v>2629</v>
      </c>
      <c r="I1044" s="6" t="s">
        <v>20</v>
      </c>
      <c r="J1044" s="6">
        <v>2004.0</v>
      </c>
      <c r="L1044" s="6">
        <v>1.0</v>
      </c>
      <c r="M1044" s="8">
        <f t="shared" si="1"/>
        <v>0.2</v>
      </c>
      <c r="P1044" s="9"/>
    </row>
    <row r="1045">
      <c r="A1045" s="6" t="s">
        <v>2630</v>
      </c>
      <c r="B1045" s="6" t="s">
        <v>2631</v>
      </c>
      <c r="C1045" s="6" t="s">
        <v>48</v>
      </c>
      <c r="D1045" s="6" t="s">
        <v>2632</v>
      </c>
      <c r="E1045" s="6" t="s">
        <v>2633</v>
      </c>
      <c r="F1045" s="6" t="s">
        <v>874</v>
      </c>
      <c r="G1045" s="7">
        <v>0.12</v>
      </c>
      <c r="H1045" s="6" t="s">
        <v>978</v>
      </c>
      <c r="I1045" s="6" t="s">
        <v>20</v>
      </c>
      <c r="J1045" s="6">
        <v>2022.0</v>
      </c>
      <c r="K1045" s="10">
        <v>46114.0</v>
      </c>
      <c r="L1045" s="6">
        <v>1.0</v>
      </c>
      <c r="M1045" s="8">
        <f t="shared" si="1"/>
        <v>0.12</v>
      </c>
      <c r="P1045" s="9"/>
    </row>
    <row r="1046">
      <c r="A1046" s="6" t="s">
        <v>2634</v>
      </c>
      <c r="B1046" s="6" t="s">
        <v>2635</v>
      </c>
      <c r="C1046" s="6" t="s">
        <v>23</v>
      </c>
      <c r="D1046" s="6" t="s">
        <v>2636</v>
      </c>
      <c r="E1046" s="6" t="s">
        <v>50</v>
      </c>
      <c r="F1046" s="6" t="s">
        <v>51</v>
      </c>
      <c r="G1046" s="7">
        <v>0.05</v>
      </c>
      <c r="H1046" s="6" t="s">
        <v>632</v>
      </c>
      <c r="I1046" s="6" t="s">
        <v>20</v>
      </c>
      <c r="J1046" s="6">
        <v>2002.0</v>
      </c>
      <c r="K1046" s="10">
        <v>46055.0</v>
      </c>
      <c r="L1046" s="6">
        <v>1.0</v>
      </c>
      <c r="M1046" s="8">
        <f t="shared" si="1"/>
        <v>0.05</v>
      </c>
      <c r="P1046" s="9"/>
    </row>
    <row r="1047">
      <c r="A1047" s="6" t="s">
        <v>2637</v>
      </c>
      <c r="B1047" s="6" t="s">
        <v>424</v>
      </c>
      <c r="C1047" s="6" t="s">
        <v>48</v>
      </c>
      <c r="D1047" s="6" t="s">
        <v>2638</v>
      </c>
      <c r="F1047" s="6" t="s">
        <v>51</v>
      </c>
      <c r="G1047" s="7">
        <v>0.4</v>
      </c>
      <c r="H1047" s="6" t="s">
        <v>2639</v>
      </c>
      <c r="I1047" s="6" t="s">
        <v>20</v>
      </c>
      <c r="J1047" s="6">
        <v>2010.0</v>
      </c>
      <c r="L1047" s="6">
        <v>1.0</v>
      </c>
      <c r="M1047" s="8">
        <f t="shared" si="1"/>
        <v>0.4</v>
      </c>
      <c r="P1047" s="9"/>
    </row>
    <row r="1048">
      <c r="A1048" s="6" t="s">
        <v>2640</v>
      </c>
      <c r="B1048" s="6" t="s">
        <v>796</v>
      </c>
      <c r="C1048" s="6" t="s">
        <v>15</v>
      </c>
      <c r="D1048" s="6" t="s">
        <v>2641</v>
      </c>
      <c r="E1048" s="6" t="s">
        <v>2642</v>
      </c>
      <c r="F1048" s="6" t="s">
        <v>51</v>
      </c>
      <c r="G1048" s="7">
        <v>0.06</v>
      </c>
      <c r="H1048" s="6" t="s">
        <v>180</v>
      </c>
      <c r="I1048" s="6" t="s">
        <v>20</v>
      </c>
      <c r="J1048" s="6">
        <v>2014.0</v>
      </c>
      <c r="L1048" s="6">
        <v>1.0</v>
      </c>
      <c r="M1048" s="8">
        <f t="shared" si="1"/>
        <v>0.06</v>
      </c>
      <c r="P1048" s="9"/>
    </row>
    <row r="1049">
      <c r="A1049" s="6" t="s">
        <v>2643</v>
      </c>
      <c r="B1049" s="6" t="s">
        <v>62</v>
      </c>
      <c r="C1049" s="6" t="s">
        <v>23</v>
      </c>
      <c r="D1049" s="6" t="s">
        <v>2644</v>
      </c>
      <c r="E1049" s="6" t="s">
        <v>118</v>
      </c>
      <c r="F1049" s="6" t="s">
        <v>51</v>
      </c>
      <c r="G1049" s="7">
        <v>2.84</v>
      </c>
      <c r="H1049" s="6" t="s">
        <v>2077</v>
      </c>
      <c r="I1049" s="6" t="s">
        <v>20</v>
      </c>
      <c r="J1049" s="6">
        <v>2007.0</v>
      </c>
      <c r="L1049" s="6">
        <v>1.0</v>
      </c>
      <c r="M1049" s="8">
        <f t="shared" si="1"/>
        <v>2.84</v>
      </c>
      <c r="P1049" s="9"/>
    </row>
    <row r="1050">
      <c r="A1050" s="6" t="s">
        <v>2645</v>
      </c>
      <c r="B1050" s="6" t="s">
        <v>250</v>
      </c>
      <c r="C1050" s="6" t="s">
        <v>48</v>
      </c>
      <c r="D1050" s="6" t="s">
        <v>2646</v>
      </c>
      <c r="E1050" s="6" t="s">
        <v>303</v>
      </c>
      <c r="F1050" s="6" t="s">
        <v>37</v>
      </c>
      <c r="G1050" s="7">
        <v>0.23</v>
      </c>
      <c r="H1050" s="6" t="s">
        <v>641</v>
      </c>
      <c r="I1050" s="6" t="s">
        <v>20</v>
      </c>
      <c r="J1050" s="6">
        <v>2026.0</v>
      </c>
      <c r="L1050" s="6">
        <v>1.0</v>
      </c>
      <c r="M1050" s="8">
        <f t="shared" si="1"/>
        <v>0.23</v>
      </c>
      <c r="P1050" s="9"/>
    </row>
    <row r="1051">
      <c r="A1051" s="6" t="s">
        <v>2647</v>
      </c>
      <c r="B1051" s="6" t="s">
        <v>2648</v>
      </c>
      <c r="C1051" s="6" t="s">
        <v>521</v>
      </c>
      <c r="D1051" s="6" t="s">
        <v>2649</v>
      </c>
      <c r="E1051" s="6" t="s">
        <v>270</v>
      </c>
      <c r="F1051" s="6" t="s">
        <v>159</v>
      </c>
      <c r="G1051" s="7">
        <v>0.1</v>
      </c>
      <c r="H1051" s="6" t="s">
        <v>641</v>
      </c>
      <c r="I1051" s="6" t="s">
        <v>20</v>
      </c>
      <c r="J1051" s="6">
        <v>2026.0</v>
      </c>
      <c r="K1051" s="10">
        <v>46057.0</v>
      </c>
      <c r="L1051" s="6">
        <v>1.0</v>
      </c>
      <c r="M1051" s="8">
        <f t="shared" si="1"/>
        <v>0.1</v>
      </c>
      <c r="P1051" s="9"/>
    </row>
    <row r="1052">
      <c r="A1052" s="6" t="s">
        <v>2650</v>
      </c>
      <c r="B1052" s="6" t="s">
        <v>127</v>
      </c>
      <c r="C1052" s="6" t="s">
        <v>23</v>
      </c>
      <c r="D1052" s="6" t="s">
        <v>2651</v>
      </c>
      <c r="E1052" s="6" t="s">
        <v>118</v>
      </c>
      <c r="F1052" s="6" t="s">
        <v>51</v>
      </c>
      <c r="G1052" s="7">
        <v>0.32</v>
      </c>
      <c r="H1052" s="6" t="s">
        <v>1675</v>
      </c>
      <c r="I1052" s="6" t="s">
        <v>20</v>
      </c>
      <c r="J1052" s="6">
        <v>2021.0</v>
      </c>
      <c r="K1052" s="10">
        <v>46082.0</v>
      </c>
      <c r="L1052" s="6">
        <v>1.0</v>
      </c>
      <c r="M1052" s="8">
        <f t="shared" si="1"/>
        <v>0.32</v>
      </c>
      <c r="P1052" s="9"/>
    </row>
    <row r="1053">
      <c r="A1053" s="6" t="s">
        <v>2650</v>
      </c>
      <c r="B1053" s="6" t="s">
        <v>127</v>
      </c>
      <c r="C1053" s="6" t="s">
        <v>23</v>
      </c>
      <c r="D1053" s="6" t="s">
        <v>2651</v>
      </c>
      <c r="E1053" s="6" t="s">
        <v>118</v>
      </c>
      <c r="F1053" s="6" t="s">
        <v>51</v>
      </c>
      <c r="G1053" s="7">
        <v>0.49</v>
      </c>
      <c r="H1053" s="6" t="s">
        <v>845</v>
      </c>
      <c r="I1053" s="6" t="s">
        <v>20</v>
      </c>
      <c r="J1053" s="6">
        <v>2022.0</v>
      </c>
      <c r="K1053" s="10">
        <v>46082.0</v>
      </c>
      <c r="L1053" s="6">
        <v>2.0</v>
      </c>
      <c r="M1053" s="8">
        <f t="shared" si="1"/>
        <v>0.98</v>
      </c>
      <c r="P1053" s="9"/>
    </row>
    <row r="1054">
      <c r="A1054" s="6" t="s">
        <v>2652</v>
      </c>
      <c r="B1054" s="6" t="s">
        <v>628</v>
      </c>
      <c r="C1054" s="6" t="s">
        <v>23</v>
      </c>
      <c r="D1054" s="6" t="s">
        <v>2653</v>
      </c>
      <c r="E1054" s="6" t="s">
        <v>573</v>
      </c>
      <c r="F1054" s="6" t="s">
        <v>51</v>
      </c>
      <c r="G1054" s="7">
        <v>0.03</v>
      </c>
      <c r="H1054" s="6" t="s">
        <v>299</v>
      </c>
      <c r="I1054" s="6" t="s">
        <v>20</v>
      </c>
      <c r="J1054" s="6">
        <v>2017.0</v>
      </c>
      <c r="K1054" s="10">
        <v>46084.0</v>
      </c>
      <c r="L1054" s="6">
        <v>1.0</v>
      </c>
      <c r="M1054" s="8">
        <f t="shared" si="1"/>
        <v>0.03</v>
      </c>
      <c r="P1054" s="9"/>
    </row>
    <row r="1055">
      <c r="A1055" s="6" t="s">
        <v>2654</v>
      </c>
      <c r="B1055" s="6" t="s">
        <v>2655</v>
      </c>
      <c r="C1055" s="6" t="s">
        <v>521</v>
      </c>
      <c r="D1055" s="6" t="s">
        <v>2656</v>
      </c>
      <c r="E1055" s="6" t="s">
        <v>153</v>
      </c>
      <c r="F1055" s="6" t="s">
        <v>103</v>
      </c>
      <c r="G1055" s="7">
        <v>0.09</v>
      </c>
      <c r="H1055" s="6" t="s">
        <v>641</v>
      </c>
      <c r="I1055" s="6" t="s">
        <v>20</v>
      </c>
      <c r="J1055" s="6">
        <v>2026.0</v>
      </c>
      <c r="K1055" s="10">
        <v>46084.0</v>
      </c>
      <c r="L1055" s="6">
        <v>1.0</v>
      </c>
      <c r="M1055" s="8">
        <f t="shared" si="1"/>
        <v>0.09</v>
      </c>
      <c r="P1055" s="9"/>
    </row>
    <row r="1056">
      <c r="A1056" s="6" t="s">
        <v>2654</v>
      </c>
      <c r="B1056" s="6" t="s">
        <v>2655</v>
      </c>
      <c r="C1056" s="6" t="s">
        <v>521</v>
      </c>
      <c r="D1056" s="6" t="s">
        <v>2656</v>
      </c>
      <c r="E1056" s="6" t="s">
        <v>153</v>
      </c>
      <c r="F1056" s="6" t="s">
        <v>103</v>
      </c>
      <c r="G1056" s="7">
        <v>0.14</v>
      </c>
      <c r="H1056" s="6" t="s">
        <v>641</v>
      </c>
      <c r="I1056" s="6" t="s">
        <v>55</v>
      </c>
      <c r="J1056" s="6">
        <v>2026.0</v>
      </c>
      <c r="K1056" s="10">
        <v>46084.0</v>
      </c>
      <c r="L1056" s="6">
        <v>2.0</v>
      </c>
      <c r="M1056" s="8">
        <f t="shared" si="1"/>
        <v>0.28</v>
      </c>
      <c r="P1056" s="9"/>
    </row>
    <row r="1057">
      <c r="A1057" s="6" t="s">
        <v>2657</v>
      </c>
      <c r="B1057" s="6" t="s">
        <v>233</v>
      </c>
      <c r="C1057" s="6" t="s">
        <v>23</v>
      </c>
      <c r="D1057" s="6" t="s">
        <v>2658</v>
      </c>
      <c r="E1057" s="6" t="s">
        <v>223</v>
      </c>
      <c r="F1057" s="6" t="s">
        <v>159</v>
      </c>
      <c r="G1057" s="7">
        <v>0.09</v>
      </c>
      <c r="H1057" s="6" t="s">
        <v>114</v>
      </c>
      <c r="I1057" s="6" t="s">
        <v>20</v>
      </c>
      <c r="J1057" s="6">
        <v>2021.0</v>
      </c>
      <c r="K1057" s="10">
        <v>46055.0</v>
      </c>
      <c r="L1057" s="6">
        <v>1.0</v>
      </c>
      <c r="M1057" s="8">
        <f t="shared" si="1"/>
        <v>0.09</v>
      </c>
      <c r="P1057" s="9"/>
    </row>
    <row r="1058">
      <c r="A1058" s="6" t="s">
        <v>2659</v>
      </c>
      <c r="B1058" s="6" t="s">
        <v>233</v>
      </c>
      <c r="C1058" s="6" t="s">
        <v>23</v>
      </c>
      <c r="D1058" s="6" t="s">
        <v>2660</v>
      </c>
      <c r="E1058" s="6" t="s">
        <v>298</v>
      </c>
      <c r="F1058" s="6" t="s">
        <v>159</v>
      </c>
      <c r="G1058" s="7">
        <v>0.08</v>
      </c>
      <c r="H1058" s="6" t="s">
        <v>1692</v>
      </c>
      <c r="I1058" s="6" t="s">
        <v>20</v>
      </c>
      <c r="J1058" s="6">
        <v>2021.0</v>
      </c>
      <c r="K1058" s="10">
        <v>46114.0</v>
      </c>
      <c r="L1058" s="6">
        <v>1.0</v>
      </c>
      <c r="M1058" s="8">
        <f t="shared" si="1"/>
        <v>0.08</v>
      </c>
      <c r="P1058" s="9"/>
    </row>
    <row r="1059">
      <c r="A1059" s="6" t="s">
        <v>2661</v>
      </c>
      <c r="B1059" s="6" t="s">
        <v>139</v>
      </c>
      <c r="C1059" s="6" t="s">
        <v>23</v>
      </c>
      <c r="D1059" s="6" t="s">
        <v>2662</v>
      </c>
      <c r="E1059" s="6" t="s">
        <v>1771</v>
      </c>
      <c r="F1059" s="6" t="s">
        <v>51</v>
      </c>
      <c r="G1059" s="7">
        <v>0.06</v>
      </c>
      <c r="H1059" s="6" t="s">
        <v>154</v>
      </c>
      <c r="I1059" s="6" t="s">
        <v>20</v>
      </c>
      <c r="J1059" s="6">
        <v>2013.0</v>
      </c>
      <c r="K1059" s="10">
        <v>46114.0</v>
      </c>
      <c r="L1059" s="6">
        <v>1.0</v>
      </c>
      <c r="M1059" s="8">
        <f t="shared" si="1"/>
        <v>0.06</v>
      </c>
      <c r="P1059" s="9"/>
    </row>
    <row r="1060">
      <c r="A1060" s="6" t="s">
        <v>2661</v>
      </c>
      <c r="B1060" s="6" t="s">
        <v>139</v>
      </c>
      <c r="C1060" s="6" t="s">
        <v>23</v>
      </c>
      <c r="D1060" s="6" t="s">
        <v>2662</v>
      </c>
      <c r="E1060" s="6" t="s">
        <v>1771</v>
      </c>
      <c r="F1060" s="6" t="s">
        <v>51</v>
      </c>
      <c r="G1060" s="7">
        <v>0.06</v>
      </c>
      <c r="H1060" s="6" t="s">
        <v>154</v>
      </c>
      <c r="I1060" s="6" t="s">
        <v>20</v>
      </c>
      <c r="J1060" s="6">
        <v>2013.0</v>
      </c>
      <c r="K1060" s="10">
        <v>46114.0</v>
      </c>
      <c r="L1060" s="6">
        <v>2.0</v>
      </c>
      <c r="M1060" s="8">
        <f t="shared" si="1"/>
        <v>0.12</v>
      </c>
      <c r="P1060" s="9"/>
    </row>
    <row r="1061">
      <c r="A1061" s="6" t="s">
        <v>2663</v>
      </c>
      <c r="B1061" s="6" t="s">
        <v>940</v>
      </c>
      <c r="C1061" s="6" t="s">
        <v>23</v>
      </c>
      <c r="D1061" s="6" t="s">
        <v>2664</v>
      </c>
      <c r="E1061" s="6" t="s">
        <v>223</v>
      </c>
      <c r="F1061" s="6" t="s">
        <v>159</v>
      </c>
      <c r="G1061" s="7">
        <v>0.08</v>
      </c>
      <c r="H1061" s="6" t="s">
        <v>1494</v>
      </c>
      <c r="I1061" s="6" t="s">
        <v>20</v>
      </c>
      <c r="J1061" s="6">
        <v>2012.0</v>
      </c>
      <c r="K1061" s="10">
        <v>46055.0</v>
      </c>
      <c r="L1061" s="6">
        <v>1.0</v>
      </c>
      <c r="M1061" s="8">
        <f t="shared" si="1"/>
        <v>0.08</v>
      </c>
      <c r="P1061" s="9"/>
    </row>
    <row r="1062">
      <c r="A1062" s="6" t="s">
        <v>2665</v>
      </c>
      <c r="B1062" s="6" t="s">
        <v>62</v>
      </c>
      <c r="C1062" s="6" t="s">
        <v>23</v>
      </c>
      <c r="D1062" s="6" t="s">
        <v>2666</v>
      </c>
      <c r="E1062" s="6" t="s">
        <v>248</v>
      </c>
      <c r="F1062" s="6" t="s">
        <v>18</v>
      </c>
      <c r="G1062" s="7">
        <v>0.03</v>
      </c>
      <c r="H1062" s="6" t="s">
        <v>1084</v>
      </c>
      <c r="I1062" s="6" t="s">
        <v>20</v>
      </c>
      <c r="J1062" s="6">
        <v>2018.0</v>
      </c>
      <c r="L1062" s="6">
        <v>1.0</v>
      </c>
      <c r="M1062" s="8">
        <f t="shared" si="1"/>
        <v>0.03</v>
      </c>
      <c r="P1062" s="9"/>
    </row>
    <row r="1063">
      <c r="A1063" s="6" t="s">
        <v>2667</v>
      </c>
      <c r="B1063" s="6" t="s">
        <v>169</v>
      </c>
      <c r="C1063" s="6" t="s">
        <v>287</v>
      </c>
      <c r="D1063" s="6" t="s">
        <v>2668</v>
      </c>
      <c r="E1063" s="6" t="s">
        <v>102</v>
      </c>
      <c r="F1063" s="6" t="s">
        <v>103</v>
      </c>
      <c r="G1063" s="7">
        <v>0.09</v>
      </c>
      <c r="H1063" s="6" t="s">
        <v>2669</v>
      </c>
      <c r="I1063" s="6" t="s">
        <v>20</v>
      </c>
      <c r="J1063" s="6">
        <v>2019.0</v>
      </c>
      <c r="L1063" s="6">
        <v>4.0</v>
      </c>
      <c r="M1063" s="8">
        <f t="shared" si="1"/>
        <v>0.36</v>
      </c>
      <c r="P1063" s="9"/>
    </row>
    <row r="1064">
      <c r="A1064" s="6" t="s">
        <v>2670</v>
      </c>
      <c r="B1064" s="6" t="s">
        <v>372</v>
      </c>
      <c r="C1064" s="6" t="s">
        <v>23</v>
      </c>
      <c r="D1064" s="6" t="s">
        <v>2671</v>
      </c>
      <c r="E1064" s="6" t="s">
        <v>167</v>
      </c>
      <c r="F1064" s="6" t="s">
        <v>103</v>
      </c>
      <c r="G1064" s="7">
        <v>0.09</v>
      </c>
      <c r="H1064" s="6" t="s">
        <v>769</v>
      </c>
      <c r="I1064" s="6" t="s">
        <v>20</v>
      </c>
      <c r="J1064" s="6">
        <v>2023.0</v>
      </c>
      <c r="L1064" s="6">
        <v>1.0</v>
      </c>
      <c r="M1064" s="8">
        <f t="shared" si="1"/>
        <v>0.09</v>
      </c>
      <c r="P1064" s="9"/>
    </row>
    <row r="1065">
      <c r="A1065" s="6" t="s">
        <v>2672</v>
      </c>
      <c r="B1065" s="6" t="s">
        <v>2673</v>
      </c>
      <c r="C1065" s="6" t="s">
        <v>23</v>
      </c>
      <c r="D1065" s="6" t="s">
        <v>2674</v>
      </c>
      <c r="E1065" s="6" t="s">
        <v>235</v>
      </c>
      <c r="F1065" s="6" t="s">
        <v>103</v>
      </c>
      <c r="G1065" s="7">
        <v>0.06</v>
      </c>
      <c r="H1065" s="6" t="s">
        <v>184</v>
      </c>
      <c r="I1065" s="6" t="s">
        <v>20</v>
      </c>
      <c r="J1065" s="6">
        <v>2015.0</v>
      </c>
      <c r="K1065" s="10">
        <v>46025.0</v>
      </c>
      <c r="L1065" s="6">
        <v>4.0</v>
      </c>
      <c r="M1065" s="8">
        <f t="shared" si="1"/>
        <v>0.24</v>
      </c>
      <c r="P1065" s="9"/>
    </row>
    <row r="1066">
      <c r="A1066" s="6" t="s">
        <v>2672</v>
      </c>
      <c r="B1066" s="6" t="s">
        <v>2673</v>
      </c>
      <c r="C1066" s="6" t="s">
        <v>23</v>
      </c>
      <c r="D1066" s="6" t="s">
        <v>2674</v>
      </c>
      <c r="E1066" s="6" t="s">
        <v>235</v>
      </c>
      <c r="F1066" s="6" t="s">
        <v>103</v>
      </c>
      <c r="G1066" s="7">
        <v>0.06</v>
      </c>
      <c r="H1066" s="6" t="s">
        <v>184</v>
      </c>
      <c r="I1066" s="6" t="s">
        <v>20</v>
      </c>
      <c r="J1066" s="6">
        <v>2015.0</v>
      </c>
      <c r="K1066" s="10">
        <v>46025.0</v>
      </c>
      <c r="L1066" s="6">
        <v>1.0</v>
      </c>
      <c r="M1066" s="8">
        <f t="shared" si="1"/>
        <v>0.06</v>
      </c>
      <c r="P1066" s="9"/>
    </row>
    <row r="1067">
      <c r="A1067" s="6" t="s">
        <v>2675</v>
      </c>
      <c r="B1067" s="6" t="s">
        <v>2505</v>
      </c>
      <c r="C1067" s="6" t="s">
        <v>23</v>
      </c>
      <c r="D1067" s="6" t="s">
        <v>2676</v>
      </c>
      <c r="E1067" s="6" t="s">
        <v>112</v>
      </c>
      <c r="F1067" s="6" t="s">
        <v>65</v>
      </c>
      <c r="G1067" s="7">
        <v>0.08</v>
      </c>
      <c r="H1067" s="6" t="s">
        <v>216</v>
      </c>
      <c r="I1067" s="6" t="s">
        <v>20</v>
      </c>
      <c r="J1067" s="6">
        <v>2024.0</v>
      </c>
      <c r="K1067" s="10">
        <v>46082.0</v>
      </c>
      <c r="L1067" s="6">
        <v>1.0</v>
      </c>
      <c r="M1067" s="8">
        <f t="shared" si="1"/>
        <v>0.08</v>
      </c>
      <c r="P1067" s="9"/>
    </row>
    <row r="1068">
      <c r="A1068" s="6" t="s">
        <v>2677</v>
      </c>
      <c r="B1068" s="6" t="s">
        <v>2678</v>
      </c>
      <c r="C1068" s="6" t="s">
        <v>449</v>
      </c>
      <c r="D1068" s="6" t="s">
        <v>2679</v>
      </c>
      <c r="E1068" s="6" t="s">
        <v>153</v>
      </c>
      <c r="F1068" s="6" t="s">
        <v>103</v>
      </c>
      <c r="G1068" s="7">
        <v>0.25</v>
      </c>
      <c r="H1068" s="6" t="s">
        <v>2680</v>
      </c>
      <c r="I1068" s="6" t="s">
        <v>20</v>
      </c>
      <c r="J1068" s="6">
        <v>1998.0</v>
      </c>
      <c r="K1068" s="10">
        <v>46084.0</v>
      </c>
      <c r="L1068" s="6">
        <v>2.0</v>
      </c>
      <c r="M1068" s="8">
        <f t="shared" si="1"/>
        <v>0.5</v>
      </c>
      <c r="P1068" s="9"/>
    </row>
    <row r="1069">
      <c r="A1069" s="6" t="s">
        <v>2681</v>
      </c>
      <c r="B1069" s="6" t="s">
        <v>543</v>
      </c>
      <c r="C1069" s="6" t="s">
        <v>23</v>
      </c>
      <c r="D1069" s="6" t="s">
        <v>2682</v>
      </c>
      <c r="E1069" s="6" t="s">
        <v>167</v>
      </c>
      <c r="F1069" s="6" t="s">
        <v>103</v>
      </c>
      <c r="G1069" s="7">
        <v>0.06</v>
      </c>
      <c r="H1069" s="6" t="s">
        <v>45</v>
      </c>
      <c r="I1069" s="6" t="s">
        <v>20</v>
      </c>
      <c r="J1069" s="6">
        <v>2025.0</v>
      </c>
      <c r="L1069" s="6">
        <v>2.0</v>
      </c>
      <c r="M1069" s="8">
        <f t="shared" si="1"/>
        <v>0.12</v>
      </c>
      <c r="P1069" s="9"/>
    </row>
    <row r="1070">
      <c r="A1070" s="6" t="s">
        <v>2683</v>
      </c>
      <c r="B1070" s="6" t="s">
        <v>156</v>
      </c>
      <c r="C1070" s="6" t="s">
        <v>23</v>
      </c>
      <c r="D1070" s="6" t="s">
        <v>2684</v>
      </c>
      <c r="E1070" s="6" t="s">
        <v>223</v>
      </c>
      <c r="F1070" s="6" t="s">
        <v>159</v>
      </c>
      <c r="G1070" s="7">
        <v>0.14</v>
      </c>
      <c r="H1070" s="6" t="s">
        <v>701</v>
      </c>
      <c r="I1070" s="6" t="s">
        <v>20</v>
      </c>
      <c r="J1070" s="6">
        <v>2012.0</v>
      </c>
      <c r="K1070" s="10">
        <v>46054.0</v>
      </c>
      <c r="L1070" s="6">
        <v>2.0</v>
      </c>
      <c r="M1070" s="8">
        <f t="shared" si="1"/>
        <v>0.28</v>
      </c>
      <c r="P1070" s="9"/>
    </row>
    <row r="1071">
      <c r="A1071" s="6" t="s">
        <v>2683</v>
      </c>
      <c r="B1071" s="6" t="s">
        <v>156</v>
      </c>
      <c r="C1071" s="6" t="s">
        <v>23</v>
      </c>
      <c r="D1071" s="6" t="s">
        <v>2684</v>
      </c>
      <c r="E1071" s="6" t="s">
        <v>223</v>
      </c>
      <c r="F1071" s="6" t="s">
        <v>159</v>
      </c>
      <c r="G1071" s="7">
        <v>0.05</v>
      </c>
      <c r="H1071" s="6" t="s">
        <v>154</v>
      </c>
      <c r="I1071" s="6" t="s">
        <v>20</v>
      </c>
      <c r="J1071" s="6">
        <v>2013.0</v>
      </c>
      <c r="K1071" s="10">
        <v>46054.0</v>
      </c>
      <c r="L1071" s="6">
        <v>1.0</v>
      </c>
      <c r="M1071" s="8">
        <f t="shared" si="1"/>
        <v>0.05</v>
      </c>
      <c r="P1071" s="9"/>
    </row>
    <row r="1072">
      <c r="A1072" s="6" t="s">
        <v>2685</v>
      </c>
      <c r="B1072" s="6" t="s">
        <v>543</v>
      </c>
      <c r="C1072" s="6" t="s">
        <v>41</v>
      </c>
      <c r="D1072" s="6" t="s">
        <v>2686</v>
      </c>
      <c r="E1072" s="6" t="s">
        <v>2687</v>
      </c>
      <c r="F1072" s="6" t="s">
        <v>98</v>
      </c>
      <c r="G1072" s="7">
        <v>0.5</v>
      </c>
      <c r="H1072" s="6" t="s">
        <v>109</v>
      </c>
      <c r="I1072" s="6" t="s">
        <v>20</v>
      </c>
      <c r="J1072" s="6">
        <v>1995.0</v>
      </c>
      <c r="L1072" s="6">
        <v>3.0</v>
      </c>
      <c r="M1072" s="8">
        <f t="shared" si="1"/>
        <v>1.5</v>
      </c>
      <c r="P1072" s="9"/>
    </row>
    <row r="1073">
      <c r="A1073" s="6" t="s">
        <v>2685</v>
      </c>
      <c r="B1073" s="6" t="s">
        <v>543</v>
      </c>
      <c r="C1073" s="6" t="s">
        <v>41</v>
      </c>
      <c r="D1073" s="6" t="s">
        <v>2686</v>
      </c>
      <c r="E1073" s="6" t="s">
        <v>2687</v>
      </c>
      <c r="F1073" s="6" t="s">
        <v>98</v>
      </c>
      <c r="G1073" s="7">
        <v>0.99</v>
      </c>
      <c r="H1073" s="6" t="s">
        <v>1382</v>
      </c>
      <c r="I1073" s="6" t="s">
        <v>20</v>
      </c>
      <c r="J1073" s="6">
        <v>1995.0</v>
      </c>
      <c r="L1073" s="6">
        <v>1.0</v>
      </c>
      <c r="M1073" s="8">
        <f t="shared" si="1"/>
        <v>0.99</v>
      </c>
      <c r="P1073" s="9"/>
    </row>
    <row r="1074">
      <c r="A1074" s="6" t="s">
        <v>2688</v>
      </c>
      <c r="B1074" s="6" t="s">
        <v>194</v>
      </c>
      <c r="C1074" s="6" t="s">
        <v>48</v>
      </c>
      <c r="D1074" s="6" t="s">
        <v>2689</v>
      </c>
      <c r="E1074" s="6" t="s">
        <v>102</v>
      </c>
      <c r="F1074" s="6" t="s">
        <v>103</v>
      </c>
      <c r="G1074" s="7">
        <v>0.2</v>
      </c>
      <c r="H1074" s="6" t="s">
        <v>192</v>
      </c>
      <c r="I1074" s="6" t="s">
        <v>20</v>
      </c>
      <c r="J1074" s="6">
        <v>2026.0</v>
      </c>
      <c r="L1074" s="6">
        <v>1.0</v>
      </c>
      <c r="M1074" s="8">
        <f t="shared" si="1"/>
        <v>0.2</v>
      </c>
      <c r="P1074" s="9"/>
    </row>
    <row r="1075">
      <c r="A1075" s="6" t="s">
        <v>2690</v>
      </c>
      <c r="B1075" s="6" t="s">
        <v>62</v>
      </c>
      <c r="C1075" s="6" t="s">
        <v>48</v>
      </c>
      <c r="D1075" s="6" t="s">
        <v>2691</v>
      </c>
      <c r="E1075" s="6" t="s">
        <v>124</v>
      </c>
      <c r="F1075" s="6" t="s">
        <v>103</v>
      </c>
      <c r="G1075" s="7">
        <v>0.09</v>
      </c>
      <c r="H1075" s="6" t="s">
        <v>632</v>
      </c>
      <c r="I1075" s="6" t="s">
        <v>20</v>
      </c>
      <c r="J1075" s="6">
        <v>2002.0</v>
      </c>
      <c r="L1075" s="6">
        <v>1.0</v>
      </c>
      <c r="M1075" s="8">
        <f t="shared" si="1"/>
        <v>0.09</v>
      </c>
      <c r="P1075" s="9"/>
    </row>
    <row r="1076">
      <c r="A1076" s="6" t="s">
        <v>2692</v>
      </c>
      <c r="B1076" s="6" t="s">
        <v>2693</v>
      </c>
      <c r="C1076" s="6" t="s">
        <v>48</v>
      </c>
      <c r="D1076" s="6" t="s">
        <v>2694</v>
      </c>
      <c r="E1076" s="6" t="s">
        <v>2695</v>
      </c>
      <c r="F1076" s="6" t="s">
        <v>103</v>
      </c>
      <c r="G1076" s="7">
        <v>1.5</v>
      </c>
      <c r="H1076" s="6" t="s">
        <v>2696</v>
      </c>
      <c r="I1076" s="6" t="s">
        <v>55</v>
      </c>
      <c r="J1076" s="6">
        <v>2023.0</v>
      </c>
      <c r="K1076" s="10">
        <v>46117.0</v>
      </c>
      <c r="L1076" s="6">
        <v>1.0</v>
      </c>
      <c r="M1076" s="8">
        <f t="shared" si="1"/>
        <v>1.5</v>
      </c>
      <c r="P1076" s="9"/>
    </row>
    <row r="1077">
      <c r="A1077" s="6" t="s">
        <v>2697</v>
      </c>
      <c r="B1077" s="6" t="s">
        <v>182</v>
      </c>
      <c r="C1077" s="6" t="s">
        <v>23</v>
      </c>
      <c r="D1077" s="6" t="s">
        <v>2698</v>
      </c>
      <c r="E1077" s="6" t="s">
        <v>108</v>
      </c>
      <c r="F1077" s="6" t="s">
        <v>103</v>
      </c>
      <c r="G1077" s="7">
        <v>0.06</v>
      </c>
      <c r="H1077" s="6" t="s">
        <v>1494</v>
      </c>
      <c r="I1077" s="6" t="s">
        <v>20</v>
      </c>
      <c r="J1077" s="6">
        <v>2012.0</v>
      </c>
      <c r="L1077" s="6">
        <v>1.0</v>
      </c>
      <c r="M1077" s="8">
        <f t="shared" si="1"/>
        <v>0.06</v>
      </c>
      <c r="P1077" s="9"/>
    </row>
    <row r="1078">
      <c r="A1078" s="6" t="s">
        <v>2699</v>
      </c>
      <c r="B1078" s="6" t="s">
        <v>628</v>
      </c>
      <c r="C1078" s="6" t="s">
        <v>23</v>
      </c>
      <c r="D1078" s="6" t="s">
        <v>2700</v>
      </c>
      <c r="E1078" s="6" t="s">
        <v>1336</v>
      </c>
      <c r="F1078" s="6" t="s">
        <v>103</v>
      </c>
      <c r="G1078" s="7">
        <v>0.08</v>
      </c>
      <c r="H1078" s="6" t="s">
        <v>2701</v>
      </c>
      <c r="I1078" s="6" t="s">
        <v>20</v>
      </c>
      <c r="J1078" s="6">
        <v>2003.0</v>
      </c>
      <c r="K1078" s="10">
        <v>46024.0</v>
      </c>
      <c r="L1078" s="6">
        <v>1.0</v>
      </c>
      <c r="M1078" s="8">
        <f t="shared" si="1"/>
        <v>0.08</v>
      </c>
      <c r="P1078" s="9"/>
    </row>
    <row r="1079">
      <c r="A1079" s="6" t="s">
        <v>2702</v>
      </c>
      <c r="B1079" s="6" t="s">
        <v>2703</v>
      </c>
      <c r="C1079" s="6" t="s">
        <v>23</v>
      </c>
      <c r="D1079" s="6" t="s">
        <v>2704</v>
      </c>
      <c r="E1079" s="6" t="s">
        <v>112</v>
      </c>
      <c r="F1079" s="6" t="s">
        <v>65</v>
      </c>
      <c r="G1079" s="7">
        <v>0.06</v>
      </c>
      <c r="H1079" s="6" t="s">
        <v>626</v>
      </c>
      <c r="I1079" s="6" t="s">
        <v>20</v>
      </c>
      <c r="J1079" s="6">
        <v>2013.0</v>
      </c>
      <c r="K1079" s="10">
        <v>46083.0</v>
      </c>
      <c r="L1079" s="6">
        <v>1.0</v>
      </c>
      <c r="M1079" s="8">
        <f t="shared" si="1"/>
        <v>0.06</v>
      </c>
      <c r="P1079" s="9"/>
    </row>
    <row r="1080">
      <c r="A1080" s="6" t="s">
        <v>2705</v>
      </c>
      <c r="B1080" s="6" t="s">
        <v>194</v>
      </c>
      <c r="C1080" s="6" t="s">
        <v>41</v>
      </c>
      <c r="D1080" s="6" t="s">
        <v>2706</v>
      </c>
      <c r="E1080" s="6" t="s">
        <v>167</v>
      </c>
      <c r="F1080" s="6" t="s">
        <v>103</v>
      </c>
      <c r="G1080" s="7">
        <v>0.5</v>
      </c>
      <c r="H1080" s="6" t="s">
        <v>453</v>
      </c>
      <c r="I1080" s="6" t="s">
        <v>20</v>
      </c>
      <c r="J1080" s="6">
        <v>1995.0</v>
      </c>
      <c r="L1080" s="6">
        <v>1.0</v>
      </c>
      <c r="M1080" s="8">
        <f t="shared" si="1"/>
        <v>0.5</v>
      </c>
      <c r="P1080" s="9"/>
    </row>
    <row r="1081">
      <c r="A1081" s="6" t="s">
        <v>2707</v>
      </c>
      <c r="B1081" s="6" t="s">
        <v>2193</v>
      </c>
      <c r="C1081" s="6" t="s">
        <v>41</v>
      </c>
      <c r="D1081" s="6" t="s">
        <v>2708</v>
      </c>
      <c r="E1081" s="6" t="s">
        <v>2709</v>
      </c>
      <c r="F1081" s="6" t="s">
        <v>215</v>
      </c>
      <c r="G1081" s="7">
        <v>0.25</v>
      </c>
      <c r="H1081" s="6" t="s">
        <v>324</v>
      </c>
      <c r="I1081" s="6" t="s">
        <v>20</v>
      </c>
      <c r="J1081" s="6">
        <v>2025.0</v>
      </c>
      <c r="K1081" s="10">
        <v>46179.0</v>
      </c>
      <c r="L1081" s="6">
        <v>1.0</v>
      </c>
      <c r="M1081" s="8">
        <f t="shared" si="1"/>
        <v>0.25</v>
      </c>
      <c r="P1081" s="9"/>
    </row>
    <row r="1082">
      <c r="A1082" s="6" t="s">
        <v>2710</v>
      </c>
      <c r="B1082" s="6" t="s">
        <v>62</v>
      </c>
      <c r="C1082" s="6" t="s">
        <v>23</v>
      </c>
      <c r="D1082" s="6" t="s">
        <v>2711</v>
      </c>
      <c r="E1082" s="6" t="s">
        <v>235</v>
      </c>
      <c r="F1082" s="6" t="s">
        <v>103</v>
      </c>
      <c r="G1082" s="7">
        <v>0.15</v>
      </c>
      <c r="H1082" s="6" t="s">
        <v>418</v>
      </c>
      <c r="I1082" s="6" t="s">
        <v>20</v>
      </c>
      <c r="J1082" s="6">
        <v>2022.0</v>
      </c>
      <c r="L1082" s="6">
        <v>1.0</v>
      </c>
      <c r="M1082" s="8">
        <f t="shared" si="1"/>
        <v>0.15</v>
      </c>
      <c r="P1082" s="9"/>
    </row>
    <row r="1083">
      <c r="A1083" s="6" t="s">
        <v>2712</v>
      </c>
      <c r="B1083" s="6" t="s">
        <v>2713</v>
      </c>
      <c r="C1083" s="6" t="s">
        <v>23</v>
      </c>
      <c r="D1083" s="6" t="s">
        <v>2714</v>
      </c>
      <c r="E1083" s="6" t="s">
        <v>2312</v>
      </c>
      <c r="F1083" s="6" t="s">
        <v>103</v>
      </c>
      <c r="G1083" s="7">
        <v>0.03</v>
      </c>
      <c r="H1083" s="6" t="s">
        <v>185</v>
      </c>
      <c r="I1083" s="6" t="s">
        <v>20</v>
      </c>
      <c r="J1083" s="6">
        <v>2019.0</v>
      </c>
      <c r="K1083" s="10">
        <v>46086.0</v>
      </c>
      <c r="L1083" s="6">
        <v>1.0</v>
      </c>
      <c r="M1083" s="8">
        <f t="shared" si="1"/>
        <v>0.03</v>
      </c>
      <c r="P1083" s="9"/>
    </row>
    <row r="1084">
      <c r="A1084" s="6" t="s">
        <v>2715</v>
      </c>
      <c r="B1084" s="6" t="s">
        <v>307</v>
      </c>
      <c r="C1084" s="6" t="s">
        <v>41</v>
      </c>
      <c r="D1084" s="6" t="s">
        <v>2716</v>
      </c>
      <c r="E1084" s="6" t="s">
        <v>625</v>
      </c>
      <c r="F1084" s="6" t="s">
        <v>37</v>
      </c>
      <c r="G1084" s="7">
        <v>0.35</v>
      </c>
      <c r="H1084" s="6" t="s">
        <v>1293</v>
      </c>
      <c r="I1084" s="6" t="s">
        <v>20</v>
      </c>
      <c r="J1084" s="6">
        <v>2011.0</v>
      </c>
      <c r="L1084" s="6">
        <v>2.0</v>
      </c>
      <c r="M1084" s="8">
        <f t="shared" si="1"/>
        <v>0.7</v>
      </c>
      <c r="P1084" s="9"/>
    </row>
    <row r="1085">
      <c r="A1085" s="6" t="s">
        <v>2717</v>
      </c>
      <c r="B1085" s="6" t="s">
        <v>62</v>
      </c>
      <c r="C1085" s="6" t="s">
        <v>23</v>
      </c>
      <c r="D1085" s="6" t="s">
        <v>2718</v>
      </c>
      <c r="E1085" s="6" t="s">
        <v>30</v>
      </c>
      <c r="F1085" s="6" t="s">
        <v>18</v>
      </c>
      <c r="G1085" s="7">
        <v>0.03</v>
      </c>
      <c r="H1085" s="6" t="s">
        <v>562</v>
      </c>
      <c r="I1085" s="6" t="s">
        <v>20</v>
      </c>
      <c r="J1085" s="6">
        <v>2017.0</v>
      </c>
      <c r="L1085" s="6">
        <v>2.0</v>
      </c>
      <c r="M1085" s="8">
        <f t="shared" si="1"/>
        <v>0.06</v>
      </c>
      <c r="P1085" s="9"/>
    </row>
    <row r="1086">
      <c r="A1086" s="6" t="s">
        <v>2719</v>
      </c>
      <c r="B1086" s="6" t="s">
        <v>62</v>
      </c>
      <c r="C1086" s="6" t="s">
        <v>48</v>
      </c>
      <c r="D1086" s="6" t="s">
        <v>2720</v>
      </c>
      <c r="E1086" s="6" t="s">
        <v>650</v>
      </c>
      <c r="F1086" s="6" t="s">
        <v>284</v>
      </c>
      <c r="G1086" s="7">
        <v>0.14</v>
      </c>
      <c r="H1086" s="6" t="s">
        <v>2721</v>
      </c>
      <c r="I1086" s="6" t="s">
        <v>20</v>
      </c>
      <c r="J1086" s="6">
        <v>2024.0</v>
      </c>
      <c r="L1086" s="6">
        <v>1.0</v>
      </c>
      <c r="M1086" s="8">
        <f t="shared" si="1"/>
        <v>0.14</v>
      </c>
      <c r="P1086" s="9"/>
    </row>
    <row r="1087">
      <c r="A1087" s="6" t="s">
        <v>2722</v>
      </c>
      <c r="B1087" s="6" t="s">
        <v>307</v>
      </c>
      <c r="C1087" s="6" t="s">
        <v>48</v>
      </c>
      <c r="D1087" s="6" t="s">
        <v>2723</v>
      </c>
      <c r="E1087" s="6" t="s">
        <v>36</v>
      </c>
      <c r="F1087" s="6" t="s">
        <v>37</v>
      </c>
      <c r="G1087" s="7">
        <v>0.09</v>
      </c>
      <c r="H1087" s="6" t="s">
        <v>316</v>
      </c>
      <c r="I1087" s="6" t="s">
        <v>20</v>
      </c>
      <c r="J1087" s="6">
        <v>2016.0</v>
      </c>
      <c r="L1087" s="6">
        <v>1.0</v>
      </c>
      <c r="M1087" s="8">
        <f t="shared" si="1"/>
        <v>0.09</v>
      </c>
      <c r="P1087" s="9"/>
    </row>
    <row r="1088">
      <c r="A1088" s="6" t="s">
        <v>2722</v>
      </c>
      <c r="B1088" s="6" t="s">
        <v>307</v>
      </c>
      <c r="C1088" s="6" t="s">
        <v>48</v>
      </c>
      <c r="D1088" s="6" t="s">
        <v>2723</v>
      </c>
      <c r="E1088" s="6" t="s">
        <v>36</v>
      </c>
      <c r="F1088" s="6" t="s">
        <v>37</v>
      </c>
      <c r="G1088" s="7">
        <v>0.09</v>
      </c>
      <c r="H1088" s="6" t="s">
        <v>316</v>
      </c>
      <c r="I1088" s="6" t="s">
        <v>20</v>
      </c>
      <c r="J1088" s="6">
        <v>2016.0</v>
      </c>
      <c r="L1088" s="6">
        <v>1.0</v>
      </c>
      <c r="M1088" s="8">
        <f t="shared" si="1"/>
        <v>0.09</v>
      </c>
      <c r="P1088" s="9"/>
    </row>
    <row r="1089">
      <c r="A1089" s="6" t="s">
        <v>2724</v>
      </c>
      <c r="B1089" s="6" t="s">
        <v>62</v>
      </c>
      <c r="C1089" s="6" t="s">
        <v>23</v>
      </c>
      <c r="D1089" s="6" t="s">
        <v>2725</v>
      </c>
      <c r="E1089" s="6" t="s">
        <v>79</v>
      </c>
      <c r="F1089" s="6" t="s">
        <v>51</v>
      </c>
      <c r="G1089" s="7">
        <v>0.04</v>
      </c>
      <c r="H1089" s="6" t="s">
        <v>299</v>
      </c>
      <c r="I1089" s="6" t="s">
        <v>20</v>
      </c>
      <c r="J1089" s="6">
        <v>2017.0</v>
      </c>
      <c r="L1089" s="6">
        <v>1.0</v>
      </c>
      <c r="M1089" s="8">
        <f t="shared" si="1"/>
        <v>0.04</v>
      </c>
      <c r="P1089" s="9"/>
    </row>
    <row r="1090">
      <c r="A1090" s="6" t="s">
        <v>2726</v>
      </c>
      <c r="B1090" s="6" t="s">
        <v>62</v>
      </c>
      <c r="C1090" s="6" t="s">
        <v>23</v>
      </c>
      <c r="D1090" s="6" t="s">
        <v>2727</v>
      </c>
      <c r="E1090" s="6" t="s">
        <v>149</v>
      </c>
      <c r="F1090" s="6" t="s">
        <v>18</v>
      </c>
      <c r="G1090" s="7">
        <v>0.25</v>
      </c>
      <c r="H1090" s="6" t="s">
        <v>346</v>
      </c>
      <c r="I1090" s="6" t="s">
        <v>20</v>
      </c>
      <c r="J1090" s="6">
        <v>2024.0</v>
      </c>
      <c r="L1090" s="6">
        <v>1.0</v>
      </c>
      <c r="M1090" s="8">
        <f t="shared" si="1"/>
        <v>0.25</v>
      </c>
      <c r="P1090" s="9"/>
    </row>
    <row r="1091">
      <c r="A1091" s="6" t="s">
        <v>2728</v>
      </c>
      <c r="B1091" s="6" t="s">
        <v>182</v>
      </c>
      <c r="C1091" s="6" t="s">
        <v>23</v>
      </c>
      <c r="D1091" s="6" t="s">
        <v>2729</v>
      </c>
      <c r="E1091" s="6" t="s">
        <v>30</v>
      </c>
      <c r="F1091" s="6" t="s">
        <v>18</v>
      </c>
      <c r="G1091" s="7">
        <v>0.25</v>
      </c>
      <c r="H1091" s="6" t="s">
        <v>509</v>
      </c>
      <c r="I1091" s="6" t="s">
        <v>55</v>
      </c>
      <c r="J1091" s="6">
        <v>2024.0</v>
      </c>
      <c r="L1091" s="6">
        <v>1.0</v>
      </c>
      <c r="M1091" s="8">
        <f t="shared" si="1"/>
        <v>0.25</v>
      </c>
      <c r="P1091" s="9"/>
    </row>
    <row r="1092">
      <c r="A1092" s="6" t="s">
        <v>2728</v>
      </c>
      <c r="B1092" s="6" t="s">
        <v>182</v>
      </c>
      <c r="C1092" s="6" t="s">
        <v>23</v>
      </c>
      <c r="D1092" s="6" t="s">
        <v>2729</v>
      </c>
      <c r="E1092" s="6" t="s">
        <v>30</v>
      </c>
      <c r="F1092" s="6" t="s">
        <v>18</v>
      </c>
      <c r="G1092" s="7">
        <v>0.08</v>
      </c>
      <c r="H1092" s="6" t="s">
        <v>509</v>
      </c>
      <c r="I1092" s="6" t="s">
        <v>20</v>
      </c>
      <c r="J1092" s="6">
        <v>2024.0</v>
      </c>
      <c r="L1092" s="6">
        <v>1.0</v>
      </c>
      <c r="M1092" s="8">
        <f t="shared" si="1"/>
        <v>0.08</v>
      </c>
      <c r="P1092" s="9"/>
    </row>
    <row r="1093">
      <c r="A1093" s="6" t="s">
        <v>2730</v>
      </c>
      <c r="B1093" s="6" t="s">
        <v>182</v>
      </c>
      <c r="C1093" s="6" t="s">
        <v>23</v>
      </c>
      <c r="D1093" s="6" t="s">
        <v>2731</v>
      </c>
      <c r="E1093" s="6" t="s">
        <v>30</v>
      </c>
      <c r="F1093" s="6" t="s">
        <v>18</v>
      </c>
      <c r="G1093" s="7">
        <v>1.79</v>
      </c>
      <c r="H1093" s="6" t="s">
        <v>663</v>
      </c>
      <c r="I1093" s="6" t="s">
        <v>55</v>
      </c>
      <c r="J1093" s="6">
        <v>2023.0</v>
      </c>
      <c r="L1093" s="6">
        <v>1.0</v>
      </c>
      <c r="M1093" s="8">
        <f t="shared" si="1"/>
        <v>1.79</v>
      </c>
      <c r="N1093" s="6" t="s">
        <v>172</v>
      </c>
      <c r="P1093" s="9"/>
    </row>
    <row r="1094">
      <c r="A1094" s="6" t="s">
        <v>2730</v>
      </c>
      <c r="B1094" s="6" t="s">
        <v>182</v>
      </c>
      <c r="C1094" s="6" t="s">
        <v>23</v>
      </c>
      <c r="D1094" s="6" t="s">
        <v>2731</v>
      </c>
      <c r="E1094" s="6" t="s">
        <v>30</v>
      </c>
      <c r="F1094" s="6" t="s">
        <v>18</v>
      </c>
      <c r="G1094" s="7">
        <v>0.43</v>
      </c>
      <c r="H1094" s="6" t="s">
        <v>384</v>
      </c>
      <c r="I1094" s="6" t="s">
        <v>20</v>
      </c>
      <c r="J1094" s="6">
        <v>2022.0</v>
      </c>
      <c r="L1094" s="6">
        <v>1.0</v>
      </c>
      <c r="M1094" s="8">
        <f t="shared" si="1"/>
        <v>0.43</v>
      </c>
      <c r="P1094" s="9"/>
    </row>
    <row r="1095">
      <c r="A1095" s="6" t="s">
        <v>2730</v>
      </c>
      <c r="B1095" s="6" t="s">
        <v>182</v>
      </c>
      <c r="C1095" s="6" t="s">
        <v>48</v>
      </c>
      <c r="D1095" s="6" t="s">
        <v>2731</v>
      </c>
      <c r="E1095" s="6" t="s">
        <v>30</v>
      </c>
      <c r="F1095" s="6" t="s">
        <v>18</v>
      </c>
      <c r="G1095" s="7">
        <v>0.4</v>
      </c>
      <c r="H1095" s="6" t="s">
        <v>509</v>
      </c>
      <c r="I1095" s="6" t="s">
        <v>20</v>
      </c>
      <c r="J1095" s="6">
        <v>2024.0</v>
      </c>
      <c r="L1095" s="6">
        <v>1.0</v>
      </c>
      <c r="M1095" s="8">
        <f t="shared" si="1"/>
        <v>0.4</v>
      </c>
      <c r="P1095" s="9"/>
    </row>
    <row r="1096">
      <c r="A1096" s="6" t="s">
        <v>2732</v>
      </c>
      <c r="B1096" s="6" t="s">
        <v>2518</v>
      </c>
      <c r="C1096" s="6" t="s">
        <v>23</v>
      </c>
      <c r="D1096" s="6" t="s">
        <v>2733</v>
      </c>
      <c r="E1096" s="6" t="s">
        <v>345</v>
      </c>
      <c r="F1096" s="6" t="s">
        <v>18</v>
      </c>
      <c r="G1096" s="7">
        <v>0.05</v>
      </c>
      <c r="H1096" s="6" t="s">
        <v>184</v>
      </c>
      <c r="I1096" s="6" t="s">
        <v>20</v>
      </c>
      <c r="J1096" s="6">
        <v>2015.0</v>
      </c>
      <c r="K1096" s="10">
        <v>46179.0</v>
      </c>
      <c r="L1096" s="6">
        <v>1.0</v>
      </c>
      <c r="M1096" s="8">
        <f t="shared" si="1"/>
        <v>0.05</v>
      </c>
      <c r="P1096" s="9"/>
    </row>
    <row r="1097">
      <c r="A1097" s="6" t="s">
        <v>2732</v>
      </c>
      <c r="B1097" s="6" t="s">
        <v>2518</v>
      </c>
      <c r="C1097" s="6" t="s">
        <v>23</v>
      </c>
      <c r="D1097" s="6" t="s">
        <v>2733</v>
      </c>
      <c r="E1097" s="6" t="s">
        <v>345</v>
      </c>
      <c r="F1097" s="6" t="s">
        <v>18</v>
      </c>
      <c r="G1097" s="7">
        <v>0.05</v>
      </c>
      <c r="H1097" s="6" t="s">
        <v>184</v>
      </c>
      <c r="I1097" s="6" t="s">
        <v>20</v>
      </c>
      <c r="J1097" s="6">
        <v>2015.0</v>
      </c>
      <c r="K1097" s="10">
        <v>46179.0</v>
      </c>
      <c r="L1097" s="6">
        <v>1.0</v>
      </c>
      <c r="M1097" s="8">
        <f t="shared" si="1"/>
        <v>0.05</v>
      </c>
      <c r="P1097" s="9"/>
    </row>
    <row r="1098">
      <c r="A1098" s="6" t="s">
        <v>2732</v>
      </c>
      <c r="B1098" s="6" t="s">
        <v>2518</v>
      </c>
      <c r="C1098" s="6" t="s">
        <v>23</v>
      </c>
      <c r="D1098" s="6" t="s">
        <v>2733</v>
      </c>
      <c r="E1098" s="6" t="s">
        <v>345</v>
      </c>
      <c r="F1098" s="6" t="s">
        <v>18</v>
      </c>
      <c r="G1098" s="7">
        <v>0.05</v>
      </c>
      <c r="H1098" s="6" t="s">
        <v>184</v>
      </c>
      <c r="I1098" s="6" t="s">
        <v>20</v>
      </c>
      <c r="J1098" s="6">
        <v>2015.0</v>
      </c>
      <c r="K1098" s="10">
        <v>46179.0</v>
      </c>
      <c r="L1098" s="6">
        <v>1.0</v>
      </c>
      <c r="M1098" s="8">
        <f t="shared" si="1"/>
        <v>0.05</v>
      </c>
      <c r="P1098" s="9"/>
    </row>
    <row r="1099">
      <c r="A1099" s="6" t="s">
        <v>2734</v>
      </c>
      <c r="B1099" s="6" t="s">
        <v>2735</v>
      </c>
      <c r="C1099" s="6" t="s">
        <v>23</v>
      </c>
      <c r="D1099" s="6" t="s">
        <v>2736</v>
      </c>
      <c r="E1099" s="6" t="s">
        <v>235</v>
      </c>
      <c r="F1099" s="6" t="s">
        <v>103</v>
      </c>
      <c r="G1099" s="7">
        <v>0.06</v>
      </c>
      <c r="H1099" s="6" t="s">
        <v>565</v>
      </c>
      <c r="I1099" s="6" t="s">
        <v>20</v>
      </c>
      <c r="J1099" s="6">
        <v>2021.0</v>
      </c>
      <c r="K1099" s="10">
        <v>46055.0</v>
      </c>
      <c r="L1099" s="6">
        <v>1.0</v>
      </c>
      <c r="M1099" s="8">
        <f t="shared" si="1"/>
        <v>0.06</v>
      </c>
      <c r="N1099" s="6" t="s">
        <v>518</v>
      </c>
      <c r="P1099" s="9"/>
    </row>
    <row r="1100">
      <c r="A1100" s="6" t="s">
        <v>2737</v>
      </c>
      <c r="B1100" s="6" t="s">
        <v>2738</v>
      </c>
      <c r="C1100" s="6" t="s">
        <v>48</v>
      </c>
      <c r="D1100" s="6" t="s">
        <v>2739</v>
      </c>
      <c r="E1100" s="6" t="s">
        <v>25</v>
      </c>
      <c r="F1100" s="6" t="s">
        <v>18</v>
      </c>
      <c r="G1100" s="7">
        <v>0.09</v>
      </c>
      <c r="H1100" s="6" t="s">
        <v>216</v>
      </c>
      <c r="I1100" s="6" t="s">
        <v>20</v>
      </c>
      <c r="J1100" s="6">
        <v>2024.0</v>
      </c>
      <c r="K1100" s="10">
        <v>46114.0</v>
      </c>
      <c r="L1100" s="6">
        <v>1.0</v>
      </c>
      <c r="M1100" s="8">
        <f t="shared" si="1"/>
        <v>0.09</v>
      </c>
      <c r="P1100" s="9"/>
    </row>
    <row r="1101">
      <c r="A1101" s="6" t="s">
        <v>2740</v>
      </c>
      <c r="B1101" s="6" t="s">
        <v>2741</v>
      </c>
      <c r="C1101" s="6" t="s">
        <v>23</v>
      </c>
      <c r="D1101" s="6" t="s">
        <v>2742</v>
      </c>
      <c r="E1101" s="6" t="s">
        <v>223</v>
      </c>
      <c r="F1101" s="6" t="s">
        <v>159</v>
      </c>
      <c r="G1101" s="7">
        <v>0.03</v>
      </c>
      <c r="H1101" s="6" t="s">
        <v>555</v>
      </c>
      <c r="I1101" s="6" t="s">
        <v>20</v>
      </c>
      <c r="J1101" s="6">
        <v>2017.0</v>
      </c>
      <c r="K1101" s="10">
        <v>46055.0</v>
      </c>
      <c r="L1101" s="6">
        <v>1.0</v>
      </c>
      <c r="M1101" s="8">
        <f t="shared" si="1"/>
        <v>0.03</v>
      </c>
      <c r="P1101" s="9"/>
    </row>
    <row r="1102">
      <c r="A1102" s="6" t="s">
        <v>2743</v>
      </c>
      <c r="B1102" s="6" t="s">
        <v>2744</v>
      </c>
      <c r="C1102" s="6" t="s">
        <v>23</v>
      </c>
      <c r="D1102" s="6" t="s">
        <v>2745</v>
      </c>
      <c r="E1102" s="6" t="s">
        <v>149</v>
      </c>
      <c r="F1102" s="6" t="s">
        <v>18</v>
      </c>
      <c r="G1102" s="7">
        <v>0.03</v>
      </c>
      <c r="H1102" s="6" t="s">
        <v>276</v>
      </c>
      <c r="I1102" s="6" t="s">
        <v>20</v>
      </c>
      <c r="J1102" s="6">
        <v>2014.0</v>
      </c>
      <c r="K1102" s="10">
        <v>46024.0</v>
      </c>
      <c r="L1102" s="6">
        <v>2.0</v>
      </c>
      <c r="M1102" s="8">
        <f t="shared" si="1"/>
        <v>0.06</v>
      </c>
      <c r="P1102" s="9"/>
    </row>
    <row r="1103">
      <c r="A1103" s="6" t="s">
        <v>2746</v>
      </c>
      <c r="B1103" s="6" t="s">
        <v>151</v>
      </c>
      <c r="C1103" s="6" t="s">
        <v>23</v>
      </c>
      <c r="D1103" s="6" t="s">
        <v>2747</v>
      </c>
      <c r="E1103" s="6" t="s">
        <v>2288</v>
      </c>
      <c r="F1103" s="6" t="s">
        <v>51</v>
      </c>
      <c r="G1103" s="7">
        <v>0.05</v>
      </c>
      <c r="H1103" s="6" t="s">
        <v>346</v>
      </c>
      <c r="I1103" s="6" t="s">
        <v>20</v>
      </c>
      <c r="J1103" s="6">
        <v>2024.0</v>
      </c>
      <c r="K1103" s="10">
        <v>46085.0</v>
      </c>
      <c r="L1103" s="6">
        <v>1.0</v>
      </c>
      <c r="M1103" s="8">
        <f t="shared" si="1"/>
        <v>0.05</v>
      </c>
      <c r="P1103" s="9"/>
    </row>
    <row r="1104">
      <c r="A1104" s="6" t="s">
        <v>2748</v>
      </c>
      <c r="B1104" s="6" t="s">
        <v>1280</v>
      </c>
      <c r="C1104" s="6" t="s">
        <v>23</v>
      </c>
      <c r="E1104" s="6" t="s">
        <v>112</v>
      </c>
      <c r="F1104" s="6" t="s">
        <v>65</v>
      </c>
      <c r="G1104" s="7">
        <v>0.03</v>
      </c>
      <c r="H1104" s="6" t="s">
        <v>265</v>
      </c>
      <c r="I1104" s="6" t="s">
        <v>20</v>
      </c>
      <c r="J1104" s="6">
        <v>2017.0</v>
      </c>
      <c r="K1104" s="10">
        <v>46055.0</v>
      </c>
      <c r="L1104" s="6">
        <v>3.0</v>
      </c>
      <c r="M1104" s="8">
        <f t="shared" si="1"/>
        <v>0.09</v>
      </c>
      <c r="P1104" s="9"/>
    </row>
    <row r="1105">
      <c r="A1105" s="6" t="s">
        <v>2749</v>
      </c>
      <c r="B1105" s="6" t="s">
        <v>2750</v>
      </c>
      <c r="C1105" s="6" t="s">
        <v>23</v>
      </c>
      <c r="D1105" s="6" t="s">
        <v>2751</v>
      </c>
      <c r="E1105" s="6" t="s">
        <v>235</v>
      </c>
      <c r="F1105" s="6" t="s">
        <v>103</v>
      </c>
      <c r="G1105" s="7">
        <v>0.03</v>
      </c>
      <c r="H1105" s="6" t="s">
        <v>299</v>
      </c>
      <c r="I1105" s="6" t="s">
        <v>20</v>
      </c>
      <c r="J1105" s="6">
        <v>2017.0</v>
      </c>
      <c r="K1105" s="10">
        <v>46055.0</v>
      </c>
      <c r="L1105" s="6">
        <v>1.0</v>
      </c>
      <c r="M1105" s="8">
        <f t="shared" si="1"/>
        <v>0.03</v>
      </c>
      <c r="P1105" s="9"/>
    </row>
    <row r="1106">
      <c r="A1106" s="6" t="s">
        <v>2752</v>
      </c>
      <c r="B1106" s="6" t="s">
        <v>62</v>
      </c>
      <c r="C1106" s="6" t="s">
        <v>23</v>
      </c>
      <c r="D1106" s="6" t="s">
        <v>2753</v>
      </c>
      <c r="E1106" s="6" t="s">
        <v>175</v>
      </c>
      <c r="F1106" s="6" t="s">
        <v>51</v>
      </c>
      <c r="G1106" s="7">
        <v>0.08</v>
      </c>
      <c r="H1106" s="6" t="s">
        <v>129</v>
      </c>
      <c r="I1106" s="6" t="s">
        <v>20</v>
      </c>
      <c r="J1106" s="6">
        <v>2014.0</v>
      </c>
      <c r="L1106" s="6">
        <v>1.0</v>
      </c>
      <c r="M1106" s="8">
        <f t="shared" si="1"/>
        <v>0.08</v>
      </c>
      <c r="P1106" s="9"/>
    </row>
    <row r="1107">
      <c r="A1107" s="6" t="s">
        <v>2754</v>
      </c>
      <c r="B1107" s="6" t="s">
        <v>1016</v>
      </c>
      <c r="C1107" s="6" t="s">
        <v>48</v>
      </c>
      <c r="D1107" s="6" t="s">
        <v>2755</v>
      </c>
      <c r="E1107" s="6" t="s">
        <v>79</v>
      </c>
      <c r="F1107" s="6" t="s">
        <v>51</v>
      </c>
      <c r="G1107" s="7">
        <v>0.2</v>
      </c>
      <c r="H1107" s="6" t="s">
        <v>2756</v>
      </c>
      <c r="I1107" s="6" t="s">
        <v>20</v>
      </c>
      <c r="J1107" s="6">
        <v>2000.0</v>
      </c>
      <c r="K1107" s="10">
        <v>46055.0</v>
      </c>
      <c r="L1107" s="6">
        <v>1.0</v>
      </c>
      <c r="M1107" s="8">
        <f t="shared" si="1"/>
        <v>0.2</v>
      </c>
      <c r="P1107" s="9"/>
    </row>
    <row r="1108">
      <c r="A1108" s="6" t="s">
        <v>2757</v>
      </c>
      <c r="B1108" s="6" t="s">
        <v>1540</v>
      </c>
      <c r="C1108" s="6" t="s">
        <v>48</v>
      </c>
      <c r="D1108" s="6" t="s">
        <v>2758</v>
      </c>
      <c r="E1108" s="6" t="s">
        <v>2759</v>
      </c>
      <c r="F1108" s="6" t="s">
        <v>103</v>
      </c>
      <c r="G1108" s="7">
        <v>0.15</v>
      </c>
      <c r="H1108" s="6" t="s">
        <v>645</v>
      </c>
      <c r="I1108" s="6" t="s">
        <v>20</v>
      </c>
      <c r="J1108" s="6">
        <v>2024.0</v>
      </c>
      <c r="L1108" s="6">
        <v>2.0</v>
      </c>
      <c r="M1108" s="8">
        <f t="shared" si="1"/>
        <v>0.3</v>
      </c>
      <c r="P1108" s="9"/>
    </row>
    <row r="1109">
      <c r="A1109" s="6" t="s">
        <v>2760</v>
      </c>
      <c r="B1109" s="6" t="s">
        <v>62</v>
      </c>
      <c r="C1109" s="6" t="s">
        <v>41</v>
      </c>
      <c r="D1109" s="6" t="s">
        <v>2761</v>
      </c>
      <c r="E1109" s="6" t="s">
        <v>118</v>
      </c>
      <c r="F1109" s="6" t="s">
        <v>51</v>
      </c>
      <c r="G1109" s="7">
        <v>0.19</v>
      </c>
      <c r="H1109" s="6" t="s">
        <v>359</v>
      </c>
      <c r="I1109" s="6" t="s">
        <v>20</v>
      </c>
      <c r="J1109" s="6">
        <v>2014.0</v>
      </c>
      <c r="L1109" s="6">
        <v>1.0</v>
      </c>
      <c r="M1109" s="8">
        <f t="shared" si="1"/>
        <v>0.19</v>
      </c>
      <c r="P1109" s="9"/>
    </row>
    <row r="1110">
      <c r="A1110" s="6" t="s">
        <v>2762</v>
      </c>
      <c r="B1110" s="6" t="s">
        <v>796</v>
      </c>
      <c r="C1110" s="6" t="s">
        <v>15</v>
      </c>
      <c r="D1110" s="6" t="s">
        <v>2763</v>
      </c>
      <c r="E1110" s="6" t="s">
        <v>852</v>
      </c>
      <c r="F1110" s="6" t="s">
        <v>18</v>
      </c>
      <c r="G1110" s="7">
        <v>0.21</v>
      </c>
      <c r="H1110" s="6" t="s">
        <v>19</v>
      </c>
      <c r="I1110" s="6" t="s">
        <v>20</v>
      </c>
      <c r="J1110" s="6">
        <v>2023.0</v>
      </c>
      <c r="L1110" s="6">
        <v>1.0</v>
      </c>
      <c r="M1110" s="8">
        <f t="shared" si="1"/>
        <v>0.21</v>
      </c>
      <c r="P1110" s="9"/>
    </row>
    <row r="1111">
      <c r="A1111" s="6" t="s">
        <v>2764</v>
      </c>
      <c r="B1111" s="6" t="s">
        <v>62</v>
      </c>
      <c r="C1111" s="6" t="s">
        <v>23</v>
      </c>
      <c r="D1111" s="6" t="s">
        <v>2765</v>
      </c>
      <c r="E1111" s="6" t="s">
        <v>149</v>
      </c>
      <c r="F1111" s="6" t="s">
        <v>18</v>
      </c>
      <c r="G1111" s="7">
        <v>0.43</v>
      </c>
      <c r="H1111" s="6" t="s">
        <v>224</v>
      </c>
      <c r="I1111" s="6" t="s">
        <v>55</v>
      </c>
      <c r="J1111" s="6">
        <v>2020.0</v>
      </c>
      <c r="L1111" s="6">
        <v>1.0</v>
      </c>
      <c r="M1111" s="8">
        <f t="shared" si="1"/>
        <v>0.43</v>
      </c>
      <c r="N1111" s="6" t="s">
        <v>518</v>
      </c>
      <c r="P1111" s="9"/>
    </row>
    <row r="1112">
      <c r="A1112" s="6" t="s">
        <v>2766</v>
      </c>
      <c r="B1112" s="6" t="s">
        <v>2182</v>
      </c>
      <c r="C1112" s="6" t="s">
        <v>15</v>
      </c>
      <c r="D1112" s="6" t="s">
        <v>2767</v>
      </c>
      <c r="E1112" s="6" t="s">
        <v>279</v>
      </c>
      <c r="F1112" s="6" t="s">
        <v>51</v>
      </c>
      <c r="G1112" s="7">
        <v>0.24</v>
      </c>
      <c r="H1112" s="6" t="s">
        <v>209</v>
      </c>
      <c r="I1112" s="6" t="s">
        <v>20</v>
      </c>
      <c r="J1112" s="6">
        <v>2025.0</v>
      </c>
      <c r="K1112" s="10">
        <v>46056.0</v>
      </c>
      <c r="L1112" s="6">
        <v>4.0</v>
      </c>
      <c r="M1112" s="8">
        <f t="shared" si="1"/>
        <v>0.96</v>
      </c>
      <c r="P1112" s="9"/>
    </row>
    <row r="1113">
      <c r="A1113" s="6" t="s">
        <v>2768</v>
      </c>
      <c r="B1113" s="6" t="s">
        <v>62</v>
      </c>
      <c r="C1113" s="6" t="s">
        <v>48</v>
      </c>
      <c r="D1113" s="6" t="s">
        <v>2769</v>
      </c>
      <c r="E1113" s="6" t="s">
        <v>25</v>
      </c>
      <c r="F1113" s="6" t="s">
        <v>18</v>
      </c>
      <c r="G1113" s="7">
        <v>0.99</v>
      </c>
      <c r="H1113" s="6" t="s">
        <v>2180</v>
      </c>
      <c r="I1113" s="6" t="s">
        <v>20</v>
      </c>
      <c r="J1113" s="6">
        <v>2010.0</v>
      </c>
      <c r="L1113" s="6">
        <v>1.0</v>
      </c>
      <c r="M1113" s="8">
        <f t="shared" si="1"/>
        <v>0.99</v>
      </c>
      <c r="N1113" s="6" t="s">
        <v>172</v>
      </c>
      <c r="P1113" s="9"/>
    </row>
    <row r="1114">
      <c r="A1114" s="6" t="s">
        <v>2770</v>
      </c>
      <c r="B1114" s="6" t="s">
        <v>182</v>
      </c>
      <c r="C1114" s="6" t="s">
        <v>23</v>
      </c>
      <c r="D1114" s="6" t="s">
        <v>2771</v>
      </c>
      <c r="E1114" s="6" t="s">
        <v>533</v>
      </c>
      <c r="F1114" s="6" t="s">
        <v>65</v>
      </c>
      <c r="G1114" s="7">
        <v>0.04</v>
      </c>
      <c r="H1114" s="6" t="s">
        <v>316</v>
      </c>
      <c r="I1114" s="6" t="s">
        <v>20</v>
      </c>
      <c r="J1114" s="6">
        <v>2016.0</v>
      </c>
      <c r="L1114" s="6">
        <v>3.0</v>
      </c>
      <c r="M1114" s="8">
        <f t="shared" si="1"/>
        <v>0.12</v>
      </c>
      <c r="P1114" s="9"/>
    </row>
    <row r="1115">
      <c r="A1115" s="6" t="s">
        <v>2770</v>
      </c>
      <c r="B1115" s="6" t="s">
        <v>182</v>
      </c>
      <c r="C1115" s="6" t="s">
        <v>23</v>
      </c>
      <c r="D1115" s="6" t="s">
        <v>2771</v>
      </c>
      <c r="E1115" s="6" t="s">
        <v>533</v>
      </c>
      <c r="F1115" s="6" t="s">
        <v>65</v>
      </c>
      <c r="G1115" s="7">
        <v>0.05</v>
      </c>
      <c r="H1115" s="6" t="s">
        <v>184</v>
      </c>
      <c r="I1115" s="6" t="s">
        <v>20</v>
      </c>
      <c r="J1115" s="6">
        <v>2015.0</v>
      </c>
      <c r="L1115" s="6">
        <v>10.0</v>
      </c>
      <c r="M1115" s="8">
        <f t="shared" si="1"/>
        <v>0.5</v>
      </c>
      <c r="P1115" s="9"/>
    </row>
    <row r="1116">
      <c r="A1116" s="6" t="s">
        <v>2770</v>
      </c>
      <c r="B1116" s="6" t="s">
        <v>182</v>
      </c>
      <c r="C1116" s="6" t="s">
        <v>23</v>
      </c>
      <c r="D1116" s="6" t="s">
        <v>2771</v>
      </c>
      <c r="E1116" s="6" t="s">
        <v>533</v>
      </c>
      <c r="F1116" s="6" t="s">
        <v>65</v>
      </c>
      <c r="G1116" s="7">
        <v>0.04</v>
      </c>
      <c r="H1116" s="6" t="s">
        <v>626</v>
      </c>
      <c r="I1116" s="6" t="s">
        <v>20</v>
      </c>
      <c r="J1116" s="6">
        <v>2013.0</v>
      </c>
      <c r="L1116" s="6">
        <v>1.0</v>
      </c>
      <c r="M1116" s="8">
        <f t="shared" si="1"/>
        <v>0.04</v>
      </c>
      <c r="P1116" s="9"/>
    </row>
    <row r="1117">
      <c r="A1117" s="6" t="s">
        <v>2772</v>
      </c>
      <c r="B1117" s="6" t="s">
        <v>1013</v>
      </c>
      <c r="C1117" s="6" t="s">
        <v>48</v>
      </c>
      <c r="D1117" s="6" t="s">
        <v>2773</v>
      </c>
      <c r="E1117" s="6" t="s">
        <v>696</v>
      </c>
      <c r="F1117" s="6" t="s">
        <v>37</v>
      </c>
      <c r="G1117" s="7">
        <v>0.03</v>
      </c>
      <c r="H1117" s="6" t="s">
        <v>316</v>
      </c>
      <c r="I1117" s="6" t="s">
        <v>20</v>
      </c>
      <c r="J1117" s="6">
        <v>2016.0</v>
      </c>
      <c r="K1117" s="10">
        <v>46213.0</v>
      </c>
      <c r="L1117" s="6">
        <v>1.0</v>
      </c>
      <c r="M1117" s="8">
        <f t="shared" si="1"/>
        <v>0.03</v>
      </c>
      <c r="P1117" s="9"/>
    </row>
    <row r="1118">
      <c r="A1118" s="6" t="s">
        <v>2774</v>
      </c>
      <c r="B1118" s="6" t="s">
        <v>2775</v>
      </c>
      <c r="C1118" s="6" t="s">
        <v>15</v>
      </c>
      <c r="D1118" s="6" t="s">
        <v>2776</v>
      </c>
      <c r="E1118" s="6" t="s">
        <v>2621</v>
      </c>
      <c r="F1118" s="6" t="s">
        <v>103</v>
      </c>
      <c r="G1118" s="7">
        <v>0.25</v>
      </c>
      <c r="H1118" s="6" t="s">
        <v>209</v>
      </c>
      <c r="I1118" s="6" t="s">
        <v>20</v>
      </c>
      <c r="J1118" s="6">
        <v>2025.0</v>
      </c>
      <c r="K1118" s="10">
        <v>46084.0</v>
      </c>
      <c r="L1118" s="6">
        <v>1.0</v>
      </c>
      <c r="M1118" s="8">
        <f t="shared" si="1"/>
        <v>0.25</v>
      </c>
      <c r="P1118" s="9"/>
    </row>
    <row r="1119">
      <c r="A1119" s="6" t="s">
        <v>2777</v>
      </c>
      <c r="B1119" s="6" t="s">
        <v>62</v>
      </c>
      <c r="C1119" s="6" t="s">
        <v>23</v>
      </c>
      <c r="D1119" s="6" t="s">
        <v>2778</v>
      </c>
      <c r="E1119" s="6" t="s">
        <v>102</v>
      </c>
      <c r="F1119" s="6" t="s">
        <v>103</v>
      </c>
      <c r="G1119" s="7">
        <v>0.06</v>
      </c>
      <c r="H1119" s="6" t="s">
        <v>881</v>
      </c>
      <c r="I1119" s="6" t="s">
        <v>20</v>
      </c>
      <c r="J1119" s="6">
        <v>2021.0</v>
      </c>
      <c r="L1119" s="6">
        <v>1.0</v>
      </c>
      <c r="M1119" s="8">
        <f t="shared" si="1"/>
        <v>0.06</v>
      </c>
      <c r="P1119" s="9"/>
    </row>
    <row r="1120">
      <c r="A1120" s="6" t="s">
        <v>2779</v>
      </c>
      <c r="B1120" s="6" t="s">
        <v>2193</v>
      </c>
      <c r="C1120" s="6" t="s">
        <v>41</v>
      </c>
      <c r="D1120" s="6" t="s">
        <v>2780</v>
      </c>
      <c r="E1120" s="6" t="s">
        <v>2695</v>
      </c>
      <c r="F1120" s="6" t="s">
        <v>103</v>
      </c>
      <c r="G1120" s="7">
        <v>1.8</v>
      </c>
      <c r="H1120" s="6" t="s">
        <v>324</v>
      </c>
      <c r="I1120" s="6" t="s">
        <v>20</v>
      </c>
      <c r="J1120" s="6">
        <v>2025.0</v>
      </c>
      <c r="K1120" s="10">
        <v>46085.0</v>
      </c>
      <c r="L1120" s="6">
        <v>1.0</v>
      </c>
      <c r="M1120" s="8">
        <f t="shared" si="1"/>
        <v>1.8</v>
      </c>
      <c r="N1120" s="6" t="s">
        <v>172</v>
      </c>
      <c r="P1120" s="9"/>
    </row>
    <row r="1121">
      <c r="A1121" s="6" t="s">
        <v>2781</v>
      </c>
      <c r="B1121" s="6" t="s">
        <v>372</v>
      </c>
      <c r="C1121" s="6" t="s">
        <v>48</v>
      </c>
      <c r="D1121" s="6" t="s">
        <v>2782</v>
      </c>
      <c r="E1121" s="6" t="s">
        <v>112</v>
      </c>
      <c r="F1121" s="6" t="s">
        <v>65</v>
      </c>
      <c r="G1121" s="7">
        <v>0.25</v>
      </c>
      <c r="H1121" s="6" t="s">
        <v>216</v>
      </c>
      <c r="I1121" s="6" t="s">
        <v>20</v>
      </c>
      <c r="J1121" s="6">
        <v>2024.0</v>
      </c>
      <c r="L1121" s="6">
        <v>1.0</v>
      </c>
      <c r="M1121" s="8">
        <f t="shared" si="1"/>
        <v>0.25</v>
      </c>
      <c r="P1121" s="9"/>
    </row>
    <row r="1122">
      <c r="A1122" s="6" t="s">
        <v>2783</v>
      </c>
      <c r="B1122" s="6" t="s">
        <v>2784</v>
      </c>
      <c r="C1122" s="6" t="s">
        <v>41</v>
      </c>
      <c r="D1122" s="6" t="s">
        <v>2785</v>
      </c>
      <c r="E1122" s="6" t="s">
        <v>458</v>
      </c>
      <c r="F1122" s="6" t="s">
        <v>37</v>
      </c>
      <c r="G1122" s="7">
        <v>0.35</v>
      </c>
      <c r="H1122" s="6" t="s">
        <v>66</v>
      </c>
      <c r="I1122" s="6" t="s">
        <v>20</v>
      </c>
      <c r="J1122" s="6">
        <v>2016.0</v>
      </c>
      <c r="K1122" s="10">
        <v>46178.0</v>
      </c>
      <c r="L1122" s="6">
        <v>1.0</v>
      </c>
      <c r="M1122" s="8">
        <f t="shared" si="1"/>
        <v>0.35</v>
      </c>
      <c r="P1122" s="9"/>
    </row>
    <row r="1123">
      <c r="A1123" s="6" t="s">
        <v>2786</v>
      </c>
      <c r="B1123" s="6" t="s">
        <v>709</v>
      </c>
      <c r="C1123" s="6" t="s">
        <v>41</v>
      </c>
      <c r="D1123" s="6" t="s">
        <v>2787</v>
      </c>
      <c r="E1123" s="6" t="s">
        <v>124</v>
      </c>
      <c r="F1123" s="6" t="s">
        <v>103</v>
      </c>
      <c r="G1123" s="7">
        <v>0.4</v>
      </c>
      <c r="H1123" s="6" t="s">
        <v>596</v>
      </c>
      <c r="I1123" s="6" t="s">
        <v>20</v>
      </c>
      <c r="J1123" s="6">
        <v>2012.0</v>
      </c>
      <c r="K1123" s="10">
        <v>46117.0</v>
      </c>
      <c r="L1123" s="6">
        <v>1.0</v>
      </c>
      <c r="M1123" s="8">
        <f t="shared" si="1"/>
        <v>0.4</v>
      </c>
      <c r="P1123" s="9"/>
    </row>
    <row r="1124">
      <c r="A1124" s="6" t="s">
        <v>2788</v>
      </c>
      <c r="B1124" s="6" t="s">
        <v>2789</v>
      </c>
      <c r="C1124" s="6" t="s">
        <v>15</v>
      </c>
      <c r="D1124" s="6" t="s">
        <v>2790</v>
      </c>
      <c r="E1124" s="6" t="s">
        <v>2791</v>
      </c>
      <c r="F1124" s="6" t="s">
        <v>2792</v>
      </c>
      <c r="G1124" s="7">
        <v>0.25</v>
      </c>
      <c r="H1124" s="6" t="s">
        <v>19</v>
      </c>
      <c r="I1124" s="6" t="s">
        <v>20</v>
      </c>
      <c r="J1124" s="6">
        <v>2023.0</v>
      </c>
      <c r="K1124" s="10">
        <v>46114.0</v>
      </c>
      <c r="L1124" s="6">
        <v>2.0</v>
      </c>
      <c r="M1124" s="8">
        <f t="shared" si="1"/>
        <v>0.5</v>
      </c>
      <c r="P1124" s="9"/>
    </row>
    <row r="1125">
      <c r="A1125" s="6" t="s">
        <v>2788</v>
      </c>
      <c r="B1125" s="6" t="s">
        <v>2789</v>
      </c>
      <c r="C1125" s="6" t="s">
        <v>15</v>
      </c>
      <c r="D1125" s="6" t="s">
        <v>2790</v>
      </c>
      <c r="E1125" s="6" t="s">
        <v>2791</v>
      </c>
      <c r="F1125" s="6" t="s">
        <v>2792</v>
      </c>
      <c r="G1125" s="7">
        <v>0.28</v>
      </c>
      <c r="H1125" s="6" t="s">
        <v>19</v>
      </c>
      <c r="I1125" s="6" t="s">
        <v>20</v>
      </c>
      <c r="J1125" s="6">
        <v>2023.0</v>
      </c>
      <c r="K1125" s="10">
        <v>46114.0</v>
      </c>
      <c r="L1125" s="6">
        <v>3.0</v>
      </c>
      <c r="M1125" s="8">
        <f t="shared" si="1"/>
        <v>0.84</v>
      </c>
      <c r="P1125" s="9"/>
    </row>
    <row r="1126">
      <c r="A1126" s="6" t="s">
        <v>2793</v>
      </c>
      <c r="B1126" s="6" t="s">
        <v>62</v>
      </c>
      <c r="C1126" s="6" t="s">
        <v>23</v>
      </c>
      <c r="D1126" s="6" t="s">
        <v>2794</v>
      </c>
      <c r="E1126" s="6" t="s">
        <v>25</v>
      </c>
      <c r="F1126" s="6" t="s">
        <v>18</v>
      </c>
      <c r="G1126" s="7">
        <v>0.06</v>
      </c>
      <c r="H1126" s="6" t="s">
        <v>93</v>
      </c>
      <c r="I1126" s="6" t="s">
        <v>20</v>
      </c>
      <c r="J1126" s="6">
        <v>2016.0</v>
      </c>
      <c r="L1126" s="6">
        <v>2.0</v>
      </c>
      <c r="M1126" s="8">
        <f t="shared" si="1"/>
        <v>0.12</v>
      </c>
      <c r="P1126" s="9"/>
    </row>
    <row r="1127">
      <c r="A1127" s="6" t="s">
        <v>2795</v>
      </c>
      <c r="B1127" s="6" t="s">
        <v>2193</v>
      </c>
      <c r="C1127" s="6" t="s">
        <v>23</v>
      </c>
      <c r="D1127" s="6" t="s">
        <v>2796</v>
      </c>
      <c r="E1127" s="6" t="s">
        <v>243</v>
      </c>
      <c r="F1127" s="6" t="s">
        <v>37</v>
      </c>
      <c r="G1127" s="7">
        <v>0.12</v>
      </c>
      <c r="H1127" s="6" t="s">
        <v>31</v>
      </c>
      <c r="I1127" s="6" t="s">
        <v>20</v>
      </c>
      <c r="J1127" s="6">
        <v>2026.0</v>
      </c>
      <c r="K1127" s="10">
        <v>46084.0</v>
      </c>
      <c r="L1127" s="6">
        <v>1.0</v>
      </c>
      <c r="M1127" s="8">
        <f t="shared" si="1"/>
        <v>0.12</v>
      </c>
      <c r="P1127" s="9"/>
    </row>
    <row r="1128">
      <c r="A1128" s="6" t="s">
        <v>2797</v>
      </c>
      <c r="B1128" s="6" t="s">
        <v>226</v>
      </c>
      <c r="C1128" s="6" t="s">
        <v>34</v>
      </c>
      <c r="D1128" s="6" t="s">
        <v>2798</v>
      </c>
      <c r="E1128" s="6" t="s">
        <v>243</v>
      </c>
      <c r="F1128" s="6" t="s">
        <v>37</v>
      </c>
      <c r="G1128" s="7">
        <v>0.13</v>
      </c>
      <c r="H1128" s="6" t="s">
        <v>38</v>
      </c>
      <c r="I1128" s="6" t="s">
        <v>20</v>
      </c>
      <c r="J1128" s="6">
        <v>2026.0</v>
      </c>
      <c r="K1128" s="10">
        <v>46084.0</v>
      </c>
      <c r="L1128" s="6">
        <v>1.0</v>
      </c>
      <c r="M1128" s="8">
        <f t="shared" si="1"/>
        <v>0.13</v>
      </c>
      <c r="P1128" s="9"/>
    </row>
    <row r="1129">
      <c r="A1129" s="6" t="s">
        <v>2799</v>
      </c>
      <c r="B1129" s="6" t="s">
        <v>194</v>
      </c>
      <c r="C1129" s="6" t="s">
        <v>23</v>
      </c>
      <c r="D1129" s="6" t="s">
        <v>2800</v>
      </c>
      <c r="E1129" s="6" t="s">
        <v>25</v>
      </c>
      <c r="F1129" s="6" t="s">
        <v>18</v>
      </c>
      <c r="G1129" s="7">
        <v>0.09</v>
      </c>
      <c r="H1129" s="6" t="s">
        <v>31</v>
      </c>
      <c r="I1129" s="6" t="s">
        <v>20</v>
      </c>
      <c r="J1129" s="6">
        <v>2026.0</v>
      </c>
      <c r="L1129" s="6">
        <v>1.0</v>
      </c>
      <c r="M1129" s="8">
        <f t="shared" si="1"/>
        <v>0.09</v>
      </c>
      <c r="P1129" s="9"/>
    </row>
    <row r="1130">
      <c r="A1130" s="6" t="s">
        <v>2801</v>
      </c>
      <c r="B1130" s="6" t="s">
        <v>796</v>
      </c>
      <c r="C1130" s="6" t="s">
        <v>34</v>
      </c>
      <c r="D1130" s="6" t="s">
        <v>2802</v>
      </c>
      <c r="E1130" s="6" t="s">
        <v>2621</v>
      </c>
      <c r="F1130" s="6" t="s">
        <v>103</v>
      </c>
      <c r="G1130" s="7">
        <v>0.05</v>
      </c>
      <c r="H1130" s="6" t="s">
        <v>1043</v>
      </c>
      <c r="I1130" s="6" t="s">
        <v>20</v>
      </c>
      <c r="J1130" s="6">
        <v>2025.0</v>
      </c>
      <c r="L1130" s="6">
        <v>1.0</v>
      </c>
      <c r="M1130" s="8">
        <f t="shared" si="1"/>
        <v>0.05</v>
      </c>
      <c r="P1130" s="9"/>
    </row>
    <row r="1131">
      <c r="A1131" s="6" t="s">
        <v>2803</v>
      </c>
      <c r="B1131" s="6" t="s">
        <v>291</v>
      </c>
      <c r="C1131" s="6" t="s">
        <v>23</v>
      </c>
      <c r="D1131" s="6" t="s">
        <v>2804</v>
      </c>
      <c r="E1131" s="6" t="s">
        <v>149</v>
      </c>
      <c r="F1131" s="6" t="s">
        <v>18</v>
      </c>
      <c r="G1131" s="7">
        <v>0.06</v>
      </c>
      <c r="H1131" s="6" t="s">
        <v>491</v>
      </c>
      <c r="I1131" s="6" t="s">
        <v>20</v>
      </c>
      <c r="J1131" s="6">
        <v>2011.0</v>
      </c>
      <c r="K1131" s="10">
        <v>46023.0</v>
      </c>
      <c r="L1131" s="6">
        <v>1.0</v>
      </c>
      <c r="M1131" s="8">
        <f t="shared" si="1"/>
        <v>0.06</v>
      </c>
      <c r="P1131" s="9"/>
    </row>
    <row r="1132">
      <c r="A1132" s="6" t="s">
        <v>2805</v>
      </c>
      <c r="B1132" s="6" t="s">
        <v>1540</v>
      </c>
      <c r="C1132" s="6" t="s">
        <v>23</v>
      </c>
      <c r="D1132" s="6" t="s">
        <v>2806</v>
      </c>
      <c r="E1132" s="6" t="s">
        <v>2807</v>
      </c>
      <c r="F1132" s="6" t="s">
        <v>103</v>
      </c>
      <c r="G1132" s="7">
        <v>0.05</v>
      </c>
      <c r="H1132" s="6" t="s">
        <v>645</v>
      </c>
      <c r="I1132" s="6" t="s">
        <v>20</v>
      </c>
      <c r="J1132" s="6">
        <v>2024.0</v>
      </c>
      <c r="L1132" s="6">
        <v>1.0</v>
      </c>
      <c r="M1132" s="8">
        <f t="shared" si="1"/>
        <v>0.05</v>
      </c>
      <c r="P1132" s="9"/>
    </row>
    <row r="1133">
      <c r="A1133" s="6" t="s">
        <v>2808</v>
      </c>
      <c r="B1133" s="6" t="s">
        <v>2809</v>
      </c>
      <c r="C1133" s="6" t="s">
        <v>72</v>
      </c>
      <c r="D1133" s="6" t="s">
        <v>2810</v>
      </c>
      <c r="E1133" s="6" t="s">
        <v>2811</v>
      </c>
      <c r="F1133" s="6" t="s">
        <v>87</v>
      </c>
      <c r="G1133" s="7">
        <v>0.04</v>
      </c>
      <c r="H1133" s="6" t="s">
        <v>1084</v>
      </c>
      <c r="I1133" s="6" t="s">
        <v>20</v>
      </c>
      <c r="J1133" s="6">
        <v>2018.0</v>
      </c>
      <c r="L1133" s="6">
        <v>4.0</v>
      </c>
      <c r="M1133" s="8">
        <f t="shared" si="1"/>
        <v>0.16</v>
      </c>
      <c r="P1133" s="9"/>
    </row>
    <row r="1134">
      <c r="A1134" s="6" t="s">
        <v>2812</v>
      </c>
      <c r="B1134" s="6" t="s">
        <v>796</v>
      </c>
      <c r="C1134" s="6" t="s">
        <v>15</v>
      </c>
      <c r="D1134" s="6" t="s">
        <v>2813</v>
      </c>
      <c r="E1134" s="6" t="s">
        <v>852</v>
      </c>
      <c r="F1134" s="6" t="s">
        <v>18</v>
      </c>
      <c r="G1134" s="7">
        <v>0.13</v>
      </c>
      <c r="H1134" s="6" t="s">
        <v>1043</v>
      </c>
      <c r="I1134" s="6" t="s">
        <v>20</v>
      </c>
      <c r="J1134" s="6">
        <v>2025.0</v>
      </c>
      <c r="L1134" s="6">
        <v>1.0</v>
      </c>
      <c r="M1134" s="8">
        <f t="shared" si="1"/>
        <v>0.13</v>
      </c>
      <c r="P1134" s="9"/>
    </row>
    <row r="1135">
      <c r="A1135" s="6" t="s">
        <v>2814</v>
      </c>
      <c r="B1135" s="6" t="s">
        <v>182</v>
      </c>
      <c r="C1135" s="6" t="s">
        <v>23</v>
      </c>
      <c r="D1135" s="6" t="s">
        <v>2815</v>
      </c>
      <c r="E1135" s="6" t="s">
        <v>611</v>
      </c>
      <c r="F1135" s="6" t="s">
        <v>103</v>
      </c>
      <c r="G1135" s="7">
        <v>0.05</v>
      </c>
      <c r="H1135" s="6" t="s">
        <v>427</v>
      </c>
      <c r="I1135" s="6" t="s">
        <v>20</v>
      </c>
      <c r="J1135" s="6">
        <v>2009.0</v>
      </c>
      <c r="L1135" s="6">
        <v>1.0</v>
      </c>
      <c r="M1135" s="8">
        <f t="shared" si="1"/>
        <v>0.05</v>
      </c>
      <c r="P1135" s="9"/>
    </row>
    <row r="1136">
      <c r="A1136" s="6" t="s">
        <v>2816</v>
      </c>
      <c r="B1136" s="6" t="s">
        <v>182</v>
      </c>
      <c r="C1136" s="6" t="s">
        <v>23</v>
      </c>
      <c r="D1136" s="6" t="s">
        <v>2817</v>
      </c>
      <c r="E1136" s="6" t="s">
        <v>298</v>
      </c>
      <c r="F1136" s="6" t="s">
        <v>159</v>
      </c>
      <c r="G1136" s="7">
        <v>0.03</v>
      </c>
      <c r="H1136" s="6" t="s">
        <v>359</v>
      </c>
      <c r="I1136" s="6" t="s">
        <v>20</v>
      </c>
      <c r="J1136" s="6">
        <v>2014.0</v>
      </c>
      <c r="L1136" s="6">
        <v>4.0</v>
      </c>
      <c r="M1136" s="8">
        <f t="shared" si="1"/>
        <v>0.12</v>
      </c>
      <c r="P1136" s="9"/>
    </row>
    <row r="1137">
      <c r="A1137" s="6" t="s">
        <v>2818</v>
      </c>
      <c r="B1137" s="6" t="s">
        <v>2819</v>
      </c>
      <c r="C1137" s="6" t="s">
        <v>23</v>
      </c>
      <c r="D1137" s="6" t="s">
        <v>2820</v>
      </c>
      <c r="F1137" s="6" t="s">
        <v>51</v>
      </c>
      <c r="G1137" s="7">
        <v>0.06</v>
      </c>
      <c r="H1137" s="6" t="s">
        <v>265</v>
      </c>
      <c r="I1137" s="6" t="s">
        <v>20</v>
      </c>
      <c r="J1137" s="6">
        <v>2017.0</v>
      </c>
      <c r="L1137" s="6">
        <v>1.0</v>
      </c>
      <c r="M1137" s="8">
        <f t="shared" si="1"/>
        <v>0.06</v>
      </c>
      <c r="P1137" s="9"/>
    </row>
    <row r="1138">
      <c r="A1138" s="6" t="s">
        <v>2821</v>
      </c>
      <c r="B1138" s="6" t="s">
        <v>2822</v>
      </c>
      <c r="C1138" s="6" t="s">
        <v>23</v>
      </c>
      <c r="D1138" s="6" t="s">
        <v>2823</v>
      </c>
      <c r="E1138" s="6" t="s">
        <v>112</v>
      </c>
      <c r="F1138" s="6" t="s">
        <v>65</v>
      </c>
      <c r="G1138" s="7">
        <v>0.06</v>
      </c>
      <c r="H1138" s="6" t="s">
        <v>45</v>
      </c>
      <c r="I1138" s="6" t="s">
        <v>20</v>
      </c>
      <c r="J1138" s="6">
        <v>2025.0</v>
      </c>
      <c r="K1138" s="10">
        <v>46055.0</v>
      </c>
      <c r="L1138" s="6">
        <v>1.0</v>
      </c>
      <c r="M1138" s="8">
        <f t="shared" si="1"/>
        <v>0.06</v>
      </c>
      <c r="P1138" s="9"/>
    </row>
    <row r="1139">
      <c r="A1139" s="6" t="s">
        <v>2824</v>
      </c>
      <c r="B1139" s="6" t="s">
        <v>182</v>
      </c>
      <c r="C1139" s="6" t="s">
        <v>48</v>
      </c>
      <c r="D1139" s="6" t="s">
        <v>2825</v>
      </c>
      <c r="E1139" s="6" t="s">
        <v>985</v>
      </c>
      <c r="F1139" s="6" t="s">
        <v>986</v>
      </c>
      <c r="G1139" s="7">
        <v>0.05</v>
      </c>
      <c r="H1139" s="6" t="s">
        <v>359</v>
      </c>
      <c r="I1139" s="6" t="s">
        <v>20</v>
      </c>
      <c r="J1139" s="6">
        <v>2014.0</v>
      </c>
      <c r="L1139" s="6">
        <v>4.0</v>
      </c>
      <c r="M1139" s="8">
        <f t="shared" si="1"/>
        <v>0.2</v>
      </c>
      <c r="P1139" s="9"/>
    </row>
    <row r="1140">
      <c r="A1140" s="6" t="s">
        <v>2826</v>
      </c>
      <c r="B1140" s="6" t="s">
        <v>182</v>
      </c>
      <c r="C1140" s="6" t="s">
        <v>48</v>
      </c>
      <c r="D1140" s="6" t="s">
        <v>2827</v>
      </c>
      <c r="E1140" s="6" t="s">
        <v>167</v>
      </c>
      <c r="F1140" s="6" t="s">
        <v>103</v>
      </c>
      <c r="G1140" s="7">
        <v>0.09</v>
      </c>
      <c r="H1140" s="6" t="s">
        <v>1327</v>
      </c>
      <c r="I1140" s="6" t="s">
        <v>20</v>
      </c>
      <c r="J1140" s="6">
        <v>2011.0</v>
      </c>
      <c r="L1140" s="6">
        <v>1.0</v>
      </c>
      <c r="M1140" s="8">
        <f t="shared" si="1"/>
        <v>0.09</v>
      </c>
      <c r="P1140" s="9"/>
    </row>
    <row r="1141">
      <c r="A1141" s="6" t="s">
        <v>2828</v>
      </c>
      <c r="B1141" s="6" t="s">
        <v>169</v>
      </c>
      <c r="C1141" s="6" t="s">
        <v>287</v>
      </c>
      <c r="D1141" s="6" t="s">
        <v>2829</v>
      </c>
      <c r="E1141" s="6" t="s">
        <v>102</v>
      </c>
      <c r="F1141" s="6" t="s">
        <v>103</v>
      </c>
      <c r="G1141" s="7">
        <v>0.05</v>
      </c>
      <c r="H1141" s="6" t="s">
        <v>184</v>
      </c>
      <c r="I1141" s="6" t="s">
        <v>20</v>
      </c>
      <c r="J1141" s="6">
        <v>2015.0</v>
      </c>
      <c r="L1141" s="6">
        <v>3.0</v>
      </c>
      <c r="M1141" s="8">
        <f t="shared" si="1"/>
        <v>0.15</v>
      </c>
      <c r="P1141" s="9"/>
    </row>
    <row r="1142">
      <c r="A1142" s="6" t="s">
        <v>2830</v>
      </c>
      <c r="B1142" s="6" t="s">
        <v>62</v>
      </c>
      <c r="C1142" s="6" t="s">
        <v>23</v>
      </c>
      <c r="D1142" s="6" t="s">
        <v>2831</v>
      </c>
      <c r="E1142" s="6" t="s">
        <v>118</v>
      </c>
      <c r="F1142" s="6" t="s">
        <v>51</v>
      </c>
      <c r="G1142" s="7">
        <v>1.08</v>
      </c>
      <c r="H1142" s="6" t="s">
        <v>136</v>
      </c>
      <c r="I1142" s="6" t="s">
        <v>20</v>
      </c>
      <c r="J1142" s="6">
        <v>2022.0</v>
      </c>
      <c r="L1142" s="6">
        <v>1.0</v>
      </c>
      <c r="M1142" s="8">
        <f t="shared" si="1"/>
        <v>1.08</v>
      </c>
      <c r="P1142" s="9"/>
    </row>
    <row r="1143">
      <c r="A1143" s="6" t="s">
        <v>2832</v>
      </c>
      <c r="B1143" s="6" t="s">
        <v>182</v>
      </c>
      <c r="C1143" s="6" t="s">
        <v>23</v>
      </c>
      <c r="D1143" s="6" t="s">
        <v>2833</v>
      </c>
      <c r="E1143" s="6" t="s">
        <v>64</v>
      </c>
      <c r="F1143" s="6" t="s">
        <v>65</v>
      </c>
      <c r="G1143" s="7">
        <v>0.03</v>
      </c>
      <c r="H1143" s="6" t="s">
        <v>299</v>
      </c>
      <c r="I1143" s="6" t="s">
        <v>20</v>
      </c>
      <c r="J1143" s="6">
        <v>2017.0</v>
      </c>
      <c r="L1143" s="6">
        <v>1.0</v>
      </c>
      <c r="M1143" s="8">
        <f t="shared" si="1"/>
        <v>0.03</v>
      </c>
      <c r="P1143" s="9"/>
    </row>
    <row r="1144">
      <c r="A1144" s="6" t="s">
        <v>2834</v>
      </c>
      <c r="B1144" s="6" t="s">
        <v>2545</v>
      </c>
      <c r="C1144" s="6" t="s">
        <v>48</v>
      </c>
      <c r="D1144" s="6" t="s">
        <v>2835</v>
      </c>
      <c r="E1144" s="6" t="s">
        <v>1570</v>
      </c>
      <c r="F1144" s="6" t="s">
        <v>159</v>
      </c>
      <c r="G1144" s="7">
        <v>0.15</v>
      </c>
      <c r="H1144" s="6" t="s">
        <v>705</v>
      </c>
      <c r="I1144" s="6" t="s">
        <v>20</v>
      </c>
      <c r="J1144" s="6">
        <v>2015.0</v>
      </c>
      <c r="K1144" s="10">
        <v>46116.0</v>
      </c>
      <c r="L1144" s="6">
        <v>1.0</v>
      </c>
      <c r="M1144" s="8">
        <f t="shared" si="1"/>
        <v>0.15</v>
      </c>
      <c r="P1144" s="9"/>
    </row>
    <row r="1145">
      <c r="A1145" s="6" t="s">
        <v>2836</v>
      </c>
      <c r="B1145" s="6" t="s">
        <v>182</v>
      </c>
      <c r="C1145" s="6" t="s">
        <v>48</v>
      </c>
      <c r="D1145" s="6" t="s">
        <v>2837</v>
      </c>
      <c r="E1145" s="6" t="s">
        <v>2838</v>
      </c>
      <c r="F1145" s="6" t="s">
        <v>65</v>
      </c>
      <c r="G1145" s="7">
        <v>0.06</v>
      </c>
      <c r="H1145" s="6" t="s">
        <v>109</v>
      </c>
      <c r="I1145" s="6" t="s">
        <v>20</v>
      </c>
      <c r="J1145" s="6">
        <v>1995.0</v>
      </c>
      <c r="L1145" s="6">
        <v>1.0</v>
      </c>
      <c r="M1145" s="8">
        <f t="shared" si="1"/>
        <v>0.06</v>
      </c>
      <c r="P1145" s="9"/>
    </row>
    <row r="1146">
      <c r="A1146" s="6" t="s">
        <v>2839</v>
      </c>
      <c r="B1146" s="6" t="s">
        <v>2840</v>
      </c>
      <c r="C1146" s="6" t="s">
        <v>287</v>
      </c>
      <c r="D1146" s="6" t="s">
        <v>2054</v>
      </c>
      <c r="E1146" s="6" t="s">
        <v>112</v>
      </c>
      <c r="F1146" s="6" t="s">
        <v>65</v>
      </c>
      <c r="G1146" s="7">
        <v>0.04</v>
      </c>
      <c r="H1146" s="6" t="s">
        <v>1692</v>
      </c>
      <c r="I1146" s="6" t="s">
        <v>20</v>
      </c>
      <c r="J1146" s="6">
        <v>2021.0</v>
      </c>
      <c r="K1146" s="10">
        <v>46055.0</v>
      </c>
      <c r="L1146" s="6">
        <v>3.0</v>
      </c>
      <c r="M1146" s="8">
        <f t="shared" si="1"/>
        <v>0.12</v>
      </c>
      <c r="P1146" s="9"/>
    </row>
    <row r="1147">
      <c r="A1147" s="6" t="s">
        <v>2841</v>
      </c>
      <c r="B1147" s="6" t="s">
        <v>2842</v>
      </c>
      <c r="C1147" s="6" t="s">
        <v>23</v>
      </c>
      <c r="E1147" s="6" t="s">
        <v>118</v>
      </c>
      <c r="F1147" s="6" t="s">
        <v>51</v>
      </c>
      <c r="G1147" s="7">
        <v>0.05</v>
      </c>
      <c r="H1147" s="6" t="s">
        <v>93</v>
      </c>
      <c r="I1147" s="6" t="s">
        <v>20</v>
      </c>
      <c r="J1147" s="6">
        <v>2016.0</v>
      </c>
      <c r="K1147" s="10">
        <v>46025.0</v>
      </c>
      <c r="L1147" s="6">
        <v>3.0</v>
      </c>
      <c r="M1147" s="8">
        <f t="shared" si="1"/>
        <v>0.15</v>
      </c>
      <c r="P1147" s="9"/>
    </row>
    <row r="1148">
      <c r="A1148" s="6" t="s">
        <v>2843</v>
      </c>
      <c r="B1148" s="6" t="s">
        <v>62</v>
      </c>
      <c r="C1148" s="6" t="s">
        <v>23</v>
      </c>
      <c r="D1148" s="6" t="s">
        <v>2844</v>
      </c>
      <c r="E1148" s="6" t="s">
        <v>700</v>
      </c>
      <c r="F1148" s="6" t="s">
        <v>18</v>
      </c>
      <c r="G1148" s="7">
        <v>0.05</v>
      </c>
      <c r="H1148" s="6" t="s">
        <v>1084</v>
      </c>
      <c r="I1148" s="6" t="s">
        <v>20</v>
      </c>
      <c r="J1148" s="6">
        <v>2018.0</v>
      </c>
      <c r="L1148" s="6">
        <v>1.0</v>
      </c>
      <c r="M1148" s="8">
        <f t="shared" si="1"/>
        <v>0.05</v>
      </c>
      <c r="P1148" s="9"/>
    </row>
    <row r="1149">
      <c r="A1149" s="6" t="s">
        <v>2845</v>
      </c>
      <c r="B1149" s="6" t="s">
        <v>2846</v>
      </c>
      <c r="C1149" s="6" t="s">
        <v>34</v>
      </c>
      <c r="D1149" s="6" t="s">
        <v>2847</v>
      </c>
      <c r="E1149" s="6" t="s">
        <v>2848</v>
      </c>
      <c r="F1149" s="6" t="s">
        <v>18</v>
      </c>
      <c r="G1149" s="7">
        <v>0.03</v>
      </c>
      <c r="H1149" s="6" t="s">
        <v>483</v>
      </c>
      <c r="I1149" s="6" t="s">
        <v>20</v>
      </c>
      <c r="J1149" s="6">
        <v>2014.0</v>
      </c>
      <c r="K1149" s="10">
        <v>46175.0</v>
      </c>
      <c r="L1149" s="6">
        <v>2.0</v>
      </c>
      <c r="M1149" s="8">
        <f t="shared" si="1"/>
        <v>0.06</v>
      </c>
      <c r="P1149" s="9"/>
    </row>
    <row r="1150">
      <c r="A1150" s="6" t="s">
        <v>2849</v>
      </c>
      <c r="B1150" s="6" t="s">
        <v>2850</v>
      </c>
      <c r="C1150" s="6" t="s">
        <v>48</v>
      </c>
      <c r="D1150" s="6" t="s">
        <v>2851</v>
      </c>
      <c r="E1150" s="6" t="s">
        <v>270</v>
      </c>
      <c r="F1150" s="6" t="s">
        <v>159</v>
      </c>
      <c r="G1150" s="7">
        <v>0.03</v>
      </c>
      <c r="H1150" s="6" t="s">
        <v>265</v>
      </c>
      <c r="I1150" s="6" t="s">
        <v>20</v>
      </c>
      <c r="J1150" s="6">
        <v>2017.0</v>
      </c>
      <c r="K1150" s="10">
        <v>46056.0</v>
      </c>
      <c r="L1150" s="6">
        <v>1.0</v>
      </c>
      <c r="M1150" s="8">
        <f t="shared" si="1"/>
        <v>0.03</v>
      </c>
      <c r="P1150" s="9"/>
    </row>
    <row r="1151">
      <c r="A1151" s="6" t="s">
        <v>2852</v>
      </c>
      <c r="B1151" s="6" t="s">
        <v>182</v>
      </c>
      <c r="C1151" s="6" t="s">
        <v>48</v>
      </c>
      <c r="D1151" s="6" t="s">
        <v>2853</v>
      </c>
      <c r="E1151" s="6" t="s">
        <v>64</v>
      </c>
      <c r="F1151" s="6" t="s">
        <v>65</v>
      </c>
      <c r="G1151" s="7">
        <v>0.05</v>
      </c>
      <c r="H1151" s="6" t="s">
        <v>336</v>
      </c>
      <c r="I1151" s="6" t="s">
        <v>20</v>
      </c>
      <c r="J1151" s="6">
        <v>2016.0</v>
      </c>
      <c r="L1151" s="6">
        <v>1.0</v>
      </c>
      <c r="M1151" s="8">
        <f t="shared" si="1"/>
        <v>0.05</v>
      </c>
      <c r="P1151" s="9"/>
    </row>
    <row r="1152">
      <c r="A1152" s="6" t="s">
        <v>2854</v>
      </c>
      <c r="B1152" s="6" t="s">
        <v>2855</v>
      </c>
      <c r="C1152" s="6" t="s">
        <v>41</v>
      </c>
      <c r="D1152" s="6" t="s">
        <v>2856</v>
      </c>
      <c r="E1152" s="6" t="s">
        <v>2857</v>
      </c>
      <c r="F1152" s="6" t="s">
        <v>103</v>
      </c>
      <c r="G1152" s="7">
        <v>2.75</v>
      </c>
      <c r="H1152" s="6" t="s">
        <v>574</v>
      </c>
      <c r="I1152" s="6" t="s">
        <v>20</v>
      </c>
      <c r="J1152" s="6">
        <v>2000.0</v>
      </c>
      <c r="K1152" s="10">
        <v>46274.0</v>
      </c>
      <c r="L1152" s="6">
        <v>1.0</v>
      </c>
      <c r="M1152" s="8">
        <f t="shared" si="1"/>
        <v>2.75</v>
      </c>
      <c r="N1152" s="6" t="s">
        <v>172</v>
      </c>
      <c r="P1152" s="9"/>
    </row>
    <row r="1153">
      <c r="A1153" s="6" t="s">
        <v>2858</v>
      </c>
      <c r="B1153" s="6" t="s">
        <v>2859</v>
      </c>
      <c r="C1153" s="6" t="s">
        <v>23</v>
      </c>
      <c r="D1153" s="6" t="s">
        <v>2860</v>
      </c>
      <c r="E1153" s="6" t="s">
        <v>293</v>
      </c>
      <c r="F1153" s="6" t="s">
        <v>18</v>
      </c>
      <c r="G1153" s="7">
        <v>0.05</v>
      </c>
      <c r="H1153" s="6" t="s">
        <v>2861</v>
      </c>
      <c r="I1153" s="6" t="s">
        <v>20</v>
      </c>
      <c r="J1153" s="6">
        <v>2008.0</v>
      </c>
      <c r="K1153" s="10">
        <v>46055.0</v>
      </c>
      <c r="L1153" s="6">
        <v>1.0</v>
      </c>
      <c r="M1153" s="8">
        <f t="shared" si="1"/>
        <v>0.05</v>
      </c>
      <c r="P1153" s="9"/>
    </row>
    <row r="1154">
      <c r="A1154" s="6" t="s">
        <v>2862</v>
      </c>
      <c r="B1154" s="6" t="s">
        <v>1577</v>
      </c>
      <c r="C1154" s="6" t="s">
        <v>48</v>
      </c>
      <c r="D1154" s="6" t="s">
        <v>2863</v>
      </c>
      <c r="E1154" s="6" t="s">
        <v>2235</v>
      </c>
      <c r="F1154" s="6" t="s">
        <v>37</v>
      </c>
      <c r="G1154" s="7">
        <v>0.09</v>
      </c>
      <c r="H1154" s="6" t="s">
        <v>119</v>
      </c>
      <c r="I1154" s="6" t="s">
        <v>20</v>
      </c>
      <c r="J1154" s="6">
        <v>1995.0</v>
      </c>
      <c r="K1154" s="10">
        <v>46116.0</v>
      </c>
      <c r="L1154" s="6">
        <v>1.0</v>
      </c>
      <c r="M1154" s="8">
        <f t="shared" si="1"/>
        <v>0.09</v>
      </c>
      <c r="P1154" s="9"/>
    </row>
    <row r="1155">
      <c r="A1155" s="6" t="s">
        <v>2862</v>
      </c>
      <c r="B1155" s="6" t="s">
        <v>1577</v>
      </c>
      <c r="C1155" s="6" t="s">
        <v>48</v>
      </c>
      <c r="D1155" s="6" t="s">
        <v>2863</v>
      </c>
      <c r="E1155" s="6" t="s">
        <v>2235</v>
      </c>
      <c r="F1155" s="6" t="s">
        <v>37</v>
      </c>
      <c r="G1155" s="7">
        <v>0.2</v>
      </c>
      <c r="H1155" s="6" t="s">
        <v>120</v>
      </c>
      <c r="I1155" s="6" t="s">
        <v>20</v>
      </c>
      <c r="J1155" s="6">
        <v>1995.0</v>
      </c>
      <c r="K1155" s="10">
        <v>46116.0</v>
      </c>
      <c r="L1155" s="6">
        <v>1.0</v>
      </c>
      <c r="M1155" s="8">
        <f t="shared" si="1"/>
        <v>0.2</v>
      </c>
      <c r="P1155" s="9"/>
    </row>
    <row r="1156">
      <c r="A1156" s="6" t="s">
        <v>2864</v>
      </c>
      <c r="B1156" s="6" t="s">
        <v>2026</v>
      </c>
      <c r="C1156" s="6" t="s">
        <v>34</v>
      </c>
      <c r="D1156" s="6" t="s">
        <v>2865</v>
      </c>
      <c r="E1156" s="6" t="s">
        <v>2058</v>
      </c>
      <c r="F1156" s="6" t="s">
        <v>1732</v>
      </c>
      <c r="G1156" s="7">
        <v>0.03</v>
      </c>
      <c r="H1156" s="6" t="s">
        <v>483</v>
      </c>
      <c r="I1156" s="6" t="s">
        <v>20</v>
      </c>
      <c r="J1156" s="6">
        <v>2014.0</v>
      </c>
      <c r="L1156" s="6">
        <v>2.0</v>
      </c>
      <c r="M1156" s="8">
        <f t="shared" si="1"/>
        <v>0.06</v>
      </c>
      <c r="P1156" s="9"/>
    </row>
    <row r="1157">
      <c r="A1157" s="6" t="s">
        <v>2866</v>
      </c>
      <c r="B1157" s="6" t="s">
        <v>2867</v>
      </c>
      <c r="C1157" s="6" t="s">
        <v>15</v>
      </c>
      <c r="D1157" s="6" t="s">
        <v>2868</v>
      </c>
      <c r="E1157" s="6" t="s">
        <v>2869</v>
      </c>
      <c r="F1157" s="6" t="s">
        <v>159</v>
      </c>
      <c r="G1157" s="7">
        <v>0.25</v>
      </c>
      <c r="H1157" s="6" t="s">
        <v>209</v>
      </c>
      <c r="I1157" s="6" t="s">
        <v>20</v>
      </c>
      <c r="J1157" s="6">
        <v>2025.0</v>
      </c>
      <c r="K1157" s="10">
        <v>46242.0</v>
      </c>
      <c r="L1157" s="6">
        <v>1.0</v>
      </c>
      <c r="M1157" s="8">
        <f t="shared" si="1"/>
        <v>0.25</v>
      </c>
      <c r="P1157" s="9"/>
    </row>
    <row r="1158">
      <c r="A1158" s="6" t="s">
        <v>2870</v>
      </c>
      <c r="B1158" s="6" t="s">
        <v>202</v>
      </c>
      <c r="C1158" s="6" t="s">
        <v>41</v>
      </c>
      <c r="D1158" s="6" t="s">
        <v>2871</v>
      </c>
      <c r="E1158" s="6" t="s">
        <v>1771</v>
      </c>
      <c r="F1158" s="6" t="s">
        <v>51</v>
      </c>
      <c r="G1158" s="7">
        <v>0.68</v>
      </c>
      <c r="H1158" s="6" t="s">
        <v>2872</v>
      </c>
      <c r="I1158" s="6" t="s">
        <v>20</v>
      </c>
      <c r="J1158" s="6">
        <v>2019.0</v>
      </c>
      <c r="L1158" s="6">
        <v>2.0</v>
      </c>
      <c r="M1158" s="8">
        <f t="shared" si="1"/>
        <v>1.36</v>
      </c>
      <c r="P1158" s="9"/>
    </row>
    <row r="1159">
      <c r="A1159" s="6" t="s">
        <v>2873</v>
      </c>
      <c r="B1159" s="6" t="s">
        <v>202</v>
      </c>
      <c r="C1159" s="6" t="s">
        <v>41</v>
      </c>
      <c r="D1159" s="6" t="s">
        <v>2874</v>
      </c>
      <c r="E1159" s="6" t="s">
        <v>293</v>
      </c>
      <c r="F1159" s="6" t="s">
        <v>18</v>
      </c>
      <c r="G1159" s="7">
        <v>0.56</v>
      </c>
      <c r="H1159" s="6" t="s">
        <v>2875</v>
      </c>
      <c r="I1159" s="6" t="s">
        <v>20</v>
      </c>
      <c r="J1159" s="6">
        <v>2014.0</v>
      </c>
      <c r="L1159" s="6">
        <v>1.0</v>
      </c>
      <c r="M1159" s="8">
        <f t="shared" si="1"/>
        <v>0.56</v>
      </c>
      <c r="P1159" s="9"/>
    </row>
    <row r="1160">
      <c r="A1160" s="6" t="s">
        <v>2876</v>
      </c>
      <c r="B1160" s="6" t="s">
        <v>165</v>
      </c>
      <c r="C1160" s="6" t="s">
        <v>34</v>
      </c>
      <c r="D1160" s="6" t="s">
        <v>2877</v>
      </c>
      <c r="E1160" s="6" t="s">
        <v>175</v>
      </c>
      <c r="F1160" s="6" t="s">
        <v>51</v>
      </c>
      <c r="G1160" s="7">
        <v>0.15</v>
      </c>
      <c r="H1160" s="6" t="s">
        <v>807</v>
      </c>
      <c r="I1160" s="6" t="s">
        <v>20</v>
      </c>
      <c r="J1160" s="6">
        <v>2026.0</v>
      </c>
      <c r="L1160" s="6">
        <v>3.0</v>
      </c>
      <c r="M1160" s="8">
        <f t="shared" si="1"/>
        <v>0.45</v>
      </c>
      <c r="P1160" s="9"/>
    </row>
    <row r="1161">
      <c r="A1161" s="6" t="s">
        <v>2878</v>
      </c>
      <c r="B1161" s="6" t="s">
        <v>62</v>
      </c>
      <c r="C1161" s="6" t="s">
        <v>23</v>
      </c>
      <c r="D1161" s="6" t="s">
        <v>2879</v>
      </c>
      <c r="E1161" s="6" t="s">
        <v>1034</v>
      </c>
      <c r="F1161" s="6" t="s">
        <v>717</v>
      </c>
      <c r="G1161" s="7">
        <v>0.15</v>
      </c>
      <c r="H1161" s="6" t="s">
        <v>171</v>
      </c>
      <c r="I1161" s="6" t="s">
        <v>20</v>
      </c>
      <c r="J1161" s="6">
        <v>2021.0</v>
      </c>
      <c r="L1161" s="6">
        <v>1.0</v>
      </c>
      <c r="M1161" s="8">
        <f t="shared" si="1"/>
        <v>0.15</v>
      </c>
      <c r="P1161" s="9"/>
    </row>
    <row r="1162">
      <c r="A1162" s="6" t="s">
        <v>2880</v>
      </c>
      <c r="B1162" s="6" t="s">
        <v>2881</v>
      </c>
      <c r="C1162" s="6" t="s">
        <v>41</v>
      </c>
      <c r="D1162" s="6" t="s">
        <v>2882</v>
      </c>
      <c r="E1162" s="6" t="s">
        <v>298</v>
      </c>
      <c r="F1162" s="6" t="s">
        <v>159</v>
      </c>
      <c r="G1162" s="7">
        <v>0.95</v>
      </c>
      <c r="H1162" s="6" t="s">
        <v>45</v>
      </c>
      <c r="I1162" s="6" t="s">
        <v>20</v>
      </c>
      <c r="J1162" s="6">
        <v>2025.0</v>
      </c>
      <c r="K1162" s="10">
        <v>46116.0</v>
      </c>
      <c r="L1162" s="6">
        <v>1.0</v>
      </c>
      <c r="M1162" s="8">
        <f t="shared" si="1"/>
        <v>0.95</v>
      </c>
      <c r="P1162" s="9"/>
    </row>
    <row r="1163">
      <c r="A1163" s="6" t="s">
        <v>2883</v>
      </c>
      <c r="B1163" s="6" t="s">
        <v>366</v>
      </c>
      <c r="C1163" s="6" t="s">
        <v>48</v>
      </c>
      <c r="D1163" s="6" t="s">
        <v>2884</v>
      </c>
      <c r="E1163" s="6" t="s">
        <v>118</v>
      </c>
      <c r="F1163" s="6" t="s">
        <v>51</v>
      </c>
      <c r="G1163" s="7">
        <v>0.18</v>
      </c>
      <c r="H1163" s="6" t="s">
        <v>192</v>
      </c>
      <c r="I1163" s="6" t="s">
        <v>20</v>
      </c>
      <c r="J1163" s="6">
        <v>2026.0</v>
      </c>
      <c r="L1163" s="6">
        <v>1.0</v>
      </c>
      <c r="M1163" s="8">
        <f t="shared" si="1"/>
        <v>0.18</v>
      </c>
      <c r="P1163" s="9"/>
    </row>
    <row r="1164">
      <c r="A1164" s="6" t="s">
        <v>2883</v>
      </c>
      <c r="B1164" s="6" t="s">
        <v>366</v>
      </c>
      <c r="C1164" s="6" t="s">
        <v>48</v>
      </c>
      <c r="D1164" s="6" t="s">
        <v>2884</v>
      </c>
      <c r="E1164" s="6" t="s">
        <v>118</v>
      </c>
      <c r="F1164" s="6" t="s">
        <v>51</v>
      </c>
      <c r="G1164" s="7">
        <v>0.25</v>
      </c>
      <c r="H1164" s="6" t="s">
        <v>192</v>
      </c>
      <c r="I1164" s="6" t="s">
        <v>55</v>
      </c>
      <c r="J1164" s="6">
        <v>2026.0</v>
      </c>
      <c r="L1164" s="6">
        <v>1.0</v>
      </c>
      <c r="M1164" s="8">
        <f t="shared" si="1"/>
        <v>0.25</v>
      </c>
      <c r="P1164" s="9"/>
    </row>
    <row r="1165">
      <c r="A1165" s="6" t="s">
        <v>2885</v>
      </c>
      <c r="B1165" s="6" t="s">
        <v>307</v>
      </c>
      <c r="C1165" s="6" t="s">
        <v>48</v>
      </c>
      <c r="D1165" s="6" t="s">
        <v>2886</v>
      </c>
      <c r="E1165" s="6" t="s">
        <v>243</v>
      </c>
      <c r="F1165" s="6" t="s">
        <v>37</v>
      </c>
      <c r="G1165" s="7">
        <v>0.21</v>
      </c>
      <c r="H1165" s="6" t="s">
        <v>88</v>
      </c>
      <c r="I1165" s="6" t="s">
        <v>20</v>
      </c>
      <c r="J1165" s="6">
        <v>2013.0</v>
      </c>
      <c r="L1165" s="6">
        <v>1.0</v>
      </c>
      <c r="M1165" s="8">
        <f t="shared" si="1"/>
        <v>0.21</v>
      </c>
      <c r="P1165" s="9"/>
    </row>
    <row r="1166">
      <c r="A1166" s="6" t="s">
        <v>2887</v>
      </c>
      <c r="B1166" s="6" t="s">
        <v>169</v>
      </c>
      <c r="C1166" s="6" t="s">
        <v>84</v>
      </c>
      <c r="D1166" s="6" t="s">
        <v>2888</v>
      </c>
      <c r="E1166" s="6" t="s">
        <v>235</v>
      </c>
      <c r="F1166" s="6" t="s">
        <v>103</v>
      </c>
      <c r="G1166" s="7">
        <v>0.37</v>
      </c>
      <c r="H1166" s="6" t="s">
        <v>555</v>
      </c>
      <c r="I1166" s="6" t="s">
        <v>20</v>
      </c>
      <c r="J1166" s="6">
        <v>2017.0</v>
      </c>
      <c r="L1166" s="6">
        <v>1.0</v>
      </c>
      <c r="M1166" s="8">
        <f t="shared" si="1"/>
        <v>0.37</v>
      </c>
      <c r="P1166" s="9"/>
    </row>
    <row r="1167">
      <c r="A1167" s="6" t="s">
        <v>2889</v>
      </c>
      <c r="B1167" s="6" t="s">
        <v>169</v>
      </c>
      <c r="C1167" s="6" t="s">
        <v>84</v>
      </c>
      <c r="D1167" s="6" t="s">
        <v>2890</v>
      </c>
      <c r="E1167" s="6" t="s">
        <v>235</v>
      </c>
      <c r="F1167" s="6" t="s">
        <v>103</v>
      </c>
      <c r="G1167" s="7">
        <v>0.37</v>
      </c>
      <c r="H1167" s="6" t="s">
        <v>555</v>
      </c>
      <c r="I1167" s="6" t="s">
        <v>20</v>
      </c>
      <c r="J1167" s="6">
        <v>2017.0</v>
      </c>
      <c r="L1167" s="6">
        <v>1.0</v>
      </c>
      <c r="M1167" s="8">
        <f t="shared" si="1"/>
        <v>0.37</v>
      </c>
      <c r="P1167" s="9"/>
    </row>
    <row r="1168">
      <c r="A1168" s="6" t="s">
        <v>2891</v>
      </c>
      <c r="B1168" s="6" t="s">
        <v>182</v>
      </c>
      <c r="C1168" s="6" t="s">
        <v>48</v>
      </c>
      <c r="D1168" s="6" t="s">
        <v>2892</v>
      </c>
      <c r="E1168" s="6" t="s">
        <v>235</v>
      </c>
      <c r="F1168" s="6" t="s">
        <v>103</v>
      </c>
      <c r="G1168" s="7">
        <v>0.08</v>
      </c>
      <c r="H1168" s="6" t="s">
        <v>705</v>
      </c>
      <c r="I1168" s="6" t="s">
        <v>20</v>
      </c>
      <c r="J1168" s="6">
        <v>2015.0</v>
      </c>
      <c r="L1168" s="6">
        <v>1.0</v>
      </c>
      <c r="M1168" s="8">
        <f t="shared" si="1"/>
        <v>0.08</v>
      </c>
      <c r="N1168" s="6" t="s">
        <v>518</v>
      </c>
      <c r="P1168" s="9"/>
    </row>
    <row r="1169">
      <c r="A1169" s="6" t="s">
        <v>2893</v>
      </c>
      <c r="B1169" s="6" t="s">
        <v>796</v>
      </c>
      <c r="C1169" s="6" t="s">
        <v>34</v>
      </c>
      <c r="D1169" s="6" t="s">
        <v>2894</v>
      </c>
      <c r="E1169" s="6" t="s">
        <v>618</v>
      </c>
      <c r="F1169" s="6" t="s">
        <v>159</v>
      </c>
      <c r="G1169" s="7">
        <v>0.06</v>
      </c>
      <c r="H1169" s="6" t="s">
        <v>1043</v>
      </c>
      <c r="I1169" s="6" t="s">
        <v>20</v>
      </c>
      <c r="J1169" s="6">
        <v>2025.0</v>
      </c>
      <c r="L1169" s="6">
        <v>1.0</v>
      </c>
      <c r="M1169" s="8">
        <f t="shared" si="1"/>
        <v>0.06</v>
      </c>
      <c r="P1169" s="9"/>
    </row>
    <row r="1170">
      <c r="A1170" s="6" t="s">
        <v>2895</v>
      </c>
      <c r="B1170" s="6" t="s">
        <v>194</v>
      </c>
      <c r="C1170" s="6" t="s">
        <v>23</v>
      </c>
      <c r="D1170" s="6" t="s">
        <v>2896</v>
      </c>
      <c r="E1170" s="6" t="s">
        <v>30</v>
      </c>
      <c r="F1170" s="6" t="s">
        <v>18</v>
      </c>
      <c r="G1170" s="7">
        <v>0.04</v>
      </c>
      <c r="H1170" s="6" t="s">
        <v>994</v>
      </c>
      <c r="I1170" s="6" t="s">
        <v>20</v>
      </c>
      <c r="J1170" s="6">
        <v>2024.0</v>
      </c>
      <c r="L1170" s="6">
        <v>1.0</v>
      </c>
      <c r="M1170" s="8">
        <f t="shared" si="1"/>
        <v>0.04</v>
      </c>
      <c r="P1170" s="9"/>
    </row>
    <row r="1171">
      <c r="A1171" s="6" t="s">
        <v>2897</v>
      </c>
      <c r="B1171" s="6" t="s">
        <v>2898</v>
      </c>
      <c r="C1171" s="6" t="s">
        <v>48</v>
      </c>
      <c r="D1171" s="6" t="s">
        <v>2899</v>
      </c>
      <c r="E1171" s="6" t="s">
        <v>167</v>
      </c>
      <c r="F1171" s="6" t="s">
        <v>103</v>
      </c>
      <c r="G1171" s="7">
        <v>0.1</v>
      </c>
      <c r="H1171" s="6" t="s">
        <v>491</v>
      </c>
      <c r="I1171" s="6" t="s">
        <v>20</v>
      </c>
      <c r="J1171" s="6">
        <v>2011.0</v>
      </c>
      <c r="K1171" s="10">
        <v>46055.0</v>
      </c>
      <c r="L1171" s="6">
        <v>1.0</v>
      </c>
      <c r="M1171" s="8">
        <f t="shared" si="1"/>
        <v>0.1</v>
      </c>
      <c r="P1171" s="9"/>
    </row>
    <row r="1172">
      <c r="A1172" s="6" t="s">
        <v>2900</v>
      </c>
      <c r="B1172" s="6" t="s">
        <v>543</v>
      </c>
      <c r="C1172" s="6" t="s">
        <v>23</v>
      </c>
      <c r="D1172" s="6" t="s">
        <v>2901</v>
      </c>
      <c r="E1172" s="6" t="s">
        <v>235</v>
      </c>
      <c r="F1172" s="6" t="s">
        <v>103</v>
      </c>
      <c r="G1172" s="7">
        <v>0.25</v>
      </c>
      <c r="H1172" s="6" t="s">
        <v>994</v>
      </c>
      <c r="I1172" s="6" t="s">
        <v>55</v>
      </c>
      <c r="J1172" s="6">
        <v>2024.0</v>
      </c>
      <c r="L1172" s="6">
        <v>1.0</v>
      </c>
      <c r="M1172" s="8">
        <f t="shared" si="1"/>
        <v>0.25</v>
      </c>
      <c r="P1172" s="9"/>
    </row>
    <row r="1173">
      <c r="A1173" s="6" t="s">
        <v>2902</v>
      </c>
      <c r="B1173" s="6" t="s">
        <v>2903</v>
      </c>
      <c r="C1173" s="6" t="s">
        <v>23</v>
      </c>
      <c r="D1173" s="6" t="s">
        <v>2904</v>
      </c>
      <c r="E1173" s="6" t="s">
        <v>153</v>
      </c>
      <c r="F1173" s="6" t="s">
        <v>103</v>
      </c>
      <c r="G1173" s="7">
        <v>0.05</v>
      </c>
      <c r="H1173" s="6" t="s">
        <v>370</v>
      </c>
      <c r="I1173" s="6" t="s">
        <v>20</v>
      </c>
      <c r="J1173" s="6">
        <v>1996.0</v>
      </c>
      <c r="K1173" s="10">
        <v>46082.0</v>
      </c>
      <c r="L1173" s="6">
        <v>1.0</v>
      </c>
      <c r="M1173" s="8">
        <f t="shared" si="1"/>
        <v>0.05</v>
      </c>
      <c r="P1173" s="9"/>
    </row>
    <row r="1174">
      <c r="A1174" s="6" t="s">
        <v>2905</v>
      </c>
      <c r="B1174" s="6" t="s">
        <v>62</v>
      </c>
      <c r="C1174" s="6" t="s">
        <v>48</v>
      </c>
      <c r="D1174" s="6" t="s">
        <v>2906</v>
      </c>
      <c r="E1174" s="6" t="s">
        <v>293</v>
      </c>
      <c r="F1174" s="6" t="s">
        <v>18</v>
      </c>
      <c r="G1174" s="7">
        <v>0.06</v>
      </c>
      <c r="H1174" s="6" t="s">
        <v>316</v>
      </c>
      <c r="I1174" s="6" t="s">
        <v>20</v>
      </c>
      <c r="J1174" s="6">
        <v>2016.0</v>
      </c>
      <c r="L1174" s="6">
        <v>1.0</v>
      </c>
      <c r="M1174" s="8">
        <f t="shared" si="1"/>
        <v>0.06</v>
      </c>
      <c r="P1174" s="9"/>
    </row>
    <row r="1175">
      <c r="A1175" s="6" t="s">
        <v>2907</v>
      </c>
      <c r="B1175" s="6" t="s">
        <v>1032</v>
      </c>
      <c r="C1175" s="6" t="s">
        <v>48</v>
      </c>
      <c r="D1175" s="6" t="s">
        <v>2908</v>
      </c>
      <c r="E1175" s="6" t="s">
        <v>2909</v>
      </c>
      <c r="F1175" s="6" t="s">
        <v>717</v>
      </c>
      <c r="G1175" s="7">
        <v>0.11</v>
      </c>
      <c r="H1175" s="6" t="s">
        <v>359</v>
      </c>
      <c r="I1175" s="6" t="s">
        <v>20</v>
      </c>
      <c r="J1175" s="6">
        <v>2014.0</v>
      </c>
      <c r="K1175" s="10">
        <v>46082.0</v>
      </c>
      <c r="L1175" s="6">
        <v>1.0</v>
      </c>
      <c r="M1175" s="8">
        <f t="shared" si="1"/>
        <v>0.11</v>
      </c>
      <c r="P1175" s="9"/>
    </row>
    <row r="1176">
      <c r="A1176" s="6" t="s">
        <v>2910</v>
      </c>
      <c r="B1176" s="6" t="s">
        <v>127</v>
      </c>
      <c r="C1176" s="6" t="s">
        <v>23</v>
      </c>
      <c r="D1176" s="6" t="s">
        <v>2911</v>
      </c>
      <c r="E1176" s="6" t="s">
        <v>124</v>
      </c>
      <c r="F1176" s="6" t="s">
        <v>103</v>
      </c>
      <c r="G1176" s="7">
        <v>0.06</v>
      </c>
      <c r="H1176" s="6" t="s">
        <v>626</v>
      </c>
      <c r="I1176" s="6" t="s">
        <v>20</v>
      </c>
      <c r="J1176" s="6">
        <v>2013.0</v>
      </c>
      <c r="K1176" s="10">
        <v>46082.0</v>
      </c>
      <c r="L1176" s="6">
        <v>3.0</v>
      </c>
      <c r="M1176" s="8">
        <f t="shared" si="1"/>
        <v>0.18</v>
      </c>
      <c r="P1176" s="9"/>
    </row>
    <row r="1177">
      <c r="A1177" s="6" t="s">
        <v>2912</v>
      </c>
      <c r="B1177" s="6" t="s">
        <v>2913</v>
      </c>
      <c r="C1177" s="6" t="s">
        <v>23</v>
      </c>
      <c r="D1177" s="6" t="s">
        <v>2914</v>
      </c>
      <c r="E1177" s="6" t="s">
        <v>167</v>
      </c>
      <c r="F1177" s="6" t="s">
        <v>103</v>
      </c>
      <c r="G1177" s="7">
        <v>0.64</v>
      </c>
      <c r="H1177" s="6" t="s">
        <v>305</v>
      </c>
      <c r="I1177" s="6" t="s">
        <v>20</v>
      </c>
      <c r="J1177" s="6">
        <v>2003.0</v>
      </c>
      <c r="K1177" s="10">
        <v>46023.0</v>
      </c>
      <c r="L1177" s="6">
        <v>1.0</v>
      </c>
      <c r="M1177" s="8">
        <f t="shared" si="1"/>
        <v>0.64</v>
      </c>
      <c r="P1177" s="9"/>
    </row>
    <row r="1178">
      <c r="A1178" s="6" t="s">
        <v>2915</v>
      </c>
      <c r="B1178" s="6" t="s">
        <v>2916</v>
      </c>
      <c r="C1178" s="6" t="s">
        <v>23</v>
      </c>
      <c r="D1178" s="6" t="s">
        <v>2917</v>
      </c>
      <c r="E1178" s="6" t="s">
        <v>102</v>
      </c>
      <c r="F1178" s="6" t="s">
        <v>103</v>
      </c>
      <c r="G1178" s="7">
        <v>0.03</v>
      </c>
      <c r="H1178" s="6" t="s">
        <v>526</v>
      </c>
      <c r="I1178" s="6" t="s">
        <v>20</v>
      </c>
      <c r="J1178" s="6">
        <v>2020.0</v>
      </c>
      <c r="K1178" s="10">
        <v>46024.0</v>
      </c>
      <c r="L1178" s="6">
        <v>1.0</v>
      </c>
      <c r="M1178" s="8">
        <f t="shared" si="1"/>
        <v>0.03</v>
      </c>
      <c r="P1178" s="9"/>
    </row>
    <row r="1179">
      <c r="A1179" s="6" t="s">
        <v>2918</v>
      </c>
      <c r="B1179" s="6" t="s">
        <v>62</v>
      </c>
      <c r="C1179" s="6" t="s">
        <v>48</v>
      </c>
      <c r="D1179" s="6" t="s">
        <v>2919</v>
      </c>
      <c r="E1179" s="6" t="s">
        <v>25</v>
      </c>
      <c r="F1179" s="6" t="s">
        <v>18</v>
      </c>
      <c r="G1179" s="7">
        <v>0.13</v>
      </c>
      <c r="H1179" s="6" t="s">
        <v>418</v>
      </c>
      <c r="I1179" s="6" t="s">
        <v>20</v>
      </c>
      <c r="J1179" s="6">
        <v>2022.0</v>
      </c>
      <c r="L1179" s="6">
        <v>1.0</v>
      </c>
      <c r="M1179" s="8">
        <f t="shared" si="1"/>
        <v>0.13</v>
      </c>
      <c r="P1179" s="9"/>
    </row>
    <row r="1180">
      <c r="A1180" s="6" t="s">
        <v>2920</v>
      </c>
      <c r="B1180" s="6" t="s">
        <v>194</v>
      </c>
      <c r="C1180" s="6" t="s">
        <v>521</v>
      </c>
      <c r="D1180" s="6" t="s">
        <v>2921</v>
      </c>
      <c r="E1180" s="6" t="s">
        <v>118</v>
      </c>
      <c r="F1180" s="6" t="s">
        <v>904</v>
      </c>
      <c r="G1180" s="7">
        <v>0.05</v>
      </c>
      <c r="H1180" s="6" t="s">
        <v>370</v>
      </c>
      <c r="I1180" s="6" t="s">
        <v>20</v>
      </c>
      <c r="J1180" s="6">
        <v>1996.0</v>
      </c>
      <c r="L1180" s="6">
        <v>1.0</v>
      </c>
      <c r="M1180" s="8">
        <f t="shared" si="1"/>
        <v>0.05</v>
      </c>
      <c r="P1180" s="9"/>
    </row>
    <row r="1181">
      <c r="A1181" s="6" t="s">
        <v>2922</v>
      </c>
      <c r="B1181" s="6" t="s">
        <v>2923</v>
      </c>
      <c r="C1181" s="6" t="s">
        <v>23</v>
      </c>
      <c r="D1181" s="6" t="s">
        <v>2924</v>
      </c>
      <c r="E1181" s="6" t="s">
        <v>118</v>
      </c>
      <c r="F1181" s="6" t="s">
        <v>51</v>
      </c>
      <c r="G1181" s="7">
        <v>0.43</v>
      </c>
      <c r="H1181" s="6" t="s">
        <v>2925</v>
      </c>
      <c r="I1181" s="6" t="s">
        <v>20</v>
      </c>
      <c r="J1181" s="6">
        <v>1993.0</v>
      </c>
      <c r="L1181" s="6">
        <v>1.0</v>
      </c>
      <c r="M1181" s="8">
        <f t="shared" si="1"/>
        <v>0.43</v>
      </c>
      <c r="P1181" s="9"/>
    </row>
    <row r="1182">
      <c r="A1182" s="6" t="s">
        <v>2922</v>
      </c>
      <c r="B1182" s="6" t="s">
        <v>194</v>
      </c>
      <c r="C1182" s="6" t="s">
        <v>521</v>
      </c>
      <c r="D1182" s="6" t="s">
        <v>2926</v>
      </c>
      <c r="E1182" s="6" t="s">
        <v>118</v>
      </c>
      <c r="F1182" s="6" t="s">
        <v>904</v>
      </c>
      <c r="G1182" s="7">
        <v>0.09</v>
      </c>
      <c r="H1182" s="6" t="s">
        <v>2927</v>
      </c>
      <c r="I1182" s="6" t="s">
        <v>20</v>
      </c>
      <c r="J1182" s="6">
        <v>1999.0</v>
      </c>
      <c r="L1182" s="6">
        <v>1.0</v>
      </c>
      <c r="M1182" s="8">
        <f t="shared" si="1"/>
        <v>0.09</v>
      </c>
      <c r="P1182" s="9"/>
    </row>
    <row r="1183">
      <c r="A1183" s="6" t="s">
        <v>2928</v>
      </c>
      <c r="B1183" s="6" t="s">
        <v>194</v>
      </c>
      <c r="C1183" s="6" t="s">
        <v>521</v>
      </c>
      <c r="D1183" s="6" t="s">
        <v>2929</v>
      </c>
      <c r="E1183" s="6" t="s">
        <v>167</v>
      </c>
      <c r="F1183" s="6" t="s">
        <v>103</v>
      </c>
      <c r="G1183" s="7">
        <v>0.1</v>
      </c>
      <c r="H1183" s="6" t="s">
        <v>2401</v>
      </c>
      <c r="I1183" s="6" t="s">
        <v>20</v>
      </c>
      <c r="J1183" s="6">
        <v>2018.0</v>
      </c>
      <c r="L1183" s="6">
        <v>4.0</v>
      </c>
      <c r="M1183" s="8">
        <f t="shared" si="1"/>
        <v>0.4</v>
      </c>
      <c r="P1183" s="9"/>
    </row>
    <row r="1184">
      <c r="A1184" s="6" t="s">
        <v>2930</v>
      </c>
      <c r="B1184" s="6" t="s">
        <v>182</v>
      </c>
      <c r="C1184" s="6" t="s">
        <v>23</v>
      </c>
      <c r="D1184" s="6" t="s">
        <v>2931</v>
      </c>
      <c r="E1184" s="6" t="s">
        <v>2838</v>
      </c>
      <c r="F1184" s="6" t="s">
        <v>65</v>
      </c>
      <c r="G1184" s="7">
        <v>0.06</v>
      </c>
      <c r="H1184" s="6" t="s">
        <v>109</v>
      </c>
      <c r="I1184" s="6" t="s">
        <v>20</v>
      </c>
      <c r="J1184" s="6">
        <v>1995.0</v>
      </c>
      <c r="L1184" s="6">
        <v>5.0</v>
      </c>
      <c r="M1184" s="8">
        <f t="shared" si="1"/>
        <v>0.3</v>
      </c>
      <c r="P1184" s="9"/>
    </row>
    <row r="1185">
      <c r="A1185" s="6" t="s">
        <v>2930</v>
      </c>
      <c r="B1185" s="6" t="s">
        <v>182</v>
      </c>
      <c r="C1185" s="6" t="s">
        <v>23</v>
      </c>
      <c r="D1185" s="6" t="s">
        <v>2931</v>
      </c>
      <c r="E1185" s="6" t="s">
        <v>2838</v>
      </c>
      <c r="F1185" s="6" t="s">
        <v>65</v>
      </c>
      <c r="G1185" s="7">
        <v>0.23</v>
      </c>
      <c r="H1185" s="6" t="s">
        <v>1382</v>
      </c>
      <c r="I1185" s="6" t="s">
        <v>20</v>
      </c>
      <c r="J1185" s="6">
        <v>1995.0</v>
      </c>
      <c r="L1185" s="6">
        <v>1.0</v>
      </c>
      <c r="M1185" s="8">
        <f t="shared" si="1"/>
        <v>0.23</v>
      </c>
      <c r="P1185" s="9"/>
    </row>
    <row r="1186">
      <c r="A1186" s="6" t="s">
        <v>2932</v>
      </c>
      <c r="B1186" s="6" t="s">
        <v>62</v>
      </c>
      <c r="C1186" s="6" t="s">
        <v>48</v>
      </c>
      <c r="D1186" s="6" t="s">
        <v>2933</v>
      </c>
      <c r="E1186" s="6" t="s">
        <v>79</v>
      </c>
      <c r="F1186" s="6" t="s">
        <v>51</v>
      </c>
      <c r="G1186" s="7">
        <v>0.05</v>
      </c>
      <c r="H1186" s="6" t="s">
        <v>2669</v>
      </c>
      <c r="I1186" s="6" t="s">
        <v>20</v>
      </c>
      <c r="J1186" s="6">
        <v>2019.0</v>
      </c>
      <c r="L1186" s="6">
        <v>1.0</v>
      </c>
      <c r="M1186" s="8">
        <f t="shared" si="1"/>
        <v>0.05</v>
      </c>
      <c r="P1186" s="9"/>
    </row>
    <row r="1187">
      <c r="A1187" s="6" t="s">
        <v>2934</v>
      </c>
      <c r="B1187" s="6" t="s">
        <v>62</v>
      </c>
      <c r="C1187" s="6" t="s">
        <v>23</v>
      </c>
      <c r="D1187" s="6" t="s">
        <v>2935</v>
      </c>
      <c r="E1187" s="6" t="s">
        <v>248</v>
      </c>
      <c r="F1187" s="6" t="s">
        <v>18</v>
      </c>
      <c r="G1187" s="7">
        <v>0.75</v>
      </c>
      <c r="H1187" s="6" t="s">
        <v>621</v>
      </c>
      <c r="I1187" s="6" t="s">
        <v>20</v>
      </c>
      <c r="J1187" s="6">
        <v>2015.0</v>
      </c>
      <c r="L1187" s="6">
        <v>4.0</v>
      </c>
      <c r="M1187" s="8">
        <f t="shared" si="1"/>
        <v>3</v>
      </c>
      <c r="P1187" s="9"/>
    </row>
    <row r="1188">
      <c r="A1188" s="6" t="s">
        <v>2936</v>
      </c>
      <c r="B1188" s="6" t="s">
        <v>311</v>
      </c>
      <c r="C1188" s="6" t="s">
        <v>23</v>
      </c>
      <c r="D1188" s="6" t="s">
        <v>2937</v>
      </c>
      <c r="E1188" s="6" t="s">
        <v>558</v>
      </c>
      <c r="F1188" s="6" t="s">
        <v>18</v>
      </c>
      <c r="G1188" s="7">
        <v>0.03</v>
      </c>
      <c r="H1188" s="6" t="s">
        <v>299</v>
      </c>
      <c r="I1188" s="6" t="s">
        <v>20</v>
      </c>
      <c r="J1188" s="6">
        <v>2017.0</v>
      </c>
      <c r="K1188" s="10">
        <v>46056.0</v>
      </c>
      <c r="L1188" s="6">
        <v>1.0</v>
      </c>
      <c r="M1188" s="8">
        <f t="shared" si="1"/>
        <v>0.03</v>
      </c>
      <c r="P1188" s="9"/>
    </row>
    <row r="1189">
      <c r="A1189" s="6" t="s">
        <v>2938</v>
      </c>
      <c r="B1189" s="6" t="s">
        <v>62</v>
      </c>
      <c r="C1189" s="6" t="s">
        <v>23</v>
      </c>
      <c r="D1189" s="6" t="s">
        <v>2939</v>
      </c>
      <c r="E1189" s="6" t="s">
        <v>149</v>
      </c>
      <c r="F1189" s="6" t="s">
        <v>18</v>
      </c>
      <c r="G1189" s="7">
        <v>0.06</v>
      </c>
      <c r="H1189" s="6" t="s">
        <v>184</v>
      </c>
      <c r="I1189" s="6" t="s">
        <v>20</v>
      </c>
      <c r="J1189" s="6">
        <v>2015.0</v>
      </c>
      <c r="L1189" s="6">
        <v>2.0</v>
      </c>
      <c r="M1189" s="8">
        <f t="shared" si="1"/>
        <v>0.12</v>
      </c>
      <c r="P1189" s="9"/>
    </row>
    <row r="1190">
      <c r="A1190" s="6" t="s">
        <v>2938</v>
      </c>
      <c r="B1190" s="6" t="s">
        <v>62</v>
      </c>
      <c r="C1190" s="6" t="s">
        <v>23</v>
      </c>
      <c r="D1190" s="6" t="s">
        <v>2939</v>
      </c>
      <c r="E1190" s="6" t="s">
        <v>149</v>
      </c>
      <c r="F1190" s="6" t="s">
        <v>18</v>
      </c>
      <c r="G1190" s="7">
        <v>0.06</v>
      </c>
      <c r="H1190" s="6" t="s">
        <v>184</v>
      </c>
      <c r="I1190" s="6" t="s">
        <v>20</v>
      </c>
      <c r="J1190" s="6">
        <v>2015.0</v>
      </c>
      <c r="L1190" s="6">
        <v>3.0</v>
      </c>
      <c r="M1190" s="8">
        <f t="shared" si="1"/>
        <v>0.18</v>
      </c>
      <c r="P1190" s="9"/>
    </row>
    <row r="1191">
      <c r="A1191" s="6" t="s">
        <v>2940</v>
      </c>
      <c r="B1191" s="6" t="s">
        <v>182</v>
      </c>
      <c r="C1191" s="6" t="s">
        <v>41</v>
      </c>
      <c r="D1191" s="6" t="s">
        <v>2941</v>
      </c>
      <c r="E1191" s="6" t="s">
        <v>2942</v>
      </c>
      <c r="F1191" s="6" t="s">
        <v>18</v>
      </c>
      <c r="G1191" s="7">
        <v>0.73</v>
      </c>
      <c r="H1191" s="6" t="s">
        <v>184</v>
      </c>
      <c r="I1191" s="6" t="s">
        <v>20</v>
      </c>
      <c r="J1191" s="6">
        <v>2015.0</v>
      </c>
      <c r="L1191" s="6">
        <v>1.0</v>
      </c>
      <c r="M1191" s="8">
        <f t="shared" si="1"/>
        <v>0.73</v>
      </c>
      <c r="P1191" s="9"/>
    </row>
    <row r="1192">
      <c r="A1192" s="6" t="s">
        <v>2943</v>
      </c>
      <c r="B1192" s="6" t="s">
        <v>250</v>
      </c>
      <c r="C1192" s="6" t="s">
        <v>449</v>
      </c>
      <c r="D1192" s="6" t="s">
        <v>2944</v>
      </c>
      <c r="E1192" s="6" t="s">
        <v>243</v>
      </c>
      <c r="F1192" s="6" t="s">
        <v>452</v>
      </c>
      <c r="G1192" s="7">
        <v>0.75</v>
      </c>
      <c r="H1192" s="6" t="s">
        <v>119</v>
      </c>
      <c r="I1192" s="6" t="s">
        <v>20</v>
      </c>
      <c r="J1192" s="6">
        <v>1995.0</v>
      </c>
      <c r="L1192" s="6">
        <v>4.0</v>
      </c>
      <c r="M1192" s="8">
        <f t="shared" si="1"/>
        <v>3</v>
      </c>
      <c r="P1192" s="9"/>
    </row>
    <row r="1193">
      <c r="A1193" s="6" t="s">
        <v>2945</v>
      </c>
      <c r="B1193" s="6" t="s">
        <v>2946</v>
      </c>
      <c r="C1193" s="6" t="s">
        <v>449</v>
      </c>
      <c r="D1193" s="6" t="s">
        <v>2947</v>
      </c>
      <c r="E1193" s="6" t="s">
        <v>220</v>
      </c>
      <c r="F1193" s="6" t="s">
        <v>18</v>
      </c>
      <c r="G1193" s="7">
        <v>0.5</v>
      </c>
      <c r="H1193" s="6" t="s">
        <v>641</v>
      </c>
      <c r="I1193" s="6" t="s">
        <v>20</v>
      </c>
      <c r="J1193" s="6">
        <v>2026.0</v>
      </c>
      <c r="K1193" s="10">
        <v>46084.0</v>
      </c>
      <c r="L1193" s="6">
        <v>1.0</v>
      </c>
      <c r="M1193" s="8">
        <f t="shared" si="1"/>
        <v>0.5</v>
      </c>
      <c r="P1193" s="9"/>
    </row>
    <row r="1194">
      <c r="A1194" s="6" t="s">
        <v>2948</v>
      </c>
      <c r="B1194" s="6" t="s">
        <v>413</v>
      </c>
      <c r="C1194" s="6" t="s">
        <v>287</v>
      </c>
      <c r="D1194" s="6" t="s">
        <v>2949</v>
      </c>
      <c r="E1194" s="6" t="s">
        <v>248</v>
      </c>
      <c r="F1194" s="6" t="s">
        <v>18</v>
      </c>
      <c r="G1194" s="7">
        <v>0.05</v>
      </c>
      <c r="H1194" s="6" t="s">
        <v>596</v>
      </c>
      <c r="I1194" s="6" t="s">
        <v>20</v>
      </c>
      <c r="J1194" s="6">
        <v>2012.0</v>
      </c>
      <c r="L1194" s="6">
        <v>1.0</v>
      </c>
      <c r="M1194" s="8">
        <f t="shared" si="1"/>
        <v>0.05</v>
      </c>
      <c r="P1194" s="9"/>
    </row>
    <row r="1195">
      <c r="A1195" s="6" t="s">
        <v>2950</v>
      </c>
      <c r="B1195" s="6" t="s">
        <v>151</v>
      </c>
      <c r="C1195" s="6" t="s">
        <v>48</v>
      </c>
      <c r="D1195" s="6" t="s">
        <v>2951</v>
      </c>
      <c r="E1195" s="6" t="s">
        <v>79</v>
      </c>
      <c r="F1195" s="6" t="s">
        <v>51</v>
      </c>
      <c r="G1195" s="7">
        <v>0.07</v>
      </c>
      <c r="H1195" s="6" t="s">
        <v>114</v>
      </c>
      <c r="I1195" s="6" t="s">
        <v>20</v>
      </c>
      <c r="J1195" s="6">
        <v>2021.0</v>
      </c>
      <c r="K1195" s="10">
        <v>46024.0</v>
      </c>
      <c r="L1195" s="6">
        <v>1.0</v>
      </c>
      <c r="M1195" s="8">
        <f t="shared" si="1"/>
        <v>0.07</v>
      </c>
      <c r="P1195" s="9"/>
    </row>
    <row r="1196">
      <c r="A1196" s="6" t="s">
        <v>2952</v>
      </c>
      <c r="B1196" s="6" t="s">
        <v>543</v>
      </c>
      <c r="C1196" s="6" t="s">
        <v>521</v>
      </c>
      <c r="D1196" s="6" t="s">
        <v>2953</v>
      </c>
      <c r="E1196" s="6" t="s">
        <v>1092</v>
      </c>
      <c r="F1196" s="6" t="s">
        <v>2954</v>
      </c>
      <c r="G1196" s="7">
        <v>0.1</v>
      </c>
      <c r="H1196" s="7" t="s">
        <v>1665</v>
      </c>
      <c r="I1196" s="6" t="s">
        <v>20</v>
      </c>
      <c r="J1196" s="6">
        <v>2004.0</v>
      </c>
      <c r="L1196" s="6">
        <v>4.0</v>
      </c>
      <c r="M1196" s="8">
        <f t="shared" si="1"/>
        <v>0.4</v>
      </c>
      <c r="P1196" s="9"/>
    </row>
    <row r="1197">
      <c r="A1197" s="6" t="s">
        <v>2955</v>
      </c>
      <c r="B1197" s="6" t="s">
        <v>1907</v>
      </c>
      <c r="C1197" s="6" t="s">
        <v>48</v>
      </c>
      <c r="D1197" s="6" t="s">
        <v>2956</v>
      </c>
      <c r="E1197" s="6" t="s">
        <v>270</v>
      </c>
      <c r="F1197" s="6" t="s">
        <v>159</v>
      </c>
      <c r="G1197" s="7">
        <v>0.08</v>
      </c>
      <c r="H1197" s="6" t="s">
        <v>1084</v>
      </c>
      <c r="I1197" s="6" t="s">
        <v>20</v>
      </c>
      <c r="J1197" s="6">
        <v>2018.0</v>
      </c>
      <c r="K1197" s="10">
        <v>46055.0</v>
      </c>
      <c r="L1197" s="6">
        <v>1.0</v>
      </c>
      <c r="M1197" s="8">
        <f t="shared" si="1"/>
        <v>0.08</v>
      </c>
      <c r="P1197" s="9"/>
    </row>
    <row r="1198">
      <c r="A1198" s="6" t="s">
        <v>2957</v>
      </c>
      <c r="B1198" s="6" t="s">
        <v>62</v>
      </c>
      <c r="C1198" s="6" t="s">
        <v>23</v>
      </c>
      <c r="D1198" s="6" t="s">
        <v>2958</v>
      </c>
      <c r="E1198" s="6" t="s">
        <v>248</v>
      </c>
      <c r="F1198" s="6" t="s">
        <v>18</v>
      </c>
      <c r="G1198" s="7">
        <v>0.2</v>
      </c>
      <c r="H1198" s="6" t="s">
        <v>555</v>
      </c>
      <c r="I1198" s="6" t="s">
        <v>20</v>
      </c>
      <c r="J1198" s="6">
        <v>2017.0</v>
      </c>
      <c r="L1198" s="6">
        <v>4.0</v>
      </c>
      <c r="M1198" s="8">
        <f t="shared" si="1"/>
        <v>0.8</v>
      </c>
      <c r="P1198" s="9"/>
    </row>
    <row r="1199">
      <c r="A1199" s="6" t="s">
        <v>2959</v>
      </c>
      <c r="B1199" s="6" t="s">
        <v>796</v>
      </c>
      <c r="C1199" s="6" t="s">
        <v>34</v>
      </c>
      <c r="D1199" s="6" t="s">
        <v>2960</v>
      </c>
      <c r="E1199" s="6" t="s">
        <v>852</v>
      </c>
      <c r="F1199" s="6" t="s">
        <v>18</v>
      </c>
      <c r="G1199" s="7">
        <v>0.07</v>
      </c>
      <c r="H1199" s="6" t="s">
        <v>1043</v>
      </c>
      <c r="I1199" s="6" t="s">
        <v>20</v>
      </c>
      <c r="J1199" s="6">
        <v>2025.0</v>
      </c>
      <c r="L1199" s="6">
        <v>1.0</v>
      </c>
      <c r="M1199" s="8">
        <f t="shared" si="1"/>
        <v>0.07</v>
      </c>
      <c r="P1199" s="9"/>
    </row>
    <row r="1200">
      <c r="A1200" s="6" t="s">
        <v>2961</v>
      </c>
      <c r="B1200" s="6" t="s">
        <v>182</v>
      </c>
      <c r="C1200" s="6" t="s">
        <v>23</v>
      </c>
      <c r="D1200" s="6" t="s">
        <v>2962</v>
      </c>
      <c r="E1200" s="6" t="s">
        <v>25</v>
      </c>
      <c r="F1200" s="6" t="s">
        <v>18</v>
      </c>
      <c r="G1200" s="7">
        <v>0.05</v>
      </c>
      <c r="H1200" s="6" t="s">
        <v>276</v>
      </c>
      <c r="I1200" s="6" t="s">
        <v>20</v>
      </c>
      <c r="J1200" s="6">
        <v>2014.0</v>
      </c>
      <c r="L1200" s="6">
        <v>2.0</v>
      </c>
      <c r="M1200" s="8">
        <f t="shared" si="1"/>
        <v>0.1</v>
      </c>
      <c r="P1200" s="9"/>
    </row>
    <row r="1201">
      <c r="A1201" s="6" t="s">
        <v>2961</v>
      </c>
      <c r="B1201" s="6" t="s">
        <v>182</v>
      </c>
      <c r="C1201" s="6" t="s">
        <v>23</v>
      </c>
      <c r="D1201" s="6" t="s">
        <v>2962</v>
      </c>
      <c r="E1201" s="6" t="s">
        <v>25</v>
      </c>
      <c r="F1201" s="6" t="s">
        <v>18</v>
      </c>
      <c r="G1201" s="7">
        <v>0.29</v>
      </c>
      <c r="H1201" s="6" t="s">
        <v>701</v>
      </c>
      <c r="I1201" s="6" t="s">
        <v>55</v>
      </c>
      <c r="J1201" s="6">
        <v>2012.0</v>
      </c>
      <c r="L1201" s="6">
        <v>1.0</v>
      </c>
      <c r="M1201" s="8">
        <f t="shared" si="1"/>
        <v>0.29</v>
      </c>
      <c r="P1201" s="9"/>
    </row>
    <row r="1202">
      <c r="A1202" s="6" t="s">
        <v>2961</v>
      </c>
      <c r="B1202" s="6" t="s">
        <v>182</v>
      </c>
      <c r="C1202" s="6" t="s">
        <v>23</v>
      </c>
      <c r="D1202" s="6" t="s">
        <v>2962</v>
      </c>
      <c r="E1202" s="6" t="s">
        <v>25</v>
      </c>
      <c r="F1202" s="6" t="s">
        <v>18</v>
      </c>
      <c r="G1202" s="7">
        <v>0.06</v>
      </c>
      <c r="H1202" s="6" t="s">
        <v>188</v>
      </c>
      <c r="I1202" s="6" t="s">
        <v>20</v>
      </c>
      <c r="J1202" s="6">
        <v>2014.0</v>
      </c>
      <c r="L1202" s="6">
        <v>3.0</v>
      </c>
      <c r="M1202" s="8">
        <f t="shared" si="1"/>
        <v>0.18</v>
      </c>
      <c r="P1202" s="9"/>
    </row>
    <row r="1203">
      <c r="A1203" s="6" t="s">
        <v>2963</v>
      </c>
      <c r="B1203" s="6" t="s">
        <v>62</v>
      </c>
      <c r="C1203" s="6" t="s">
        <v>23</v>
      </c>
      <c r="D1203" s="6" t="s">
        <v>2964</v>
      </c>
      <c r="E1203" s="6" t="s">
        <v>118</v>
      </c>
      <c r="F1203" s="6" t="s">
        <v>51</v>
      </c>
      <c r="G1203" s="7">
        <v>0.03</v>
      </c>
      <c r="H1203" s="6" t="s">
        <v>406</v>
      </c>
      <c r="I1203" s="6" t="s">
        <v>55</v>
      </c>
      <c r="J1203" s="6">
        <v>2019.0</v>
      </c>
      <c r="L1203" s="6">
        <v>4.0</v>
      </c>
      <c r="M1203" s="8">
        <f t="shared" si="1"/>
        <v>0.12</v>
      </c>
      <c r="P1203" s="9"/>
    </row>
    <row r="1204">
      <c r="A1204" s="6" t="s">
        <v>2965</v>
      </c>
      <c r="B1204" s="6" t="s">
        <v>372</v>
      </c>
      <c r="C1204" s="6" t="s">
        <v>23</v>
      </c>
      <c r="D1204" s="6" t="s">
        <v>2966</v>
      </c>
      <c r="E1204" s="6" t="s">
        <v>118</v>
      </c>
      <c r="F1204" s="6" t="s">
        <v>51</v>
      </c>
      <c r="G1204" s="7">
        <v>0.06</v>
      </c>
      <c r="H1204" s="6" t="s">
        <v>154</v>
      </c>
      <c r="I1204" s="6" t="s">
        <v>20</v>
      </c>
      <c r="J1204" s="6">
        <v>2013.0</v>
      </c>
      <c r="L1204" s="6">
        <v>4.0</v>
      </c>
      <c r="M1204" s="8">
        <f t="shared" si="1"/>
        <v>0.24</v>
      </c>
      <c r="P1204" s="9"/>
    </row>
    <row r="1205">
      <c r="A1205" s="6" t="s">
        <v>2965</v>
      </c>
      <c r="B1205" s="6" t="s">
        <v>372</v>
      </c>
      <c r="C1205" s="6" t="s">
        <v>23</v>
      </c>
      <c r="D1205" s="6" t="s">
        <v>2966</v>
      </c>
      <c r="E1205" s="6" t="s">
        <v>118</v>
      </c>
      <c r="F1205" s="6" t="s">
        <v>51</v>
      </c>
      <c r="G1205" s="7">
        <v>0.05</v>
      </c>
      <c r="H1205" s="6" t="s">
        <v>188</v>
      </c>
      <c r="I1205" s="6" t="s">
        <v>20</v>
      </c>
      <c r="J1205" s="6">
        <v>2014.0</v>
      </c>
      <c r="L1205" s="6">
        <v>1.0</v>
      </c>
      <c r="M1205" s="8">
        <f t="shared" si="1"/>
        <v>0.05</v>
      </c>
      <c r="P1205" s="9"/>
    </row>
    <row r="1206">
      <c r="A1206" s="6" t="s">
        <v>2967</v>
      </c>
      <c r="B1206" s="6" t="s">
        <v>413</v>
      </c>
      <c r="C1206" s="6" t="s">
        <v>287</v>
      </c>
      <c r="D1206" s="6" t="s">
        <v>2968</v>
      </c>
      <c r="E1206" s="6" t="s">
        <v>118</v>
      </c>
      <c r="F1206" s="6" t="s">
        <v>51</v>
      </c>
      <c r="G1206" s="7">
        <v>0.08</v>
      </c>
      <c r="H1206" s="6" t="s">
        <v>821</v>
      </c>
      <c r="I1206" s="6" t="s">
        <v>20</v>
      </c>
      <c r="J1206" s="6">
        <v>1995.0</v>
      </c>
      <c r="L1206" s="6">
        <v>3.0</v>
      </c>
      <c r="M1206" s="8">
        <f t="shared" si="1"/>
        <v>0.24</v>
      </c>
      <c r="P1206" s="9"/>
    </row>
    <row r="1207">
      <c r="A1207" s="6" t="s">
        <v>2967</v>
      </c>
      <c r="B1207" s="6" t="s">
        <v>413</v>
      </c>
      <c r="C1207" s="6" t="s">
        <v>287</v>
      </c>
      <c r="D1207" s="6" t="s">
        <v>2969</v>
      </c>
      <c r="E1207" s="6" t="s">
        <v>118</v>
      </c>
      <c r="F1207" s="6" t="s">
        <v>51</v>
      </c>
      <c r="G1207" s="7">
        <v>0.08</v>
      </c>
      <c r="H1207" s="6" t="s">
        <v>370</v>
      </c>
      <c r="I1207" s="6" t="s">
        <v>20</v>
      </c>
      <c r="J1207" s="6">
        <v>1996.0</v>
      </c>
      <c r="L1207" s="6">
        <v>1.0</v>
      </c>
      <c r="M1207" s="8">
        <f t="shared" si="1"/>
        <v>0.08</v>
      </c>
      <c r="P1207" s="9"/>
    </row>
    <row r="1208">
      <c r="A1208" s="6" t="s">
        <v>2970</v>
      </c>
      <c r="B1208" s="6" t="s">
        <v>62</v>
      </c>
      <c r="C1208" s="6" t="s">
        <v>23</v>
      </c>
      <c r="D1208" s="6" t="s">
        <v>2971</v>
      </c>
      <c r="E1208" s="6" t="s">
        <v>50</v>
      </c>
      <c r="F1208" s="6" t="s">
        <v>51</v>
      </c>
      <c r="G1208" s="7">
        <v>0.04</v>
      </c>
      <c r="H1208" s="6" t="s">
        <v>875</v>
      </c>
      <c r="I1208" s="6" t="s">
        <v>20</v>
      </c>
      <c r="J1208" s="6">
        <v>2018.0</v>
      </c>
      <c r="L1208" s="6">
        <v>1.0</v>
      </c>
      <c r="M1208" s="8">
        <f t="shared" si="1"/>
        <v>0.04</v>
      </c>
      <c r="P1208" s="9"/>
    </row>
    <row r="1209">
      <c r="A1209" s="6" t="s">
        <v>2972</v>
      </c>
      <c r="B1209" s="6" t="s">
        <v>1978</v>
      </c>
      <c r="C1209" s="6" t="s">
        <v>23</v>
      </c>
      <c r="D1209" s="6" t="s">
        <v>2973</v>
      </c>
      <c r="E1209" s="6" t="s">
        <v>738</v>
      </c>
      <c r="F1209" s="6" t="s">
        <v>51</v>
      </c>
      <c r="G1209" s="7">
        <v>0.06</v>
      </c>
      <c r="H1209" s="6" t="s">
        <v>2756</v>
      </c>
      <c r="I1209" s="6" t="s">
        <v>20</v>
      </c>
      <c r="J1209" s="6">
        <v>2000.0</v>
      </c>
      <c r="K1209" s="10">
        <v>46055.0</v>
      </c>
      <c r="L1209" s="6">
        <v>1.0</v>
      </c>
      <c r="M1209" s="8">
        <f t="shared" si="1"/>
        <v>0.06</v>
      </c>
      <c r="P1209" s="9"/>
    </row>
    <row r="1210">
      <c r="A1210" s="6" t="s">
        <v>2974</v>
      </c>
      <c r="B1210" s="6" t="s">
        <v>2975</v>
      </c>
      <c r="C1210" s="6" t="s">
        <v>1956</v>
      </c>
      <c r="D1210" s="6" t="s">
        <v>2976</v>
      </c>
      <c r="E1210" s="6" t="s">
        <v>451</v>
      </c>
      <c r="F1210" s="6" t="s">
        <v>37</v>
      </c>
      <c r="G1210" s="7">
        <v>0.89</v>
      </c>
      <c r="H1210" s="6" t="s">
        <v>66</v>
      </c>
      <c r="I1210" s="6" t="s">
        <v>20</v>
      </c>
      <c r="J1210" s="6">
        <v>2016.0</v>
      </c>
      <c r="K1210" s="10">
        <v>46210.0</v>
      </c>
      <c r="L1210" s="6">
        <v>1.0</v>
      </c>
      <c r="M1210" s="8">
        <f t="shared" si="1"/>
        <v>0.89</v>
      </c>
      <c r="P1210" s="9"/>
    </row>
    <row r="1211">
      <c r="A1211" s="6" t="s">
        <v>2977</v>
      </c>
      <c r="B1211" s="6" t="s">
        <v>2978</v>
      </c>
      <c r="C1211" s="6" t="s">
        <v>34</v>
      </c>
      <c r="D1211" s="6" t="s">
        <v>2979</v>
      </c>
      <c r="E1211" s="6" t="s">
        <v>208</v>
      </c>
      <c r="F1211" s="6" t="s">
        <v>51</v>
      </c>
      <c r="G1211" s="7">
        <v>0.1</v>
      </c>
      <c r="H1211" s="6" t="s">
        <v>1043</v>
      </c>
      <c r="I1211" s="6" t="s">
        <v>20</v>
      </c>
      <c r="J1211" s="6">
        <v>2025.0</v>
      </c>
      <c r="K1211" s="10">
        <v>46023.0</v>
      </c>
      <c r="L1211" s="6">
        <v>1.0</v>
      </c>
      <c r="M1211" s="8">
        <f t="shared" si="1"/>
        <v>0.1</v>
      </c>
      <c r="P1211" s="9"/>
    </row>
    <row r="1212">
      <c r="A1212" s="6" t="s">
        <v>2980</v>
      </c>
      <c r="B1212" s="6" t="s">
        <v>976</v>
      </c>
      <c r="C1212" s="6" t="s">
        <v>23</v>
      </c>
      <c r="D1212" s="6" t="s">
        <v>2981</v>
      </c>
      <c r="E1212" s="6" t="s">
        <v>985</v>
      </c>
      <c r="F1212" s="6" t="s">
        <v>986</v>
      </c>
      <c r="G1212" s="7">
        <v>0.05</v>
      </c>
      <c r="H1212" s="6" t="s">
        <v>346</v>
      </c>
      <c r="I1212" s="6" t="s">
        <v>20</v>
      </c>
      <c r="J1212" s="6">
        <v>2024.0</v>
      </c>
      <c r="K1212" s="10">
        <v>46025.0</v>
      </c>
      <c r="L1212" s="6">
        <v>1.0</v>
      </c>
      <c r="M1212" s="8">
        <f t="shared" si="1"/>
        <v>0.05</v>
      </c>
      <c r="P1212" s="9"/>
    </row>
    <row r="1213">
      <c r="A1213" s="6" t="s">
        <v>2982</v>
      </c>
      <c r="B1213" s="6" t="s">
        <v>2983</v>
      </c>
      <c r="C1213" s="6" t="s">
        <v>23</v>
      </c>
      <c r="D1213" s="6" t="s">
        <v>2984</v>
      </c>
      <c r="E1213" s="6" t="s">
        <v>1321</v>
      </c>
      <c r="F1213" s="6" t="s">
        <v>103</v>
      </c>
      <c r="G1213" s="7">
        <v>0.1</v>
      </c>
      <c r="H1213" s="6" t="s">
        <v>418</v>
      </c>
      <c r="I1213" s="6" t="s">
        <v>20</v>
      </c>
      <c r="J1213" s="6">
        <v>2022.0</v>
      </c>
      <c r="K1213" s="10">
        <v>46147.0</v>
      </c>
      <c r="L1213" s="6">
        <v>1.0</v>
      </c>
      <c r="M1213" s="8">
        <f t="shared" si="1"/>
        <v>0.1</v>
      </c>
      <c r="P1213" s="9"/>
    </row>
    <row r="1214">
      <c r="A1214" s="6" t="s">
        <v>2982</v>
      </c>
      <c r="B1214" s="6" t="s">
        <v>2983</v>
      </c>
      <c r="C1214" s="6" t="s">
        <v>23</v>
      </c>
      <c r="D1214" s="6" t="s">
        <v>2984</v>
      </c>
      <c r="E1214" s="6" t="s">
        <v>1321</v>
      </c>
      <c r="F1214" s="6" t="s">
        <v>103</v>
      </c>
      <c r="G1214" s="7">
        <v>0.1</v>
      </c>
      <c r="H1214" s="6" t="s">
        <v>418</v>
      </c>
      <c r="I1214" s="6" t="s">
        <v>20</v>
      </c>
      <c r="J1214" s="6">
        <v>2022.0</v>
      </c>
      <c r="K1214" s="10">
        <v>46147.0</v>
      </c>
      <c r="L1214" s="6">
        <v>1.0</v>
      </c>
      <c r="M1214" s="8">
        <f t="shared" si="1"/>
        <v>0.1</v>
      </c>
      <c r="P1214" s="9"/>
    </row>
    <row r="1215">
      <c r="A1215" s="6" t="s">
        <v>2985</v>
      </c>
      <c r="B1215" s="6" t="s">
        <v>2986</v>
      </c>
      <c r="C1215" s="6" t="s">
        <v>48</v>
      </c>
      <c r="D1215" s="6" t="s">
        <v>2987</v>
      </c>
      <c r="E1215" s="6" t="s">
        <v>102</v>
      </c>
      <c r="F1215" s="6" t="s">
        <v>103</v>
      </c>
      <c r="G1215" s="7">
        <v>0.15</v>
      </c>
      <c r="H1215" s="6" t="s">
        <v>418</v>
      </c>
      <c r="I1215" s="6" t="s">
        <v>20</v>
      </c>
      <c r="J1215" s="6">
        <v>2022.0</v>
      </c>
      <c r="K1215" s="10">
        <v>46024.0</v>
      </c>
      <c r="L1215" s="6">
        <v>1.0</v>
      </c>
      <c r="M1215" s="8">
        <f t="shared" si="1"/>
        <v>0.15</v>
      </c>
      <c r="P1215" s="9"/>
    </row>
    <row r="1216">
      <c r="A1216" s="6" t="s">
        <v>2988</v>
      </c>
      <c r="B1216" s="6" t="s">
        <v>2989</v>
      </c>
      <c r="C1216" s="6" t="s">
        <v>48</v>
      </c>
      <c r="D1216" s="6" t="s">
        <v>2990</v>
      </c>
      <c r="E1216" s="6" t="s">
        <v>937</v>
      </c>
      <c r="F1216" s="6" t="s">
        <v>159</v>
      </c>
      <c r="G1216" s="7">
        <v>0.2</v>
      </c>
      <c r="H1216" s="6" t="s">
        <v>581</v>
      </c>
      <c r="I1216" s="6" t="s">
        <v>20</v>
      </c>
      <c r="J1216" s="6">
        <v>2022.0</v>
      </c>
      <c r="K1216" s="10">
        <v>46084.0</v>
      </c>
      <c r="L1216" s="6">
        <v>1.0</v>
      </c>
      <c r="M1216" s="8">
        <f t="shared" si="1"/>
        <v>0.2</v>
      </c>
      <c r="P1216" s="9"/>
    </row>
    <row r="1217">
      <c r="A1217" s="6" t="s">
        <v>2991</v>
      </c>
      <c r="B1217" s="6" t="s">
        <v>372</v>
      </c>
      <c r="C1217" s="6" t="s">
        <v>48</v>
      </c>
      <c r="D1217" s="6" t="s">
        <v>2992</v>
      </c>
      <c r="E1217" s="6" t="s">
        <v>700</v>
      </c>
      <c r="F1217" s="6" t="s">
        <v>18</v>
      </c>
      <c r="G1217" s="7">
        <v>0.1</v>
      </c>
      <c r="H1217" s="6" t="s">
        <v>384</v>
      </c>
      <c r="I1217" s="6" t="s">
        <v>20</v>
      </c>
      <c r="J1217" s="6">
        <v>2022.0</v>
      </c>
      <c r="L1217" s="6">
        <v>1.0</v>
      </c>
      <c r="M1217" s="8">
        <f t="shared" si="1"/>
        <v>0.1</v>
      </c>
      <c r="P1217" s="9"/>
    </row>
    <row r="1218">
      <c r="A1218" s="6" t="s">
        <v>2993</v>
      </c>
      <c r="B1218" s="6" t="s">
        <v>2994</v>
      </c>
      <c r="C1218" s="6" t="s">
        <v>23</v>
      </c>
      <c r="D1218" s="6" t="s">
        <v>2995</v>
      </c>
      <c r="E1218" s="6" t="s">
        <v>30</v>
      </c>
      <c r="F1218" s="6" t="s">
        <v>18</v>
      </c>
      <c r="G1218" s="7">
        <v>0.1</v>
      </c>
      <c r="H1218" s="6" t="s">
        <v>192</v>
      </c>
      <c r="I1218" s="6" t="s">
        <v>20</v>
      </c>
      <c r="J1218" s="6">
        <v>2026.0</v>
      </c>
      <c r="K1218" s="10">
        <v>46115.0</v>
      </c>
      <c r="L1218" s="6">
        <v>3.0</v>
      </c>
      <c r="M1218" s="8">
        <f t="shared" si="1"/>
        <v>0.3</v>
      </c>
      <c r="P1218" s="9"/>
    </row>
    <row r="1219">
      <c r="A1219" s="6" t="s">
        <v>2996</v>
      </c>
      <c r="B1219" s="6" t="s">
        <v>2994</v>
      </c>
      <c r="C1219" s="6" t="s">
        <v>48</v>
      </c>
      <c r="D1219" s="6" t="s">
        <v>2997</v>
      </c>
      <c r="E1219" s="6" t="s">
        <v>25</v>
      </c>
      <c r="F1219" s="6" t="s">
        <v>18</v>
      </c>
      <c r="G1219" s="7">
        <v>0.1</v>
      </c>
      <c r="H1219" s="6" t="s">
        <v>192</v>
      </c>
      <c r="I1219" s="6" t="s">
        <v>20</v>
      </c>
      <c r="J1219" s="6">
        <v>2026.0</v>
      </c>
      <c r="K1219" s="10">
        <v>46054.0</v>
      </c>
      <c r="L1219" s="6">
        <v>2.0</v>
      </c>
      <c r="M1219" s="8">
        <f t="shared" si="1"/>
        <v>0.2</v>
      </c>
      <c r="P1219" s="9"/>
    </row>
    <row r="1220">
      <c r="A1220" s="6" t="s">
        <v>2996</v>
      </c>
      <c r="B1220" s="6" t="s">
        <v>2994</v>
      </c>
      <c r="C1220" s="6" t="s">
        <v>48</v>
      </c>
      <c r="D1220" s="6" t="s">
        <v>2997</v>
      </c>
      <c r="E1220" s="6" t="s">
        <v>25</v>
      </c>
      <c r="F1220" s="6" t="s">
        <v>18</v>
      </c>
      <c r="G1220" s="7">
        <v>0.29</v>
      </c>
      <c r="H1220" s="6" t="s">
        <v>192</v>
      </c>
      <c r="I1220" s="6" t="s">
        <v>55</v>
      </c>
      <c r="J1220" s="6">
        <v>2026.0</v>
      </c>
      <c r="K1220" s="10">
        <v>46054.0</v>
      </c>
      <c r="L1220" s="6">
        <v>1.0</v>
      </c>
      <c r="M1220" s="8">
        <f t="shared" si="1"/>
        <v>0.29</v>
      </c>
      <c r="P1220" s="9"/>
    </row>
    <row r="1221">
      <c r="A1221" s="6" t="s">
        <v>2998</v>
      </c>
      <c r="B1221" s="6" t="s">
        <v>796</v>
      </c>
      <c r="C1221" s="6" t="s">
        <v>15</v>
      </c>
      <c r="D1221" s="6" t="s">
        <v>2999</v>
      </c>
      <c r="E1221" s="6" t="s">
        <v>1767</v>
      </c>
      <c r="F1221" s="6" t="s">
        <v>18</v>
      </c>
      <c r="G1221" s="7">
        <v>1.29</v>
      </c>
      <c r="H1221" s="6" t="s">
        <v>2326</v>
      </c>
      <c r="I1221" s="6" t="s">
        <v>20</v>
      </c>
      <c r="J1221" s="6">
        <v>2026.0</v>
      </c>
      <c r="L1221" s="6">
        <v>2.0</v>
      </c>
      <c r="M1221" s="8">
        <f t="shared" si="1"/>
        <v>2.58</v>
      </c>
      <c r="P1221" s="9"/>
    </row>
    <row r="1222">
      <c r="A1222" s="6" t="s">
        <v>3000</v>
      </c>
      <c r="B1222" s="6" t="s">
        <v>3001</v>
      </c>
      <c r="C1222" s="6" t="s">
        <v>41</v>
      </c>
      <c r="D1222" s="6" t="s">
        <v>3002</v>
      </c>
      <c r="E1222" s="6" t="s">
        <v>611</v>
      </c>
      <c r="F1222" s="6" t="s">
        <v>103</v>
      </c>
      <c r="G1222" s="7">
        <v>0.33</v>
      </c>
      <c r="H1222" s="6" t="s">
        <v>3003</v>
      </c>
      <c r="I1222" s="6" t="s">
        <v>20</v>
      </c>
      <c r="J1222" s="6">
        <v>2015.0</v>
      </c>
      <c r="K1222" s="10">
        <v>46177.0</v>
      </c>
      <c r="L1222" s="6">
        <v>1.0</v>
      </c>
      <c r="M1222" s="8">
        <f t="shared" si="1"/>
        <v>0.33</v>
      </c>
      <c r="P1222" s="9"/>
    </row>
    <row r="1223">
      <c r="A1223" s="6" t="s">
        <v>3000</v>
      </c>
      <c r="B1223" s="6" t="s">
        <v>3001</v>
      </c>
      <c r="C1223" s="6" t="s">
        <v>41</v>
      </c>
      <c r="D1223" s="6" t="s">
        <v>3002</v>
      </c>
      <c r="E1223" s="6" t="s">
        <v>611</v>
      </c>
      <c r="F1223" s="6" t="s">
        <v>103</v>
      </c>
      <c r="G1223" s="7">
        <v>0.8</v>
      </c>
      <c r="H1223" s="6" t="s">
        <v>3003</v>
      </c>
      <c r="I1223" s="6" t="s">
        <v>20</v>
      </c>
      <c r="J1223" s="6">
        <v>2015.0</v>
      </c>
      <c r="K1223" s="10">
        <v>46177.0</v>
      </c>
      <c r="L1223" s="6">
        <v>1.0</v>
      </c>
      <c r="M1223" s="8">
        <f t="shared" si="1"/>
        <v>0.8</v>
      </c>
      <c r="P1223" s="9"/>
    </row>
    <row r="1224">
      <c r="A1224" s="6" t="s">
        <v>3004</v>
      </c>
      <c r="B1224" s="6" t="s">
        <v>2561</v>
      </c>
      <c r="C1224" s="6" t="s">
        <v>23</v>
      </c>
      <c r="D1224" s="6" t="s">
        <v>3005</v>
      </c>
      <c r="E1224" s="6" t="s">
        <v>149</v>
      </c>
      <c r="F1224" s="6" t="s">
        <v>18</v>
      </c>
      <c r="G1224" s="7">
        <v>0.03</v>
      </c>
      <c r="H1224" s="6" t="s">
        <v>271</v>
      </c>
      <c r="I1224" s="6" t="s">
        <v>20</v>
      </c>
      <c r="J1224" s="6">
        <v>2012.0</v>
      </c>
      <c r="K1224" s="6" t="s">
        <v>597</v>
      </c>
      <c r="L1224" s="6">
        <v>1.0</v>
      </c>
      <c r="M1224" s="8">
        <f t="shared" si="1"/>
        <v>0.03</v>
      </c>
      <c r="P1224" s="9"/>
    </row>
    <row r="1225">
      <c r="A1225" s="6" t="s">
        <v>3006</v>
      </c>
      <c r="B1225" s="6" t="s">
        <v>3007</v>
      </c>
      <c r="C1225" s="6" t="s">
        <v>41</v>
      </c>
      <c r="D1225" s="6" t="s">
        <v>3008</v>
      </c>
      <c r="E1225" s="6" t="s">
        <v>3009</v>
      </c>
      <c r="F1225" s="6" t="s">
        <v>3010</v>
      </c>
      <c r="G1225" s="7">
        <v>1.5</v>
      </c>
      <c r="H1225" s="6" t="s">
        <v>641</v>
      </c>
      <c r="I1225" s="6" t="s">
        <v>20</v>
      </c>
      <c r="J1225" s="6">
        <v>2026.0</v>
      </c>
      <c r="K1225" s="6" t="s">
        <v>137</v>
      </c>
      <c r="L1225" s="6">
        <v>1.0</v>
      </c>
      <c r="M1225" s="8">
        <f t="shared" si="1"/>
        <v>1.5</v>
      </c>
      <c r="P1225" s="9"/>
    </row>
    <row r="1226">
      <c r="A1226" s="6" t="s">
        <v>3011</v>
      </c>
      <c r="B1226" s="6" t="s">
        <v>182</v>
      </c>
      <c r="C1226" s="6" t="s">
        <v>23</v>
      </c>
      <c r="D1226" s="6" t="s">
        <v>3012</v>
      </c>
      <c r="E1226" s="6" t="s">
        <v>602</v>
      </c>
      <c r="F1226" s="6" t="s">
        <v>159</v>
      </c>
      <c r="G1226" s="7">
        <v>0.09</v>
      </c>
      <c r="H1226" s="6" t="s">
        <v>3013</v>
      </c>
      <c r="I1226" s="6" t="s">
        <v>20</v>
      </c>
      <c r="J1226" s="6">
        <v>2005.0</v>
      </c>
      <c r="L1226" s="6">
        <v>1.0</v>
      </c>
      <c r="M1226" s="8">
        <f t="shared" si="1"/>
        <v>0.09</v>
      </c>
      <c r="P1226" s="9"/>
    </row>
    <row r="1227">
      <c r="A1227" s="6" t="s">
        <v>3014</v>
      </c>
      <c r="B1227" s="6" t="s">
        <v>62</v>
      </c>
      <c r="C1227" s="6" t="s">
        <v>23</v>
      </c>
      <c r="D1227" s="6" t="s">
        <v>3015</v>
      </c>
      <c r="E1227" s="6" t="s">
        <v>3016</v>
      </c>
      <c r="F1227" s="6" t="s">
        <v>986</v>
      </c>
      <c r="G1227" s="7">
        <v>0.24</v>
      </c>
      <c r="H1227" s="6" t="s">
        <v>3017</v>
      </c>
      <c r="I1227" s="6" t="s">
        <v>20</v>
      </c>
      <c r="J1227" s="6">
        <v>2008.0</v>
      </c>
      <c r="L1227" s="6">
        <v>1.0</v>
      </c>
      <c r="M1227" s="8">
        <f t="shared" si="1"/>
        <v>0.24</v>
      </c>
      <c r="P1227" s="9"/>
    </row>
    <row r="1228">
      <c r="A1228" s="6" t="s">
        <v>3018</v>
      </c>
      <c r="B1228" s="6" t="s">
        <v>2923</v>
      </c>
      <c r="C1228" s="6" t="s">
        <v>41</v>
      </c>
      <c r="D1228" s="6" t="s">
        <v>3019</v>
      </c>
      <c r="E1228" s="6" t="s">
        <v>573</v>
      </c>
      <c r="F1228" s="6" t="s">
        <v>51</v>
      </c>
      <c r="G1228" s="7">
        <v>0.2</v>
      </c>
      <c r="H1228" s="6" t="s">
        <v>2680</v>
      </c>
      <c r="I1228" s="6" t="s">
        <v>20</v>
      </c>
      <c r="J1228" s="6">
        <v>1998.0</v>
      </c>
      <c r="L1228" s="6">
        <v>1.0</v>
      </c>
      <c r="M1228" s="8">
        <f t="shared" si="1"/>
        <v>0.2</v>
      </c>
      <c r="P1228" s="9"/>
    </row>
    <row r="1229">
      <c r="A1229" s="6" t="s">
        <v>3020</v>
      </c>
      <c r="B1229" s="6" t="s">
        <v>62</v>
      </c>
      <c r="C1229" s="6" t="s">
        <v>23</v>
      </c>
      <c r="D1229" s="6" t="s">
        <v>3021</v>
      </c>
      <c r="E1229" s="6" t="s">
        <v>248</v>
      </c>
      <c r="F1229" s="6" t="s">
        <v>18</v>
      </c>
      <c r="G1229" s="7">
        <v>0.06</v>
      </c>
      <c r="H1229" s="6" t="s">
        <v>271</v>
      </c>
      <c r="I1229" s="6" t="s">
        <v>20</v>
      </c>
      <c r="J1229" s="6">
        <v>2012.0</v>
      </c>
      <c r="L1229" s="6">
        <v>1.0</v>
      </c>
      <c r="M1229" s="8">
        <f t="shared" si="1"/>
        <v>0.06</v>
      </c>
      <c r="P1229" s="9"/>
    </row>
    <row r="1230">
      <c r="A1230" s="6" t="s">
        <v>3022</v>
      </c>
      <c r="B1230" s="6" t="s">
        <v>3023</v>
      </c>
      <c r="C1230" s="6" t="s">
        <v>48</v>
      </c>
      <c r="D1230" s="6" t="s">
        <v>3024</v>
      </c>
      <c r="E1230" s="6" t="s">
        <v>153</v>
      </c>
      <c r="F1230" s="6" t="s">
        <v>103</v>
      </c>
      <c r="G1230" s="7">
        <v>0.09</v>
      </c>
      <c r="H1230" s="6" t="s">
        <v>994</v>
      </c>
      <c r="I1230" s="6" t="s">
        <v>20</v>
      </c>
      <c r="J1230" s="6">
        <v>2024.0</v>
      </c>
      <c r="K1230" s="10">
        <v>46057.0</v>
      </c>
      <c r="L1230" s="6">
        <v>1.0</v>
      </c>
      <c r="M1230" s="8">
        <f t="shared" si="1"/>
        <v>0.09</v>
      </c>
      <c r="P1230" s="9"/>
    </row>
    <row r="1231">
      <c r="A1231" s="6" t="s">
        <v>3025</v>
      </c>
      <c r="B1231" s="6" t="s">
        <v>2159</v>
      </c>
      <c r="C1231" s="6" t="s">
        <v>48</v>
      </c>
      <c r="D1231" s="6" t="s">
        <v>3026</v>
      </c>
      <c r="E1231" s="6" t="s">
        <v>502</v>
      </c>
      <c r="F1231" s="6" t="s">
        <v>65</v>
      </c>
      <c r="G1231" s="7">
        <v>0.13</v>
      </c>
      <c r="H1231" s="6" t="s">
        <v>845</v>
      </c>
      <c r="I1231" s="6" t="s">
        <v>20</v>
      </c>
      <c r="J1231" s="6">
        <v>2022.0</v>
      </c>
      <c r="L1231" s="6">
        <v>1.0</v>
      </c>
      <c r="M1231" s="8">
        <f t="shared" si="1"/>
        <v>0.13</v>
      </c>
      <c r="P1231" s="9"/>
    </row>
    <row r="1232">
      <c r="A1232" s="6" t="s">
        <v>3027</v>
      </c>
      <c r="B1232" s="6" t="s">
        <v>841</v>
      </c>
      <c r="C1232" s="6" t="s">
        <v>23</v>
      </c>
      <c r="D1232" s="6" t="s">
        <v>3028</v>
      </c>
      <c r="E1232" s="6" t="s">
        <v>243</v>
      </c>
      <c r="F1232" s="6" t="s">
        <v>37</v>
      </c>
      <c r="G1232" s="7">
        <v>0.2</v>
      </c>
      <c r="H1232" s="6" t="s">
        <v>119</v>
      </c>
      <c r="I1232" s="6" t="s">
        <v>20</v>
      </c>
      <c r="J1232" s="6">
        <v>1995.0</v>
      </c>
      <c r="K1232" s="10">
        <v>46082.0</v>
      </c>
      <c r="L1232" s="6">
        <v>1.0</v>
      </c>
      <c r="M1232" s="8">
        <f t="shared" si="1"/>
        <v>0.2</v>
      </c>
      <c r="P1232" s="9"/>
    </row>
    <row r="1233">
      <c r="A1233" s="6" t="s">
        <v>3029</v>
      </c>
      <c r="B1233" s="6" t="s">
        <v>372</v>
      </c>
      <c r="C1233" s="6" t="s">
        <v>48</v>
      </c>
      <c r="D1233" s="6" t="s">
        <v>3030</v>
      </c>
      <c r="E1233" s="6" t="s">
        <v>64</v>
      </c>
      <c r="F1233" s="6" t="s">
        <v>65</v>
      </c>
      <c r="G1233" s="7">
        <v>0.06</v>
      </c>
      <c r="H1233" s="6" t="s">
        <v>129</v>
      </c>
      <c r="I1233" s="6" t="s">
        <v>20</v>
      </c>
      <c r="J1233" s="6">
        <v>2014.0</v>
      </c>
      <c r="L1233" s="6">
        <v>1.0</v>
      </c>
      <c r="M1233" s="8">
        <f t="shared" si="1"/>
        <v>0.06</v>
      </c>
      <c r="P1233" s="9"/>
    </row>
    <row r="1234">
      <c r="A1234" s="6" t="s">
        <v>3031</v>
      </c>
      <c r="B1234" s="6" t="s">
        <v>1509</v>
      </c>
      <c r="C1234" s="6" t="s">
        <v>48</v>
      </c>
      <c r="D1234" s="6" t="s">
        <v>3032</v>
      </c>
      <c r="E1234" s="6" t="s">
        <v>175</v>
      </c>
      <c r="F1234" s="6" t="s">
        <v>51</v>
      </c>
      <c r="G1234" s="7">
        <v>0.06</v>
      </c>
      <c r="H1234" s="6" t="s">
        <v>559</v>
      </c>
      <c r="I1234" s="6" t="s">
        <v>20</v>
      </c>
      <c r="J1234" s="6">
        <v>2015.0</v>
      </c>
      <c r="K1234" s="10">
        <v>46024.0</v>
      </c>
      <c r="L1234" s="6">
        <v>2.0</v>
      </c>
      <c r="M1234" s="8">
        <f t="shared" si="1"/>
        <v>0.12</v>
      </c>
      <c r="P1234" s="9"/>
    </row>
    <row r="1235">
      <c r="A1235" s="6" t="s">
        <v>3033</v>
      </c>
      <c r="B1235" s="6" t="s">
        <v>2489</v>
      </c>
      <c r="C1235" s="6" t="s">
        <v>23</v>
      </c>
      <c r="D1235" s="6" t="s">
        <v>3034</v>
      </c>
      <c r="E1235" s="6" t="s">
        <v>102</v>
      </c>
      <c r="F1235" s="6" t="s">
        <v>103</v>
      </c>
      <c r="G1235" s="7">
        <v>0.15</v>
      </c>
      <c r="H1235" s="6" t="s">
        <v>2701</v>
      </c>
      <c r="I1235" s="6" t="s">
        <v>20</v>
      </c>
      <c r="J1235" s="6">
        <v>2003.0</v>
      </c>
      <c r="L1235" s="6">
        <v>2.0</v>
      </c>
      <c r="M1235" s="8">
        <f t="shared" si="1"/>
        <v>0.3</v>
      </c>
      <c r="P1235" s="9"/>
    </row>
    <row r="1236">
      <c r="A1236" s="6" t="s">
        <v>3035</v>
      </c>
      <c r="B1236" s="6" t="s">
        <v>2545</v>
      </c>
      <c r="C1236" s="6" t="s">
        <v>48</v>
      </c>
      <c r="D1236" s="6" t="s">
        <v>3036</v>
      </c>
      <c r="E1236" s="6" t="s">
        <v>1005</v>
      </c>
      <c r="F1236" s="6" t="s">
        <v>65</v>
      </c>
      <c r="G1236" s="7">
        <v>0.1</v>
      </c>
      <c r="H1236" s="6" t="s">
        <v>119</v>
      </c>
      <c r="I1236" s="6" t="s">
        <v>20</v>
      </c>
      <c r="J1236" s="6">
        <v>1995.0</v>
      </c>
      <c r="K1236" s="10">
        <v>46083.0</v>
      </c>
      <c r="L1236" s="6">
        <v>3.0</v>
      </c>
      <c r="M1236" s="8">
        <f t="shared" si="1"/>
        <v>0.3</v>
      </c>
      <c r="P1236" s="9"/>
    </row>
    <row r="1237">
      <c r="A1237" s="6" t="s">
        <v>3035</v>
      </c>
      <c r="B1237" s="6" t="s">
        <v>2545</v>
      </c>
      <c r="C1237" s="6" t="s">
        <v>48</v>
      </c>
      <c r="D1237" s="6" t="s">
        <v>3036</v>
      </c>
      <c r="E1237" s="6" t="s">
        <v>1005</v>
      </c>
      <c r="F1237" s="6" t="s">
        <v>65</v>
      </c>
      <c r="G1237" s="7">
        <v>0.5</v>
      </c>
      <c r="H1237" s="6" t="s">
        <v>120</v>
      </c>
      <c r="I1237" s="6" t="s">
        <v>20</v>
      </c>
      <c r="J1237" s="6">
        <v>1995.0</v>
      </c>
      <c r="K1237" s="10">
        <v>46083.0</v>
      </c>
      <c r="L1237" s="6">
        <v>1.0</v>
      </c>
      <c r="M1237" s="8">
        <f t="shared" si="1"/>
        <v>0.5</v>
      </c>
      <c r="P1237" s="9"/>
    </row>
    <row r="1238">
      <c r="A1238" s="6" t="s">
        <v>3037</v>
      </c>
      <c r="B1238" s="6" t="s">
        <v>1013</v>
      </c>
      <c r="C1238" s="6" t="s">
        <v>23</v>
      </c>
      <c r="D1238" s="6" t="s">
        <v>3038</v>
      </c>
      <c r="E1238" s="6" t="s">
        <v>79</v>
      </c>
      <c r="F1238" s="6" t="s">
        <v>51</v>
      </c>
      <c r="G1238" s="7">
        <v>0.06</v>
      </c>
      <c r="H1238" s="6" t="s">
        <v>418</v>
      </c>
      <c r="I1238" s="6" t="s">
        <v>20</v>
      </c>
      <c r="J1238" s="6">
        <v>2022.0</v>
      </c>
      <c r="K1238" s="10">
        <v>46056.0</v>
      </c>
      <c r="L1238" s="6">
        <v>1.0</v>
      </c>
      <c r="M1238" s="8">
        <f t="shared" si="1"/>
        <v>0.06</v>
      </c>
      <c r="P1238" s="9"/>
    </row>
    <row r="1239">
      <c r="A1239" s="6" t="s">
        <v>3039</v>
      </c>
      <c r="B1239" s="6" t="s">
        <v>3040</v>
      </c>
      <c r="C1239" s="6" t="s">
        <v>48</v>
      </c>
      <c r="D1239" s="6" t="s">
        <v>3041</v>
      </c>
      <c r="E1239" s="6" t="s">
        <v>1250</v>
      </c>
      <c r="F1239" s="6" t="s">
        <v>60</v>
      </c>
      <c r="G1239" s="7">
        <v>0.24</v>
      </c>
      <c r="H1239" s="6" t="s">
        <v>45</v>
      </c>
      <c r="I1239" s="6" t="s">
        <v>20</v>
      </c>
      <c r="J1239" s="6">
        <v>2025.0</v>
      </c>
      <c r="K1239" s="6" t="s">
        <v>3042</v>
      </c>
      <c r="L1239" s="6">
        <v>1.0</v>
      </c>
      <c r="M1239" s="8">
        <f t="shared" si="1"/>
        <v>0.24</v>
      </c>
      <c r="P1239" s="9"/>
    </row>
    <row r="1240">
      <c r="A1240" s="6" t="s">
        <v>3043</v>
      </c>
      <c r="B1240" s="6" t="s">
        <v>307</v>
      </c>
      <c r="C1240" s="6" t="s">
        <v>48</v>
      </c>
      <c r="D1240" s="6" t="s">
        <v>3044</v>
      </c>
      <c r="E1240" s="6" t="s">
        <v>112</v>
      </c>
      <c r="F1240" s="6" t="s">
        <v>65</v>
      </c>
      <c r="G1240" s="7">
        <v>0.1</v>
      </c>
      <c r="H1240" s="6" t="s">
        <v>418</v>
      </c>
      <c r="I1240" s="6" t="s">
        <v>20</v>
      </c>
      <c r="J1240" s="6">
        <v>2022.0</v>
      </c>
      <c r="L1240" s="6">
        <v>1.0</v>
      </c>
      <c r="M1240" s="8">
        <f t="shared" si="1"/>
        <v>0.1</v>
      </c>
      <c r="P1240" s="9"/>
    </row>
    <row r="1241">
      <c r="A1241" s="6" t="s">
        <v>3045</v>
      </c>
      <c r="B1241" s="6" t="s">
        <v>850</v>
      </c>
      <c r="C1241" s="6" t="s">
        <v>15</v>
      </c>
      <c r="D1241" s="6" t="s">
        <v>3046</v>
      </c>
      <c r="E1241" s="6" t="s">
        <v>208</v>
      </c>
      <c r="F1241" s="6" t="s">
        <v>51</v>
      </c>
      <c r="G1241" s="7">
        <v>0.15</v>
      </c>
      <c r="H1241" s="6" t="s">
        <v>209</v>
      </c>
      <c r="I1241" s="6" t="s">
        <v>20</v>
      </c>
      <c r="J1241" s="6">
        <v>2025.0</v>
      </c>
      <c r="L1241" s="6">
        <v>1.0</v>
      </c>
      <c r="M1241" s="8">
        <f t="shared" si="1"/>
        <v>0.15</v>
      </c>
      <c r="P1241" s="9"/>
    </row>
    <row r="1242">
      <c r="A1242" s="6" t="s">
        <v>3045</v>
      </c>
      <c r="B1242" s="6" t="s">
        <v>850</v>
      </c>
      <c r="C1242" s="6" t="s">
        <v>15</v>
      </c>
      <c r="D1242" s="6" t="s">
        <v>3046</v>
      </c>
      <c r="E1242" s="6" t="s">
        <v>208</v>
      </c>
      <c r="F1242" s="6" t="s">
        <v>51</v>
      </c>
      <c r="G1242" s="7">
        <v>0.5</v>
      </c>
      <c r="H1242" s="6" t="s">
        <v>209</v>
      </c>
      <c r="I1242" s="6" t="s">
        <v>55</v>
      </c>
      <c r="J1242" s="6">
        <v>2025.0</v>
      </c>
      <c r="L1242" s="6">
        <v>1.0</v>
      </c>
      <c r="M1242" s="8">
        <f t="shared" si="1"/>
        <v>0.5</v>
      </c>
      <c r="P1242" s="9"/>
    </row>
    <row r="1243">
      <c r="A1243" s="6" t="s">
        <v>3047</v>
      </c>
      <c r="B1243" s="6" t="s">
        <v>3048</v>
      </c>
      <c r="C1243" s="6" t="s">
        <v>34</v>
      </c>
      <c r="D1243" s="6" t="s">
        <v>3049</v>
      </c>
      <c r="E1243" s="6" t="s">
        <v>2535</v>
      </c>
      <c r="F1243" s="6" t="s">
        <v>18</v>
      </c>
      <c r="G1243" s="7">
        <v>0.05</v>
      </c>
      <c r="H1243" s="6" t="s">
        <v>3050</v>
      </c>
      <c r="I1243" s="6" t="s">
        <v>20</v>
      </c>
      <c r="J1243" s="6">
        <v>2025.0</v>
      </c>
      <c r="K1243" s="10">
        <v>46024.0</v>
      </c>
      <c r="L1243" s="6">
        <v>3.0</v>
      </c>
      <c r="M1243" s="8">
        <f t="shared" si="1"/>
        <v>0.15</v>
      </c>
      <c r="P1243" s="9"/>
    </row>
    <row r="1244">
      <c r="A1244" s="6" t="s">
        <v>3051</v>
      </c>
      <c r="B1244" s="6" t="s">
        <v>543</v>
      </c>
      <c r="C1244" s="6" t="s">
        <v>23</v>
      </c>
      <c r="D1244" s="6" t="s">
        <v>3052</v>
      </c>
      <c r="E1244" s="6" t="s">
        <v>3053</v>
      </c>
      <c r="F1244" s="6" t="s">
        <v>103</v>
      </c>
      <c r="G1244" s="7">
        <v>0.05</v>
      </c>
      <c r="H1244" s="6" t="s">
        <v>109</v>
      </c>
      <c r="I1244" s="6" t="s">
        <v>20</v>
      </c>
      <c r="J1244" s="6">
        <v>1995.0</v>
      </c>
      <c r="L1244" s="6">
        <v>5.0</v>
      </c>
      <c r="M1244" s="8">
        <f t="shared" si="1"/>
        <v>0.25</v>
      </c>
      <c r="P1244" s="9"/>
    </row>
    <row r="1245">
      <c r="A1245" s="6" t="s">
        <v>3051</v>
      </c>
      <c r="B1245" s="6" t="s">
        <v>543</v>
      </c>
      <c r="C1245" s="6" t="s">
        <v>23</v>
      </c>
      <c r="D1245" s="6" t="s">
        <v>3052</v>
      </c>
      <c r="E1245" s="6" t="s">
        <v>3053</v>
      </c>
      <c r="F1245" s="6" t="s">
        <v>103</v>
      </c>
      <c r="G1245" s="7">
        <v>0.19</v>
      </c>
      <c r="H1245" s="6" t="s">
        <v>1382</v>
      </c>
      <c r="I1245" s="6" t="s">
        <v>20</v>
      </c>
      <c r="J1245" s="6">
        <v>1995.0</v>
      </c>
      <c r="L1245" s="6">
        <v>3.0</v>
      </c>
      <c r="M1245" s="8">
        <f t="shared" si="1"/>
        <v>0.57</v>
      </c>
      <c r="P1245" s="9"/>
    </row>
    <row r="1246">
      <c r="A1246" s="6" t="s">
        <v>3051</v>
      </c>
      <c r="B1246" s="6" t="s">
        <v>543</v>
      </c>
      <c r="C1246" s="6" t="s">
        <v>23</v>
      </c>
      <c r="D1246" s="6" t="s">
        <v>3052</v>
      </c>
      <c r="E1246" s="6" t="s">
        <v>3053</v>
      </c>
      <c r="F1246" s="6" t="s">
        <v>103</v>
      </c>
      <c r="G1246" s="7">
        <v>0.25</v>
      </c>
      <c r="H1246" s="6" t="s">
        <v>607</v>
      </c>
      <c r="I1246" s="6" t="s">
        <v>20</v>
      </c>
      <c r="J1246" s="6">
        <v>1994.0</v>
      </c>
      <c r="L1246" s="6">
        <v>4.0</v>
      </c>
      <c r="M1246" s="8">
        <f t="shared" si="1"/>
        <v>1</v>
      </c>
      <c r="P1246" s="9"/>
    </row>
    <row r="1247">
      <c r="A1247" s="6" t="s">
        <v>3054</v>
      </c>
      <c r="B1247" s="6" t="s">
        <v>202</v>
      </c>
      <c r="C1247" s="6" t="s">
        <v>41</v>
      </c>
      <c r="D1247" s="6" t="s">
        <v>3055</v>
      </c>
      <c r="E1247" s="6" t="s">
        <v>25</v>
      </c>
      <c r="F1247" s="6" t="s">
        <v>18</v>
      </c>
      <c r="G1247" s="7">
        <v>0.25</v>
      </c>
      <c r="H1247" s="6" t="s">
        <v>562</v>
      </c>
      <c r="I1247" s="6" t="s">
        <v>20</v>
      </c>
      <c r="J1247" s="6">
        <v>2017.0</v>
      </c>
      <c r="L1247" s="6">
        <v>1.0</v>
      </c>
      <c r="M1247" s="8">
        <f t="shared" si="1"/>
        <v>0.25</v>
      </c>
      <c r="P1247" s="9"/>
    </row>
    <row r="1248">
      <c r="A1248" s="6" t="s">
        <v>3056</v>
      </c>
      <c r="B1248" s="6" t="s">
        <v>372</v>
      </c>
      <c r="C1248" s="6" t="s">
        <v>23</v>
      </c>
      <c r="D1248" s="6" t="s">
        <v>3057</v>
      </c>
      <c r="E1248" s="6" t="s">
        <v>25</v>
      </c>
      <c r="F1248" s="6" t="s">
        <v>18</v>
      </c>
      <c r="G1248" s="7">
        <v>0.05</v>
      </c>
      <c r="H1248" s="6" t="s">
        <v>346</v>
      </c>
      <c r="I1248" s="6" t="s">
        <v>20</v>
      </c>
      <c r="J1248" s="6">
        <v>2024.0</v>
      </c>
      <c r="L1248" s="6">
        <v>1.0</v>
      </c>
      <c r="M1248" s="8">
        <f t="shared" si="1"/>
        <v>0.05</v>
      </c>
      <c r="P1248" s="9"/>
    </row>
    <row r="1249">
      <c r="A1249" s="6" t="s">
        <v>3058</v>
      </c>
      <c r="B1249" s="6" t="s">
        <v>62</v>
      </c>
      <c r="C1249" s="6" t="s">
        <v>23</v>
      </c>
      <c r="D1249" s="6" t="s">
        <v>3059</v>
      </c>
      <c r="E1249" s="6" t="s">
        <v>149</v>
      </c>
      <c r="F1249" s="6" t="s">
        <v>18</v>
      </c>
      <c r="G1249" s="7">
        <v>0.38</v>
      </c>
      <c r="H1249" s="6" t="s">
        <v>316</v>
      </c>
      <c r="I1249" s="6" t="s">
        <v>20</v>
      </c>
      <c r="J1249" s="6">
        <v>2016.0</v>
      </c>
      <c r="L1249" s="6">
        <v>1.0</v>
      </c>
      <c r="M1249" s="8">
        <f t="shared" si="1"/>
        <v>0.38</v>
      </c>
      <c r="P1249" s="9"/>
    </row>
    <row r="1250">
      <c r="A1250" s="6" t="s">
        <v>3060</v>
      </c>
      <c r="B1250" s="6" t="s">
        <v>3061</v>
      </c>
      <c r="C1250" s="6" t="s">
        <v>48</v>
      </c>
      <c r="D1250" s="6" t="s">
        <v>3062</v>
      </c>
      <c r="E1250" s="6" t="s">
        <v>3063</v>
      </c>
      <c r="F1250" s="6" t="s">
        <v>98</v>
      </c>
      <c r="G1250" s="7">
        <v>0.45</v>
      </c>
      <c r="H1250" s="6" t="s">
        <v>621</v>
      </c>
      <c r="I1250" s="6" t="s">
        <v>20</v>
      </c>
      <c r="J1250" s="6">
        <v>2015.0</v>
      </c>
      <c r="K1250" s="10">
        <v>46055.0</v>
      </c>
      <c r="L1250" s="6">
        <v>2.0</v>
      </c>
      <c r="M1250" s="8">
        <f t="shared" si="1"/>
        <v>0.9</v>
      </c>
      <c r="P1250" s="9"/>
    </row>
    <row r="1251">
      <c r="A1251" s="6" t="s">
        <v>3064</v>
      </c>
      <c r="B1251" s="6" t="s">
        <v>1029</v>
      </c>
      <c r="C1251" s="6" t="s">
        <v>23</v>
      </c>
      <c r="D1251" s="6" t="s">
        <v>3065</v>
      </c>
      <c r="E1251" s="6" t="s">
        <v>2312</v>
      </c>
      <c r="F1251" s="6" t="s">
        <v>103</v>
      </c>
      <c r="G1251" s="7">
        <v>0.05</v>
      </c>
      <c r="H1251" s="6" t="s">
        <v>224</v>
      </c>
      <c r="I1251" s="6" t="s">
        <v>20</v>
      </c>
      <c r="J1251" s="6">
        <v>2020.0</v>
      </c>
      <c r="K1251" s="10">
        <v>46056.0</v>
      </c>
      <c r="L1251" s="6">
        <v>1.0</v>
      </c>
      <c r="M1251" s="8">
        <f t="shared" si="1"/>
        <v>0.05</v>
      </c>
      <c r="P1251" s="9"/>
    </row>
    <row r="1252">
      <c r="A1252" s="6" t="s">
        <v>3066</v>
      </c>
      <c r="B1252" s="6" t="s">
        <v>3067</v>
      </c>
      <c r="C1252" s="6" t="s">
        <v>41</v>
      </c>
      <c r="D1252" s="6" t="s">
        <v>3068</v>
      </c>
      <c r="E1252" s="6" t="s">
        <v>3069</v>
      </c>
      <c r="F1252" s="6" t="s">
        <v>103</v>
      </c>
      <c r="G1252" s="7">
        <v>0.32</v>
      </c>
      <c r="H1252" s="6" t="s">
        <v>200</v>
      </c>
      <c r="I1252" s="6" t="s">
        <v>20</v>
      </c>
      <c r="J1252" s="6">
        <v>2018.0</v>
      </c>
      <c r="K1252" s="10">
        <v>46084.0</v>
      </c>
      <c r="L1252" s="6">
        <v>2.0</v>
      </c>
      <c r="M1252" s="8">
        <f t="shared" si="1"/>
        <v>0.64</v>
      </c>
      <c r="P1252" s="9"/>
    </row>
    <row r="1253">
      <c r="A1253" s="6" t="s">
        <v>3070</v>
      </c>
      <c r="B1253" s="6" t="s">
        <v>1885</v>
      </c>
      <c r="C1253" s="6" t="s">
        <v>23</v>
      </c>
      <c r="D1253" s="6" t="s">
        <v>3071</v>
      </c>
      <c r="E1253" s="6" t="s">
        <v>611</v>
      </c>
      <c r="F1253" s="6" t="s">
        <v>103</v>
      </c>
      <c r="G1253" s="7">
        <v>0.03</v>
      </c>
      <c r="H1253" s="6" t="s">
        <v>359</v>
      </c>
      <c r="I1253" s="6" t="s">
        <v>20</v>
      </c>
      <c r="J1253" s="6">
        <v>2014.0</v>
      </c>
      <c r="K1253" s="10">
        <v>46057.0</v>
      </c>
      <c r="L1253" s="6">
        <v>1.0</v>
      </c>
      <c r="M1253" s="8">
        <f t="shared" si="1"/>
        <v>0.03</v>
      </c>
      <c r="P1253" s="9"/>
    </row>
    <row r="1254">
      <c r="A1254" s="6" t="s">
        <v>3070</v>
      </c>
      <c r="B1254" s="6" t="s">
        <v>1885</v>
      </c>
      <c r="C1254" s="6" t="s">
        <v>23</v>
      </c>
      <c r="D1254" s="6" t="s">
        <v>3071</v>
      </c>
      <c r="E1254" s="6" t="s">
        <v>611</v>
      </c>
      <c r="F1254" s="6" t="s">
        <v>103</v>
      </c>
      <c r="G1254" s="7">
        <v>0.03</v>
      </c>
      <c r="H1254" s="6" t="s">
        <v>2872</v>
      </c>
      <c r="I1254" s="6" t="s">
        <v>20</v>
      </c>
      <c r="J1254" s="6">
        <v>2019.0</v>
      </c>
      <c r="K1254" s="10">
        <v>46057.0</v>
      </c>
      <c r="L1254" s="6">
        <v>2.0</v>
      </c>
      <c r="M1254" s="8">
        <f t="shared" si="1"/>
        <v>0.06</v>
      </c>
      <c r="P1254" s="9"/>
    </row>
    <row r="1255">
      <c r="A1255" s="6" t="s">
        <v>3072</v>
      </c>
      <c r="B1255" s="6" t="s">
        <v>372</v>
      </c>
      <c r="C1255" s="6" t="s">
        <v>23</v>
      </c>
      <c r="D1255" s="6" t="s">
        <v>3073</v>
      </c>
      <c r="E1255" s="6" t="s">
        <v>79</v>
      </c>
      <c r="F1255" s="6" t="s">
        <v>51</v>
      </c>
      <c r="G1255" s="7">
        <v>0.03</v>
      </c>
      <c r="H1255" s="6" t="s">
        <v>526</v>
      </c>
      <c r="I1255" s="6" t="s">
        <v>20</v>
      </c>
      <c r="J1255" s="6">
        <v>2020.0</v>
      </c>
      <c r="L1255" s="6">
        <v>1.0</v>
      </c>
      <c r="M1255" s="8">
        <f t="shared" si="1"/>
        <v>0.03</v>
      </c>
      <c r="P1255" s="9"/>
    </row>
    <row r="1256">
      <c r="A1256" s="6" t="s">
        <v>3074</v>
      </c>
      <c r="B1256" s="6" t="s">
        <v>182</v>
      </c>
      <c r="C1256" s="6" t="s">
        <v>23</v>
      </c>
      <c r="D1256" s="6" t="s">
        <v>3075</v>
      </c>
      <c r="E1256" s="6" t="s">
        <v>30</v>
      </c>
      <c r="F1256" s="6" t="s">
        <v>18</v>
      </c>
      <c r="G1256" s="7">
        <v>0.05</v>
      </c>
      <c r="H1256" s="6" t="s">
        <v>184</v>
      </c>
      <c r="I1256" s="6" t="s">
        <v>20</v>
      </c>
      <c r="J1256" s="6">
        <v>2015.0</v>
      </c>
      <c r="L1256" s="6">
        <v>2.0</v>
      </c>
      <c r="M1256" s="8">
        <f t="shared" si="1"/>
        <v>0.1</v>
      </c>
      <c r="P1256" s="9"/>
    </row>
    <row r="1257">
      <c r="A1257" s="6" t="s">
        <v>3076</v>
      </c>
      <c r="B1257" s="6" t="s">
        <v>3077</v>
      </c>
      <c r="C1257" s="6" t="s">
        <v>48</v>
      </c>
      <c r="D1257" s="6" t="s">
        <v>3078</v>
      </c>
      <c r="E1257" s="6" t="s">
        <v>167</v>
      </c>
      <c r="F1257" s="6" t="s">
        <v>103</v>
      </c>
      <c r="G1257" s="7">
        <v>0.28</v>
      </c>
      <c r="H1257" s="6" t="s">
        <v>192</v>
      </c>
      <c r="I1257" s="6" t="s">
        <v>20</v>
      </c>
      <c r="J1257" s="6">
        <v>2026.0</v>
      </c>
      <c r="K1257" s="10">
        <v>46023.0</v>
      </c>
      <c r="L1257" s="6">
        <v>1.0</v>
      </c>
      <c r="M1257" s="8">
        <f t="shared" si="1"/>
        <v>0.28</v>
      </c>
      <c r="P1257" s="9"/>
    </row>
    <row r="1258">
      <c r="A1258" s="6" t="s">
        <v>3079</v>
      </c>
      <c r="B1258" s="6" t="s">
        <v>3080</v>
      </c>
      <c r="C1258" s="6" t="s">
        <v>521</v>
      </c>
      <c r="D1258" s="6" t="s">
        <v>3081</v>
      </c>
      <c r="E1258" s="6" t="s">
        <v>153</v>
      </c>
      <c r="F1258" s="6" t="s">
        <v>103</v>
      </c>
      <c r="G1258" s="7">
        <v>0.05</v>
      </c>
      <c r="H1258" s="6" t="s">
        <v>641</v>
      </c>
      <c r="I1258" s="6" t="s">
        <v>20</v>
      </c>
      <c r="J1258" s="6">
        <v>2026.0</v>
      </c>
      <c r="K1258" s="10">
        <v>46056.0</v>
      </c>
      <c r="L1258" s="6">
        <v>1.0</v>
      </c>
      <c r="M1258" s="8">
        <f t="shared" si="1"/>
        <v>0.05</v>
      </c>
      <c r="P1258" s="9"/>
    </row>
    <row r="1259">
      <c r="A1259" s="6" t="s">
        <v>3082</v>
      </c>
      <c r="B1259" s="6" t="s">
        <v>3083</v>
      </c>
      <c r="C1259" s="6" t="s">
        <v>23</v>
      </c>
      <c r="D1259" s="6" t="s">
        <v>3084</v>
      </c>
      <c r="E1259" s="6" t="s">
        <v>149</v>
      </c>
      <c r="F1259" s="6" t="s">
        <v>18</v>
      </c>
      <c r="G1259" s="7">
        <v>0.08</v>
      </c>
      <c r="H1259" s="6" t="s">
        <v>574</v>
      </c>
      <c r="I1259" s="6" t="s">
        <v>20</v>
      </c>
      <c r="J1259" s="6">
        <v>2000.0</v>
      </c>
      <c r="K1259" s="10">
        <v>46023.0</v>
      </c>
      <c r="L1259" s="6">
        <v>1.0</v>
      </c>
      <c r="M1259" s="8">
        <f t="shared" si="1"/>
        <v>0.08</v>
      </c>
      <c r="P1259" s="9"/>
    </row>
    <row r="1260">
      <c r="A1260" s="6" t="s">
        <v>3085</v>
      </c>
      <c r="B1260" s="6" t="s">
        <v>796</v>
      </c>
      <c r="C1260" s="6" t="s">
        <v>34</v>
      </c>
      <c r="D1260" s="6" t="s">
        <v>3086</v>
      </c>
      <c r="E1260" s="6" t="s">
        <v>852</v>
      </c>
      <c r="F1260" s="6" t="s">
        <v>18</v>
      </c>
      <c r="G1260" s="7">
        <v>0.05</v>
      </c>
      <c r="H1260" s="6" t="s">
        <v>209</v>
      </c>
      <c r="I1260" s="6" t="s">
        <v>20</v>
      </c>
      <c r="J1260" s="6">
        <v>2025.0</v>
      </c>
      <c r="L1260" s="6">
        <v>8.0</v>
      </c>
      <c r="M1260" s="8">
        <f t="shared" si="1"/>
        <v>0.4</v>
      </c>
      <c r="P1260" s="9"/>
    </row>
    <row r="1261">
      <c r="A1261" s="6" t="s">
        <v>3085</v>
      </c>
      <c r="B1261" s="6" t="s">
        <v>796</v>
      </c>
      <c r="C1261" s="6" t="s">
        <v>34</v>
      </c>
      <c r="D1261" s="6" t="s">
        <v>3086</v>
      </c>
      <c r="E1261" s="6" t="s">
        <v>852</v>
      </c>
      <c r="F1261" s="6" t="s">
        <v>18</v>
      </c>
      <c r="G1261" s="7">
        <v>0.25</v>
      </c>
      <c r="H1261" s="6" t="s">
        <v>209</v>
      </c>
      <c r="I1261" s="6" t="s">
        <v>55</v>
      </c>
      <c r="J1261" s="6">
        <v>2025.0</v>
      </c>
      <c r="L1261" s="6">
        <v>1.0</v>
      </c>
      <c r="M1261" s="8">
        <f t="shared" si="1"/>
        <v>0.25</v>
      </c>
      <c r="P1261" s="9"/>
    </row>
    <row r="1262">
      <c r="A1262" s="6" t="s">
        <v>3087</v>
      </c>
      <c r="B1262" s="6" t="s">
        <v>151</v>
      </c>
      <c r="C1262" s="6" t="s">
        <v>41</v>
      </c>
      <c r="D1262" s="6" t="s">
        <v>3088</v>
      </c>
      <c r="E1262" s="6" t="s">
        <v>293</v>
      </c>
      <c r="F1262" s="6" t="s">
        <v>18</v>
      </c>
      <c r="G1262" s="7">
        <v>0.3</v>
      </c>
      <c r="H1262" s="6" t="s">
        <v>114</v>
      </c>
      <c r="I1262" s="6" t="s">
        <v>20</v>
      </c>
      <c r="J1262" s="6">
        <v>2021.0</v>
      </c>
      <c r="K1262" s="10">
        <v>46025.0</v>
      </c>
      <c r="L1262" s="6">
        <v>1.0</v>
      </c>
      <c r="M1262" s="8">
        <f t="shared" si="1"/>
        <v>0.3</v>
      </c>
      <c r="P1262" s="9"/>
    </row>
    <row r="1263">
      <c r="A1263" s="6" t="s">
        <v>3089</v>
      </c>
      <c r="B1263" s="6" t="s">
        <v>291</v>
      </c>
      <c r="C1263" s="6" t="s">
        <v>41</v>
      </c>
      <c r="D1263" s="6" t="s">
        <v>3090</v>
      </c>
      <c r="E1263" s="6" t="s">
        <v>235</v>
      </c>
      <c r="F1263" s="6" t="s">
        <v>103</v>
      </c>
      <c r="G1263" s="7">
        <v>0.24</v>
      </c>
      <c r="H1263" s="6" t="s">
        <v>265</v>
      </c>
      <c r="I1263" s="6" t="s">
        <v>20</v>
      </c>
      <c r="J1263" s="6">
        <v>2017.0</v>
      </c>
      <c r="K1263" s="10">
        <v>46054.0</v>
      </c>
      <c r="L1263" s="6">
        <v>1.0</v>
      </c>
      <c r="M1263" s="8">
        <f t="shared" si="1"/>
        <v>0.24</v>
      </c>
      <c r="P1263" s="9"/>
    </row>
    <row r="1264">
      <c r="A1264" s="6" t="s">
        <v>3091</v>
      </c>
      <c r="B1264" s="6" t="s">
        <v>143</v>
      </c>
      <c r="C1264" s="6" t="s">
        <v>23</v>
      </c>
      <c r="D1264" s="6" t="s">
        <v>3092</v>
      </c>
      <c r="E1264" s="6" t="s">
        <v>36</v>
      </c>
      <c r="F1264" s="6" t="s">
        <v>37</v>
      </c>
      <c r="G1264" s="7">
        <v>0.2</v>
      </c>
      <c r="H1264" s="6" t="s">
        <v>1301</v>
      </c>
      <c r="I1264" s="6" t="s">
        <v>55</v>
      </c>
      <c r="J1264" s="6">
        <v>2022.0</v>
      </c>
      <c r="L1264" s="6">
        <v>1.0</v>
      </c>
      <c r="M1264" s="8">
        <f t="shared" si="1"/>
        <v>0.2</v>
      </c>
      <c r="P1264" s="9"/>
    </row>
    <row r="1265">
      <c r="A1265" s="6" t="s">
        <v>3093</v>
      </c>
      <c r="B1265" s="6" t="s">
        <v>3094</v>
      </c>
      <c r="C1265" s="6" t="s">
        <v>48</v>
      </c>
      <c r="D1265" s="6" t="s">
        <v>3095</v>
      </c>
      <c r="E1265" s="6" t="s">
        <v>102</v>
      </c>
      <c r="F1265" s="6" t="s">
        <v>103</v>
      </c>
      <c r="G1265" s="7">
        <v>0.05</v>
      </c>
      <c r="H1265" s="6" t="s">
        <v>2669</v>
      </c>
      <c r="I1265" s="6" t="s">
        <v>20</v>
      </c>
      <c r="J1265" s="6">
        <v>2019.0</v>
      </c>
      <c r="K1265" s="10">
        <v>46055.0</v>
      </c>
      <c r="L1265" s="6">
        <v>3.0</v>
      </c>
      <c r="M1265" s="8">
        <f t="shared" si="1"/>
        <v>0.15</v>
      </c>
      <c r="P1265" s="9"/>
    </row>
    <row r="1266">
      <c r="A1266" s="6" t="s">
        <v>3096</v>
      </c>
      <c r="B1266" s="6" t="s">
        <v>1420</v>
      </c>
      <c r="C1266" s="6" t="s">
        <v>23</v>
      </c>
      <c r="D1266" s="6" t="s">
        <v>3097</v>
      </c>
      <c r="E1266" s="6" t="s">
        <v>3098</v>
      </c>
      <c r="F1266" s="6" t="s">
        <v>215</v>
      </c>
      <c r="G1266" s="7">
        <v>0.05</v>
      </c>
      <c r="H1266" s="6" t="s">
        <v>171</v>
      </c>
      <c r="I1266" s="6" t="s">
        <v>20</v>
      </c>
      <c r="J1266" s="6">
        <v>2021.0</v>
      </c>
      <c r="K1266" s="10">
        <v>46055.0</v>
      </c>
      <c r="L1266" s="6">
        <v>1.0</v>
      </c>
      <c r="M1266" s="8">
        <f t="shared" si="1"/>
        <v>0.05</v>
      </c>
      <c r="P1266" s="9"/>
    </row>
    <row r="1267">
      <c r="A1267" s="6" t="s">
        <v>3099</v>
      </c>
      <c r="B1267" s="6" t="s">
        <v>3100</v>
      </c>
      <c r="C1267" s="6" t="s">
        <v>48</v>
      </c>
      <c r="D1267" s="6" t="s">
        <v>3101</v>
      </c>
      <c r="E1267" s="6" t="s">
        <v>611</v>
      </c>
      <c r="F1267" s="6" t="s">
        <v>103</v>
      </c>
      <c r="G1267" s="7">
        <v>0.18</v>
      </c>
      <c r="H1267" s="6" t="s">
        <v>1675</v>
      </c>
      <c r="I1267" s="6" t="s">
        <v>20</v>
      </c>
      <c r="J1267" s="6">
        <v>2021.0</v>
      </c>
      <c r="K1267" s="10">
        <v>46085.0</v>
      </c>
      <c r="L1267" s="6">
        <v>1.0</v>
      </c>
      <c r="M1267" s="8">
        <f t="shared" si="1"/>
        <v>0.18</v>
      </c>
      <c r="P1267" s="9"/>
    </row>
    <row r="1268">
      <c r="A1268" s="6" t="s">
        <v>3102</v>
      </c>
      <c r="B1268" s="6" t="s">
        <v>3103</v>
      </c>
      <c r="C1268" s="6" t="s">
        <v>48</v>
      </c>
      <c r="D1268" s="6" t="s">
        <v>3104</v>
      </c>
      <c r="E1268" s="6" t="s">
        <v>79</v>
      </c>
      <c r="F1268" s="6" t="s">
        <v>51</v>
      </c>
      <c r="G1268" s="7">
        <v>0.08</v>
      </c>
      <c r="H1268" s="6" t="s">
        <v>66</v>
      </c>
      <c r="I1268" s="6" t="s">
        <v>20</v>
      </c>
      <c r="J1268" s="6">
        <v>2016.0</v>
      </c>
      <c r="K1268" s="10">
        <v>46083.0</v>
      </c>
      <c r="L1268" s="6">
        <v>1.0</v>
      </c>
      <c r="M1268" s="8">
        <f t="shared" si="1"/>
        <v>0.08</v>
      </c>
      <c r="P1268" s="9"/>
    </row>
    <row r="1269">
      <c r="A1269" s="6" t="s">
        <v>3105</v>
      </c>
      <c r="B1269" s="6" t="s">
        <v>291</v>
      </c>
      <c r="C1269" s="6" t="s">
        <v>23</v>
      </c>
      <c r="D1269" s="6" t="s">
        <v>3106</v>
      </c>
      <c r="E1269" s="6" t="s">
        <v>175</v>
      </c>
      <c r="F1269" s="6" t="s">
        <v>51</v>
      </c>
      <c r="G1269" s="7">
        <v>0.08</v>
      </c>
      <c r="H1269" s="6" t="s">
        <v>559</v>
      </c>
      <c r="I1269" s="6" t="s">
        <v>20</v>
      </c>
      <c r="J1269" s="6">
        <v>2015.0</v>
      </c>
      <c r="K1269" s="6" t="s">
        <v>341</v>
      </c>
      <c r="L1269" s="6">
        <v>1.0</v>
      </c>
      <c r="M1269" s="8">
        <f t="shared" si="1"/>
        <v>0.08</v>
      </c>
      <c r="P1269" s="9"/>
    </row>
    <row r="1270">
      <c r="A1270" s="6" t="s">
        <v>3107</v>
      </c>
      <c r="B1270" s="6" t="s">
        <v>1509</v>
      </c>
      <c r="C1270" s="6" t="s">
        <v>23</v>
      </c>
      <c r="E1270" s="6" t="s">
        <v>118</v>
      </c>
      <c r="F1270" s="6" t="s">
        <v>51</v>
      </c>
      <c r="G1270" s="7">
        <v>0.05</v>
      </c>
      <c r="H1270" s="6" t="s">
        <v>559</v>
      </c>
      <c r="I1270" s="6" t="s">
        <v>20</v>
      </c>
      <c r="J1270" s="6">
        <v>2015.0</v>
      </c>
      <c r="K1270" s="10">
        <v>46025.0</v>
      </c>
      <c r="L1270" s="6">
        <v>1.0</v>
      </c>
      <c r="M1270" s="8">
        <f t="shared" si="1"/>
        <v>0.05</v>
      </c>
      <c r="P1270" s="9"/>
    </row>
    <row r="1271">
      <c r="A1271" s="6" t="s">
        <v>3108</v>
      </c>
      <c r="B1271" s="6" t="s">
        <v>3109</v>
      </c>
      <c r="C1271" s="6" t="s">
        <v>23</v>
      </c>
      <c r="E1271" s="6" t="s">
        <v>153</v>
      </c>
      <c r="F1271" s="6" t="s">
        <v>103</v>
      </c>
      <c r="G1271" s="7">
        <v>0.06</v>
      </c>
      <c r="H1271" s="6" t="s">
        <v>3110</v>
      </c>
      <c r="I1271" s="6" t="s">
        <v>20</v>
      </c>
      <c r="J1271" s="6">
        <v>2007.0</v>
      </c>
      <c r="K1271" s="10">
        <v>46027.0</v>
      </c>
      <c r="L1271" s="6">
        <v>1.0</v>
      </c>
      <c r="M1271" s="8">
        <f t="shared" si="1"/>
        <v>0.06</v>
      </c>
      <c r="P1271" s="9"/>
    </row>
    <row r="1272">
      <c r="A1272" s="6" t="s">
        <v>3111</v>
      </c>
      <c r="B1272" s="6" t="s">
        <v>307</v>
      </c>
      <c r="C1272" s="6" t="s">
        <v>23</v>
      </c>
      <c r="D1272" s="6" t="s">
        <v>3112</v>
      </c>
      <c r="E1272" s="6" t="s">
        <v>303</v>
      </c>
      <c r="F1272" s="6" t="s">
        <v>103</v>
      </c>
      <c r="G1272" s="7">
        <v>0.04</v>
      </c>
      <c r="H1272" s="6" t="s">
        <v>1050</v>
      </c>
      <c r="I1272" s="6" t="s">
        <v>20</v>
      </c>
      <c r="J1272" s="6">
        <v>2023.0</v>
      </c>
      <c r="L1272" s="6">
        <v>1.0</v>
      </c>
      <c r="M1272" s="8">
        <f t="shared" si="1"/>
        <v>0.04</v>
      </c>
      <c r="P1272" s="9"/>
    </row>
    <row r="1273">
      <c r="A1273" s="6" t="s">
        <v>3113</v>
      </c>
      <c r="B1273" s="6" t="s">
        <v>736</v>
      </c>
      <c r="C1273" s="6" t="s">
        <v>84</v>
      </c>
      <c r="D1273" s="6" t="s">
        <v>3114</v>
      </c>
      <c r="E1273" s="6" t="s">
        <v>395</v>
      </c>
      <c r="F1273" s="6" t="s">
        <v>51</v>
      </c>
      <c r="G1273" s="7">
        <v>0.13</v>
      </c>
      <c r="H1273" s="6" t="s">
        <v>245</v>
      </c>
      <c r="I1273" s="6" t="s">
        <v>20</v>
      </c>
      <c r="J1273" s="6">
        <v>1995.0</v>
      </c>
      <c r="L1273" s="6">
        <v>1.0</v>
      </c>
      <c r="M1273" s="8">
        <f t="shared" si="1"/>
        <v>0.13</v>
      </c>
      <c r="P1273" s="9"/>
    </row>
    <row r="1274">
      <c r="A1274" s="6" t="s">
        <v>3115</v>
      </c>
      <c r="B1274" s="6" t="s">
        <v>182</v>
      </c>
      <c r="C1274" s="6" t="s">
        <v>23</v>
      </c>
      <c r="D1274" s="6" t="s">
        <v>3116</v>
      </c>
      <c r="E1274" s="6" t="s">
        <v>1336</v>
      </c>
      <c r="F1274" s="6" t="s">
        <v>103</v>
      </c>
      <c r="G1274" s="7">
        <v>3.5</v>
      </c>
      <c r="H1274" s="6" t="s">
        <v>163</v>
      </c>
      <c r="I1274" s="6" t="s">
        <v>20</v>
      </c>
      <c r="J1274" s="6">
        <v>2023.0</v>
      </c>
      <c r="L1274" s="6">
        <v>2.0</v>
      </c>
      <c r="M1274" s="8">
        <f t="shared" si="1"/>
        <v>7</v>
      </c>
      <c r="N1274" s="6" t="s">
        <v>172</v>
      </c>
      <c r="P1274" s="9"/>
    </row>
    <row r="1275">
      <c r="A1275" s="6" t="s">
        <v>3117</v>
      </c>
      <c r="B1275" s="6" t="s">
        <v>3118</v>
      </c>
      <c r="C1275" s="6" t="s">
        <v>41</v>
      </c>
      <c r="D1275" s="6" t="s">
        <v>3119</v>
      </c>
      <c r="E1275" s="6" t="s">
        <v>328</v>
      </c>
      <c r="F1275" s="6" t="s">
        <v>18</v>
      </c>
      <c r="G1275" s="7">
        <v>0.25</v>
      </c>
      <c r="H1275" s="6" t="s">
        <v>621</v>
      </c>
      <c r="I1275" s="6" t="s">
        <v>20</v>
      </c>
      <c r="J1275" s="6">
        <v>2015.0</v>
      </c>
      <c r="K1275" s="10">
        <v>46147.0</v>
      </c>
      <c r="L1275" s="6">
        <v>1.0</v>
      </c>
      <c r="M1275" s="8">
        <f t="shared" si="1"/>
        <v>0.25</v>
      </c>
      <c r="P1275" s="9"/>
    </row>
    <row r="1276">
      <c r="A1276" s="6" t="s">
        <v>3120</v>
      </c>
      <c r="B1276" s="6" t="s">
        <v>3121</v>
      </c>
      <c r="C1276" s="6" t="s">
        <v>48</v>
      </c>
      <c r="D1276" s="6" t="s">
        <v>3122</v>
      </c>
      <c r="E1276" s="6" t="s">
        <v>2240</v>
      </c>
      <c r="F1276" s="6" t="s">
        <v>18</v>
      </c>
      <c r="G1276" s="7">
        <v>0.05</v>
      </c>
      <c r="H1276" s="6" t="s">
        <v>66</v>
      </c>
      <c r="I1276" s="6" t="s">
        <v>20</v>
      </c>
      <c r="J1276" s="6">
        <v>2016.0</v>
      </c>
      <c r="K1276" s="10">
        <v>46208.0</v>
      </c>
      <c r="L1276" s="6">
        <v>2.0</v>
      </c>
      <c r="M1276" s="8">
        <f t="shared" si="1"/>
        <v>0.1</v>
      </c>
      <c r="P1276" s="9"/>
    </row>
    <row r="1277">
      <c r="A1277" s="6" t="s">
        <v>3123</v>
      </c>
      <c r="B1277" s="6" t="s">
        <v>1782</v>
      </c>
      <c r="C1277" s="6" t="s">
        <v>23</v>
      </c>
      <c r="D1277" s="6" t="s">
        <v>3124</v>
      </c>
      <c r="E1277" s="6" t="s">
        <v>235</v>
      </c>
      <c r="F1277" s="6" t="s">
        <v>103</v>
      </c>
      <c r="G1277" s="7">
        <v>0.03</v>
      </c>
      <c r="H1277" s="6" t="s">
        <v>200</v>
      </c>
      <c r="I1277" s="6" t="s">
        <v>20</v>
      </c>
      <c r="J1277" s="6">
        <v>2018.0</v>
      </c>
      <c r="K1277" s="10">
        <v>46024.0</v>
      </c>
      <c r="L1277" s="6">
        <v>1.0</v>
      </c>
      <c r="M1277" s="8">
        <f t="shared" si="1"/>
        <v>0.03</v>
      </c>
      <c r="P1277" s="9"/>
    </row>
    <row r="1278">
      <c r="A1278" s="6" t="s">
        <v>3125</v>
      </c>
      <c r="B1278" s="6" t="s">
        <v>3126</v>
      </c>
      <c r="C1278" s="6" t="s">
        <v>23</v>
      </c>
      <c r="D1278" s="6" t="s">
        <v>3127</v>
      </c>
      <c r="E1278" s="6" t="s">
        <v>102</v>
      </c>
      <c r="F1278" s="6" t="s">
        <v>103</v>
      </c>
      <c r="G1278" s="7">
        <v>0.04</v>
      </c>
      <c r="H1278" s="6" t="s">
        <v>119</v>
      </c>
      <c r="I1278" s="6" t="s">
        <v>20</v>
      </c>
      <c r="J1278" s="6">
        <v>1995.0</v>
      </c>
      <c r="K1278" s="10">
        <v>46023.0</v>
      </c>
      <c r="L1278" s="6">
        <v>1.0</v>
      </c>
      <c r="M1278" s="8">
        <f t="shared" si="1"/>
        <v>0.04</v>
      </c>
      <c r="P1278" s="9"/>
    </row>
    <row r="1279">
      <c r="A1279" s="6" t="s">
        <v>3125</v>
      </c>
      <c r="B1279" s="6" t="s">
        <v>3126</v>
      </c>
      <c r="C1279" s="6" t="s">
        <v>23</v>
      </c>
      <c r="D1279" s="6" t="s">
        <v>3127</v>
      </c>
      <c r="E1279" s="6" t="s">
        <v>102</v>
      </c>
      <c r="F1279" s="6" t="s">
        <v>103</v>
      </c>
      <c r="G1279" s="7">
        <v>0.04</v>
      </c>
      <c r="H1279" s="6" t="s">
        <v>109</v>
      </c>
      <c r="I1279" s="6" t="s">
        <v>20</v>
      </c>
      <c r="J1279" s="6">
        <v>1995.0</v>
      </c>
      <c r="K1279" s="10">
        <v>46023.0</v>
      </c>
      <c r="L1279" s="6">
        <v>4.0</v>
      </c>
      <c r="M1279" s="8">
        <f t="shared" si="1"/>
        <v>0.16</v>
      </c>
      <c r="P1279" s="9"/>
    </row>
    <row r="1280">
      <c r="A1280" s="6" t="s">
        <v>3125</v>
      </c>
      <c r="B1280" s="6" t="s">
        <v>3126</v>
      </c>
      <c r="C1280" s="6" t="s">
        <v>23</v>
      </c>
      <c r="D1280" s="6" t="s">
        <v>3127</v>
      </c>
      <c r="E1280" s="6" t="s">
        <v>102</v>
      </c>
      <c r="F1280" s="6" t="s">
        <v>103</v>
      </c>
      <c r="G1280" s="7">
        <v>0.15</v>
      </c>
      <c r="H1280" s="6" t="s">
        <v>1382</v>
      </c>
      <c r="I1280" s="6" t="s">
        <v>20</v>
      </c>
      <c r="J1280" s="6">
        <v>1995.0</v>
      </c>
      <c r="K1280" s="10">
        <v>46023.0</v>
      </c>
      <c r="L1280" s="6">
        <v>9.0</v>
      </c>
      <c r="M1280" s="8">
        <f t="shared" si="1"/>
        <v>1.35</v>
      </c>
      <c r="P1280" s="9"/>
    </row>
    <row r="1281">
      <c r="A1281" s="6" t="s">
        <v>3125</v>
      </c>
      <c r="B1281" s="6" t="s">
        <v>3126</v>
      </c>
      <c r="C1281" s="6" t="s">
        <v>23</v>
      </c>
      <c r="D1281" s="6" t="s">
        <v>3127</v>
      </c>
      <c r="E1281" s="6" t="s">
        <v>102</v>
      </c>
      <c r="F1281" s="6" t="s">
        <v>103</v>
      </c>
      <c r="G1281" s="7">
        <v>0.15</v>
      </c>
      <c r="H1281" s="6" t="s">
        <v>607</v>
      </c>
      <c r="I1281" s="6" t="s">
        <v>20</v>
      </c>
      <c r="J1281" s="6">
        <v>1994.0</v>
      </c>
      <c r="K1281" s="10">
        <v>46023.0</v>
      </c>
      <c r="L1281" s="6">
        <v>5.0</v>
      </c>
      <c r="M1281" s="8">
        <f t="shared" si="1"/>
        <v>0.75</v>
      </c>
      <c r="P1281" s="9"/>
    </row>
    <row r="1282">
      <c r="A1282" s="6" t="s">
        <v>3128</v>
      </c>
      <c r="B1282" s="6" t="s">
        <v>592</v>
      </c>
      <c r="C1282" s="6" t="s">
        <v>48</v>
      </c>
      <c r="D1282" s="6" t="s">
        <v>3129</v>
      </c>
      <c r="E1282" s="6" t="s">
        <v>1092</v>
      </c>
      <c r="F1282" s="6" t="s">
        <v>103</v>
      </c>
      <c r="G1282" s="7">
        <v>0.1</v>
      </c>
      <c r="H1282" s="6" t="s">
        <v>75</v>
      </c>
      <c r="I1282" s="6" t="s">
        <v>20</v>
      </c>
      <c r="J1282" s="6">
        <v>1995.0</v>
      </c>
      <c r="L1282" s="6">
        <v>2.0</v>
      </c>
      <c r="M1282" s="8">
        <f t="shared" si="1"/>
        <v>0.2</v>
      </c>
      <c r="P1282" s="9"/>
    </row>
    <row r="1283">
      <c r="A1283" s="6" t="s">
        <v>3130</v>
      </c>
      <c r="B1283" s="6" t="s">
        <v>1420</v>
      </c>
      <c r="C1283" s="6" t="s">
        <v>23</v>
      </c>
      <c r="D1283" s="6" t="s">
        <v>2343</v>
      </c>
      <c r="E1283" s="6" t="s">
        <v>223</v>
      </c>
      <c r="F1283" s="6" t="s">
        <v>159</v>
      </c>
      <c r="G1283" s="7">
        <v>0.03</v>
      </c>
      <c r="H1283" s="6" t="s">
        <v>299</v>
      </c>
      <c r="I1283" s="6" t="s">
        <v>20</v>
      </c>
      <c r="J1283" s="6">
        <v>2017.0</v>
      </c>
      <c r="K1283" s="10">
        <v>46082.0</v>
      </c>
      <c r="L1283" s="6">
        <v>3.0</v>
      </c>
      <c r="M1283" s="8">
        <f t="shared" si="1"/>
        <v>0.09</v>
      </c>
      <c r="P1283" s="9"/>
    </row>
    <row r="1284">
      <c r="A1284" s="6" t="s">
        <v>3131</v>
      </c>
      <c r="B1284" s="6" t="s">
        <v>2898</v>
      </c>
      <c r="C1284" s="6" t="s">
        <v>48</v>
      </c>
      <c r="D1284" s="6" t="s">
        <v>3132</v>
      </c>
      <c r="E1284" s="6" t="s">
        <v>30</v>
      </c>
      <c r="F1284" s="6" t="s">
        <v>18</v>
      </c>
      <c r="G1284" s="7">
        <v>0.05</v>
      </c>
      <c r="H1284" s="6" t="s">
        <v>93</v>
      </c>
      <c r="I1284" s="6" t="s">
        <v>20</v>
      </c>
      <c r="J1284" s="6">
        <v>2016.0</v>
      </c>
      <c r="K1284" s="10">
        <v>46023.0</v>
      </c>
      <c r="L1284" s="6">
        <v>1.0</v>
      </c>
      <c r="M1284" s="8">
        <f t="shared" si="1"/>
        <v>0.05</v>
      </c>
      <c r="P1284" s="9"/>
    </row>
    <row r="1285">
      <c r="A1285" s="6" t="s">
        <v>3133</v>
      </c>
      <c r="B1285" s="6" t="s">
        <v>543</v>
      </c>
      <c r="C1285" s="6" t="s">
        <v>23</v>
      </c>
      <c r="D1285" s="6" t="s">
        <v>3134</v>
      </c>
      <c r="E1285" s="6" t="s">
        <v>102</v>
      </c>
      <c r="F1285" s="6" t="s">
        <v>103</v>
      </c>
      <c r="G1285" s="7">
        <v>0.08</v>
      </c>
      <c r="H1285" s="6" t="s">
        <v>75</v>
      </c>
      <c r="I1285" s="6" t="s">
        <v>20</v>
      </c>
      <c r="J1285" s="6">
        <v>1995.0</v>
      </c>
      <c r="L1285" s="6">
        <v>3.0</v>
      </c>
      <c r="M1285" s="8">
        <f t="shared" si="1"/>
        <v>0.24</v>
      </c>
      <c r="P1285" s="9"/>
    </row>
    <row r="1286">
      <c r="A1286" s="6" t="s">
        <v>3135</v>
      </c>
      <c r="B1286" s="6" t="s">
        <v>182</v>
      </c>
      <c r="C1286" s="6" t="s">
        <v>48</v>
      </c>
      <c r="D1286" s="6" t="s">
        <v>3136</v>
      </c>
      <c r="E1286" s="6" t="s">
        <v>196</v>
      </c>
      <c r="F1286" s="6" t="s">
        <v>65</v>
      </c>
      <c r="G1286" s="7">
        <v>1.45</v>
      </c>
      <c r="H1286" s="6" t="s">
        <v>204</v>
      </c>
      <c r="I1286" s="6" t="s">
        <v>55</v>
      </c>
      <c r="J1286" s="6">
        <v>2026.0</v>
      </c>
      <c r="L1286" s="6">
        <v>1.0</v>
      </c>
      <c r="M1286" s="8">
        <f t="shared" si="1"/>
        <v>1.45</v>
      </c>
      <c r="P1286" s="9"/>
    </row>
    <row r="1287">
      <c r="A1287" s="6" t="s">
        <v>3137</v>
      </c>
      <c r="B1287" s="6" t="s">
        <v>182</v>
      </c>
      <c r="C1287" s="6" t="s">
        <v>23</v>
      </c>
      <c r="D1287" s="6" t="s">
        <v>3138</v>
      </c>
      <c r="E1287" s="6" t="s">
        <v>167</v>
      </c>
      <c r="F1287" s="6" t="s">
        <v>103</v>
      </c>
      <c r="G1287" s="7">
        <v>0.13</v>
      </c>
      <c r="H1287" s="6" t="s">
        <v>294</v>
      </c>
      <c r="I1287" s="6" t="s">
        <v>20</v>
      </c>
      <c r="J1287" s="6">
        <v>2010.0</v>
      </c>
      <c r="L1287" s="6">
        <v>2.0</v>
      </c>
      <c r="M1287" s="8">
        <f t="shared" si="1"/>
        <v>0.26</v>
      </c>
      <c r="P1287" s="9"/>
    </row>
    <row r="1288">
      <c r="A1288" s="6" t="s">
        <v>3137</v>
      </c>
      <c r="B1288" s="6" t="s">
        <v>182</v>
      </c>
      <c r="C1288" s="6" t="s">
        <v>23</v>
      </c>
      <c r="D1288" s="6" t="s">
        <v>3138</v>
      </c>
      <c r="E1288" s="6" t="s">
        <v>167</v>
      </c>
      <c r="F1288" s="6" t="s">
        <v>103</v>
      </c>
      <c r="G1288" s="7">
        <v>0.1</v>
      </c>
      <c r="H1288" s="6" t="s">
        <v>154</v>
      </c>
      <c r="I1288" s="6" t="s">
        <v>20</v>
      </c>
      <c r="J1288" s="6">
        <v>2013.0</v>
      </c>
      <c r="L1288" s="6">
        <v>2.0</v>
      </c>
      <c r="M1288" s="8">
        <f t="shared" si="1"/>
        <v>0.2</v>
      </c>
      <c r="P1288" s="9"/>
    </row>
    <row r="1289">
      <c r="A1289" s="6" t="s">
        <v>3139</v>
      </c>
      <c r="B1289" s="6" t="s">
        <v>677</v>
      </c>
      <c r="C1289" s="6" t="s">
        <v>23</v>
      </c>
      <c r="D1289" s="6" t="s">
        <v>3140</v>
      </c>
      <c r="E1289" s="6" t="s">
        <v>1570</v>
      </c>
      <c r="F1289" s="6" t="s">
        <v>159</v>
      </c>
      <c r="G1289" s="7">
        <v>0.09</v>
      </c>
      <c r="H1289" s="6" t="s">
        <v>1246</v>
      </c>
      <c r="I1289" s="6" t="s">
        <v>20</v>
      </c>
      <c r="J1289" s="6">
        <v>2006.0</v>
      </c>
      <c r="K1289" s="10">
        <v>46147.0</v>
      </c>
      <c r="L1289" s="6">
        <v>1.0</v>
      </c>
      <c r="M1289" s="8">
        <f t="shared" si="1"/>
        <v>0.09</v>
      </c>
      <c r="P1289" s="9"/>
    </row>
    <row r="1290">
      <c r="A1290" s="6" t="s">
        <v>3141</v>
      </c>
      <c r="B1290" s="6" t="s">
        <v>3142</v>
      </c>
      <c r="C1290" s="6" t="s">
        <v>23</v>
      </c>
      <c r="D1290" s="6" t="s">
        <v>3143</v>
      </c>
      <c r="E1290" s="6" t="s">
        <v>153</v>
      </c>
      <c r="F1290" s="6" t="s">
        <v>103</v>
      </c>
      <c r="G1290" s="7">
        <v>0.03</v>
      </c>
      <c r="H1290" s="6" t="s">
        <v>875</v>
      </c>
      <c r="I1290" s="6" t="s">
        <v>20</v>
      </c>
      <c r="J1290" s="6">
        <v>2018.0</v>
      </c>
      <c r="K1290" s="10">
        <v>46084.0</v>
      </c>
      <c r="L1290" s="6">
        <v>1.0</v>
      </c>
      <c r="M1290" s="8">
        <f t="shared" si="1"/>
        <v>0.03</v>
      </c>
      <c r="P1290" s="9"/>
    </row>
    <row r="1291">
      <c r="A1291" s="6" t="s">
        <v>3144</v>
      </c>
      <c r="B1291" s="6" t="s">
        <v>3145</v>
      </c>
      <c r="C1291" s="6" t="s">
        <v>521</v>
      </c>
      <c r="D1291" s="6" t="s">
        <v>3146</v>
      </c>
      <c r="E1291" s="6" t="s">
        <v>102</v>
      </c>
      <c r="F1291" s="6" t="s">
        <v>2954</v>
      </c>
      <c r="G1291" s="7">
        <v>0.24</v>
      </c>
      <c r="H1291" s="6" t="s">
        <v>2401</v>
      </c>
      <c r="I1291" s="6" t="s">
        <v>20</v>
      </c>
      <c r="J1291" s="6">
        <v>2018.0</v>
      </c>
      <c r="K1291" s="10">
        <v>46023.0</v>
      </c>
      <c r="L1291" s="6">
        <v>2.0</v>
      </c>
      <c r="M1291" s="8">
        <f t="shared" si="1"/>
        <v>0.48</v>
      </c>
      <c r="P1291" s="9"/>
    </row>
    <row r="1292">
      <c r="A1292" s="6" t="s">
        <v>3147</v>
      </c>
      <c r="B1292" s="6" t="s">
        <v>3148</v>
      </c>
      <c r="C1292" s="6" t="s">
        <v>23</v>
      </c>
      <c r="D1292" s="6" t="s">
        <v>3149</v>
      </c>
      <c r="E1292" s="6" t="s">
        <v>102</v>
      </c>
      <c r="F1292" s="6" t="s">
        <v>103</v>
      </c>
      <c r="G1292" s="7">
        <v>0.2</v>
      </c>
      <c r="H1292" s="6" t="s">
        <v>875</v>
      </c>
      <c r="I1292" s="6" t="s">
        <v>20</v>
      </c>
      <c r="J1292" s="6">
        <v>2018.0</v>
      </c>
      <c r="K1292" s="10">
        <v>46023.0</v>
      </c>
      <c r="L1292" s="6">
        <v>1.0</v>
      </c>
      <c r="M1292" s="8">
        <f t="shared" si="1"/>
        <v>0.2</v>
      </c>
      <c r="P1292" s="9"/>
    </row>
    <row r="1293">
      <c r="A1293" s="6" t="s">
        <v>3150</v>
      </c>
      <c r="B1293" s="6" t="s">
        <v>3151</v>
      </c>
      <c r="C1293" s="6" t="s">
        <v>48</v>
      </c>
      <c r="D1293" s="6" t="s">
        <v>3152</v>
      </c>
      <c r="E1293" s="6" t="s">
        <v>3153</v>
      </c>
      <c r="F1293" s="6" t="s">
        <v>103</v>
      </c>
      <c r="G1293" s="7">
        <v>0.15</v>
      </c>
      <c r="H1293" s="6" t="s">
        <v>978</v>
      </c>
      <c r="I1293" s="6" t="s">
        <v>20</v>
      </c>
      <c r="J1293" s="6">
        <v>2022.0</v>
      </c>
      <c r="K1293" s="10">
        <v>46117.0</v>
      </c>
      <c r="L1293" s="6">
        <v>1.0</v>
      </c>
      <c r="M1293" s="8">
        <f t="shared" si="1"/>
        <v>0.15</v>
      </c>
      <c r="P1293" s="9"/>
    </row>
    <row r="1294">
      <c r="A1294" s="6" t="s">
        <v>3150</v>
      </c>
      <c r="B1294" s="6" t="s">
        <v>3151</v>
      </c>
      <c r="C1294" s="6" t="s">
        <v>48</v>
      </c>
      <c r="D1294" s="6" t="s">
        <v>3152</v>
      </c>
      <c r="E1294" s="6" t="s">
        <v>3153</v>
      </c>
      <c r="F1294" s="6" t="s">
        <v>103</v>
      </c>
      <c r="G1294" s="7">
        <v>0.15</v>
      </c>
      <c r="H1294" s="6" t="s">
        <v>978</v>
      </c>
      <c r="I1294" s="6" t="s">
        <v>20</v>
      </c>
      <c r="J1294" s="6">
        <v>2022.0</v>
      </c>
      <c r="K1294" s="10">
        <v>46117.0</v>
      </c>
      <c r="L1294" s="6">
        <v>1.0</v>
      </c>
      <c r="M1294" s="8">
        <f t="shared" si="1"/>
        <v>0.15</v>
      </c>
      <c r="P1294" s="9"/>
    </row>
    <row r="1295">
      <c r="A1295" s="6" t="s">
        <v>3154</v>
      </c>
      <c r="B1295" s="6" t="s">
        <v>291</v>
      </c>
      <c r="C1295" s="6" t="s">
        <v>48</v>
      </c>
      <c r="D1295" s="6" t="s">
        <v>3155</v>
      </c>
      <c r="E1295" s="6" t="s">
        <v>2909</v>
      </c>
      <c r="F1295" s="6" t="s">
        <v>717</v>
      </c>
      <c r="G1295" s="7">
        <v>1.55</v>
      </c>
      <c r="H1295" s="6" t="s">
        <v>88</v>
      </c>
      <c r="I1295" s="6" t="s">
        <v>20</v>
      </c>
      <c r="J1295" s="6">
        <v>2013.0</v>
      </c>
      <c r="K1295" s="10">
        <v>46055.0</v>
      </c>
      <c r="L1295" s="6">
        <v>1.0</v>
      </c>
      <c r="M1295" s="8">
        <f t="shared" si="1"/>
        <v>1.55</v>
      </c>
      <c r="N1295" s="6" t="s">
        <v>172</v>
      </c>
      <c r="P1295" s="9"/>
    </row>
    <row r="1296">
      <c r="A1296" s="6" t="s">
        <v>3156</v>
      </c>
      <c r="B1296" s="6" t="s">
        <v>2898</v>
      </c>
      <c r="C1296" s="6" t="s">
        <v>23</v>
      </c>
      <c r="E1296" s="6" t="s">
        <v>50</v>
      </c>
      <c r="F1296" s="6" t="s">
        <v>51</v>
      </c>
      <c r="G1296" s="7">
        <v>0.03</v>
      </c>
      <c r="H1296" s="6" t="s">
        <v>265</v>
      </c>
      <c r="I1296" s="6" t="s">
        <v>20</v>
      </c>
      <c r="J1296" s="6">
        <v>2017.0</v>
      </c>
      <c r="K1296" s="10">
        <v>46144.0</v>
      </c>
      <c r="L1296" s="6">
        <v>2.0</v>
      </c>
      <c r="M1296" s="8">
        <f t="shared" si="1"/>
        <v>0.06</v>
      </c>
      <c r="P1296" s="9"/>
    </row>
    <row r="1297">
      <c r="A1297" s="6" t="s">
        <v>3157</v>
      </c>
      <c r="B1297" s="6" t="s">
        <v>3158</v>
      </c>
      <c r="C1297" s="6" t="s">
        <v>84</v>
      </c>
      <c r="D1297" s="6" t="s">
        <v>3159</v>
      </c>
      <c r="E1297" s="6" t="s">
        <v>112</v>
      </c>
      <c r="F1297" s="6" t="s">
        <v>65</v>
      </c>
      <c r="G1297" s="7">
        <v>26.9</v>
      </c>
      <c r="H1297" s="6" t="s">
        <v>632</v>
      </c>
      <c r="I1297" s="6" t="s">
        <v>20</v>
      </c>
      <c r="J1297" s="6">
        <v>2002.0</v>
      </c>
      <c r="K1297" s="10">
        <v>46023.0</v>
      </c>
      <c r="L1297" s="6">
        <v>1.0</v>
      </c>
      <c r="M1297" s="8">
        <f t="shared" si="1"/>
        <v>26.9</v>
      </c>
      <c r="P1297" s="9"/>
    </row>
    <row r="1298">
      <c r="A1298" s="6" t="s">
        <v>3160</v>
      </c>
      <c r="B1298" s="6" t="s">
        <v>3161</v>
      </c>
      <c r="C1298" s="6" t="s">
        <v>34</v>
      </c>
      <c r="D1298" s="6" t="s">
        <v>3162</v>
      </c>
      <c r="E1298" s="6" t="s">
        <v>3163</v>
      </c>
      <c r="F1298" s="6" t="s">
        <v>51</v>
      </c>
      <c r="G1298" s="7">
        <v>0.2</v>
      </c>
      <c r="H1298" s="6" t="s">
        <v>3164</v>
      </c>
      <c r="I1298" s="6" t="s">
        <v>55</v>
      </c>
      <c r="J1298" s="6">
        <v>2025.0</v>
      </c>
      <c r="K1298" s="10">
        <v>46024.0</v>
      </c>
      <c r="L1298" s="6">
        <v>1.0</v>
      </c>
      <c r="M1298" s="8">
        <f t="shared" si="1"/>
        <v>0.2</v>
      </c>
      <c r="P1298" s="9"/>
    </row>
    <row r="1299">
      <c r="A1299" s="6" t="s">
        <v>3160</v>
      </c>
      <c r="B1299" s="6" t="s">
        <v>3161</v>
      </c>
      <c r="C1299" s="6" t="s">
        <v>34</v>
      </c>
      <c r="D1299" s="6" t="s">
        <v>3162</v>
      </c>
      <c r="E1299" s="6" t="s">
        <v>3163</v>
      </c>
      <c r="F1299" s="6" t="s">
        <v>51</v>
      </c>
      <c r="G1299" s="7">
        <v>0.05</v>
      </c>
      <c r="H1299" s="6" t="s">
        <v>3164</v>
      </c>
      <c r="I1299" s="6" t="s">
        <v>20</v>
      </c>
      <c r="J1299" s="6">
        <v>2025.0</v>
      </c>
      <c r="K1299" s="10">
        <v>46024.0</v>
      </c>
      <c r="L1299" s="6">
        <v>12.0</v>
      </c>
      <c r="M1299" s="8">
        <f t="shared" si="1"/>
        <v>0.6</v>
      </c>
      <c r="P1299" s="9"/>
    </row>
    <row r="1300">
      <c r="A1300" s="6" t="s">
        <v>3165</v>
      </c>
      <c r="B1300" s="6" t="s">
        <v>68</v>
      </c>
      <c r="C1300" s="6" t="s">
        <v>41</v>
      </c>
      <c r="D1300" s="6" t="s">
        <v>3166</v>
      </c>
      <c r="F1300" s="6" t="s">
        <v>65</v>
      </c>
      <c r="G1300" s="7">
        <v>3.39</v>
      </c>
      <c r="H1300" s="6" t="s">
        <v>3167</v>
      </c>
      <c r="I1300" s="6" t="s">
        <v>20</v>
      </c>
      <c r="J1300" s="6">
        <v>1997.0</v>
      </c>
      <c r="L1300" s="6">
        <v>1.0</v>
      </c>
      <c r="M1300" s="8">
        <f t="shared" si="1"/>
        <v>3.39</v>
      </c>
      <c r="N1300" s="6" t="s">
        <v>172</v>
      </c>
      <c r="P1300" s="9"/>
    </row>
    <row r="1301">
      <c r="A1301" s="6" t="s">
        <v>3168</v>
      </c>
      <c r="B1301" s="6" t="s">
        <v>3161</v>
      </c>
      <c r="C1301" s="6" t="s">
        <v>48</v>
      </c>
      <c r="D1301" s="6" t="s">
        <v>3169</v>
      </c>
      <c r="E1301" s="6" t="s">
        <v>3170</v>
      </c>
      <c r="F1301" s="6" t="s">
        <v>65</v>
      </c>
      <c r="G1301" s="7">
        <v>0.45</v>
      </c>
      <c r="H1301" s="6" t="s">
        <v>252</v>
      </c>
      <c r="I1301" s="6" t="s">
        <v>20</v>
      </c>
      <c r="J1301" s="6">
        <v>1994.0</v>
      </c>
      <c r="K1301" s="10">
        <v>46054.0</v>
      </c>
      <c r="L1301" s="6">
        <v>1.0</v>
      </c>
      <c r="M1301" s="8">
        <f t="shared" si="1"/>
        <v>0.45</v>
      </c>
      <c r="P1301" s="9"/>
    </row>
    <row r="1302">
      <c r="A1302" s="6" t="s">
        <v>3171</v>
      </c>
      <c r="B1302" s="6" t="s">
        <v>3161</v>
      </c>
      <c r="C1302" s="6" t="s">
        <v>23</v>
      </c>
      <c r="D1302" s="6" t="s">
        <v>3172</v>
      </c>
      <c r="E1302" s="6" t="s">
        <v>112</v>
      </c>
      <c r="F1302" s="6" t="s">
        <v>65</v>
      </c>
      <c r="G1302" s="7">
        <v>0.2</v>
      </c>
      <c r="H1302" s="6" t="s">
        <v>252</v>
      </c>
      <c r="I1302" s="6" t="s">
        <v>20</v>
      </c>
      <c r="J1302" s="6">
        <v>1994.0</v>
      </c>
      <c r="K1302" s="10">
        <v>46024.0</v>
      </c>
      <c r="L1302" s="6">
        <v>1.0</v>
      </c>
      <c r="M1302" s="8">
        <f t="shared" si="1"/>
        <v>0.2</v>
      </c>
      <c r="P1302" s="9"/>
    </row>
    <row r="1303">
      <c r="A1303" s="6" t="s">
        <v>3173</v>
      </c>
      <c r="B1303" s="6" t="s">
        <v>3174</v>
      </c>
      <c r="C1303" s="6" t="s">
        <v>23</v>
      </c>
      <c r="E1303" s="6" t="s">
        <v>196</v>
      </c>
      <c r="F1303" s="6" t="s">
        <v>65</v>
      </c>
      <c r="G1303" s="7">
        <v>0.09</v>
      </c>
      <c r="H1303" s="6" t="s">
        <v>75</v>
      </c>
      <c r="I1303" s="6" t="s">
        <v>20</v>
      </c>
      <c r="J1303" s="6">
        <v>1995.0</v>
      </c>
      <c r="K1303" s="10">
        <v>46023.0</v>
      </c>
      <c r="L1303" s="6">
        <v>3.0</v>
      </c>
      <c r="M1303" s="8">
        <f t="shared" si="1"/>
        <v>0.27</v>
      </c>
      <c r="P1303" s="9"/>
    </row>
    <row r="1304">
      <c r="A1304" s="6" t="s">
        <v>3175</v>
      </c>
      <c r="B1304" s="6" t="s">
        <v>2522</v>
      </c>
      <c r="C1304" s="6" t="s">
        <v>521</v>
      </c>
      <c r="D1304" s="6" t="s">
        <v>3176</v>
      </c>
      <c r="E1304" s="6" t="s">
        <v>223</v>
      </c>
      <c r="F1304" s="6" t="s">
        <v>159</v>
      </c>
      <c r="G1304" s="7">
        <v>0.14</v>
      </c>
      <c r="H1304" s="6" t="s">
        <v>113</v>
      </c>
      <c r="I1304" s="6" t="s">
        <v>20</v>
      </c>
      <c r="J1304" s="6">
        <v>2024.0</v>
      </c>
      <c r="K1304" s="10">
        <v>46055.0</v>
      </c>
      <c r="L1304" s="6">
        <v>1.0</v>
      </c>
      <c r="M1304" s="8">
        <f t="shared" si="1"/>
        <v>0.14</v>
      </c>
      <c r="P1304" s="9"/>
    </row>
    <row r="1305">
      <c r="A1305" s="6" t="s">
        <v>3177</v>
      </c>
      <c r="B1305" s="6" t="s">
        <v>3178</v>
      </c>
      <c r="C1305" s="6" t="s">
        <v>48</v>
      </c>
      <c r="D1305" s="6" t="s">
        <v>3179</v>
      </c>
      <c r="E1305" s="6" t="s">
        <v>223</v>
      </c>
      <c r="F1305" s="6" t="s">
        <v>159</v>
      </c>
      <c r="G1305" s="7">
        <v>0.4</v>
      </c>
      <c r="H1305" s="6" t="s">
        <v>1933</v>
      </c>
      <c r="I1305" s="6" t="s">
        <v>20</v>
      </c>
      <c r="J1305" s="6">
        <v>2020.0</v>
      </c>
      <c r="K1305" s="10">
        <v>46055.0</v>
      </c>
      <c r="L1305" s="6">
        <v>1.0</v>
      </c>
      <c r="M1305" s="8">
        <f t="shared" si="1"/>
        <v>0.4</v>
      </c>
      <c r="P1305" s="9"/>
    </row>
    <row r="1306">
      <c r="A1306" s="6" t="s">
        <v>3180</v>
      </c>
      <c r="B1306" s="6" t="s">
        <v>3181</v>
      </c>
      <c r="C1306" s="6" t="s">
        <v>23</v>
      </c>
      <c r="D1306" s="6" t="s">
        <v>3182</v>
      </c>
      <c r="E1306" s="6" t="s">
        <v>196</v>
      </c>
      <c r="F1306" s="6" t="s">
        <v>65</v>
      </c>
      <c r="G1306" s="7">
        <v>0.1</v>
      </c>
      <c r="H1306" s="6" t="s">
        <v>324</v>
      </c>
      <c r="I1306" s="6" t="s">
        <v>20</v>
      </c>
      <c r="J1306" s="6">
        <v>2025.0</v>
      </c>
      <c r="K1306" s="10">
        <v>46023.0</v>
      </c>
      <c r="L1306" s="6">
        <v>1.0</v>
      </c>
      <c r="M1306" s="8">
        <f t="shared" si="1"/>
        <v>0.1</v>
      </c>
      <c r="P1306" s="9"/>
    </row>
    <row r="1307">
      <c r="A1307" s="6" t="s">
        <v>3183</v>
      </c>
      <c r="B1307" s="6" t="s">
        <v>3184</v>
      </c>
      <c r="C1307" s="6" t="s">
        <v>34</v>
      </c>
      <c r="D1307" s="6" t="s">
        <v>3185</v>
      </c>
      <c r="E1307" s="6" t="s">
        <v>279</v>
      </c>
      <c r="F1307" s="6" t="s">
        <v>51</v>
      </c>
      <c r="G1307" s="7">
        <v>0.05</v>
      </c>
      <c r="H1307" s="6" t="s">
        <v>807</v>
      </c>
      <c r="I1307" s="6" t="s">
        <v>20</v>
      </c>
      <c r="J1307" s="6">
        <v>2026.0</v>
      </c>
      <c r="K1307" s="10">
        <v>46084.0</v>
      </c>
      <c r="L1307" s="6">
        <v>1.0</v>
      </c>
      <c r="M1307" s="8">
        <f t="shared" si="1"/>
        <v>0.05</v>
      </c>
      <c r="P1307" s="9"/>
    </row>
    <row r="1308">
      <c r="A1308" s="6" t="s">
        <v>3183</v>
      </c>
      <c r="B1308" s="6" t="s">
        <v>3184</v>
      </c>
      <c r="C1308" s="6" t="s">
        <v>34</v>
      </c>
      <c r="D1308" s="6" t="s">
        <v>3185</v>
      </c>
      <c r="E1308" s="6" t="s">
        <v>279</v>
      </c>
      <c r="F1308" s="6" t="s">
        <v>51</v>
      </c>
      <c r="G1308" s="7">
        <v>0.25</v>
      </c>
      <c r="H1308" s="6" t="s">
        <v>807</v>
      </c>
      <c r="I1308" s="6" t="s">
        <v>55</v>
      </c>
      <c r="J1308" s="6">
        <v>2026.0</v>
      </c>
      <c r="K1308" s="10">
        <v>46084.0</v>
      </c>
      <c r="L1308" s="6">
        <v>1.0</v>
      </c>
      <c r="M1308" s="8">
        <f t="shared" si="1"/>
        <v>0.25</v>
      </c>
      <c r="P1308" s="9"/>
    </row>
    <row r="1309">
      <c r="A1309" s="6" t="s">
        <v>3186</v>
      </c>
      <c r="B1309" s="6" t="s">
        <v>628</v>
      </c>
      <c r="C1309" s="6" t="s">
        <v>23</v>
      </c>
      <c r="D1309" s="6" t="s">
        <v>447</v>
      </c>
      <c r="E1309" s="6" t="s">
        <v>79</v>
      </c>
      <c r="F1309" s="6" t="s">
        <v>51</v>
      </c>
      <c r="G1309" s="7">
        <v>0.03</v>
      </c>
      <c r="H1309" s="6" t="s">
        <v>359</v>
      </c>
      <c r="I1309" s="6" t="s">
        <v>20</v>
      </c>
      <c r="J1309" s="6">
        <v>2014.0</v>
      </c>
      <c r="K1309" s="10">
        <v>46024.0</v>
      </c>
      <c r="L1309" s="6">
        <v>3.0</v>
      </c>
      <c r="M1309" s="8">
        <f t="shared" si="1"/>
        <v>0.09</v>
      </c>
      <c r="P1309" s="9"/>
    </row>
    <row r="1310">
      <c r="A1310" s="6" t="s">
        <v>3187</v>
      </c>
      <c r="B1310" s="6" t="s">
        <v>909</v>
      </c>
      <c r="C1310" s="6" t="s">
        <v>23</v>
      </c>
      <c r="D1310" s="6" t="s">
        <v>3188</v>
      </c>
      <c r="E1310" s="6" t="s">
        <v>721</v>
      </c>
      <c r="F1310" s="6" t="s">
        <v>51</v>
      </c>
      <c r="G1310" s="7">
        <v>0.61</v>
      </c>
      <c r="H1310" s="6" t="s">
        <v>19</v>
      </c>
      <c r="I1310" s="6" t="s">
        <v>20</v>
      </c>
      <c r="J1310" s="6">
        <v>2023.0</v>
      </c>
      <c r="K1310" s="10">
        <v>46084.0</v>
      </c>
      <c r="L1310" s="6">
        <v>2.0</v>
      </c>
      <c r="M1310" s="8">
        <f t="shared" si="1"/>
        <v>1.22</v>
      </c>
      <c r="P1310" s="9"/>
    </row>
    <row r="1311">
      <c r="A1311" s="6" t="s">
        <v>3189</v>
      </c>
      <c r="B1311" s="6" t="s">
        <v>326</v>
      </c>
      <c r="C1311" s="6" t="s">
        <v>48</v>
      </c>
      <c r="E1311" s="6" t="s">
        <v>2129</v>
      </c>
      <c r="F1311" s="6" t="s">
        <v>65</v>
      </c>
      <c r="G1311" s="7">
        <v>0.05</v>
      </c>
      <c r="H1311" s="6" t="s">
        <v>3190</v>
      </c>
      <c r="I1311" s="6" t="s">
        <v>20</v>
      </c>
      <c r="J1311" s="6">
        <v>2007.0</v>
      </c>
      <c r="K1311" s="10">
        <v>46146.0</v>
      </c>
      <c r="L1311" s="6">
        <v>1.0</v>
      </c>
      <c r="M1311" s="8">
        <f t="shared" si="1"/>
        <v>0.05</v>
      </c>
      <c r="P1311" s="9"/>
    </row>
    <row r="1312">
      <c r="A1312" s="6" t="s">
        <v>3189</v>
      </c>
      <c r="B1312" s="6" t="s">
        <v>326</v>
      </c>
      <c r="C1312" s="6" t="s">
        <v>48</v>
      </c>
      <c r="E1312" s="6" t="s">
        <v>2129</v>
      </c>
      <c r="F1312" s="6" t="s">
        <v>65</v>
      </c>
      <c r="G1312" s="7">
        <v>0.05</v>
      </c>
      <c r="H1312" s="6" t="s">
        <v>119</v>
      </c>
      <c r="I1312" s="6" t="s">
        <v>20</v>
      </c>
      <c r="J1312" s="6">
        <v>1995.0</v>
      </c>
      <c r="K1312" s="10">
        <v>46146.0</v>
      </c>
      <c r="L1312" s="6">
        <v>2.0</v>
      </c>
      <c r="M1312" s="8">
        <f t="shared" si="1"/>
        <v>0.1</v>
      </c>
      <c r="P1312" s="9"/>
    </row>
    <row r="1313">
      <c r="A1313" s="6" t="s">
        <v>3191</v>
      </c>
      <c r="B1313" s="6" t="s">
        <v>3192</v>
      </c>
      <c r="C1313" s="6" t="s">
        <v>48</v>
      </c>
      <c r="D1313" s="6" t="s">
        <v>3193</v>
      </c>
      <c r="E1313" s="6" t="s">
        <v>298</v>
      </c>
      <c r="F1313" s="6" t="s">
        <v>159</v>
      </c>
      <c r="G1313" s="7">
        <v>0.15</v>
      </c>
      <c r="H1313" s="6" t="s">
        <v>45</v>
      </c>
      <c r="I1313" s="6" t="s">
        <v>20</v>
      </c>
      <c r="J1313" s="6">
        <v>2025.0</v>
      </c>
      <c r="K1313" s="10">
        <v>46055.0</v>
      </c>
      <c r="L1313" s="6">
        <v>1.0</v>
      </c>
      <c r="M1313" s="8">
        <f t="shared" si="1"/>
        <v>0.15</v>
      </c>
      <c r="P1313" s="9"/>
    </row>
    <row r="1314">
      <c r="A1314" s="6" t="s">
        <v>3194</v>
      </c>
      <c r="B1314" s="6" t="s">
        <v>729</v>
      </c>
      <c r="C1314" s="6" t="s">
        <v>23</v>
      </c>
      <c r="D1314" s="6" t="s">
        <v>3195</v>
      </c>
      <c r="E1314" s="6" t="s">
        <v>3196</v>
      </c>
      <c r="F1314" s="6" t="s">
        <v>874</v>
      </c>
      <c r="G1314" s="7">
        <v>0.04</v>
      </c>
      <c r="H1314" s="6" t="s">
        <v>45</v>
      </c>
      <c r="I1314" s="6" t="s">
        <v>20</v>
      </c>
      <c r="J1314" s="6">
        <v>2025.0</v>
      </c>
      <c r="K1314" s="10">
        <v>46115.0</v>
      </c>
      <c r="L1314" s="6">
        <v>3.0</v>
      </c>
      <c r="M1314" s="8">
        <f t="shared" si="1"/>
        <v>0.12</v>
      </c>
      <c r="P1314" s="9"/>
    </row>
    <row r="1315">
      <c r="A1315" s="6" t="s">
        <v>3197</v>
      </c>
      <c r="B1315" s="6" t="s">
        <v>543</v>
      </c>
      <c r="C1315" s="6" t="s">
        <v>48</v>
      </c>
      <c r="D1315" s="6" t="s">
        <v>3198</v>
      </c>
      <c r="E1315" s="6" t="s">
        <v>298</v>
      </c>
      <c r="F1315" s="6" t="s">
        <v>159</v>
      </c>
      <c r="G1315" s="7">
        <v>0.03</v>
      </c>
      <c r="H1315" s="6" t="s">
        <v>45</v>
      </c>
      <c r="I1315" s="6" t="s">
        <v>20</v>
      </c>
      <c r="J1315" s="6">
        <v>2025.0</v>
      </c>
      <c r="L1315" s="6">
        <v>2.0</v>
      </c>
      <c r="M1315" s="8">
        <f t="shared" si="1"/>
        <v>0.06</v>
      </c>
      <c r="P1315" s="9"/>
    </row>
    <row r="1316">
      <c r="A1316" s="6" t="s">
        <v>3199</v>
      </c>
      <c r="B1316" s="6" t="s">
        <v>3200</v>
      </c>
      <c r="C1316" s="6" t="s">
        <v>287</v>
      </c>
      <c r="D1316" s="6" t="s">
        <v>3201</v>
      </c>
      <c r="E1316" s="6" t="s">
        <v>3202</v>
      </c>
      <c r="F1316" s="6" t="s">
        <v>3203</v>
      </c>
      <c r="G1316" s="7">
        <v>0.04</v>
      </c>
      <c r="H1316" s="6" t="s">
        <v>45</v>
      </c>
      <c r="I1316" s="6" t="s">
        <v>20</v>
      </c>
      <c r="J1316" s="6">
        <v>2025.0</v>
      </c>
      <c r="K1316" s="10">
        <v>46115.0</v>
      </c>
      <c r="L1316" s="6">
        <v>1.0</v>
      </c>
      <c r="M1316" s="8">
        <f t="shared" si="1"/>
        <v>0.04</v>
      </c>
      <c r="P1316" s="9"/>
    </row>
    <row r="1317">
      <c r="A1317" s="6" t="s">
        <v>3204</v>
      </c>
      <c r="B1317" s="6" t="s">
        <v>3205</v>
      </c>
      <c r="C1317" s="6" t="s">
        <v>23</v>
      </c>
      <c r="D1317" s="6" t="s">
        <v>3206</v>
      </c>
      <c r="E1317" s="6" t="s">
        <v>3207</v>
      </c>
      <c r="F1317" s="6" t="s">
        <v>215</v>
      </c>
      <c r="G1317" s="7">
        <v>0.05</v>
      </c>
      <c r="H1317" s="6" t="s">
        <v>45</v>
      </c>
      <c r="I1317" s="6" t="s">
        <v>20</v>
      </c>
      <c r="J1317" s="6">
        <v>2025.0</v>
      </c>
      <c r="K1317" s="10">
        <v>46025.0</v>
      </c>
      <c r="L1317" s="6">
        <v>5.0</v>
      </c>
      <c r="M1317" s="8">
        <f t="shared" si="1"/>
        <v>0.25</v>
      </c>
      <c r="P1317" s="9"/>
    </row>
    <row r="1318">
      <c r="A1318" s="6" t="s">
        <v>3204</v>
      </c>
      <c r="B1318" s="6" t="s">
        <v>3205</v>
      </c>
      <c r="C1318" s="6" t="s">
        <v>23</v>
      </c>
      <c r="D1318" s="6" t="s">
        <v>3206</v>
      </c>
      <c r="E1318" s="6" t="s">
        <v>3207</v>
      </c>
      <c r="F1318" s="6" t="s">
        <v>215</v>
      </c>
      <c r="G1318" s="7">
        <v>0.25</v>
      </c>
      <c r="H1318" s="6" t="s">
        <v>45</v>
      </c>
      <c r="I1318" s="6" t="s">
        <v>55</v>
      </c>
      <c r="J1318" s="6">
        <v>2025.0</v>
      </c>
      <c r="K1318" s="10">
        <v>46025.0</v>
      </c>
      <c r="L1318" s="6">
        <v>1.0</v>
      </c>
      <c r="M1318" s="8">
        <f t="shared" si="1"/>
        <v>0.25</v>
      </c>
      <c r="P1318" s="9"/>
    </row>
    <row r="1319">
      <c r="A1319" s="6" t="s">
        <v>3208</v>
      </c>
      <c r="B1319" s="6" t="s">
        <v>592</v>
      </c>
      <c r="C1319" s="6" t="s">
        <v>41</v>
      </c>
      <c r="D1319" s="6" t="s">
        <v>3209</v>
      </c>
      <c r="E1319" s="6" t="s">
        <v>270</v>
      </c>
      <c r="F1319" s="6" t="s">
        <v>159</v>
      </c>
      <c r="G1319" s="7">
        <v>19.19</v>
      </c>
      <c r="H1319" s="6" t="s">
        <v>45</v>
      </c>
      <c r="I1319" s="6" t="s">
        <v>20</v>
      </c>
      <c r="J1319" s="6">
        <v>2025.0</v>
      </c>
      <c r="L1319" s="6">
        <v>1.0</v>
      </c>
      <c r="M1319" s="8">
        <f t="shared" si="1"/>
        <v>19.19</v>
      </c>
      <c r="P1319" s="9"/>
    </row>
    <row r="1320">
      <c r="A1320" s="6" t="s">
        <v>3210</v>
      </c>
      <c r="B1320" s="6" t="s">
        <v>3211</v>
      </c>
      <c r="C1320" s="6" t="s">
        <v>23</v>
      </c>
      <c r="D1320" s="6" t="s">
        <v>3212</v>
      </c>
      <c r="E1320" s="6" t="s">
        <v>50</v>
      </c>
      <c r="F1320" s="6" t="s">
        <v>51</v>
      </c>
      <c r="G1320" s="7">
        <v>0.1</v>
      </c>
      <c r="H1320" s="6" t="s">
        <v>192</v>
      </c>
      <c r="I1320" s="6" t="s">
        <v>20</v>
      </c>
      <c r="J1320" s="6">
        <v>2026.0</v>
      </c>
      <c r="K1320" s="10">
        <v>46114.0</v>
      </c>
      <c r="L1320" s="6">
        <v>4.0</v>
      </c>
      <c r="M1320" s="8">
        <f t="shared" si="1"/>
        <v>0.4</v>
      </c>
      <c r="P1320" s="9"/>
    </row>
    <row r="1321">
      <c r="A1321" s="6" t="s">
        <v>3210</v>
      </c>
      <c r="B1321" s="6" t="s">
        <v>3211</v>
      </c>
      <c r="C1321" s="6" t="s">
        <v>23</v>
      </c>
      <c r="D1321" s="6" t="s">
        <v>3212</v>
      </c>
      <c r="E1321" s="6" t="s">
        <v>50</v>
      </c>
      <c r="F1321" s="6" t="s">
        <v>51</v>
      </c>
      <c r="G1321" s="7">
        <v>0.2</v>
      </c>
      <c r="H1321" s="6" t="s">
        <v>192</v>
      </c>
      <c r="I1321" s="6" t="s">
        <v>55</v>
      </c>
      <c r="J1321" s="6">
        <v>2026.0</v>
      </c>
      <c r="K1321" s="10">
        <v>46114.0</v>
      </c>
      <c r="L1321" s="6">
        <v>2.0</v>
      </c>
      <c r="M1321" s="8">
        <f t="shared" si="1"/>
        <v>0.4</v>
      </c>
      <c r="P1321" s="9"/>
    </row>
    <row r="1322">
      <c r="A1322" s="6" t="s">
        <v>3210</v>
      </c>
      <c r="B1322" s="6" t="s">
        <v>3211</v>
      </c>
      <c r="C1322" s="6" t="s">
        <v>23</v>
      </c>
      <c r="D1322" s="6" t="s">
        <v>3212</v>
      </c>
      <c r="E1322" s="6" t="s">
        <v>50</v>
      </c>
      <c r="F1322" s="6" t="s">
        <v>51</v>
      </c>
      <c r="G1322" s="7">
        <v>0.1</v>
      </c>
      <c r="H1322" s="6" t="s">
        <v>192</v>
      </c>
      <c r="I1322" s="6" t="s">
        <v>20</v>
      </c>
      <c r="J1322" s="6">
        <v>2026.0</v>
      </c>
      <c r="K1322" s="10">
        <v>46114.0</v>
      </c>
      <c r="L1322" s="6">
        <v>3.0</v>
      </c>
      <c r="M1322" s="8">
        <f t="shared" si="1"/>
        <v>0.3</v>
      </c>
      <c r="P1322" s="9"/>
    </row>
    <row r="1323">
      <c r="A1323" s="6" t="s">
        <v>3213</v>
      </c>
      <c r="B1323" s="6" t="s">
        <v>182</v>
      </c>
      <c r="C1323" s="6" t="s">
        <v>23</v>
      </c>
      <c r="D1323" s="6" t="s">
        <v>3214</v>
      </c>
      <c r="E1323" s="6" t="s">
        <v>167</v>
      </c>
      <c r="F1323" s="6" t="s">
        <v>103</v>
      </c>
      <c r="G1323" s="7">
        <v>0.1</v>
      </c>
      <c r="H1323" s="6" t="s">
        <v>113</v>
      </c>
      <c r="I1323" s="6" t="s">
        <v>20</v>
      </c>
      <c r="J1323" s="6">
        <v>2024.0</v>
      </c>
      <c r="L1323" s="6">
        <v>1.0</v>
      </c>
      <c r="M1323" s="8">
        <f t="shared" si="1"/>
        <v>0.1</v>
      </c>
      <c r="P1323" s="9"/>
    </row>
    <row r="1324">
      <c r="A1324" s="6" t="s">
        <v>3215</v>
      </c>
      <c r="B1324" s="6" t="s">
        <v>372</v>
      </c>
      <c r="C1324" s="6" t="s">
        <v>48</v>
      </c>
      <c r="D1324" s="6" t="s">
        <v>3216</v>
      </c>
      <c r="E1324" s="6" t="s">
        <v>149</v>
      </c>
      <c r="F1324" s="6" t="s">
        <v>18</v>
      </c>
      <c r="G1324" s="7">
        <v>0.25</v>
      </c>
      <c r="H1324" s="6" t="s">
        <v>769</v>
      </c>
      <c r="I1324" s="6" t="s">
        <v>20</v>
      </c>
      <c r="J1324" s="6">
        <v>2023.0</v>
      </c>
      <c r="L1324" s="6">
        <v>1.0</v>
      </c>
      <c r="M1324" s="8">
        <f t="shared" si="1"/>
        <v>0.25</v>
      </c>
      <c r="P1324" s="9"/>
    </row>
    <row r="1325">
      <c r="A1325" s="6" t="s">
        <v>3217</v>
      </c>
      <c r="B1325" s="6" t="s">
        <v>194</v>
      </c>
      <c r="C1325" s="6" t="s">
        <v>23</v>
      </c>
      <c r="D1325" s="6" t="s">
        <v>3218</v>
      </c>
      <c r="E1325" s="6" t="s">
        <v>167</v>
      </c>
      <c r="F1325" s="6" t="s">
        <v>103</v>
      </c>
      <c r="G1325" s="7">
        <v>0.2</v>
      </c>
      <c r="H1325" s="6" t="s">
        <v>370</v>
      </c>
      <c r="I1325" s="6" t="s">
        <v>20</v>
      </c>
      <c r="J1325" s="6">
        <v>1996.0</v>
      </c>
      <c r="L1325" s="6">
        <v>1.0</v>
      </c>
      <c r="M1325" s="8">
        <f t="shared" si="1"/>
        <v>0.2</v>
      </c>
      <c r="P1325" s="9"/>
    </row>
    <row r="1326">
      <c r="A1326" s="6" t="s">
        <v>3219</v>
      </c>
      <c r="B1326" s="6" t="s">
        <v>250</v>
      </c>
      <c r="C1326" s="6" t="s">
        <v>41</v>
      </c>
      <c r="D1326" s="6" t="s">
        <v>3220</v>
      </c>
      <c r="E1326" s="6" t="s">
        <v>243</v>
      </c>
      <c r="F1326" s="6" t="s">
        <v>37</v>
      </c>
      <c r="G1326" s="7">
        <v>1.75</v>
      </c>
      <c r="H1326" s="6" t="s">
        <v>459</v>
      </c>
      <c r="I1326" s="6" t="s">
        <v>20</v>
      </c>
      <c r="J1326" s="6">
        <v>1995.0</v>
      </c>
      <c r="L1326" s="6">
        <v>2.0</v>
      </c>
      <c r="M1326" s="8">
        <f t="shared" si="1"/>
        <v>3.5</v>
      </c>
      <c r="N1326" s="6" t="s">
        <v>172</v>
      </c>
      <c r="P1326" s="9"/>
    </row>
    <row r="1327">
      <c r="A1327" s="6" t="s">
        <v>3221</v>
      </c>
      <c r="B1327" s="6" t="s">
        <v>3222</v>
      </c>
      <c r="C1327" s="6" t="s">
        <v>23</v>
      </c>
      <c r="D1327" s="6" t="s">
        <v>3223</v>
      </c>
      <c r="E1327" s="6" t="s">
        <v>2235</v>
      </c>
      <c r="F1327" s="6" t="s">
        <v>37</v>
      </c>
      <c r="G1327" s="7">
        <v>0.1</v>
      </c>
      <c r="H1327" s="6" t="s">
        <v>75</v>
      </c>
      <c r="I1327" s="6" t="s">
        <v>20</v>
      </c>
      <c r="J1327" s="6">
        <v>1995.0</v>
      </c>
      <c r="K1327" s="10">
        <v>46146.0</v>
      </c>
      <c r="L1327" s="6">
        <v>1.0</v>
      </c>
      <c r="M1327" s="8">
        <f t="shared" si="1"/>
        <v>0.1</v>
      </c>
      <c r="P1327" s="9"/>
    </row>
    <row r="1328">
      <c r="A1328" s="6" t="s">
        <v>3224</v>
      </c>
      <c r="B1328" s="6" t="s">
        <v>307</v>
      </c>
      <c r="C1328" s="6" t="s">
        <v>41</v>
      </c>
      <c r="D1328" s="6" t="s">
        <v>3225</v>
      </c>
      <c r="E1328" s="6" t="s">
        <v>625</v>
      </c>
      <c r="F1328" s="6" t="s">
        <v>37</v>
      </c>
      <c r="G1328" s="7">
        <v>0.55</v>
      </c>
      <c r="H1328" s="6" t="s">
        <v>2066</v>
      </c>
      <c r="I1328" s="6" t="s">
        <v>20</v>
      </c>
      <c r="J1328" s="6">
        <v>1997.0</v>
      </c>
      <c r="L1328" s="6">
        <v>1.0</v>
      </c>
      <c r="M1328" s="8">
        <f t="shared" si="1"/>
        <v>0.55</v>
      </c>
      <c r="P1328" s="9"/>
    </row>
    <row r="1329">
      <c r="A1329" s="6" t="s">
        <v>3226</v>
      </c>
      <c r="B1329" s="6" t="s">
        <v>1127</v>
      </c>
      <c r="C1329" s="6" t="s">
        <v>34</v>
      </c>
      <c r="D1329" s="6" t="s">
        <v>3227</v>
      </c>
      <c r="E1329" s="6" t="s">
        <v>2535</v>
      </c>
      <c r="F1329" s="6" t="s">
        <v>18</v>
      </c>
      <c r="G1329" s="7">
        <v>0.25</v>
      </c>
      <c r="H1329" s="6" t="s">
        <v>180</v>
      </c>
      <c r="I1329" s="6" t="s">
        <v>20</v>
      </c>
      <c r="J1329" s="6">
        <v>2014.0</v>
      </c>
      <c r="K1329" s="10">
        <v>46055.0</v>
      </c>
      <c r="L1329" s="6">
        <v>1.0</v>
      </c>
      <c r="M1329" s="8">
        <f t="shared" si="1"/>
        <v>0.25</v>
      </c>
      <c r="P1329" s="9"/>
    </row>
    <row r="1330">
      <c r="A1330" s="6" t="s">
        <v>3228</v>
      </c>
      <c r="B1330" s="6" t="s">
        <v>202</v>
      </c>
      <c r="C1330" s="6" t="s">
        <v>48</v>
      </c>
      <c r="D1330" s="6" t="s">
        <v>3229</v>
      </c>
      <c r="E1330" s="6" t="s">
        <v>118</v>
      </c>
      <c r="F1330" s="6" t="s">
        <v>51</v>
      </c>
      <c r="G1330" s="7">
        <v>0.06</v>
      </c>
      <c r="H1330" s="6" t="s">
        <v>559</v>
      </c>
      <c r="I1330" s="6" t="s">
        <v>20</v>
      </c>
      <c r="J1330" s="6">
        <v>2015.0</v>
      </c>
      <c r="L1330" s="6">
        <v>1.0</v>
      </c>
      <c r="M1330" s="8">
        <f t="shared" si="1"/>
        <v>0.06</v>
      </c>
      <c r="P1330" s="9"/>
    </row>
    <row r="1331">
      <c r="A1331" s="6" t="s">
        <v>3230</v>
      </c>
      <c r="B1331" s="6" t="s">
        <v>628</v>
      </c>
      <c r="C1331" s="6" t="s">
        <v>23</v>
      </c>
      <c r="D1331" s="6" t="s">
        <v>3231</v>
      </c>
      <c r="E1331" s="6" t="s">
        <v>118</v>
      </c>
      <c r="F1331" s="6" t="s">
        <v>51</v>
      </c>
      <c r="G1331" s="7">
        <v>0.03</v>
      </c>
      <c r="H1331" s="6" t="s">
        <v>316</v>
      </c>
      <c r="I1331" s="6" t="s">
        <v>20</v>
      </c>
      <c r="J1331" s="6">
        <v>2016.0</v>
      </c>
      <c r="K1331" s="10">
        <v>46054.0</v>
      </c>
      <c r="L1331" s="6">
        <v>2.0</v>
      </c>
      <c r="M1331" s="8">
        <f t="shared" si="1"/>
        <v>0.06</v>
      </c>
      <c r="P1331" s="9"/>
    </row>
    <row r="1332">
      <c r="A1332" s="6" t="s">
        <v>3232</v>
      </c>
      <c r="B1332" s="6" t="s">
        <v>229</v>
      </c>
      <c r="C1332" s="6" t="s">
        <v>15</v>
      </c>
      <c r="D1332" s="6" t="s">
        <v>3233</v>
      </c>
      <c r="E1332" s="6" t="s">
        <v>231</v>
      </c>
      <c r="F1332" s="6" t="s">
        <v>37</v>
      </c>
      <c r="G1332" s="7">
        <v>0.25</v>
      </c>
      <c r="H1332" s="6" t="s">
        <v>209</v>
      </c>
      <c r="I1332" s="6" t="s">
        <v>20</v>
      </c>
      <c r="J1332" s="6">
        <v>2025.0</v>
      </c>
      <c r="L1332" s="6">
        <v>2.0</v>
      </c>
      <c r="M1332" s="8">
        <f t="shared" si="1"/>
        <v>0.5</v>
      </c>
      <c r="P1332" s="9"/>
    </row>
    <row r="1333">
      <c r="A1333" s="6" t="s">
        <v>3234</v>
      </c>
      <c r="B1333" s="6" t="s">
        <v>3235</v>
      </c>
      <c r="C1333" s="6" t="s">
        <v>212</v>
      </c>
      <c r="D1333" s="6" t="s">
        <v>3236</v>
      </c>
      <c r="E1333" s="6" t="s">
        <v>3237</v>
      </c>
      <c r="F1333" s="6" t="s">
        <v>18</v>
      </c>
      <c r="G1333" s="7">
        <v>0.73</v>
      </c>
      <c r="H1333" s="6" t="s">
        <v>209</v>
      </c>
      <c r="I1333" s="6" t="s">
        <v>20</v>
      </c>
      <c r="J1333" s="6">
        <v>2025.0</v>
      </c>
      <c r="K1333" s="10">
        <v>46146.0</v>
      </c>
      <c r="L1333" s="6">
        <v>1.0</v>
      </c>
      <c r="M1333" s="8">
        <f t="shared" si="1"/>
        <v>0.73</v>
      </c>
      <c r="P1333" s="9"/>
    </row>
    <row r="1334">
      <c r="A1334" s="6" t="s">
        <v>3238</v>
      </c>
      <c r="B1334" s="6" t="s">
        <v>372</v>
      </c>
      <c r="C1334" s="6" t="s">
        <v>23</v>
      </c>
      <c r="D1334" s="6" t="s">
        <v>3239</v>
      </c>
      <c r="E1334" s="6" t="s">
        <v>1172</v>
      </c>
      <c r="F1334" s="6" t="s">
        <v>98</v>
      </c>
      <c r="G1334" s="7">
        <v>0.32</v>
      </c>
      <c r="H1334" s="6" t="s">
        <v>3017</v>
      </c>
      <c r="I1334" s="6" t="s">
        <v>20</v>
      </c>
      <c r="J1334" s="6">
        <v>2008.0</v>
      </c>
      <c r="L1334" s="6">
        <v>2.0</v>
      </c>
      <c r="M1334" s="8">
        <f t="shared" si="1"/>
        <v>0.64</v>
      </c>
      <c r="P1334" s="9"/>
    </row>
    <row r="1335">
      <c r="A1335" s="6" t="s">
        <v>3240</v>
      </c>
      <c r="B1335" s="6" t="s">
        <v>307</v>
      </c>
      <c r="C1335" s="6" t="s">
        <v>48</v>
      </c>
      <c r="D1335" s="6" t="s">
        <v>3241</v>
      </c>
      <c r="E1335" s="6" t="s">
        <v>243</v>
      </c>
      <c r="F1335" s="6" t="s">
        <v>37</v>
      </c>
      <c r="G1335" s="7">
        <v>0.06</v>
      </c>
      <c r="H1335" s="6" t="s">
        <v>562</v>
      </c>
      <c r="I1335" s="6" t="s">
        <v>20</v>
      </c>
      <c r="J1335" s="6">
        <v>2017.0</v>
      </c>
      <c r="L1335" s="6">
        <v>1.0</v>
      </c>
      <c r="M1335" s="8">
        <f t="shared" si="1"/>
        <v>0.06</v>
      </c>
      <c r="P1335" s="9"/>
    </row>
    <row r="1336">
      <c r="A1336" s="6" t="s">
        <v>3242</v>
      </c>
      <c r="B1336" s="6" t="s">
        <v>202</v>
      </c>
      <c r="C1336" s="6" t="s">
        <v>48</v>
      </c>
      <c r="D1336" s="6" t="s">
        <v>3243</v>
      </c>
      <c r="E1336" s="6" t="s">
        <v>30</v>
      </c>
      <c r="F1336" s="6" t="s">
        <v>18</v>
      </c>
      <c r="G1336" s="7">
        <v>0.03</v>
      </c>
      <c r="H1336" s="6" t="s">
        <v>299</v>
      </c>
      <c r="I1336" s="6" t="s">
        <v>20</v>
      </c>
      <c r="J1336" s="6">
        <v>2017.0</v>
      </c>
      <c r="L1336" s="6">
        <v>1.0</v>
      </c>
      <c r="M1336" s="8">
        <f t="shared" si="1"/>
        <v>0.03</v>
      </c>
      <c r="P1336" s="9"/>
    </row>
    <row r="1337">
      <c r="A1337" s="6" t="s">
        <v>3244</v>
      </c>
      <c r="B1337" s="6" t="s">
        <v>1990</v>
      </c>
      <c r="C1337" s="6" t="s">
        <v>23</v>
      </c>
      <c r="D1337" s="6" t="s">
        <v>3245</v>
      </c>
      <c r="E1337" s="6" t="s">
        <v>270</v>
      </c>
      <c r="F1337" s="6" t="s">
        <v>159</v>
      </c>
      <c r="G1337" s="7">
        <v>0.09</v>
      </c>
      <c r="H1337" s="6" t="s">
        <v>204</v>
      </c>
      <c r="I1337" s="6" t="s">
        <v>20</v>
      </c>
      <c r="J1337" s="6">
        <v>2026.0</v>
      </c>
      <c r="L1337" s="6">
        <v>1.0</v>
      </c>
      <c r="M1337" s="8">
        <f t="shared" si="1"/>
        <v>0.09</v>
      </c>
      <c r="P1337" s="9"/>
    </row>
    <row r="1338">
      <c r="A1338" s="6" t="s">
        <v>3246</v>
      </c>
      <c r="B1338" s="6" t="s">
        <v>1007</v>
      </c>
      <c r="C1338" s="6" t="s">
        <v>48</v>
      </c>
      <c r="D1338" s="6" t="s">
        <v>3247</v>
      </c>
      <c r="E1338" s="6" t="s">
        <v>79</v>
      </c>
      <c r="F1338" s="6" t="s">
        <v>51</v>
      </c>
      <c r="G1338" s="7">
        <v>6.5</v>
      </c>
      <c r="H1338" s="6" t="s">
        <v>359</v>
      </c>
      <c r="I1338" s="6" t="s">
        <v>20</v>
      </c>
      <c r="J1338" s="6">
        <v>2014.0</v>
      </c>
      <c r="K1338" s="10">
        <v>46113.0</v>
      </c>
      <c r="L1338" s="6">
        <v>2.0</v>
      </c>
      <c r="M1338" s="8">
        <f t="shared" si="1"/>
        <v>13</v>
      </c>
      <c r="P1338" s="9"/>
    </row>
    <row r="1339">
      <c r="A1339" s="6" t="s">
        <v>3248</v>
      </c>
      <c r="B1339" s="6" t="s">
        <v>3249</v>
      </c>
      <c r="C1339" s="6" t="s">
        <v>23</v>
      </c>
      <c r="D1339" s="6" t="s">
        <v>3250</v>
      </c>
      <c r="E1339" s="6" t="s">
        <v>118</v>
      </c>
      <c r="F1339" s="6" t="s">
        <v>51</v>
      </c>
      <c r="G1339" s="7">
        <v>0.06</v>
      </c>
      <c r="H1339" s="6" t="s">
        <v>418</v>
      </c>
      <c r="I1339" s="6" t="s">
        <v>20</v>
      </c>
      <c r="J1339" s="6">
        <v>2022.0</v>
      </c>
      <c r="K1339" s="10">
        <v>46024.0</v>
      </c>
      <c r="L1339" s="6">
        <v>1.0</v>
      </c>
      <c r="M1339" s="8">
        <f t="shared" si="1"/>
        <v>0.06</v>
      </c>
      <c r="P1339" s="9"/>
    </row>
    <row r="1340">
      <c r="A1340" s="6" t="s">
        <v>3251</v>
      </c>
      <c r="B1340" s="6" t="s">
        <v>796</v>
      </c>
      <c r="C1340" s="6" t="s">
        <v>15</v>
      </c>
      <c r="D1340" s="6" t="s">
        <v>3252</v>
      </c>
      <c r="E1340" s="6" t="s">
        <v>17</v>
      </c>
      <c r="F1340" s="6" t="s">
        <v>18</v>
      </c>
      <c r="G1340" s="7">
        <v>0.14</v>
      </c>
      <c r="H1340" s="6" t="s">
        <v>209</v>
      </c>
      <c r="I1340" s="6" t="s">
        <v>20</v>
      </c>
      <c r="J1340" s="6">
        <v>2025.0</v>
      </c>
      <c r="L1340" s="6">
        <v>3.0</v>
      </c>
      <c r="M1340" s="8">
        <f t="shared" si="1"/>
        <v>0.42</v>
      </c>
      <c r="P1340" s="9"/>
    </row>
    <row r="1341">
      <c r="A1341" s="6" t="s">
        <v>3253</v>
      </c>
      <c r="B1341" s="6" t="s">
        <v>372</v>
      </c>
      <c r="C1341" s="6" t="s">
        <v>23</v>
      </c>
      <c r="D1341" s="6" t="s">
        <v>3254</v>
      </c>
      <c r="E1341" s="6" t="s">
        <v>118</v>
      </c>
      <c r="F1341" s="6" t="s">
        <v>51</v>
      </c>
      <c r="G1341" s="7">
        <v>0.76</v>
      </c>
      <c r="H1341" s="6" t="s">
        <v>1418</v>
      </c>
      <c r="I1341" s="6" t="s">
        <v>20</v>
      </c>
      <c r="J1341" s="6">
        <v>2010.0</v>
      </c>
      <c r="L1341" s="6">
        <v>1.0</v>
      </c>
      <c r="M1341" s="8">
        <f t="shared" si="1"/>
        <v>0.76</v>
      </c>
      <c r="P1341" s="9"/>
    </row>
    <row r="1342">
      <c r="A1342" s="6" t="s">
        <v>3255</v>
      </c>
      <c r="B1342" s="6" t="s">
        <v>1452</v>
      </c>
      <c r="C1342" s="6" t="s">
        <v>23</v>
      </c>
      <c r="D1342" s="6" t="s">
        <v>3256</v>
      </c>
      <c r="E1342" s="6" t="s">
        <v>64</v>
      </c>
      <c r="F1342" s="6" t="s">
        <v>65</v>
      </c>
      <c r="G1342" s="7">
        <v>0.1</v>
      </c>
      <c r="H1342" s="6" t="s">
        <v>641</v>
      </c>
      <c r="I1342" s="6" t="s">
        <v>20</v>
      </c>
      <c r="J1342" s="6">
        <v>2026.0</v>
      </c>
      <c r="K1342" s="10">
        <v>46055.0</v>
      </c>
      <c r="L1342" s="6">
        <v>1.0</v>
      </c>
      <c r="M1342" s="8">
        <f t="shared" si="1"/>
        <v>0.1</v>
      </c>
      <c r="P1342" s="9"/>
    </row>
    <row r="1343">
      <c r="A1343" s="6" t="s">
        <v>3255</v>
      </c>
      <c r="B1343" s="6" t="s">
        <v>1452</v>
      </c>
      <c r="C1343" s="6" t="s">
        <v>23</v>
      </c>
      <c r="D1343" s="6" t="s">
        <v>3256</v>
      </c>
      <c r="E1343" s="6" t="s">
        <v>64</v>
      </c>
      <c r="F1343" s="6" t="s">
        <v>65</v>
      </c>
      <c r="G1343" s="7">
        <v>0.25</v>
      </c>
      <c r="H1343" s="6" t="s">
        <v>641</v>
      </c>
      <c r="I1343" s="6" t="s">
        <v>55</v>
      </c>
      <c r="J1343" s="6">
        <v>2026.0</v>
      </c>
      <c r="K1343" s="10">
        <v>46055.0</v>
      </c>
      <c r="L1343" s="6">
        <v>1.0</v>
      </c>
      <c r="M1343" s="8">
        <f t="shared" si="1"/>
        <v>0.25</v>
      </c>
      <c r="P1343" s="9"/>
    </row>
    <row r="1344">
      <c r="A1344" s="6" t="s">
        <v>3257</v>
      </c>
      <c r="B1344" s="6" t="s">
        <v>1234</v>
      </c>
      <c r="C1344" s="6" t="s">
        <v>23</v>
      </c>
      <c r="D1344" s="6" t="s">
        <v>3258</v>
      </c>
      <c r="E1344" s="6" t="s">
        <v>64</v>
      </c>
      <c r="F1344" s="6" t="s">
        <v>65</v>
      </c>
      <c r="G1344" s="7">
        <v>0.04</v>
      </c>
      <c r="H1344" s="6" t="s">
        <v>336</v>
      </c>
      <c r="I1344" s="6" t="s">
        <v>20</v>
      </c>
      <c r="J1344" s="6">
        <v>2016.0</v>
      </c>
      <c r="K1344" s="10">
        <v>46083.0</v>
      </c>
      <c r="L1344" s="6">
        <v>1.0</v>
      </c>
      <c r="M1344" s="8">
        <f t="shared" si="1"/>
        <v>0.04</v>
      </c>
      <c r="P1344" s="9"/>
    </row>
    <row r="1345">
      <c r="A1345" s="6" t="s">
        <v>3259</v>
      </c>
      <c r="B1345" s="6" t="s">
        <v>3118</v>
      </c>
      <c r="C1345" s="6" t="s">
        <v>23</v>
      </c>
      <c r="D1345" s="6" t="s">
        <v>1976</v>
      </c>
      <c r="E1345" s="6" t="s">
        <v>458</v>
      </c>
      <c r="F1345" s="6" t="s">
        <v>37</v>
      </c>
      <c r="G1345" s="7">
        <v>0.05</v>
      </c>
      <c r="H1345" s="6" t="s">
        <v>621</v>
      </c>
      <c r="I1345" s="6" t="s">
        <v>20</v>
      </c>
      <c r="J1345" s="6">
        <v>2015.0</v>
      </c>
      <c r="K1345" s="10">
        <v>46273.0</v>
      </c>
      <c r="L1345" s="6">
        <v>1.0</v>
      </c>
      <c r="M1345" s="8">
        <f t="shared" si="1"/>
        <v>0.05</v>
      </c>
      <c r="P1345" s="9"/>
    </row>
    <row r="1346">
      <c r="A1346" s="6" t="s">
        <v>3260</v>
      </c>
      <c r="B1346" s="6" t="s">
        <v>62</v>
      </c>
      <c r="C1346" s="6" t="s">
        <v>23</v>
      </c>
      <c r="D1346" s="6" t="s">
        <v>3261</v>
      </c>
      <c r="E1346" s="6" t="s">
        <v>196</v>
      </c>
      <c r="F1346" s="6" t="s">
        <v>65</v>
      </c>
      <c r="G1346" s="7">
        <v>0.38</v>
      </c>
      <c r="H1346" s="6" t="s">
        <v>271</v>
      </c>
      <c r="I1346" s="6" t="s">
        <v>20</v>
      </c>
      <c r="J1346" s="6">
        <v>2012.0</v>
      </c>
      <c r="L1346" s="6">
        <v>4.0</v>
      </c>
      <c r="M1346" s="8">
        <f t="shared" si="1"/>
        <v>1.52</v>
      </c>
      <c r="P1346" s="9"/>
    </row>
    <row r="1347">
      <c r="A1347" s="6" t="s">
        <v>3262</v>
      </c>
      <c r="B1347" s="6" t="s">
        <v>62</v>
      </c>
      <c r="C1347" s="6" t="s">
        <v>23</v>
      </c>
      <c r="D1347" s="6" t="s">
        <v>3263</v>
      </c>
      <c r="E1347" s="6" t="s">
        <v>533</v>
      </c>
      <c r="F1347" s="6" t="s">
        <v>65</v>
      </c>
      <c r="G1347" s="7">
        <v>0.03</v>
      </c>
      <c r="H1347" s="6" t="s">
        <v>562</v>
      </c>
      <c r="I1347" s="6" t="s">
        <v>20</v>
      </c>
      <c r="J1347" s="6">
        <v>2017.0</v>
      </c>
      <c r="L1347" s="6">
        <v>1.0</v>
      </c>
      <c r="M1347" s="8">
        <f t="shared" si="1"/>
        <v>0.03</v>
      </c>
      <c r="P1347" s="9"/>
    </row>
    <row r="1348">
      <c r="A1348" s="6" t="s">
        <v>3264</v>
      </c>
      <c r="B1348" s="6" t="s">
        <v>62</v>
      </c>
      <c r="C1348" s="6" t="s">
        <v>48</v>
      </c>
      <c r="D1348" s="6" t="s">
        <v>3265</v>
      </c>
      <c r="E1348" s="6" t="s">
        <v>1250</v>
      </c>
      <c r="F1348" s="6" t="s">
        <v>60</v>
      </c>
      <c r="G1348" s="7">
        <v>0.25</v>
      </c>
      <c r="H1348" s="6" t="s">
        <v>577</v>
      </c>
      <c r="I1348" s="6" t="s">
        <v>20</v>
      </c>
      <c r="J1348" s="6">
        <v>2017.0</v>
      </c>
      <c r="L1348" s="6">
        <v>4.0</v>
      </c>
      <c r="M1348" s="8">
        <f t="shared" si="1"/>
        <v>1</v>
      </c>
      <c r="P1348" s="9"/>
    </row>
    <row r="1349">
      <c r="A1349" s="6" t="s">
        <v>3266</v>
      </c>
      <c r="B1349" s="6" t="s">
        <v>3267</v>
      </c>
      <c r="C1349" s="6" t="s">
        <v>287</v>
      </c>
      <c r="D1349" s="6" t="s">
        <v>3268</v>
      </c>
      <c r="E1349" s="6" t="s">
        <v>3269</v>
      </c>
      <c r="F1349" s="6" t="s">
        <v>51</v>
      </c>
      <c r="G1349" s="7">
        <v>0.05</v>
      </c>
      <c r="H1349" s="6" t="s">
        <v>645</v>
      </c>
      <c r="I1349" s="6" t="s">
        <v>20</v>
      </c>
      <c r="J1349" s="6">
        <v>2024.0</v>
      </c>
      <c r="L1349" s="6">
        <v>1.0</v>
      </c>
      <c r="M1349" s="8">
        <f t="shared" si="1"/>
        <v>0.05</v>
      </c>
      <c r="P1349" s="9"/>
    </row>
    <row r="1350">
      <c r="A1350" s="6" t="s">
        <v>3270</v>
      </c>
      <c r="B1350" s="6" t="s">
        <v>3271</v>
      </c>
      <c r="C1350" s="6" t="s">
        <v>34</v>
      </c>
      <c r="D1350" s="6" t="s">
        <v>3272</v>
      </c>
      <c r="E1350" s="6" t="s">
        <v>3273</v>
      </c>
      <c r="F1350" s="6" t="s">
        <v>858</v>
      </c>
      <c r="G1350" s="7">
        <v>0.05</v>
      </c>
      <c r="H1350" s="6" t="s">
        <v>807</v>
      </c>
      <c r="I1350" s="6" t="s">
        <v>20</v>
      </c>
      <c r="J1350" s="6">
        <v>2026.0</v>
      </c>
      <c r="K1350" s="10">
        <v>46113.0</v>
      </c>
      <c r="L1350" s="6">
        <v>1.0</v>
      </c>
      <c r="M1350" s="8">
        <f t="shared" si="1"/>
        <v>0.05</v>
      </c>
      <c r="P1350" s="9"/>
    </row>
    <row r="1351">
      <c r="A1351" s="6" t="s">
        <v>3274</v>
      </c>
      <c r="B1351" s="6" t="s">
        <v>131</v>
      </c>
      <c r="C1351" s="6" t="s">
        <v>23</v>
      </c>
      <c r="D1351" s="6" t="s">
        <v>3275</v>
      </c>
      <c r="E1351" s="6" t="s">
        <v>30</v>
      </c>
      <c r="F1351" s="6" t="s">
        <v>18</v>
      </c>
      <c r="G1351" s="7">
        <v>0.09</v>
      </c>
      <c r="H1351" s="6" t="s">
        <v>596</v>
      </c>
      <c r="I1351" s="6" t="s">
        <v>20</v>
      </c>
      <c r="J1351" s="6">
        <v>2012.0</v>
      </c>
      <c r="K1351" s="10">
        <v>46083.0</v>
      </c>
      <c r="L1351" s="6">
        <v>1.0</v>
      </c>
      <c r="M1351" s="8">
        <f t="shared" si="1"/>
        <v>0.09</v>
      </c>
      <c r="P1351" s="9"/>
    </row>
    <row r="1352">
      <c r="A1352" s="6" t="s">
        <v>3276</v>
      </c>
      <c r="B1352" s="6" t="s">
        <v>62</v>
      </c>
      <c r="C1352" s="6" t="s">
        <v>48</v>
      </c>
      <c r="D1352" s="6" t="s">
        <v>3277</v>
      </c>
      <c r="E1352" s="6" t="s">
        <v>102</v>
      </c>
      <c r="F1352" s="6" t="s">
        <v>103</v>
      </c>
      <c r="G1352" s="7">
        <v>0.72</v>
      </c>
      <c r="H1352" s="6" t="s">
        <v>1810</v>
      </c>
      <c r="I1352" s="6" t="s">
        <v>55</v>
      </c>
      <c r="J1352" s="6">
        <v>2020.0</v>
      </c>
      <c r="L1352" s="6">
        <v>1.0</v>
      </c>
      <c r="M1352" s="8">
        <f t="shared" si="1"/>
        <v>0.72</v>
      </c>
      <c r="P1352" s="9"/>
    </row>
    <row r="1353">
      <c r="A1353" s="6" t="s">
        <v>3278</v>
      </c>
      <c r="B1353" s="6" t="s">
        <v>3279</v>
      </c>
      <c r="C1353" s="6" t="s">
        <v>23</v>
      </c>
      <c r="D1353" s="6" t="s">
        <v>3280</v>
      </c>
      <c r="E1353" s="6" t="s">
        <v>3281</v>
      </c>
      <c r="F1353" s="6" t="s">
        <v>51</v>
      </c>
      <c r="G1353" s="7">
        <v>0.07</v>
      </c>
      <c r="H1353" s="6" t="s">
        <v>99</v>
      </c>
      <c r="I1353" s="6" t="s">
        <v>20</v>
      </c>
      <c r="J1353" s="6">
        <v>2026.0</v>
      </c>
      <c r="K1353" s="10">
        <v>46054.0</v>
      </c>
      <c r="L1353" s="6">
        <v>1.0</v>
      </c>
      <c r="M1353" s="8">
        <f t="shared" si="1"/>
        <v>0.07</v>
      </c>
      <c r="P1353" s="9"/>
    </row>
    <row r="1354">
      <c r="A1354" s="6" t="s">
        <v>3282</v>
      </c>
      <c r="B1354" s="6" t="s">
        <v>250</v>
      </c>
      <c r="C1354" s="6" t="s">
        <v>15</v>
      </c>
      <c r="D1354" s="6" t="s">
        <v>3283</v>
      </c>
      <c r="E1354" s="6">
        <v>1.0</v>
      </c>
      <c r="F1354" s="6" t="s">
        <v>37</v>
      </c>
      <c r="G1354" s="7">
        <v>0.25</v>
      </c>
      <c r="H1354" s="6" t="s">
        <v>3164</v>
      </c>
      <c r="I1354" s="6" t="s">
        <v>20</v>
      </c>
      <c r="J1354" s="6">
        <v>2025.0</v>
      </c>
      <c r="L1354" s="6">
        <v>1.0</v>
      </c>
      <c r="M1354" s="8">
        <f t="shared" si="1"/>
        <v>0.25</v>
      </c>
      <c r="P1354" s="9"/>
    </row>
    <row r="1355">
      <c r="A1355" s="6" t="s">
        <v>3282</v>
      </c>
      <c r="B1355" s="6" t="s">
        <v>250</v>
      </c>
      <c r="C1355" s="6" t="s">
        <v>15</v>
      </c>
      <c r="D1355" s="6" t="s">
        <v>3283</v>
      </c>
      <c r="E1355" s="6">
        <v>1.0</v>
      </c>
      <c r="F1355" s="6" t="s">
        <v>37</v>
      </c>
      <c r="G1355" s="7">
        <v>0.24</v>
      </c>
      <c r="H1355" s="6" t="s">
        <v>3164</v>
      </c>
      <c r="I1355" s="6" t="s">
        <v>55</v>
      </c>
      <c r="J1355" s="6">
        <v>2025.0</v>
      </c>
      <c r="L1355" s="6">
        <v>1.0</v>
      </c>
      <c r="M1355" s="8">
        <f t="shared" si="1"/>
        <v>0.24</v>
      </c>
      <c r="P1355" s="9"/>
    </row>
    <row r="1356">
      <c r="A1356" s="6" t="s">
        <v>3284</v>
      </c>
      <c r="B1356" s="6" t="s">
        <v>307</v>
      </c>
      <c r="C1356" s="6" t="s">
        <v>48</v>
      </c>
      <c r="D1356" s="6" t="s">
        <v>3285</v>
      </c>
      <c r="E1356" s="6" t="s">
        <v>303</v>
      </c>
      <c r="F1356" s="6" t="s">
        <v>37</v>
      </c>
      <c r="G1356" s="7">
        <v>0.84</v>
      </c>
      <c r="H1356" s="6" t="s">
        <v>294</v>
      </c>
      <c r="I1356" s="6" t="s">
        <v>20</v>
      </c>
      <c r="J1356" s="6">
        <v>2010.0</v>
      </c>
      <c r="L1356" s="6">
        <v>1.0</v>
      </c>
      <c r="M1356" s="8">
        <f t="shared" si="1"/>
        <v>0.84</v>
      </c>
      <c r="N1356" s="6" t="s">
        <v>172</v>
      </c>
      <c r="P1356" s="9"/>
    </row>
    <row r="1357">
      <c r="A1357" s="6" t="s">
        <v>3286</v>
      </c>
      <c r="B1357" s="6" t="s">
        <v>1890</v>
      </c>
      <c r="C1357" s="6" t="s">
        <v>15</v>
      </c>
      <c r="D1357" s="6" t="s">
        <v>3287</v>
      </c>
      <c r="E1357" s="6" t="s">
        <v>1767</v>
      </c>
      <c r="F1357" s="6" t="s">
        <v>18</v>
      </c>
      <c r="G1357" s="7">
        <v>0.39</v>
      </c>
      <c r="H1357" s="6" t="s">
        <v>19</v>
      </c>
      <c r="I1357" s="6" t="s">
        <v>20</v>
      </c>
      <c r="J1357" s="6">
        <v>2023.0</v>
      </c>
      <c r="K1357" s="10">
        <v>46056.0</v>
      </c>
      <c r="L1357" s="6">
        <v>2.0</v>
      </c>
      <c r="M1357" s="8">
        <f t="shared" si="1"/>
        <v>0.78</v>
      </c>
      <c r="P1357" s="9"/>
    </row>
    <row r="1358">
      <c r="A1358" s="6" t="s">
        <v>3288</v>
      </c>
      <c r="B1358" s="6" t="s">
        <v>3289</v>
      </c>
      <c r="C1358" s="6" t="s">
        <v>1956</v>
      </c>
      <c r="D1358" s="11" t="str">
        <f>+2: You gain 1 life for each creature you control. −2: Create three 1/1 white Soldier creature tokens. −5: Destroy all other permanents except for lands and tokens. / +2: Você ganha 1 ponto de vida para cada criatura que controla. -2: Coloque no campo de batalha três fichas de criatura brancas 1/1 do tipo Soldado. -5: Destrua todas as outras permanentes, exceto terrenos e fichas.</f>
        <v>#ERROR!</v>
      </c>
      <c r="E1358" s="6" t="s">
        <v>1771</v>
      </c>
      <c r="F1358" s="6" t="s">
        <v>51</v>
      </c>
      <c r="G1358" s="7">
        <v>4.95</v>
      </c>
      <c r="H1358" s="6" t="s">
        <v>146</v>
      </c>
      <c r="I1358" s="6" t="s">
        <v>20</v>
      </c>
      <c r="J1358" s="6">
        <v>2010.0</v>
      </c>
      <c r="L1358" s="6">
        <v>1.0</v>
      </c>
      <c r="M1358" s="8">
        <f t="shared" si="1"/>
        <v>4.95</v>
      </c>
      <c r="N1358" s="6" t="s">
        <v>172</v>
      </c>
      <c r="P1358" s="9"/>
    </row>
    <row r="1359">
      <c r="A1359" s="6" t="s">
        <v>3290</v>
      </c>
      <c r="B1359" s="6" t="s">
        <v>3291</v>
      </c>
      <c r="C1359" s="6" t="s">
        <v>23</v>
      </c>
      <c r="D1359" s="6" t="s">
        <v>3292</v>
      </c>
      <c r="E1359" s="6" t="s">
        <v>602</v>
      </c>
      <c r="F1359" s="6" t="s">
        <v>159</v>
      </c>
      <c r="G1359" s="7">
        <v>0.05</v>
      </c>
      <c r="H1359" s="6" t="s">
        <v>1675</v>
      </c>
      <c r="I1359" s="6" t="s">
        <v>20</v>
      </c>
      <c r="J1359" s="6">
        <v>2021.0</v>
      </c>
      <c r="K1359" s="10">
        <v>46026.0</v>
      </c>
      <c r="L1359" s="6">
        <v>1.0</v>
      </c>
      <c r="M1359" s="8">
        <f t="shared" si="1"/>
        <v>0.05</v>
      </c>
      <c r="P1359" s="9"/>
    </row>
    <row r="1360">
      <c r="A1360" s="6" t="s">
        <v>3293</v>
      </c>
      <c r="B1360" s="6" t="s">
        <v>3294</v>
      </c>
      <c r="C1360" s="6" t="s">
        <v>23</v>
      </c>
      <c r="D1360" s="6" t="s">
        <v>3295</v>
      </c>
      <c r="E1360" s="6" t="s">
        <v>149</v>
      </c>
      <c r="F1360" s="6" t="s">
        <v>18</v>
      </c>
      <c r="G1360" s="7">
        <v>0.05</v>
      </c>
      <c r="H1360" s="6" t="s">
        <v>559</v>
      </c>
      <c r="I1360" s="6" t="s">
        <v>20</v>
      </c>
      <c r="J1360" s="6">
        <v>2015.0</v>
      </c>
      <c r="K1360" s="10">
        <v>46082.0</v>
      </c>
      <c r="L1360" s="6">
        <v>2.0</v>
      </c>
      <c r="M1360" s="8">
        <f t="shared" si="1"/>
        <v>0.1</v>
      </c>
      <c r="P1360" s="9"/>
    </row>
    <row r="1361">
      <c r="A1361" s="6" t="s">
        <v>3296</v>
      </c>
      <c r="B1361" s="6" t="s">
        <v>1420</v>
      </c>
      <c r="C1361" s="6" t="s">
        <v>48</v>
      </c>
      <c r="D1361" s="6" t="s">
        <v>3297</v>
      </c>
      <c r="E1361" s="6" t="s">
        <v>270</v>
      </c>
      <c r="F1361" s="6" t="s">
        <v>159</v>
      </c>
      <c r="G1361" s="7">
        <v>9.29</v>
      </c>
      <c r="H1361" s="6" t="s">
        <v>396</v>
      </c>
      <c r="I1361" s="6" t="s">
        <v>20</v>
      </c>
      <c r="J1361" s="6">
        <v>2007.0</v>
      </c>
      <c r="K1361" s="10">
        <v>46054.0</v>
      </c>
      <c r="L1361" s="6">
        <v>1.0</v>
      </c>
      <c r="M1361" s="8">
        <f t="shared" si="1"/>
        <v>9.29</v>
      </c>
      <c r="N1361" s="6" t="s">
        <v>172</v>
      </c>
      <c r="P1361" s="9"/>
    </row>
    <row r="1362">
      <c r="A1362" s="6" t="s">
        <v>3298</v>
      </c>
      <c r="B1362" s="6" t="s">
        <v>2673</v>
      </c>
      <c r="C1362" s="6" t="s">
        <v>23</v>
      </c>
      <c r="D1362" s="6" t="s">
        <v>3299</v>
      </c>
      <c r="E1362" s="6" t="s">
        <v>3300</v>
      </c>
      <c r="F1362" s="6" t="s">
        <v>874</v>
      </c>
      <c r="G1362" s="7">
        <v>0.14</v>
      </c>
      <c r="H1362" s="6" t="s">
        <v>1361</v>
      </c>
      <c r="I1362" s="6" t="s">
        <v>20</v>
      </c>
      <c r="J1362" s="6">
        <v>2008.0</v>
      </c>
      <c r="K1362" s="10">
        <v>46023.0</v>
      </c>
      <c r="L1362" s="6">
        <v>1.0</v>
      </c>
      <c r="M1362" s="8">
        <f t="shared" si="1"/>
        <v>0.14</v>
      </c>
      <c r="P1362" s="9"/>
    </row>
    <row r="1363">
      <c r="A1363" s="6" t="s">
        <v>3301</v>
      </c>
      <c r="B1363" s="6" t="s">
        <v>3302</v>
      </c>
      <c r="C1363" s="6" t="s">
        <v>48</v>
      </c>
      <c r="D1363" s="6" t="s">
        <v>3303</v>
      </c>
      <c r="E1363" s="6" t="s">
        <v>270</v>
      </c>
      <c r="F1363" s="6" t="s">
        <v>159</v>
      </c>
      <c r="G1363" s="7">
        <v>0.04</v>
      </c>
      <c r="H1363" s="6" t="s">
        <v>136</v>
      </c>
      <c r="I1363" s="6" t="s">
        <v>20</v>
      </c>
      <c r="J1363" s="6">
        <v>2022.0</v>
      </c>
      <c r="K1363" s="10">
        <v>46056.0</v>
      </c>
      <c r="L1363" s="6">
        <v>1.0</v>
      </c>
      <c r="M1363" s="8">
        <f t="shared" si="1"/>
        <v>0.04</v>
      </c>
      <c r="P1363" s="9"/>
    </row>
    <row r="1364">
      <c r="A1364" s="6" t="s">
        <v>3304</v>
      </c>
      <c r="B1364" s="6" t="s">
        <v>1420</v>
      </c>
      <c r="C1364" s="6" t="s">
        <v>23</v>
      </c>
      <c r="D1364" s="6" t="s">
        <v>2343</v>
      </c>
      <c r="E1364" s="6" t="s">
        <v>238</v>
      </c>
      <c r="F1364" s="6" t="s">
        <v>159</v>
      </c>
      <c r="G1364" s="7">
        <v>2.5</v>
      </c>
      <c r="H1364" s="6" t="s">
        <v>154</v>
      </c>
      <c r="I1364" s="6" t="s">
        <v>20</v>
      </c>
      <c r="J1364" s="6">
        <v>2013.0</v>
      </c>
      <c r="K1364" s="10">
        <v>46023.0</v>
      </c>
      <c r="L1364" s="6">
        <v>2.0</v>
      </c>
      <c r="M1364" s="8">
        <f t="shared" si="1"/>
        <v>5</v>
      </c>
      <c r="N1364" s="6" t="s">
        <v>172</v>
      </c>
      <c r="P1364" s="9"/>
    </row>
    <row r="1365">
      <c r="A1365" s="6" t="s">
        <v>3305</v>
      </c>
      <c r="B1365" s="6" t="s">
        <v>3306</v>
      </c>
      <c r="C1365" s="6" t="s">
        <v>23</v>
      </c>
      <c r="D1365" s="6" t="s">
        <v>3307</v>
      </c>
      <c r="E1365" s="6" t="s">
        <v>238</v>
      </c>
      <c r="F1365" s="6" t="s">
        <v>159</v>
      </c>
      <c r="G1365" s="7">
        <v>0.24</v>
      </c>
      <c r="H1365" s="6" t="s">
        <v>632</v>
      </c>
      <c r="I1365" s="6" t="s">
        <v>20</v>
      </c>
      <c r="J1365" s="6">
        <v>2002.0</v>
      </c>
      <c r="K1365" s="10">
        <v>46023.0</v>
      </c>
      <c r="L1365" s="6">
        <v>1.0</v>
      </c>
      <c r="M1365" s="8">
        <f t="shared" si="1"/>
        <v>0.24</v>
      </c>
      <c r="P1365" s="9"/>
    </row>
    <row r="1366">
      <c r="A1366" s="6" t="s">
        <v>3308</v>
      </c>
      <c r="B1366" s="6" t="s">
        <v>3309</v>
      </c>
      <c r="C1366" s="6" t="s">
        <v>48</v>
      </c>
      <c r="D1366" s="6" t="s">
        <v>3310</v>
      </c>
      <c r="E1366" s="6" t="s">
        <v>298</v>
      </c>
      <c r="F1366" s="6" t="s">
        <v>159</v>
      </c>
      <c r="G1366" s="7">
        <v>7.0</v>
      </c>
      <c r="H1366" s="6" t="s">
        <v>396</v>
      </c>
      <c r="I1366" s="6" t="s">
        <v>20</v>
      </c>
      <c r="J1366" s="6">
        <v>2007.0</v>
      </c>
      <c r="L1366" s="6">
        <v>1.0</v>
      </c>
      <c r="M1366" s="8">
        <f t="shared" si="1"/>
        <v>7</v>
      </c>
      <c r="N1366" s="6" t="s">
        <v>172</v>
      </c>
      <c r="P1366" s="9"/>
    </row>
    <row r="1367">
      <c r="A1367" s="6" t="s">
        <v>3311</v>
      </c>
      <c r="B1367" s="6" t="s">
        <v>1420</v>
      </c>
      <c r="C1367" s="6" t="s">
        <v>23</v>
      </c>
      <c r="D1367" s="6" t="s">
        <v>3312</v>
      </c>
      <c r="E1367" s="6" t="s">
        <v>270</v>
      </c>
      <c r="F1367" s="6" t="s">
        <v>159</v>
      </c>
      <c r="G1367" s="7">
        <v>0.34</v>
      </c>
      <c r="H1367" s="7" t="s">
        <v>104</v>
      </c>
      <c r="I1367" s="6" t="s">
        <v>55</v>
      </c>
      <c r="J1367" s="6">
        <v>2018.0</v>
      </c>
      <c r="K1367" s="10">
        <v>46023.0</v>
      </c>
      <c r="L1367" s="6">
        <v>4.0</v>
      </c>
      <c r="M1367" s="8">
        <f t="shared" si="1"/>
        <v>1.36</v>
      </c>
      <c r="P1367" s="9"/>
    </row>
    <row r="1368">
      <c r="A1368" s="6" t="s">
        <v>3313</v>
      </c>
      <c r="B1368" s="6" t="s">
        <v>2673</v>
      </c>
      <c r="C1368" s="6" t="s">
        <v>23</v>
      </c>
      <c r="D1368" s="6" t="s">
        <v>3314</v>
      </c>
      <c r="E1368" s="6" t="s">
        <v>223</v>
      </c>
      <c r="F1368" s="6" t="s">
        <v>159</v>
      </c>
      <c r="G1368" s="7">
        <v>0.06</v>
      </c>
      <c r="H1368" s="6" t="s">
        <v>184</v>
      </c>
      <c r="I1368" s="6" t="s">
        <v>20</v>
      </c>
      <c r="J1368" s="6">
        <v>2015.0</v>
      </c>
      <c r="K1368" s="10">
        <v>46023.0</v>
      </c>
      <c r="L1368" s="6">
        <v>1.0</v>
      </c>
      <c r="M1368" s="8">
        <f t="shared" si="1"/>
        <v>0.06</v>
      </c>
      <c r="P1368" s="9"/>
    </row>
    <row r="1369">
      <c r="A1369" s="6" t="s">
        <v>3315</v>
      </c>
      <c r="B1369" s="6" t="s">
        <v>543</v>
      </c>
      <c r="C1369" s="6" t="s">
        <v>48</v>
      </c>
      <c r="D1369" s="6" t="s">
        <v>3316</v>
      </c>
      <c r="E1369" s="6" t="s">
        <v>220</v>
      </c>
      <c r="F1369" s="6" t="s">
        <v>18</v>
      </c>
      <c r="G1369" s="7">
        <v>0.15</v>
      </c>
      <c r="H1369" s="6" t="s">
        <v>45</v>
      </c>
      <c r="I1369" s="6" t="s">
        <v>20</v>
      </c>
      <c r="J1369" s="6">
        <v>2025.0</v>
      </c>
      <c r="L1369" s="6">
        <v>1.0</v>
      </c>
      <c r="M1369" s="8">
        <f t="shared" si="1"/>
        <v>0.15</v>
      </c>
      <c r="P1369" s="9"/>
    </row>
    <row r="1370">
      <c r="A1370" s="6" t="s">
        <v>3317</v>
      </c>
      <c r="B1370" s="6" t="s">
        <v>3318</v>
      </c>
      <c r="C1370" s="6" t="s">
        <v>48</v>
      </c>
      <c r="D1370" s="6" t="s">
        <v>3319</v>
      </c>
      <c r="E1370" s="6" t="s">
        <v>533</v>
      </c>
      <c r="F1370" s="6" t="s">
        <v>65</v>
      </c>
      <c r="G1370" s="7">
        <v>0.18</v>
      </c>
      <c r="H1370" s="6" t="s">
        <v>632</v>
      </c>
      <c r="I1370" s="6" t="s">
        <v>20</v>
      </c>
      <c r="J1370" s="6">
        <v>2002.0</v>
      </c>
      <c r="K1370" s="10">
        <v>46023.0</v>
      </c>
      <c r="L1370" s="6">
        <v>1.0</v>
      </c>
      <c r="M1370" s="8">
        <f t="shared" si="1"/>
        <v>0.18</v>
      </c>
      <c r="P1370" s="9"/>
    </row>
    <row r="1371">
      <c r="A1371" s="6" t="s">
        <v>3320</v>
      </c>
      <c r="B1371" s="6" t="s">
        <v>258</v>
      </c>
      <c r="C1371" s="6" t="s">
        <v>48</v>
      </c>
      <c r="D1371" s="6" t="s">
        <v>3321</v>
      </c>
      <c r="E1371" s="6" t="s">
        <v>112</v>
      </c>
      <c r="F1371" s="6" t="s">
        <v>65</v>
      </c>
      <c r="G1371" s="7">
        <v>0.09</v>
      </c>
      <c r="H1371" s="6" t="s">
        <v>146</v>
      </c>
      <c r="I1371" s="6" t="s">
        <v>20</v>
      </c>
      <c r="J1371" s="6">
        <v>2010.0</v>
      </c>
      <c r="K1371" s="10">
        <v>46024.0</v>
      </c>
      <c r="L1371" s="6">
        <v>1.0</v>
      </c>
      <c r="M1371" s="8">
        <f t="shared" si="1"/>
        <v>0.09</v>
      </c>
      <c r="P1371" s="9"/>
    </row>
    <row r="1372">
      <c r="A1372" s="6" t="s">
        <v>3322</v>
      </c>
      <c r="B1372" s="6" t="s">
        <v>3323</v>
      </c>
      <c r="C1372" s="6" t="s">
        <v>23</v>
      </c>
      <c r="D1372" s="6" t="s">
        <v>3324</v>
      </c>
      <c r="E1372" s="6" t="s">
        <v>153</v>
      </c>
      <c r="F1372" s="6" t="s">
        <v>103</v>
      </c>
      <c r="G1372" s="7">
        <v>1.0</v>
      </c>
      <c r="H1372" s="6" t="s">
        <v>418</v>
      </c>
      <c r="I1372" s="6" t="s">
        <v>20</v>
      </c>
      <c r="J1372" s="6">
        <v>2022.0</v>
      </c>
      <c r="K1372" s="10">
        <v>46056.0</v>
      </c>
      <c r="L1372" s="6">
        <v>1.0</v>
      </c>
      <c r="M1372" s="8">
        <f t="shared" si="1"/>
        <v>1</v>
      </c>
      <c r="P1372" s="9"/>
    </row>
    <row r="1373">
      <c r="A1373" s="6" t="s">
        <v>3325</v>
      </c>
      <c r="B1373" s="6" t="s">
        <v>165</v>
      </c>
      <c r="C1373" s="6" t="s">
        <v>34</v>
      </c>
      <c r="D1373" s="6" t="s">
        <v>3326</v>
      </c>
      <c r="E1373" s="6" t="s">
        <v>167</v>
      </c>
      <c r="F1373" s="6" t="s">
        <v>103</v>
      </c>
      <c r="G1373" s="7">
        <v>0.24</v>
      </c>
      <c r="H1373" s="6" t="s">
        <v>1043</v>
      </c>
      <c r="I1373" s="6" t="s">
        <v>55</v>
      </c>
      <c r="J1373" s="6">
        <v>2025.0</v>
      </c>
      <c r="L1373" s="6">
        <v>1.0</v>
      </c>
      <c r="M1373" s="8">
        <f t="shared" si="1"/>
        <v>0.24</v>
      </c>
      <c r="P1373" s="9"/>
    </row>
    <row r="1374">
      <c r="A1374" s="6" t="s">
        <v>3327</v>
      </c>
      <c r="B1374" s="6" t="s">
        <v>194</v>
      </c>
      <c r="C1374" s="6" t="s">
        <v>23</v>
      </c>
      <c r="D1374" s="6" t="s">
        <v>3328</v>
      </c>
      <c r="E1374" s="6" t="s">
        <v>3329</v>
      </c>
      <c r="F1374" s="6" t="s">
        <v>284</v>
      </c>
      <c r="G1374" s="7">
        <v>0.14</v>
      </c>
      <c r="H1374" s="6" t="s">
        <v>99</v>
      </c>
      <c r="I1374" s="6" t="s">
        <v>20</v>
      </c>
      <c r="J1374" s="6">
        <v>2026.0</v>
      </c>
      <c r="L1374" s="6">
        <v>4.0</v>
      </c>
      <c r="M1374" s="8">
        <f t="shared" si="1"/>
        <v>0.56</v>
      </c>
      <c r="P1374" s="9"/>
    </row>
    <row r="1375">
      <c r="A1375" s="6" t="s">
        <v>3330</v>
      </c>
      <c r="B1375" s="6" t="s">
        <v>3331</v>
      </c>
      <c r="C1375" s="6" t="s">
        <v>41</v>
      </c>
      <c r="D1375" s="6" t="s">
        <v>3332</v>
      </c>
      <c r="E1375" s="6" t="s">
        <v>3333</v>
      </c>
      <c r="F1375" s="6" t="s">
        <v>874</v>
      </c>
      <c r="G1375" s="7">
        <v>0.4</v>
      </c>
      <c r="H1375" s="6" t="s">
        <v>1784</v>
      </c>
      <c r="I1375" s="6" t="s">
        <v>20</v>
      </c>
      <c r="J1375" s="6">
        <v>2013.0</v>
      </c>
      <c r="K1375" s="10">
        <v>46208.0</v>
      </c>
      <c r="L1375" s="6">
        <v>1.0</v>
      </c>
      <c r="M1375" s="8">
        <f t="shared" si="1"/>
        <v>0.4</v>
      </c>
      <c r="P1375" s="9"/>
    </row>
    <row r="1376">
      <c r="A1376" s="6" t="s">
        <v>3334</v>
      </c>
      <c r="B1376" s="6" t="s">
        <v>182</v>
      </c>
      <c r="C1376" s="6" t="s">
        <v>23</v>
      </c>
      <c r="D1376" s="6" t="s">
        <v>3335</v>
      </c>
      <c r="E1376" s="6" t="s">
        <v>533</v>
      </c>
      <c r="F1376" s="6" t="s">
        <v>65</v>
      </c>
      <c r="G1376" s="7">
        <v>0.15</v>
      </c>
      <c r="H1376" s="6" t="s">
        <v>663</v>
      </c>
      <c r="I1376" s="6" t="s">
        <v>20</v>
      </c>
      <c r="J1376" s="6">
        <v>2023.0</v>
      </c>
      <c r="L1376" s="6">
        <v>1.0</v>
      </c>
      <c r="M1376" s="8">
        <f t="shared" si="1"/>
        <v>0.15</v>
      </c>
      <c r="P1376" s="9"/>
    </row>
    <row r="1377">
      <c r="A1377" s="6" t="s">
        <v>3336</v>
      </c>
      <c r="B1377" s="6" t="s">
        <v>3337</v>
      </c>
      <c r="C1377" s="6" t="s">
        <v>48</v>
      </c>
      <c r="D1377" s="6" t="s">
        <v>3338</v>
      </c>
      <c r="E1377" s="6" t="s">
        <v>2039</v>
      </c>
      <c r="F1377" s="6" t="s">
        <v>261</v>
      </c>
      <c r="G1377" s="7">
        <v>0.1</v>
      </c>
      <c r="H1377" s="6" t="s">
        <v>113</v>
      </c>
      <c r="I1377" s="6" t="s">
        <v>20</v>
      </c>
      <c r="J1377" s="6">
        <v>2024.0</v>
      </c>
      <c r="K1377" s="10">
        <v>46083.0</v>
      </c>
      <c r="L1377" s="6">
        <v>2.0</v>
      </c>
      <c r="M1377" s="8">
        <f t="shared" si="1"/>
        <v>0.2</v>
      </c>
      <c r="P1377" s="9"/>
    </row>
    <row r="1378">
      <c r="A1378" s="6" t="s">
        <v>3339</v>
      </c>
      <c r="B1378" s="6" t="s">
        <v>2471</v>
      </c>
      <c r="C1378" s="6" t="s">
        <v>48</v>
      </c>
      <c r="D1378" s="6" t="s">
        <v>3340</v>
      </c>
      <c r="E1378" s="6" t="s">
        <v>25</v>
      </c>
      <c r="F1378" s="6" t="s">
        <v>18</v>
      </c>
      <c r="G1378" s="7">
        <v>0.18</v>
      </c>
      <c r="H1378" s="6" t="s">
        <v>204</v>
      </c>
      <c r="I1378" s="6" t="s">
        <v>20</v>
      </c>
      <c r="J1378" s="6">
        <v>2026.0</v>
      </c>
      <c r="K1378" s="10">
        <v>46083.0</v>
      </c>
      <c r="L1378" s="6">
        <v>1.0</v>
      </c>
      <c r="M1378" s="8">
        <f t="shared" si="1"/>
        <v>0.18</v>
      </c>
      <c r="P1378" s="9"/>
    </row>
    <row r="1379">
      <c r="A1379" s="6" t="s">
        <v>3341</v>
      </c>
      <c r="B1379" s="6" t="s">
        <v>592</v>
      </c>
      <c r="C1379" s="6" t="s">
        <v>48</v>
      </c>
      <c r="D1379" s="6" t="s">
        <v>3342</v>
      </c>
      <c r="E1379" s="6" t="s">
        <v>298</v>
      </c>
      <c r="F1379" s="6" t="s">
        <v>159</v>
      </c>
      <c r="G1379" s="7">
        <v>0.11</v>
      </c>
      <c r="H1379" s="6" t="s">
        <v>675</v>
      </c>
      <c r="I1379" s="6" t="s">
        <v>20</v>
      </c>
      <c r="J1379" s="6">
        <v>2025.0</v>
      </c>
      <c r="L1379" s="6">
        <v>1.0</v>
      </c>
      <c r="M1379" s="8">
        <f t="shared" si="1"/>
        <v>0.11</v>
      </c>
      <c r="P1379" s="9"/>
    </row>
    <row r="1380">
      <c r="A1380" s="6" t="s">
        <v>3343</v>
      </c>
      <c r="B1380" s="6" t="s">
        <v>860</v>
      </c>
      <c r="C1380" s="6" t="s">
        <v>48</v>
      </c>
      <c r="D1380" s="6" t="s">
        <v>3344</v>
      </c>
      <c r="E1380" s="6" t="s">
        <v>118</v>
      </c>
      <c r="F1380" s="6" t="s">
        <v>51</v>
      </c>
      <c r="G1380" s="7">
        <v>0.05</v>
      </c>
      <c r="H1380" s="6" t="s">
        <v>641</v>
      </c>
      <c r="I1380" s="6" t="s">
        <v>20</v>
      </c>
      <c r="J1380" s="6">
        <v>2026.0</v>
      </c>
      <c r="K1380" s="10">
        <v>46117.0</v>
      </c>
      <c r="L1380" s="6">
        <v>1.0</v>
      </c>
      <c r="M1380" s="8">
        <f t="shared" si="1"/>
        <v>0.05</v>
      </c>
      <c r="P1380" s="9"/>
    </row>
    <row r="1381">
      <c r="A1381" s="6" t="s">
        <v>3345</v>
      </c>
      <c r="B1381" s="6" t="s">
        <v>182</v>
      </c>
      <c r="C1381" s="6" t="s">
        <v>48</v>
      </c>
      <c r="D1381" s="6" t="s">
        <v>3346</v>
      </c>
      <c r="E1381" s="6" t="s">
        <v>102</v>
      </c>
      <c r="F1381" s="6" t="s">
        <v>103</v>
      </c>
      <c r="G1381" s="7">
        <v>0.25</v>
      </c>
      <c r="H1381" s="6" t="s">
        <v>204</v>
      </c>
      <c r="I1381" s="6" t="s">
        <v>20</v>
      </c>
      <c r="J1381" s="6">
        <v>2026.0</v>
      </c>
      <c r="L1381" s="6">
        <v>1.0</v>
      </c>
      <c r="M1381" s="8">
        <f t="shared" si="1"/>
        <v>0.25</v>
      </c>
      <c r="P1381" s="9"/>
    </row>
    <row r="1382">
      <c r="A1382" s="6" t="s">
        <v>3347</v>
      </c>
      <c r="B1382" s="6" t="s">
        <v>57</v>
      </c>
      <c r="C1382" s="6" t="s">
        <v>48</v>
      </c>
      <c r="D1382" s="6" t="s">
        <v>3348</v>
      </c>
      <c r="E1382" s="6" t="s">
        <v>36</v>
      </c>
      <c r="F1382" s="6" t="s">
        <v>37</v>
      </c>
      <c r="G1382" s="7">
        <v>0.47</v>
      </c>
      <c r="H1382" s="6" t="s">
        <v>45</v>
      </c>
      <c r="I1382" s="6" t="s">
        <v>55</v>
      </c>
      <c r="J1382" s="6">
        <v>2025.0</v>
      </c>
      <c r="L1382" s="6">
        <v>1.0</v>
      </c>
      <c r="M1382" s="8">
        <f t="shared" si="1"/>
        <v>0.47</v>
      </c>
      <c r="P1382" s="9"/>
    </row>
    <row r="1383">
      <c r="A1383" s="6" t="s">
        <v>3349</v>
      </c>
      <c r="B1383" s="6" t="s">
        <v>202</v>
      </c>
      <c r="C1383" s="6" t="s">
        <v>48</v>
      </c>
      <c r="D1383" s="6" t="s">
        <v>3350</v>
      </c>
      <c r="E1383" s="6" t="s">
        <v>149</v>
      </c>
      <c r="F1383" s="6" t="s">
        <v>18</v>
      </c>
      <c r="G1383" s="7">
        <v>0.06</v>
      </c>
      <c r="H1383" s="6" t="s">
        <v>1084</v>
      </c>
      <c r="I1383" s="6" t="s">
        <v>20</v>
      </c>
      <c r="J1383" s="6">
        <v>2018.0</v>
      </c>
      <c r="L1383" s="6">
        <v>1.0</v>
      </c>
      <c r="M1383" s="8">
        <f t="shared" si="1"/>
        <v>0.06</v>
      </c>
      <c r="N1383" s="6" t="s">
        <v>518</v>
      </c>
      <c r="P1383" s="9"/>
    </row>
    <row r="1384">
      <c r="A1384" s="6" t="s">
        <v>3351</v>
      </c>
      <c r="B1384" s="6" t="s">
        <v>796</v>
      </c>
      <c r="C1384" s="6" t="s">
        <v>15</v>
      </c>
      <c r="D1384" s="6" t="s">
        <v>3352</v>
      </c>
      <c r="E1384" s="6" t="s">
        <v>3353</v>
      </c>
      <c r="F1384" s="6" t="s">
        <v>1732</v>
      </c>
      <c r="G1384" s="7">
        <v>0.05</v>
      </c>
      <c r="H1384" s="6" t="s">
        <v>483</v>
      </c>
      <c r="I1384" s="6" t="s">
        <v>20</v>
      </c>
      <c r="J1384" s="6">
        <v>2014.0</v>
      </c>
      <c r="L1384" s="6">
        <v>1.0</v>
      </c>
      <c r="M1384" s="8">
        <f t="shared" si="1"/>
        <v>0.05</v>
      </c>
      <c r="P1384" s="9"/>
    </row>
    <row r="1385">
      <c r="A1385" s="6" t="s">
        <v>3354</v>
      </c>
      <c r="B1385" s="6" t="s">
        <v>263</v>
      </c>
      <c r="C1385" s="6" t="s">
        <v>48</v>
      </c>
      <c r="D1385" s="6" t="s">
        <v>3355</v>
      </c>
      <c r="E1385" s="6" t="s">
        <v>1250</v>
      </c>
      <c r="F1385" s="6" t="s">
        <v>60</v>
      </c>
      <c r="G1385" s="7">
        <v>0.1</v>
      </c>
      <c r="H1385" s="6" t="s">
        <v>104</v>
      </c>
      <c r="I1385" s="6" t="s">
        <v>20</v>
      </c>
      <c r="J1385" s="6">
        <v>2018.0</v>
      </c>
      <c r="K1385" s="6" t="s">
        <v>2419</v>
      </c>
      <c r="L1385" s="6">
        <v>1.0</v>
      </c>
      <c r="M1385" s="8">
        <f t="shared" si="1"/>
        <v>0.1</v>
      </c>
      <c r="P1385" s="9"/>
    </row>
    <row r="1386">
      <c r="A1386" s="6" t="s">
        <v>3356</v>
      </c>
      <c r="B1386" s="6" t="s">
        <v>3357</v>
      </c>
      <c r="C1386" s="6" t="s">
        <v>23</v>
      </c>
      <c r="D1386" s="6" t="s">
        <v>3358</v>
      </c>
      <c r="E1386" s="6" t="s">
        <v>118</v>
      </c>
      <c r="F1386" s="6" t="s">
        <v>51</v>
      </c>
      <c r="G1386" s="7">
        <v>0.06</v>
      </c>
      <c r="H1386" s="6" t="s">
        <v>184</v>
      </c>
      <c r="I1386" s="6" t="s">
        <v>20</v>
      </c>
      <c r="J1386" s="6">
        <v>2015.0</v>
      </c>
      <c r="K1386" s="10">
        <v>46023.0</v>
      </c>
      <c r="L1386" s="6">
        <v>5.0</v>
      </c>
      <c r="M1386" s="8">
        <f t="shared" si="1"/>
        <v>0.3</v>
      </c>
      <c r="P1386" s="9"/>
    </row>
    <row r="1387">
      <c r="A1387" s="6" t="s">
        <v>3359</v>
      </c>
      <c r="B1387" s="6" t="s">
        <v>62</v>
      </c>
      <c r="C1387" s="6" t="s">
        <v>23</v>
      </c>
      <c r="D1387" s="6" t="s">
        <v>3360</v>
      </c>
      <c r="E1387" s="6" t="s">
        <v>175</v>
      </c>
      <c r="F1387" s="6" t="s">
        <v>51</v>
      </c>
      <c r="G1387" s="7">
        <v>0.06</v>
      </c>
      <c r="H1387" s="6" t="s">
        <v>184</v>
      </c>
      <c r="I1387" s="6" t="s">
        <v>20</v>
      </c>
      <c r="J1387" s="6">
        <v>2015.0</v>
      </c>
      <c r="L1387" s="6">
        <v>3.0</v>
      </c>
      <c r="M1387" s="8">
        <f t="shared" si="1"/>
        <v>0.18</v>
      </c>
      <c r="P1387" s="9"/>
    </row>
    <row r="1388">
      <c r="A1388" s="6" t="s">
        <v>3361</v>
      </c>
      <c r="B1388" s="6" t="s">
        <v>3362</v>
      </c>
      <c r="C1388" s="6" t="s">
        <v>23</v>
      </c>
      <c r="D1388" s="6" t="s">
        <v>3363</v>
      </c>
      <c r="E1388" s="6" t="s">
        <v>64</v>
      </c>
      <c r="F1388" s="6" t="s">
        <v>65</v>
      </c>
      <c r="G1388" s="7">
        <v>0.09</v>
      </c>
      <c r="H1388" s="6" t="s">
        <v>289</v>
      </c>
      <c r="I1388" s="6" t="s">
        <v>20</v>
      </c>
      <c r="J1388" s="6">
        <v>1996.0</v>
      </c>
      <c r="K1388" s="10">
        <v>46055.0</v>
      </c>
      <c r="L1388" s="6">
        <v>1.0</v>
      </c>
      <c r="M1388" s="8">
        <f t="shared" si="1"/>
        <v>0.09</v>
      </c>
      <c r="P1388" s="9"/>
    </row>
    <row r="1389">
      <c r="A1389" s="6" t="s">
        <v>3364</v>
      </c>
      <c r="B1389" s="6" t="s">
        <v>796</v>
      </c>
      <c r="C1389" s="6" t="s">
        <v>15</v>
      </c>
      <c r="D1389" s="6" t="s">
        <v>3365</v>
      </c>
      <c r="E1389" s="6" t="s">
        <v>618</v>
      </c>
      <c r="F1389" s="6" t="s">
        <v>159</v>
      </c>
      <c r="G1389" s="7">
        <v>0.18</v>
      </c>
      <c r="H1389" s="6" t="s">
        <v>19</v>
      </c>
      <c r="I1389" s="6" t="s">
        <v>20</v>
      </c>
      <c r="J1389" s="6">
        <v>2023.0</v>
      </c>
      <c r="L1389" s="6">
        <v>1.0</v>
      </c>
      <c r="M1389" s="8">
        <f t="shared" si="1"/>
        <v>0.18</v>
      </c>
      <c r="P1389" s="9"/>
    </row>
    <row r="1390">
      <c r="A1390" s="6" t="s">
        <v>3366</v>
      </c>
      <c r="B1390" s="6" t="s">
        <v>372</v>
      </c>
      <c r="C1390" s="6" t="s">
        <v>48</v>
      </c>
      <c r="D1390" s="6" t="s">
        <v>3367</v>
      </c>
      <c r="E1390" s="6" t="s">
        <v>149</v>
      </c>
      <c r="F1390" s="6" t="s">
        <v>18</v>
      </c>
      <c r="G1390" s="7">
        <v>0.27</v>
      </c>
      <c r="H1390" s="6" t="s">
        <v>188</v>
      </c>
      <c r="I1390" s="6" t="s">
        <v>20</v>
      </c>
      <c r="J1390" s="6">
        <v>2014.0</v>
      </c>
      <c r="L1390" s="6">
        <v>3.0</v>
      </c>
      <c r="M1390" s="8">
        <f t="shared" si="1"/>
        <v>0.81</v>
      </c>
      <c r="P1390" s="9"/>
    </row>
    <row r="1391">
      <c r="A1391" s="6" t="s">
        <v>3368</v>
      </c>
      <c r="B1391" s="6" t="s">
        <v>57</v>
      </c>
      <c r="C1391" s="6" t="s">
        <v>48</v>
      </c>
      <c r="D1391" s="6" t="s">
        <v>3369</v>
      </c>
      <c r="E1391" s="6" t="s">
        <v>175</v>
      </c>
      <c r="F1391" s="6" t="s">
        <v>51</v>
      </c>
      <c r="G1391" s="7">
        <v>0.25</v>
      </c>
      <c r="H1391" s="6" t="s">
        <v>45</v>
      </c>
      <c r="I1391" s="6" t="s">
        <v>20</v>
      </c>
      <c r="J1391" s="6">
        <v>2025.0</v>
      </c>
      <c r="L1391" s="6">
        <v>1.0</v>
      </c>
      <c r="M1391" s="8">
        <f t="shared" si="1"/>
        <v>0.25</v>
      </c>
      <c r="P1391" s="9"/>
    </row>
    <row r="1392">
      <c r="A1392" s="6" t="s">
        <v>3370</v>
      </c>
      <c r="B1392" s="6" t="s">
        <v>543</v>
      </c>
      <c r="C1392" s="6" t="s">
        <v>23</v>
      </c>
      <c r="D1392" s="6" t="s">
        <v>3371</v>
      </c>
      <c r="E1392" s="6" t="s">
        <v>248</v>
      </c>
      <c r="F1392" s="6" t="s">
        <v>18</v>
      </c>
      <c r="G1392" s="7">
        <v>0.19</v>
      </c>
      <c r="H1392" s="6" t="s">
        <v>645</v>
      </c>
      <c r="I1392" s="6" t="s">
        <v>20</v>
      </c>
      <c r="J1392" s="6">
        <v>2024.0</v>
      </c>
      <c r="L1392" s="6">
        <v>1.0</v>
      </c>
      <c r="M1392" s="8">
        <f t="shared" si="1"/>
        <v>0.19</v>
      </c>
      <c r="P1392" s="9"/>
    </row>
    <row r="1393">
      <c r="A1393" s="6" t="s">
        <v>3372</v>
      </c>
      <c r="B1393" s="6" t="s">
        <v>3373</v>
      </c>
      <c r="C1393" s="6" t="s">
        <v>48</v>
      </c>
      <c r="D1393" s="6" t="s">
        <v>3374</v>
      </c>
      <c r="E1393" s="6" t="s">
        <v>124</v>
      </c>
      <c r="F1393" s="6" t="s">
        <v>103</v>
      </c>
      <c r="G1393" s="7">
        <v>0.1</v>
      </c>
      <c r="H1393" s="6" t="s">
        <v>1933</v>
      </c>
      <c r="I1393" s="6" t="s">
        <v>20</v>
      </c>
      <c r="J1393" s="6">
        <v>2020.0</v>
      </c>
      <c r="K1393" s="10">
        <v>46055.0</v>
      </c>
      <c r="L1393" s="6">
        <v>1.0</v>
      </c>
      <c r="M1393" s="8">
        <f t="shared" si="1"/>
        <v>0.1</v>
      </c>
      <c r="P1393" s="9"/>
    </row>
    <row r="1394">
      <c r="A1394" s="6" t="s">
        <v>3375</v>
      </c>
      <c r="B1394" s="6" t="s">
        <v>796</v>
      </c>
      <c r="C1394" s="6" t="s">
        <v>15</v>
      </c>
      <c r="D1394" s="6" t="s">
        <v>3376</v>
      </c>
      <c r="E1394" s="6" t="s">
        <v>391</v>
      </c>
      <c r="F1394" s="6" t="s">
        <v>159</v>
      </c>
      <c r="G1394" s="7">
        <v>0.05</v>
      </c>
      <c r="H1394" s="6" t="s">
        <v>483</v>
      </c>
      <c r="I1394" s="6" t="s">
        <v>20</v>
      </c>
      <c r="J1394" s="6">
        <v>2014.0</v>
      </c>
      <c r="L1394" s="6">
        <v>1.0</v>
      </c>
      <c r="M1394" s="8">
        <f t="shared" si="1"/>
        <v>0.05</v>
      </c>
      <c r="P1394" s="9"/>
    </row>
    <row r="1395">
      <c r="A1395" s="6" t="s">
        <v>3377</v>
      </c>
      <c r="B1395" s="6" t="s">
        <v>3378</v>
      </c>
      <c r="C1395" s="6" t="s">
        <v>212</v>
      </c>
      <c r="D1395" s="6" t="s">
        <v>3379</v>
      </c>
      <c r="E1395" s="6" t="s">
        <v>2028</v>
      </c>
      <c r="F1395" s="6" t="s">
        <v>103</v>
      </c>
      <c r="G1395" s="7">
        <v>0.44</v>
      </c>
      <c r="H1395" s="6" t="s">
        <v>1043</v>
      </c>
      <c r="I1395" s="6" t="s">
        <v>20</v>
      </c>
      <c r="J1395" s="6">
        <v>2025.0</v>
      </c>
      <c r="K1395" s="10">
        <v>46298.0</v>
      </c>
      <c r="L1395" s="6">
        <v>1.0</v>
      </c>
      <c r="M1395" s="8">
        <f t="shared" si="1"/>
        <v>0.44</v>
      </c>
      <c r="P1395" s="9"/>
    </row>
    <row r="1396">
      <c r="A1396" s="6" t="s">
        <v>3380</v>
      </c>
      <c r="B1396" s="6" t="s">
        <v>871</v>
      </c>
      <c r="C1396" s="6" t="s">
        <v>48</v>
      </c>
      <c r="D1396" s="6" t="s">
        <v>3381</v>
      </c>
      <c r="E1396" s="6" t="s">
        <v>223</v>
      </c>
      <c r="F1396" s="6" t="s">
        <v>159</v>
      </c>
      <c r="G1396" s="7">
        <v>0.17</v>
      </c>
      <c r="H1396" s="6" t="s">
        <v>204</v>
      </c>
      <c r="I1396" s="6" t="s">
        <v>20</v>
      </c>
      <c r="J1396" s="6">
        <v>2026.0</v>
      </c>
      <c r="K1396" s="10">
        <v>46055.0</v>
      </c>
      <c r="L1396" s="6">
        <v>1.0</v>
      </c>
      <c r="M1396" s="8">
        <f t="shared" si="1"/>
        <v>0.17</v>
      </c>
      <c r="P1396" s="9"/>
    </row>
    <row r="1397">
      <c r="A1397" s="6" t="s">
        <v>3382</v>
      </c>
      <c r="B1397" s="6" t="s">
        <v>206</v>
      </c>
      <c r="C1397" s="6" t="s">
        <v>15</v>
      </c>
      <c r="D1397" s="6" t="s">
        <v>3383</v>
      </c>
      <c r="E1397" s="6" t="s">
        <v>3384</v>
      </c>
      <c r="F1397" s="6" t="s">
        <v>65</v>
      </c>
      <c r="G1397" s="7">
        <v>0.2</v>
      </c>
      <c r="H1397" s="6" t="s">
        <v>19</v>
      </c>
      <c r="I1397" s="6" t="s">
        <v>20</v>
      </c>
      <c r="J1397" s="6">
        <v>2023.0</v>
      </c>
      <c r="K1397" s="10">
        <v>46117.0</v>
      </c>
      <c r="L1397" s="6">
        <v>1.0</v>
      </c>
      <c r="M1397" s="8">
        <f t="shared" si="1"/>
        <v>0.2</v>
      </c>
      <c r="P1397" s="9"/>
    </row>
    <row r="1398">
      <c r="A1398" s="6" t="s">
        <v>3385</v>
      </c>
      <c r="B1398" s="6" t="s">
        <v>3386</v>
      </c>
      <c r="C1398" s="6" t="s">
        <v>48</v>
      </c>
      <c r="D1398" s="6" t="s">
        <v>3387</v>
      </c>
      <c r="E1398" s="6" t="s">
        <v>79</v>
      </c>
      <c r="F1398" s="6" t="s">
        <v>51</v>
      </c>
      <c r="G1398" s="7">
        <v>0.25</v>
      </c>
      <c r="H1398" s="6" t="s">
        <v>19</v>
      </c>
      <c r="I1398" s="6" t="s">
        <v>20</v>
      </c>
      <c r="J1398" s="6">
        <v>2023.0</v>
      </c>
      <c r="K1398" s="10">
        <v>46114.0</v>
      </c>
      <c r="L1398" s="6">
        <v>1.0</v>
      </c>
      <c r="M1398" s="8">
        <f t="shared" si="1"/>
        <v>0.25</v>
      </c>
      <c r="P1398" s="9"/>
    </row>
    <row r="1399">
      <c r="A1399" s="6" t="s">
        <v>3388</v>
      </c>
      <c r="B1399" s="6" t="s">
        <v>729</v>
      </c>
      <c r="C1399" s="6" t="s">
        <v>23</v>
      </c>
      <c r="D1399" s="6" t="s">
        <v>3389</v>
      </c>
      <c r="E1399" s="6" t="s">
        <v>3390</v>
      </c>
      <c r="F1399" s="6" t="s">
        <v>986</v>
      </c>
      <c r="G1399" s="7">
        <v>0.05</v>
      </c>
      <c r="H1399" s="6" t="s">
        <v>192</v>
      </c>
      <c r="I1399" s="6" t="s">
        <v>20</v>
      </c>
      <c r="J1399" s="6">
        <v>2026.0</v>
      </c>
      <c r="K1399" s="10">
        <v>46024.0</v>
      </c>
      <c r="L1399" s="6">
        <v>4.0</v>
      </c>
      <c r="M1399" s="8">
        <f t="shared" si="1"/>
        <v>0.2</v>
      </c>
      <c r="P1399" s="9"/>
    </row>
    <row r="1400">
      <c r="A1400" s="6" t="s">
        <v>3391</v>
      </c>
      <c r="B1400" s="6" t="s">
        <v>372</v>
      </c>
      <c r="C1400" s="6" t="s">
        <v>23</v>
      </c>
      <c r="D1400" s="6" t="s">
        <v>3392</v>
      </c>
      <c r="E1400" s="6" t="s">
        <v>196</v>
      </c>
      <c r="F1400" s="6" t="s">
        <v>65</v>
      </c>
      <c r="G1400" s="7">
        <v>0.04</v>
      </c>
      <c r="H1400" s="6" t="s">
        <v>276</v>
      </c>
      <c r="I1400" s="6" t="s">
        <v>20</v>
      </c>
      <c r="J1400" s="6">
        <v>2014.0</v>
      </c>
      <c r="L1400" s="6">
        <v>1.0</v>
      </c>
      <c r="M1400" s="8">
        <f t="shared" si="1"/>
        <v>0.04</v>
      </c>
      <c r="P1400" s="9"/>
    </row>
    <row r="1401">
      <c r="A1401" s="6" t="s">
        <v>3393</v>
      </c>
      <c r="B1401" s="6" t="s">
        <v>694</v>
      </c>
      <c r="C1401" s="6" t="s">
        <v>48</v>
      </c>
      <c r="D1401" s="6" t="s">
        <v>3394</v>
      </c>
      <c r="E1401" s="6" t="s">
        <v>890</v>
      </c>
      <c r="F1401" s="6" t="s">
        <v>37</v>
      </c>
      <c r="G1401" s="7">
        <v>0.05</v>
      </c>
      <c r="H1401" s="6" t="s">
        <v>93</v>
      </c>
      <c r="I1401" s="6" t="s">
        <v>20</v>
      </c>
      <c r="J1401" s="6">
        <v>2016.0</v>
      </c>
      <c r="K1401" s="10">
        <v>46145.0</v>
      </c>
      <c r="L1401" s="6">
        <v>1.0</v>
      </c>
      <c r="M1401" s="8">
        <f t="shared" si="1"/>
        <v>0.05</v>
      </c>
      <c r="P1401" s="9"/>
    </row>
    <row r="1402">
      <c r="A1402" s="6" t="s">
        <v>3395</v>
      </c>
      <c r="B1402" s="6" t="s">
        <v>3396</v>
      </c>
      <c r="C1402" s="6" t="s">
        <v>23</v>
      </c>
      <c r="D1402" s="6" t="s">
        <v>3397</v>
      </c>
      <c r="E1402" s="6" t="s">
        <v>118</v>
      </c>
      <c r="F1402" s="6" t="s">
        <v>51</v>
      </c>
      <c r="G1402" s="7">
        <v>0.06</v>
      </c>
      <c r="H1402" s="6" t="s">
        <v>418</v>
      </c>
      <c r="I1402" s="6" t="s">
        <v>20</v>
      </c>
      <c r="J1402" s="6">
        <v>2022.0</v>
      </c>
      <c r="K1402" s="10">
        <v>46055.0</v>
      </c>
      <c r="L1402" s="6">
        <v>1.0</v>
      </c>
      <c r="M1402" s="8">
        <f t="shared" si="1"/>
        <v>0.06</v>
      </c>
      <c r="P1402" s="9"/>
    </row>
    <row r="1403">
      <c r="A1403" s="6" t="s">
        <v>3398</v>
      </c>
      <c r="B1403" s="6" t="s">
        <v>202</v>
      </c>
      <c r="C1403" s="6" t="s">
        <v>48</v>
      </c>
      <c r="D1403" s="6" t="s">
        <v>3399</v>
      </c>
      <c r="E1403" s="6" t="s">
        <v>149</v>
      </c>
      <c r="F1403" s="6" t="s">
        <v>18</v>
      </c>
      <c r="G1403" s="7">
        <v>0.06</v>
      </c>
      <c r="H1403" s="6" t="s">
        <v>316</v>
      </c>
      <c r="I1403" s="6" t="s">
        <v>20</v>
      </c>
      <c r="J1403" s="6">
        <v>2016.0</v>
      </c>
      <c r="L1403" s="6">
        <v>1.0</v>
      </c>
      <c r="M1403" s="8">
        <f t="shared" si="1"/>
        <v>0.06</v>
      </c>
      <c r="P1403" s="9"/>
    </row>
    <row r="1404">
      <c r="A1404" s="6" t="s">
        <v>3400</v>
      </c>
      <c r="B1404" s="6" t="s">
        <v>151</v>
      </c>
      <c r="C1404" s="6" t="s">
        <v>48</v>
      </c>
      <c r="D1404" s="6" t="s">
        <v>3401</v>
      </c>
      <c r="E1404" s="6" t="s">
        <v>149</v>
      </c>
      <c r="F1404" s="6" t="s">
        <v>18</v>
      </c>
      <c r="G1404" s="7">
        <v>0.05</v>
      </c>
      <c r="H1404" s="6" t="s">
        <v>93</v>
      </c>
      <c r="I1404" s="6" t="s">
        <v>20</v>
      </c>
      <c r="J1404" s="6">
        <v>2016.0</v>
      </c>
      <c r="K1404" s="10">
        <v>46082.0</v>
      </c>
      <c r="L1404" s="6">
        <v>1.0</v>
      </c>
      <c r="M1404" s="8">
        <f t="shared" si="1"/>
        <v>0.05</v>
      </c>
      <c r="P1404" s="9"/>
    </row>
    <row r="1405">
      <c r="A1405" s="6" t="s">
        <v>3402</v>
      </c>
      <c r="B1405" s="6" t="s">
        <v>673</v>
      </c>
      <c r="C1405" s="6" t="s">
        <v>23</v>
      </c>
      <c r="D1405" s="6" t="s">
        <v>3403</v>
      </c>
      <c r="E1405" s="6" t="s">
        <v>102</v>
      </c>
      <c r="F1405" s="6" t="s">
        <v>103</v>
      </c>
      <c r="G1405" s="7">
        <v>0.09</v>
      </c>
      <c r="H1405" s="6" t="s">
        <v>119</v>
      </c>
      <c r="I1405" s="6" t="s">
        <v>20</v>
      </c>
      <c r="J1405" s="6">
        <v>1995.0</v>
      </c>
      <c r="K1405" s="10">
        <v>46083.0</v>
      </c>
      <c r="L1405" s="6">
        <v>4.0</v>
      </c>
      <c r="M1405" s="8">
        <f t="shared" si="1"/>
        <v>0.36</v>
      </c>
      <c r="P1405" s="9"/>
    </row>
    <row r="1406">
      <c r="A1406" s="6" t="s">
        <v>3402</v>
      </c>
      <c r="B1406" s="6" t="s">
        <v>673</v>
      </c>
      <c r="C1406" s="6" t="s">
        <v>23</v>
      </c>
      <c r="D1406" s="6" t="s">
        <v>3403</v>
      </c>
      <c r="E1406" s="6" t="s">
        <v>102</v>
      </c>
      <c r="F1406" s="6" t="s">
        <v>103</v>
      </c>
      <c r="G1406" s="7">
        <v>0.14</v>
      </c>
      <c r="H1406" s="6" t="s">
        <v>120</v>
      </c>
      <c r="I1406" s="6" t="s">
        <v>20</v>
      </c>
      <c r="J1406" s="6">
        <v>1995.0</v>
      </c>
      <c r="K1406" s="10">
        <v>46083.0</v>
      </c>
      <c r="L1406" s="6">
        <v>2.0</v>
      </c>
      <c r="M1406" s="8">
        <f t="shared" si="1"/>
        <v>0.28</v>
      </c>
      <c r="P1406" s="9"/>
    </row>
    <row r="1407">
      <c r="A1407" s="6" t="s">
        <v>3402</v>
      </c>
      <c r="B1407" s="6" t="s">
        <v>673</v>
      </c>
      <c r="C1407" s="6" t="s">
        <v>23</v>
      </c>
      <c r="D1407" s="6" t="s">
        <v>3403</v>
      </c>
      <c r="E1407" s="6" t="s">
        <v>102</v>
      </c>
      <c r="F1407" s="6" t="s">
        <v>103</v>
      </c>
      <c r="G1407" s="7">
        <v>0.2</v>
      </c>
      <c r="H1407" s="6" t="s">
        <v>607</v>
      </c>
      <c r="I1407" s="6" t="s">
        <v>20</v>
      </c>
      <c r="J1407" s="6">
        <v>1994.0</v>
      </c>
      <c r="K1407" s="10">
        <v>46083.0</v>
      </c>
      <c r="L1407" s="6">
        <v>1.0</v>
      </c>
      <c r="M1407" s="8">
        <f t="shared" si="1"/>
        <v>0.2</v>
      </c>
      <c r="P1407" s="9"/>
    </row>
    <row r="1408">
      <c r="A1408" s="6" t="s">
        <v>3404</v>
      </c>
      <c r="B1408" s="6" t="s">
        <v>131</v>
      </c>
      <c r="C1408" s="6" t="s">
        <v>23</v>
      </c>
      <c r="D1408" s="6" t="s">
        <v>3405</v>
      </c>
      <c r="E1408" s="6" t="s">
        <v>79</v>
      </c>
      <c r="F1408" s="6" t="s">
        <v>51</v>
      </c>
      <c r="G1408" s="7">
        <v>0.08</v>
      </c>
      <c r="H1408" s="6" t="s">
        <v>19</v>
      </c>
      <c r="I1408" s="6" t="s">
        <v>20</v>
      </c>
      <c r="J1408" s="6">
        <v>2023.0</v>
      </c>
      <c r="K1408" s="10">
        <v>46056.0</v>
      </c>
      <c r="L1408" s="6">
        <v>1.0</v>
      </c>
      <c r="M1408" s="8">
        <f t="shared" si="1"/>
        <v>0.08</v>
      </c>
      <c r="P1408" s="9"/>
    </row>
    <row r="1409">
      <c r="A1409" s="6" t="s">
        <v>3406</v>
      </c>
      <c r="B1409" s="6" t="s">
        <v>3407</v>
      </c>
      <c r="C1409" s="6" t="s">
        <v>23</v>
      </c>
      <c r="D1409" s="6" t="s">
        <v>3408</v>
      </c>
      <c r="E1409" s="6" t="s">
        <v>118</v>
      </c>
      <c r="F1409" s="6" t="s">
        <v>51</v>
      </c>
      <c r="G1409" s="7">
        <v>0.06</v>
      </c>
      <c r="H1409" s="6" t="s">
        <v>565</v>
      </c>
      <c r="I1409" s="6" t="s">
        <v>20</v>
      </c>
      <c r="J1409" s="6">
        <v>2021.0</v>
      </c>
      <c r="K1409" s="10">
        <v>46023.0</v>
      </c>
      <c r="L1409" s="6">
        <v>1.0</v>
      </c>
      <c r="M1409" s="8">
        <f t="shared" si="1"/>
        <v>0.06</v>
      </c>
      <c r="N1409" s="6" t="s">
        <v>518</v>
      </c>
      <c r="P1409" s="9"/>
    </row>
    <row r="1410">
      <c r="A1410" s="6" t="s">
        <v>3409</v>
      </c>
      <c r="B1410" s="6" t="s">
        <v>366</v>
      </c>
      <c r="C1410" s="6" t="s">
        <v>23</v>
      </c>
      <c r="D1410" s="6" t="s">
        <v>3410</v>
      </c>
      <c r="E1410" s="6" t="s">
        <v>112</v>
      </c>
      <c r="F1410" s="6" t="s">
        <v>65</v>
      </c>
      <c r="G1410" s="7">
        <v>0.08</v>
      </c>
      <c r="H1410" s="6" t="s">
        <v>245</v>
      </c>
      <c r="I1410" s="6" t="s">
        <v>20</v>
      </c>
      <c r="J1410" s="6">
        <v>1995.0</v>
      </c>
      <c r="L1410" s="6">
        <v>3.0</v>
      </c>
      <c r="M1410" s="8">
        <f t="shared" si="1"/>
        <v>0.24</v>
      </c>
      <c r="P1410" s="9"/>
    </row>
    <row r="1411">
      <c r="A1411" s="6" t="s">
        <v>3411</v>
      </c>
      <c r="B1411" s="6" t="s">
        <v>3412</v>
      </c>
      <c r="C1411" s="6" t="s">
        <v>23</v>
      </c>
      <c r="D1411" s="6" t="s">
        <v>3413</v>
      </c>
      <c r="E1411" s="6" t="s">
        <v>25</v>
      </c>
      <c r="F1411" s="6" t="s">
        <v>18</v>
      </c>
      <c r="G1411" s="7">
        <v>0.05</v>
      </c>
      <c r="H1411" s="6" t="s">
        <v>645</v>
      </c>
      <c r="I1411" s="6" t="s">
        <v>20</v>
      </c>
      <c r="J1411" s="6">
        <v>2024.0</v>
      </c>
      <c r="K1411" s="10">
        <v>46082.0</v>
      </c>
      <c r="L1411" s="6">
        <v>1.0</v>
      </c>
      <c r="M1411" s="8">
        <f t="shared" si="1"/>
        <v>0.05</v>
      </c>
      <c r="P1411" s="9"/>
    </row>
    <row r="1412">
      <c r="A1412" s="6" t="s">
        <v>3414</v>
      </c>
      <c r="B1412" s="6" t="s">
        <v>62</v>
      </c>
      <c r="C1412" s="6" t="s">
        <v>48</v>
      </c>
      <c r="D1412" s="6" t="s">
        <v>3415</v>
      </c>
      <c r="E1412" s="6" t="s">
        <v>293</v>
      </c>
      <c r="F1412" s="6" t="s">
        <v>18</v>
      </c>
      <c r="G1412" s="7">
        <v>0.1</v>
      </c>
      <c r="H1412" s="6" t="s">
        <v>136</v>
      </c>
      <c r="I1412" s="6" t="s">
        <v>20</v>
      </c>
      <c r="J1412" s="6">
        <v>2022.0</v>
      </c>
      <c r="L1412" s="6">
        <v>1.0</v>
      </c>
      <c r="M1412" s="8">
        <f t="shared" si="1"/>
        <v>0.1</v>
      </c>
      <c r="P1412" s="9"/>
    </row>
    <row r="1413">
      <c r="A1413" s="6" t="s">
        <v>3416</v>
      </c>
      <c r="B1413" s="6" t="s">
        <v>3417</v>
      </c>
      <c r="C1413" s="6" t="s">
        <v>23</v>
      </c>
      <c r="D1413" s="6" t="s">
        <v>3418</v>
      </c>
      <c r="E1413" s="6" t="s">
        <v>149</v>
      </c>
      <c r="F1413" s="6" t="s">
        <v>18</v>
      </c>
      <c r="G1413" s="7">
        <v>0.05</v>
      </c>
      <c r="H1413" s="6" t="s">
        <v>911</v>
      </c>
      <c r="I1413" s="6" t="s">
        <v>20</v>
      </c>
      <c r="J1413" s="6">
        <v>2001.0</v>
      </c>
      <c r="K1413" s="10">
        <v>46023.0</v>
      </c>
      <c r="L1413" s="6">
        <v>1.0</v>
      </c>
      <c r="M1413" s="8">
        <f t="shared" si="1"/>
        <v>0.05</v>
      </c>
      <c r="P1413" s="9"/>
    </row>
    <row r="1414">
      <c r="A1414" s="6" t="s">
        <v>3419</v>
      </c>
      <c r="B1414" s="6" t="s">
        <v>62</v>
      </c>
      <c r="C1414" s="6" t="s">
        <v>23</v>
      </c>
      <c r="D1414" s="6" t="s">
        <v>174</v>
      </c>
      <c r="E1414" s="6" t="s">
        <v>175</v>
      </c>
      <c r="F1414" s="6" t="s">
        <v>51</v>
      </c>
      <c r="G1414" s="7">
        <v>0.09</v>
      </c>
      <c r="H1414" s="6" t="s">
        <v>19</v>
      </c>
      <c r="I1414" s="6" t="s">
        <v>20</v>
      </c>
      <c r="J1414" s="6">
        <v>2023.0</v>
      </c>
      <c r="L1414" s="6">
        <v>1.0</v>
      </c>
      <c r="M1414" s="8">
        <f t="shared" si="1"/>
        <v>0.09</v>
      </c>
      <c r="P1414" s="9"/>
    </row>
    <row r="1415">
      <c r="A1415" s="6" t="s">
        <v>3420</v>
      </c>
      <c r="B1415" s="6" t="s">
        <v>424</v>
      </c>
      <c r="C1415" s="6" t="s">
        <v>23</v>
      </c>
      <c r="D1415" s="6" t="s">
        <v>3421</v>
      </c>
      <c r="F1415" s="6" t="s">
        <v>37</v>
      </c>
      <c r="G1415" s="7">
        <v>0.24</v>
      </c>
      <c r="H1415" s="6" t="s">
        <v>192</v>
      </c>
      <c r="I1415" s="6" t="s">
        <v>20</v>
      </c>
      <c r="J1415" s="6">
        <v>2026.0</v>
      </c>
      <c r="L1415" s="6">
        <v>1.0</v>
      </c>
      <c r="M1415" s="8">
        <f t="shared" si="1"/>
        <v>0.24</v>
      </c>
      <c r="P1415" s="9"/>
    </row>
    <row r="1416">
      <c r="A1416" s="6" t="s">
        <v>3420</v>
      </c>
      <c r="B1416" s="6" t="s">
        <v>424</v>
      </c>
      <c r="C1416" s="6" t="s">
        <v>23</v>
      </c>
      <c r="D1416" s="6" t="s">
        <v>3421</v>
      </c>
      <c r="F1416" s="6" t="s">
        <v>37</v>
      </c>
      <c r="G1416" s="7">
        <v>0.34</v>
      </c>
      <c r="H1416" s="6" t="s">
        <v>192</v>
      </c>
      <c r="I1416" s="6" t="s">
        <v>55</v>
      </c>
      <c r="J1416" s="6">
        <v>2026.0</v>
      </c>
      <c r="L1416" s="6">
        <v>1.0</v>
      </c>
      <c r="M1416" s="8">
        <f t="shared" si="1"/>
        <v>0.34</v>
      </c>
      <c r="P1416" s="9"/>
    </row>
    <row r="1417">
      <c r="A1417" s="6" t="s">
        <v>3422</v>
      </c>
      <c r="B1417" s="6" t="s">
        <v>850</v>
      </c>
      <c r="C1417" s="6" t="s">
        <v>15</v>
      </c>
      <c r="D1417" s="6" t="s">
        <v>3423</v>
      </c>
      <c r="E1417" s="6" t="s">
        <v>303</v>
      </c>
      <c r="F1417" s="6" t="s">
        <v>37</v>
      </c>
      <c r="G1417" s="7">
        <v>0.06</v>
      </c>
      <c r="H1417" s="6" t="s">
        <v>185</v>
      </c>
      <c r="I1417" s="6" t="s">
        <v>20</v>
      </c>
      <c r="J1417" s="6">
        <v>2019.0</v>
      </c>
      <c r="L1417" s="6">
        <v>4.0</v>
      </c>
      <c r="M1417" s="8">
        <f t="shared" si="1"/>
        <v>0.24</v>
      </c>
      <c r="P1417" s="9"/>
    </row>
    <row r="1418">
      <c r="A1418" s="6" t="s">
        <v>3424</v>
      </c>
      <c r="B1418" s="6" t="s">
        <v>241</v>
      </c>
      <c r="C1418" s="6" t="s">
        <v>287</v>
      </c>
      <c r="D1418" s="6" t="s">
        <v>3425</v>
      </c>
      <c r="E1418" s="6" t="s">
        <v>149</v>
      </c>
      <c r="F1418" s="6" t="s">
        <v>18</v>
      </c>
      <c r="G1418" s="7">
        <v>0.06</v>
      </c>
      <c r="H1418" s="6" t="s">
        <v>418</v>
      </c>
      <c r="I1418" s="6" t="s">
        <v>20</v>
      </c>
      <c r="J1418" s="6">
        <v>2022.0</v>
      </c>
      <c r="L1418" s="6">
        <v>1.0</v>
      </c>
      <c r="M1418" s="8">
        <f t="shared" si="1"/>
        <v>0.06</v>
      </c>
      <c r="P1418" s="9"/>
    </row>
    <row r="1419">
      <c r="A1419" s="6" t="s">
        <v>3426</v>
      </c>
      <c r="B1419" s="6" t="s">
        <v>796</v>
      </c>
      <c r="C1419" s="6" t="s">
        <v>34</v>
      </c>
      <c r="D1419" s="6" t="s">
        <v>3427</v>
      </c>
      <c r="E1419" s="6" t="s">
        <v>1304</v>
      </c>
      <c r="F1419" s="6" t="s">
        <v>1732</v>
      </c>
      <c r="G1419" s="7">
        <v>0.05</v>
      </c>
      <c r="H1419" s="6" t="s">
        <v>483</v>
      </c>
      <c r="I1419" s="6" t="s">
        <v>20</v>
      </c>
      <c r="J1419" s="6">
        <v>2014.0</v>
      </c>
      <c r="L1419" s="6">
        <v>3.0</v>
      </c>
      <c r="M1419" s="8">
        <f t="shared" si="1"/>
        <v>0.15</v>
      </c>
      <c r="P1419" s="9"/>
    </row>
    <row r="1420">
      <c r="A1420" s="6" t="s">
        <v>3428</v>
      </c>
      <c r="B1420" s="6" t="s">
        <v>413</v>
      </c>
      <c r="C1420" s="6" t="s">
        <v>287</v>
      </c>
      <c r="D1420" s="6" t="s">
        <v>3429</v>
      </c>
      <c r="E1420" s="6" t="s">
        <v>196</v>
      </c>
      <c r="F1420" s="6" t="s">
        <v>65</v>
      </c>
      <c r="G1420" s="7">
        <v>0.05</v>
      </c>
      <c r="H1420" s="6" t="s">
        <v>276</v>
      </c>
      <c r="I1420" s="6" t="s">
        <v>20</v>
      </c>
      <c r="J1420" s="6">
        <v>2014.0</v>
      </c>
      <c r="L1420" s="6">
        <v>1.0</v>
      </c>
      <c r="M1420" s="8">
        <f t="shared" si="1"/>
        <v>0.05</v>
      </c>
      <c r="P1420" s="9"/>
    </row>
    <row r="1421">
      <c r="A1421" s="6" t="s">
        <v>3430</v>
      </c>
      <c r="B1421" s="6" t="s">
        <v>3431</v>
      </c>
      <c r="C1421" s="6" t="s">
        <v>34</v>
      </c>
      <c r="D1421" s="6" t="s">
        <v>3432</v>
      </c>
      <c r="E1421" s="6" t="s">
        <v>243</v>
      </c>
      <c r="F1421" s="6" t="s">
        <v>37</v>
      </c>
      <c r="G1421" s="7">
        <v>0.13</v>
      </c>
      <c r="H1421" s="6" t="s">
        <v>1361</v>
      </c>
      <c r="I1421" s="6" t="s">
        <v>20</v>
      </c>
      <c r="J1421" s="6">
        <v>2008.0</v>
      </c>
      <c r="K1421" s="10">
        <v>46055.0</v>
      </c>
      <c r="L1421" s="6">
        <v>2.0</v>
      </c>
      <c r="M1421" s="8">
        <f t="shared" si="1"/>
        <v>0.26</v>
      </c>
      <c r="P1421" s="9"/>
    </row>
    <row r="1422">
      <c r="A1422" s="6" t="s">
        <v>3433</v>
      </c>
      <c r="B1422" s="6" t="s">
        <v>3431</v>
      </c>
      <c r="C1422" s="6" t="s">
        <v>34</v>
      </c>
      <c r="D1422" s="6" t="s">
        <v>3434</v>
      </c>
      <c r="E1422" s="6">
        <v>2.0</v>
      </c>
      <c r="F1422" s="6" t="s">
        <v>37</v>
      </c>
      <c r="G1422" s="7">
        <v>0.05</v>
      </c>
      <c r="H1422" s="6" t="s">
        <v>19</v>
      </c>
      <c r="I1422" s="6" t="s">
        <v>20</v>
      </c>
      <c r="J1422" s="6">
        <v>2023.0</v>
      </c>
      <c r="K1422" s="6" t="s">
        <v>1035</v>
      </c>
      <c r="L1422" s="6">
        <v>1.0</v>
      </c>
      <c r="M1422" s="8">
        <f t="shared" si="1"/>
        <v>0.05</v>
      </c>
      <c r="P1422" s="9"/>
    </row>
    <row r="1423">
      <c r="A1423" s="6" t="s">
        <v>3435</v>
      </c>
      <c r="B1423" s="6" t="s">
        <v>3431</v>
      </c>
      <c r="C1423" s="6" t="s">
        <v>34</v>
      </c>
      <c r="D1423" s="6" t="s">
        <v>3436</v>
      </c>
      <c r="E1423" s="6" t="s">
        <v>625</v>
      </c>
      <c r="F1423" s="6" t="s">
        <v>37</v>
      </c>
      <c r="G1423" s="7">
        <v>0.05</v>
      </c>
      <c r="H1423" s="6" t="s">
        <v>141</v>
      </c>
      <c r="I1423" s="6" t="s">
        <v>20</v>
      </c>
      <c r="J1423" s="6">
        <v>2019.0</v>
      </c>
      <c r="K1423" s="10">
        <v>46114.0</v>
      </c>
      <c r="L1423" s="6">
        <v>1.0</v>
      </c>
      <c r="M1423" s="8">
        <f t="shared" si="1"/>
        <v>0.05</v>
      </c>
      <c r="P1423" s="9"/>
    </row>
    <row r="1424">
      <c r="A1424" s="6" t="s">
        <v>3437</v>
      </c>
      <c r="B1424" s="6" t="s">
        <v>623</v>
      </c>
      <c r="C1424" s="6" t="s">
        <v>23</v>
      </c>
      <c r="D1424" s="6" t="s">
        <v>974</v>
      </c>
      <c r="E1424" s="6" t="s">
        <v>260</v>
      </c>
      <c r="F1424" s="6" t="s">
        <v>261</v>
      </c>
      <c r="G1424" s="7">
        <v>0.07</v>
      </c>
      <c r="H1424" s="6" t="s">
        <v>3438</v>
      </c>
      <c r="I1424" s="6" t="s">
        <v>20</v>
      </c>
      <c r="J1424" s="6">
        <v>2009.0</v>
      </c>
      <c r="K1424" s="10">
        <v>46084.0</v>
      </c>
      <c r="L1424" s="6">
        <v>2.0</v>
      </c>
      <c r="M1424" s="8">
        <f t="shared" si="1"/>
        <v>0.14</v>
      </c>
      <c r="P1424" s="9"/>
    </row>
    <row r="1425">
      <c r="A1425" s="6" t="s">
        <v>3439</v>
      </c>
      <c r="B1425" s="6" t="s">
        <v>3440</v>
      </c>
      <c r="C1425" s="6" t="s">
        <v>48</v>
      </c>
      <c r="D1425" s="6" t="s">
        <v>3441</v>
      </c>
      <c r="E1425" s="6" t="s">
        <v>25</v>
      </c>
      <c r="F1425" s="6" t="s">
        <v>18</v>
      </c>
      <c r="G1425" s="7">
        <v>0.08</v>
      </c>
      <c r="H1425" s="6" t="s">
        <v>2639</v>
      </c>
      <c r="I1425" s="6" t="s">
        <v>20</v>
      </c>
      <c r="J1425" s="6">
        <v>2010.0</v>
      </c>
      <c r="K1425" s="10">
        <v>46085.0</v>
      </c>
      <c r="L1425" s="6">
        <v>1.0</v>
      </c>
      <c r="M1425" s="8">
        <f t="shared" si="1"/>
        <v>0.08</v>
      </c>
      <c r="P1425" s="9"/>
    </row>
    <row r="1426">
      <c r="A1426" s="6" t="s">
        <v>3442</v>
      </c>
      <c r="B1426" s="6" t="s">
        <v>3443</v>
      </c>
      <c r="C1426" s="6" t="s">
        <v>84</v>
      </c>
      <c r="D1426" s="6" t="s">
        <v>3444</v>
      </c>
      <c r="E1426" s="6" t="s">
        <v>235</v>
      </c>
      <c r="F1426" s="6" t="s">
        <v>103</v>
      </c>
      <c r="G1426" s="7">
        <v>0.35</v>
      </c>
      <c r="H1426" s="6" t="s">
        <v>185</v>
      </c>
      <c r="I1426" s="6" t="s">
        <v>20</v>
      </c>
      <c r="J1426" s="6">
        <v>2019.0</v>
      </c>
      <c r="K1426" s="10">
        <v>46056.0</v>
      </c>
      <c r="L1426" s="6">
        <v>2.0</v>
      </c>
      <c r="M1426" s="8">
        <f t="shared" si="1"/>
        <v>0.7</v>
      </c>
      <c r="P1426" s="9"/>
    </row>
    <row r="1427">
      <c r="A1427" s="6" t="s">
        <v>3445</v>
      </c>
      <c r="B1427" s="6" t="s">
        <v>3446</v>
      </c>
      <c r="C1427" s="6" t="s">
        <v>287</v>
      </c>
      <c r="D1427" s="6" t="s">
        <v>3447</v>
      </c>
      <c r="E1427" s="6" t="s">
        <v>102</v>
      </c>
      <c r="F1427" s="6" t="s">
        <v>103</v>
      </c>
      <c r="G1427" s="7">
        <v>0.06</v>
      </c>
      <c r="H1427" s="6" t="s">
        <v>491</v>
      </c>
      <c r="I1427" s="6" t="s">
        <v>20</v>
      </c>
      <c r="J1427" s="6">
        <v>2011.0</v>
      </c>
      <c r="K1427" s="10">
        <v>46023.0</v>
      </c>
      <c r="L1427" s="6">
        <v>4.0</v>
      </c>
      <c r="M1427" s="8">
        <f t="shared" si="1"/>
        <v>0.24</v>
      </c>
      <c r="P1427" s="9"/>
    </row>
    <row r="1428">
      <c r="A1428" s="6" t="s">
        <v>3448</v>
      </c>
      <c r="B1428" s="6" t="s">
        <v>62</v>
      </c>
      <c r="C1428" s="6" t="s">
        <v>48</v>
      </c>
      <c r="D1428" s="6" t="s">
        <v>3449</v>
      </c>
      <c r="E1428" s="6" t="s">
        <v>1505</v>
      </c>
      <c r="F1428" s="6" t="s">
        <v>18</v>
      </c>
      <c r="G1428" s="7">
        <v>0.07</v>
      </c>
      <c r="H1428" s="6" t="s">
        <v>185</v>
      </c>
      <c r="I1428" s="6" t="s">
        <v>20</v>
      </c>
      <c r="J1428" s="6">
        <v>2019.0</v>
      </c>
      <c r="L1428" s="6">
        <v>1.0</v>
      </c>
      <c r="M1428" s="8">
        <f t="shared" si="1"/>
        <v>0.07</v>
      </c>
      <c r="P1428" s="9"/>
    </row>
    <row r="1429">
      <c r="A1429" s="6" t="s">
        <v>3450</v>
      </c>
      <c r="B1429" s="6" t="s">
        <v>413</v>
      </c>
      <c r="C1429" s="6" t="s">
        <v>84</v>
      </c>
      <c r="D1429" s="6" t="s">
        <v>3451</v>
      </c>
      <c r="E1429" s="6" t="s">
        <v>1034</v>
      </c>
      <c r="F1429" s="6" t="s">
        <v>87</v>
      </c>
      <c r="G1429" s="7">
        <v>0.19</v>
      </c>
      <c r="H1429" s="6" t="s">
        <v>75</v>
      </c>
      <c r="I1429" s="6" t="s">
        <v>20</v>
      </c>
      <c r="J1429" s="6">
        <v>1995.0</v>
      </c>
      <c r="L1429" s="6">
        <v>1.0</v>
      </c>
      <c r="M1429" s="8">
        <f t="shared" si="1"/>
        <v>0.19</v>
      </c>
      <c r="P1429" s="9"/>
    </row>
    <row r="1430">
      <c r="A1430" s="6" t="s">
        <v>3452</v>
      </c>
      <c r="B1430" s="6" t="s">
        <v>3453</v>
      </c>
      <c r="C1430" s="6" t="s">
        <v>15</v>
      </c>
      <c r="D1430" s="6" t="s">
        <v>3454</v>
      </c>
      <c r="E1430" s="6" t="s">
        <v>3455</v>
      </c>
      <c r="F1430" s="6" t="s">
        <v>858</v>
      </c>
      <c r="G1430" s="7">
        <v>0.32</v>
      </c>
      <c r="H1430" s="6" t="s">
        <v>807</v>
      </c>
      <c r="I1430" s="6" t="s">
        <v>20</v>
      </c>
      <c r="J1430" s="6">
        <v>2026.0</v>
      </c>
      <c r="K1430" s="10">
        <v>46025.0</v>
      </c>
      <c r="L1430" s="6">
        <v>1.0</v>
      </c>
      <c r="M1430" s="8">
        <f t="shared" si="1"/>
        <v>0.32</v>
      </c>
      <c r="P1430" s="9"/>
    </row>
    <row r="1431">
      <c r="A1431" s="6" t="s">
        <v>3456</v>
      </c>
      <c r="B1431" s="6" t="s">
        <v>307</v>
      </c>
      <c r="C1431" s="6" t="s">
        <v>23</v>
      </c>
      <c r="D1431" s="6" t="s">
        <v>3457</v>
      </c>
      <c r="E1431" s="6" t="s">
        <v>243</v>
      </c>
      <c r="F1431" s="6" t="s">
        <v>37</v>
      </c>
      <c r="G1431" s="7">
        <v>0.08</v>
      </c>
      <c r="H1431" s="6" t="s">
        <v>129</v>
      </c>
      <c r="I1431" s="6" t="s">
        <v>20</v>
      </c>
      <c r="J1431" s="6">
        <v>2014.0</v>
      </c>
      <c r="L1431" s="6">
        <v>1.0</v>
      </c>
      <c r="M1431" s="8">
        <f t="shared" si="1"/>
        <v>0.08</v>
      </c>
      <c r="P1431" s="9"/>
    </row>
    <row r="1432">
      <c r="A1432" s="6" t="s">
        <v>3458</v>
      </c>
      <c r="B1432" s="6" t="s">
        <v>3459</v>
      </c>
      <c r="C1432" s="6" t="s">
        <v>48</v>
      </c>
      <c r="D1432" s="6" t="s">
        <v>3460</v>
      </c>
      <c r="E1432" s="6" t="s">
        <v>36</v>
      </c>
      <c r="F1432" s="6" t="s">
        <v>37</v>
      </c>
      <c r="G1432" s="7">
        <v>0.12</v>
      </c>
      <c r="H1432" s="6" t="s">
        <v>978</v>
      </c>
      <c r="I1432" s="6" t="s">
        <v>20</v>
      </c>
      <c r="J1432" s="6">
        <v>2022.0</v>
      </c>
      <c r="K1432" s="6" t="s">
        <v>597</v>
      </c>
      <c r="L1432" s="6">
        <v>1.0</v>
      </c>
      <c r="M1432" s="8">
        <f t="shared" si="1"/>
        <v>0.12</v>
      </c>
      <c r="P1432" s="9"/>
    </row>
    <row r="1433">
      <c r="A1433" s="6" t="s">
        <v>3461</v>
      </c>
      <c r="B1433" s="6" t="s">
        <v>3462</v>
      </c>
      <c r="C1433" s="6" t="s">
        <v>34</v>
      </c>
      <c r="D1433" s="6" t="s">
        <v>3463</v>
      </c>
      <c r="E1433" s="6" t="s">
        <v>1129</v>
      </c>
      <c r="F1433" s="6" t="s">
        <v>18</v>
      </c>
      <c r="G1433" s="7">
        <v>0.03</v>
      </c>
      <c r="H1433" s="6" t="s">
        <v>483</v>
      </c>
      <c r="I1433" s="6" t="s">
        <v>20</v>
      </c>
      <c r="J1433" s="6">
        <v>2014.0</v>
      </c>
      <c r="K1433" s="6" t="s">
        <v>1035</v>
      </c>
      <c r="L1433" s="6">
        <v>5.0</v>
      </c>
      <c r="M1433" s="8">
        <f t="shared" si="1"/>
        <v>0.15</v>
      </c>
      <c r="P1433" s="9"/>
    </row>
    <row r="1434">
      <c r="A1434" s="6" t="s">
        <v>3464</v>
      </c>
      <c r="B1434" s="6" t="s">
        <v>413</v>
      </c>
      <c r="C1434" s="6" t="s">
        <v>84</v>
      </c>
      <c r="D1434" s="6" t="s">
        <v>3465</v>
      </c>
      <c r="E1434" s="6" t="s">
        <v>3466</v>
      </c>
      <c r="F1434" s="6" t="s">
        <v>3467</v>
      </c>
      <c r="G1434" s="7">
        <v>0.05</v>
      </c>
      <c r="H1434" s="6" t="s">
        <v>185</v>
      </c>
      <c r="I1434" s="6" t="s">
        <v>20</v>
      </c>
      <c r="J1434" s="6">
        <v>2019.0</v>
      </c>
      <c r="L1434" s="6">
        <v>1.0</v>
      </c>
      <c r="M1434" s="8">
        <f t="shared" si="1"/>
        <v>0.05</v>
      </c>
      <c r="P1434" s="9"/>
    </row>
    <row r="1435">
      <c r="A1435" s="6" t="s">
        <v>3468</v>
      </c>
      <c r="B1435" s="6" t="s">
        <v>691</v>
      </c>
      <c r="C1435" s="6" t="s">
        <v>41</v>
      </c>
      <c r="D1435" s="6" t="s">
        <v>3469</v>
      </c>
      <c r="E1435" s="6" t="s">
        <v>243</v>
      </c>
      <c r="F1435" s="6" t="s">
        <v>37</v>
      </c>
      <c r="G1435" s="7">
        <v>1.7</v>
      </c>
      <c r="H1435" s="6" t="s">
        <v>636</v>
      </c>
      <c r="I1435" s="6" t="s">
        <v>20</v>
      </c>
      <c r="J1435" s="6">
        <v>2015.0</v>
      </c>
      <c r="K1435" s="10">
        <v>46055.0</v>
      </c>
      <c r="L1435" s="6">
        <v>1.0</v>
      </c>
      <c r="M1435" s="8">
        <f t="shared" si="1"/>
        <v>1.7</v>
      </c>
      <c r="N1435" s="6" t="s">
        <v>172</v>
      </c>
      <c r="P1435" s="9"/>
    </row>
    <row r="1436">
      <c r="A1436" s="6" t="s">
        <v>3470</v>
      </c>
      <c r="B1436" s="6" t="s">
        <v>3471</v>
      </c>
      <c r="C1436" s="6" t="s">
        <v>48</v>
      </c>
      <c r="D1436" s="6" t="s">
        <v>3472</v>
      </c>
      <c r="E1436" s="6" t="s">
        <v>25</v>
      </c>
      <c r="F1436" s="6" t="s">
        <v>18</v>
      </c>
      <c r="G1436" s="7">
        <v>0.03</v>
      </c>
      <c r="H1436" s="6" t="s">
        <v>265</v>
      </c>
      <c r="I1436" s="6" t="s">
        <v>20</v>
      </c>
      <c r="J1436" s="6">
        <v>2017.0</v>
      </c>
      <c r="K1436" s="10">
        <v>46082.0</v>
      </c>
      <c r="L1436" s="6">
        <v>3.0</v>
      </c>
      <c r="M1436" s="8">
        <f t="shared" si="1"/>
        <v>0.09</v>
      </c>
      <c r="P1436" s="9"/>
    </row>
    <row r="1437">
      <c r="A1437" s="6" t="s">
        <v>3473</v>
      </c>
      <c r="B1437" s="6" t="s">
        <v>366</v>
      </c>
      <c r="C1437" s="6" t="s">
        <v>23</v>
      </c>
      <c r="D1437" s="6" t="s">
        <v>3474</v>
      </c>
      <c r="E1437" s="6" t="s">
        <v>196</v>
      </c>
      <c r="F1437" s="6" t="s">
        <v>65</v>
      </c>
      <c r="G1437" s="7">
        <v>0.05</v>
      </c>
      <c r="H1437" s="6" t="s">
        <v>109</v>
      </c>
      <c r="I1437" s="6" t="s">
        <v>20</v>
      </c>
      <c r="J1437" s="6">
        <v>1995.0</v>
      </c>
      <c r="L1437" s="6">
        <v>2.0</v>
      </c>
      <c r="M1437" s="8">
        <f t="shared" si="1"/>
        <v>0.1</v>
      </c>
      <c r="P1437" s="9"/>
    </row>
    <row r="1438">
      <c r="A1438" s="6" t="s">
        <v>3473</v>
      </c>
      <c r="B1438" s="6" t="s">
        <v>366</v>
      </c>
      <c r="C1438" s="6" t="s">
        <v>23</v>
      </c>
      <c r="D1438" s="6" t="s">
        <v>3474</v>
      </c>
      <c r="E1438" s="6" t="s">
        <v>196</v>
      </c>
      <c r="F1438" s="6" t="s">
        <v>65</v>
      </c>
      <c r="G1438" s="7">
        <v>0.17</v>
      </c>
      <c r="H1438" s="6" t="s">
        <v>1382</v>
      </c>
      <c r="I1438" s="6" t="s">
        <v>20</v>
      </c>
      <c r="J1438" s="6">
        <v>1995.0</v>
      </c>
      <c r="L1438" s="6">
        <v>4.0</v>
      </c>
      <c r="M1438" s="8">
        <f t="shared" si="1"/>
        <v>0.68</v>
      </c>
      <c r="P1438" s="9"/>
    </row>
    <row r="1439">
      <c r="A1439" s="6" t="s">
        <v>3475</v>
      </c>
      <c r="B1439" s="6" t="s">
        <v>740</v>
      </c>
      <c r="C1439" s="6" t="s">
        <v>48</v>
      </c>
      <c r="D1439" s="6" t="s">
        <v>3476</v>
      </c>
      <c r="E1439" s="6" t="s">
        <v>3477</v>
      </c>
      <c r="F1439" s="6" t="s">
        <v>159</v>
      </c>
      <c r="G1439" s="7">
        <v>4.95</v>
      </c>
      <c r="H1439" s="6" t="s">
        <v>3478</v>
      </c>
      <c r="I1439" s="6" t="s">
        <v>55</v>
      </c>
      <c r="J1439" s="6">
        <v>2023.0</v>
      </c>
      <c r="K1439" s="10">
        <v>46024.0</v>
      </c>
      <c r="L1439" s="6">
        <v>1.0</v>
      </c>
      <c r="M1439" s="8">
        <f t="shared" si="1"/>
        <v>4.95</v>
      </c>
      <c r="P1439" s="9"/>
    </row>
    <row r="1440">
      <c r="A1440" s="6" t="s">
        <v>3479</v>
      </c>
      <c r="B1440" s="6" t="s">
        <v>372</v>
      </c>
      <c r="C1440" s="6" t="s">
        <v>48</v>
      </c>
      <c r="D1440" s="6" t="s">
        <v>3480</v>
      </c>
      <c r="E1440" s="6" t="s">
        <v>328</v>
      </c>
      <c r="F1440" s="6" t="s">
        <v>18</v>
      </c>
      <c r="G1440" s="7">
        <v>0.05</v>
      </c>
      <c r="H1440" s="6" t="s">
        <v>276</v>
      </c>
      <c r="I1440" s="6" t="s">
        <v>20</v>
      </c>
      <c r="J1440" s="6">
        <v>2014.0</v>
      </c>
      <c r="L1440" s="6">
        <v>1.0</v>
      </c>
      <c r="M1440" s="8">
        <f t="shared" si="1"/>
        <v>0.05</v>
      </c>
      <c r="P1440" s="9"/>
    </row>
    <row r="1441">
      <c r="A1441" s="6" t="s">
        <v>3479</v>
      </c>
      <c r="B1441" s="6" t="s">
        <v>372</v>
      </c>
      <c r="C1441" s="6" t="s">
        <v>23</v>
      </c>
      <c r="D1441" s="6" t="s">
        <v>3480</v>
      </c>
      <c r="E1441" s="6" t="s">
        <v>328</v>
      </c>
      <c r="F1441" s="6" t="s">
        <v>18</v>
      </c>
      <c r="G1441" s="7">
        <v>0.02</v>
      </c>
      <c r="H1441" s="6" t="s">
        <v>1246</v>
      </c>
      <c r="I1441" s="6" t="s">
        <v>20</v>
      </c>
      <c r="J1441" s="6">
        <v>2006.0</v>
      </c>
      <c r="L1441" s="6">
        <v>1.0</v>
      </c>
      <c r="M1441" s="8">
        <f t="shared" si="1"/>
        <v>0.02</v>
      </c>
      <c r="P1441" s="9"/>
    </row>
    <row r="1442">
      <c r="A1442" s="6" t="s">
        <v>3481</v>
      </c>
      <c r="B1442" s="6" t="s">
        <v>301</v>
      </c>
      <c r="C1442" s="6" t="s">
        <v>15</v>
      </c>
      <c r="D1442" s="6" t="s">
        <v>3482</v>
      </c>
      <c r="E1442" s="6" t="s">
        <v>17</v>
      </c>
      <c r="F1442" s="6" t="s">
        <v>18</v>
      </c>
      <c r="G1442" s="7">
        <v>0.2</v>
      </c>
      <c r="H1442" s="6" t="s">
        <v>209</v>
      </c>
      <c r="I1442" s="6" t="s">
        <v>20</v>
      </c>
      <c r="J1442" s="6">
        <v>2025.0</v>
      </c>
      <c r="L1442" s="6">
        <v>1.0</v>
      </c>
      <c r="M1442" s="8">
        <f t="shared" si="1"/>
        <v>0.2</v>
      </c>
      <c r="P1442" s="9"/>
    </row>
    <row r="1443">
      <c r="A1443" s="6" t="s">
        <v>3483</v>
      </c>
      <c r="B1443" s="6" t="s">
        <v>714</v>
      </c>
      <c r="C1443" s="6" t="s">
        <v>23</v>
      </c>
      <c r="D1443" s="6" t="s">
        <v>3484</v>
      </c>
      <c r="E1443" s="6" t="s">
        <v>25</v>
      </c>
      <c r="F1443" s="6" t="s">
        <v>18</v>
      </c>
      <c r="G1443" s="7">
        <v>0.1</v>
      </c>
      <c r="H1443" s="6" t="s">
        <v>171</v>
      </c>
      <c r="I1443" s="6" t="s">
        <v>20</v>
      </c>
      <c r="J1443" s="6">
        <v>2021.0</v>
      </c>
      <c r="K1443" s="10">
        <v>46024.0</v>
      </c>
      <c r="L1443" s="6">
        <v>4.0</v>
      </c>
      <c r="M1443" s="8">
        <f t="shared" si="1"/>
        <v>0.4</v>
      </c>
      <c r="P1443" s="9"/>
    </row>
    <row r="1444">
      <c r="A1444" s="6" t="s">
        <v>3485</v>
      </c>
      <c r="B1444" s="6" t="s">
        <v>1041</v>
      </c>
      <c r="C1444" s="6" t="s">
        <v>15</v>
      </c>
      <c r="D1444" s="6" t="s">
        <v>3486</v>
      </c>
      <c r="E1444" s="6" t="s">
        <v>1088</v>
      </c>
      <c r="F1444" s="6" t="s">
        <v>159</v>
      </c>
      <c r="G1444" s="7">
        <v>0.15</v>
      </c>
      <c r="H1444" s="6" t="s">
        <v>1043</v>
      </c>
      <c r="I1444" s="6" t="s">
        <v>20</v>
      </c>
      <c r="J1444" s="6">
        <v>2025.0</v>
      </c>
      <c r="L1444" s="6">
        <v>1.0</v>
      </c>
      <c r="M1444" s="8">
        <f t="shared" si="1"/>
        <v>0.15</v>
      </c>
      <c r="P1444" s="9"/>
    </row>
    <row r="1445">
      <c r="A1445" s="6" t="s">
        <v>3487</v>
      </c>
      <c r="B1445" s="6" t="s">
        <v>548</v>
      </c>
      <c r="C1445" s="6" t="s">
        <v>48</v>
      </c>
      <c r="D1445" s="6" t="s">
        <v>3488</v>
      </c>
      <c r="E1445" s="6" t="s">
        <v>36</v>
      </c>
      <c r="F1445" s="6" t="s">
        <v>3489</v>
      </c>
      <c r="G1445" s="7">
        <v>0.1</v>
      </c>
      <c r="H1445" s="6" t="s">
        <v>192</v>
      </c>
      <c r="I1445" s="6" t="s">
        <v>20</v>
      </c>
      <c r="J1445" s="6">
        <v>2026.0</v>
      </c>
      <c r="L1445" s="6">
        <v>1.0</v>
      </c>
      <c r="M1445" s="8">
        <f t="shared" si="1"/>
        <v>0.1</v>
      </c>
      <c r="P1445" s="9"/>
    </row>
    <row r="1446">
      <c r="A1446" s="6" t="s">
        <v>3490</v>
      </c>
      <c r="B1446" s="6" t="s">
        <v>372</v>
      </c>
      <c r="C1446" s="6" t="s">
        <v>48</v>
      </c>
      <c r="D1446" s="6" t="s">
        <v>3491</v>
      </c>
      <c r="E1446" s="6" t="s">
        <v>167</v>
      </c>
      <c r="F1446" s="6" t="s">
        <v>103</v>
      </c>
      <c r="G1446" s="7">
        <v>0.2</v>
      </c>
      <c r="H1446" s="6" t="s">
        <v>453</v>
      </c>
      <c r="I1446" s="6" t="s">
        <v>20</v>
      </c>
      <c r="J1446" s="6">
        <v>1995.0</v>
      </c>
      <c r="L1446" s="6">
        <v>2.0</v>
      </c>
      <c r="M1446" s="8">
        <f t="shared" si="1"/>
        <v>0.4</v>
      </c>
      <c r="P1446" s="9"/>
    </row>
    <row r="1447">
      <c r="A1447" s="6" t="s">
        <v>3490</v>
      </c>
      <c r="B1447" s="6" t="s">
        <v>372</v>
      </c>
      <c r="C1447" s="6" t="s">
        <v>48</v>
      </c>
      <c r="D1447" s="6" t="s">
        <v>3491</v>
      </c>
      <c r="E1447" s="6" t="s">
        <v>167</v>
      </c>
      <c r="F1447" s="6" t="s">
        <v>103</v>
      </c>
      <c r="G1447" s="7">
        <v>0.13</v>
      </c>
      <c r="H1447" s="6" t="s">
        <v>3492</v>
      </c>
      <c r="I1447" s="6" t="s">
        <v>20</v>
      </c>
      <c r="J1447" s="6">
        <v>2011.0</v>
      </c>
      <c r="L1447" s="6">
        <v>1.0</v>
      </c>
      <c r="M1447" s="8">
        <f t="shared" si="1"/>
        <v>0.13</v>
      </c>
      <c r="P1447" s="9"/>
    </row>
    <row r="1448">
      <c r="A1448" s="6" t="s">
        <v>3493</v>
      </c>
      <c r="B1448" s="6" t="s">
        <v>165</v>
      </c>
      <c r="C1448" s="6" t="s">
        <v>15</v>
      </c>
      <c r="D1448" s="6" t="s">
        <v>3494</v>
      </c>
      <c r="E1448" s="6" t="s">
        <v>3495</v>
      </c>
      <c r="F1448" s="6" t="s">
        <v>103</v>
      </c>
      <c r="G1448" s="7">
        <v>0.2</v>
      </c>
      <c r="H1448" s="6" t="s">
        <v>209</v>
      </c>
      <c r="I1448" s="6" t="s">
        <v>20</v>
      </c>
      <c r="J1448" s="6">
        <v>2025.0</v>
      </c>
      <c r="L1448" s="6">
        <v>1.0</v>
      </c>
      <c r="M1448" s="8">
        <f t="shared" si="1"/>
        <v>0.2</v>
      </c>
      <c r="P1448" s="9"/>
    </row>
    <row r="1449">
      <c r="A1449" s="6" t="s">
        <v>3496</v>
      </c>
      <c r="B1449" s="6" t="s">
        <v>424</v>
      </c>
      <c r="C1449" s="6" t="s">
        <v>23</v>
      </c>
      <c r="D1449" s="6" t="s">
        <v>3497</v>
      </c>
      <c r="F1449" s="6" t="s">
        <v>37</v>
      </c>
      <c r="G1449" s="7">
        <v>4.9</v>
      </c>
      <c r="H1449" s="6" t="s">
        <v>1675</v>
      </c>
      <c r="I1449" s="6" t="s">
        <v>55</v>
      </c>
      <c r="J1449" s="6">
        <v>2021.0</v>
      </c>
      <c r="L1449" s="6">
        <v>1.0</v>
      </c>
      <c r="M1449" s="8">
        <f t="shared" si="1"/>
        <v>4.9</v>
      </c>
      <c r="P1449" s="9"/>
    </row>
    <row r="1450">
      <c r="A1450" s="6" t="s">
        <v>3496</v>
      </c>
      <c r="B1450" s="6" t="s">
        <v>424</v>
      </c>
      <c r="C1450" s="6" t="s">
        <v>23</v>
      </c>
      <c r="D1450" s="6" t="s">
        <v>3498</v>
      </c>
      <c r="F1450" s="6" t="s">
        <v>37</v>
      </c>
      <c r="G1450" s="7">
        <v>0.09</v>
      </c>
      <c r="H1450" s="6" t="s">
        <v>621</v>
      </c>
      <c r="I1450" s="6" t="s">
        <v>20</v>
      </c>
      <c r="J1450" s="6">
        <v>2015.0</v>
      </c>
      <c r="L1450" s="6">
        <v>1.0</v>
      </c>
      <c r="M1450" s="8">
        <f t="shared" si="1"/>
        <v>0.09</v>
      </c>
      <c r="P1450" s="9"/>
    </row>
    <row r="1451">
      <c r="A1451" s="6" t="s">
        <v>3496</v>
      </c>
      <c r="B1451" s="6" t="s">
        <v>424</v>
      </c>
      <c r="C1451" s="6" t="s">
        <v>23</v>
      </c>
      <c r="D1451" s="6" t="s">
        <v>3499</v>
      </c>
      <c r="F1451" s="6" t="s">
        <v>37</v>
      </c>
      <c r="G1451" s="7">
        <v>0.17</v>
      </c>
      <c r="H1451" s="6" t="s">
        <v>3003</v>
      </c>
      <c r="I1451" s="6" t="s">
        <v>20</v>
      </c>
      <c r="J1451" s="6">
        <v>2015.0</v>
      </c>
      <c r="L1451" s="6">
        <v>4.0</v>
      </c>
      <c r="M1451" s="8">
        <f t="shared" si="1"/>
        <v>0.68</v>
      </c>
      <c r="P1451" s="9"/>
    </row>
    <row r="1452">
      <c r="A1452" s="6" t="s">
        <v>3496</v>
      </c>
      <c r="B1452" s="6" t="s">
        <v>424</v>
      </c>
      <c r="C1452" s="6" t="s">
        <v>23</v>
      </c>
      <c r="D1452" s="6" t="s">
        <v>3498</v>
      </c>
      <c r="F1452" s="6" t="s">
        <v>37</v>
      </c>
      <c r="G1452" s="7">
        <v>0.2</v>
      </c>
      <c r="H1452" s="6" t="s">
        <v>3500</v>
      </c>
      <c r="I1452" s="6" t="s">
        <v>20</v>
      </c>
      <c r="J1452" s="6">
        <v>2015.0</v>
      </c>
      <c r="L1452" s="6">
        <v>5.0</v>
      </c>
      <c r="M1452" s="8">
        <f t="shared" si="1"/>
        <v>1</v>
      </c>
      <c r="P1452" s="9"/>
    </row>
    <row r="1453">
      <c r="A1453" s="6" t="s">
        <v>3496</v>
      </c>
      <c r="B1453" s="6" t="s">
        <v>424</v>
      </c>
      <c r="C1453" s="6" t="s">
        <v>23</v>
      </c>
      <c r="D1453" s="6" t="s">
        <v>3498</v>
      </c>
      <c r="F1453" s="6" t="s">
        <v>37</v>
      </c>
      <c r="G1453" s="7">
        <v>0.19</v>
      </c>
      <c r="H1453" s="6" t="s">
        <v>3500</v>
      </c>
      <c r="I1453" s="6" t="s">
        <v>20</v>
      </c>
      <c r="J1453" s="6">
        <v>2015.0</v>
      </c>
      <c r="L1453" s="6">
        <v>2.0</v>
      </c>
      <c r="M1453" s="8">
        <f t="shared" si="1"/>
        <v>0.38</v>
      </c>
      <c r="P1453" s="9"/>
    </row>
    <row r="1454">
      <c r="A1454" s="6" t="s">
        <v>3496</v>
      </c>
      <c r="B1454" s="6" t="s">
        <v>424</v>
      </c>
      <c r="C1454" s="6" t="s">
        <v>23</v>
      </c>
      <c r="D1454" s="6" t="s">
        <v>3498</v>
      </c>
      <c r="F1454" s="6" t="s">
        <v>37</v>
      </c>
      <c r="G1454" s="7">
        <v>0.15</v>
      </c>
      <c r="H1454" s="6" t="s">
        <v>3501</v>
      </c>
      <c r="I1454" s="6" t="s">
        <v>20</v>
      </c>
      <c r="J1454" s="6">
        <v>2025.0</v>
      </c>
      <c r="L1454" s="6">
        <v>1.0</v>
      </c>
      <c r="M1454" s="8">
        <f t="shared" si="1"/>
        <v>0.15</v>
      </c>
      <c r="P1454" s="9"/>
    </row>
    <row r="1455">
      <c r="A1455" s="6" t="s">
        <v>3496</v>
      </c>
      <c r="B1455" s="6" t="s">
        <v>424</v>
      </c>
      <c r="C1455" s="6" t="s">
        <v>23</v>
      </c>
      <c r="D1455" s="6" t="s">
        <v>3502</v>
      </c>
      <c r="F1455" s="6" t="s">
        <v>37</v>
      </c>
      <c r="G1455" s="7">
        <v>0.06</v>
      </c>
      <c r="H1455" s="6" t="s">
        <v>181</v>
      </c>
      <c r="I1455" s="6" t="s">
        <v>20</v>
      </c>
      <c r="J1455" s="6">
        <v>2019.0</v>
      </c>
      <c r="L1455" s="6">
        <v>4.0</v>
      </c>
      <c r="M1455" s="8">
        <f t="shared" si="1"/>
        <v>0.24</v>
      </c>
      <c r="P1455" s="9"/>
    </row>
    <row r="1456">
      <c r="A1456" s="6" t="s">
        <v>3496</v>
      </c>
      <c r="B1456" s="6" t="s">
        <v>424</v>
      </c>
      <c r="C1456" s="6" t="s">
        <v>23</v>
      </c>
      <c r="D1456" s="6" t="s">
        <v>3498</v>
      </c>
      <c r="F1456" s="6" t="s">
        <v>37</v>
      </c>
      <c r="G1456" s="7">
        <v>0.1</v>
      </c>
      <c r="H1456" s="6" t="s">
        <v>188</v>
      </c>
      <c r="I1456" s="6" t="s">
        <v>20</v>
      </c>
      <c r="J1456" s="6">
        <v>2014.0</v>
      </c>
      <c r="L1456" s="6">
        <v>1.0</v>
      </c>
      <c r="M1456" s="8">
        <f t="shared" si="1"/>
        <v>0.1</v>
      </c>
      <c r="P1456" s="9"/>
    </row>
    <row r="1457">
      <c r="A1457" s="6" t="s">
        <v>3496</v>
      </c>
      <c r="B1457" s="6" t="s">
        <v>424</v>
      </c>
      <c r="C1457" s="6" t="s">
        <v>23</v>
      </c>
      <c r="D1457" s="6" t="s">
        <v>3498</v>
      </c>
      <c r="F1457" s="6" t="s">
        <v>37</v>
      </c>
      <c r="G1457" s="7">
        <v>0.1</v>
      </c>
      <c r="H1457" s="6" t="s">
        <v>188</v>
      </c>
      <c r="I1457" s="6" t="s">
        <v>20</v>
      </c>
      <c r="J1457" s="6">
        <v>2014.0</v>
      </c>
      <c r="L1457" s="6">
        <v>2.0</v>
      </c>
      <c r="M1457" s="8">
        <f t="shared" si="1"/>
        <v>0.2</v>
      </c>
      <c r="P1457" s="9"/>
    </row>
    <row r="1458">
      <c r="A1458" s="6" t="s">
        <v>3496</v>
      </c>
      <c r="B1458" s="6" t="s">
        <v>424</v>
      </c>
      <c r="C1458" s="6" t="s">
        <v>23</v>
      </c>
      <c r="D1458" s="6" t="s">
        <v>3503</v>
      </c>
      <c r="F1458" s="6" t="s">
        <v>37</v>
      </c>
      <c r="G1458" s="7">
        <v>0.48</v>
      </c>
      <c r="H1458" s="6" t="s">
        <v>875</v>
      </c>
      <c r="I1458" s="6" t="s">
        <v>20</v>
      </c>
      <c r="J1458" s="6">
        <v>2018.0</v>
      </c>
      <c r="L1458" s="6">
        <v>4.0</v>
      </c>
      <c r="M1458" s="8">
        <f t="shared" si="1"/>
        <v>1.92</v>
      </c>
      <c r="P1458" s="9"/>
    </row>
    <row r="1459">
      <c r="A1459" s="6" t="s">
        <v>3504</v>
      </c>
      <c r="B1459" s="6" t="s">
        <v>2257</v>
      </c>
      <c r="C1459" s="6" t="s">
        <v>34</v>
      </c>
      <c r="D1459" s="6" t="s">
        <v>3505</v>
      </c>
      <c r="E1459" s="6" t="s">
        <v>3506</v>
      </c>
      <c r="F1459" s="6" t="s">
        <v>37</v>
      </c>
      <c r="G1459" s="7">
        <v>0.19</v>
      </c>
      <c r="H1459" s="6" t="s">
        <v>180</v>
      </c>
      <c r="I1459" s="6" t="s">
        <v>20</v>
      </c>
      <c r="J1459" s="6">
        <v>2014.0</v>
      </c>
      <c r="L1459" s="6">
        <v>2.0</v>
      </c>
      <c r="M1459" s="8">
        <f t="shared" si="1"/>
        <v>0.38</v>
      </c>
      <c r="P1459" s="9"/>
    </row>
    <row r="1460">
      <c r="A1460" s="6" t="s">
        <v>3504</v>
      </c>
      <c r="B1460" s="6" t="s">
        <v>2257</v>
      </c>
      <c r="C1460" s="6" t="s">
        <v>34</v>
      </c>
      <c r="D1460" s="6" t="s">
        <v>3505</v>
      </c>
      <c r="E1460" s="6" t="s">
        <v>3506</v>
      </c>
      <c r="F1460" s="6" t="s">
        <v>37</v>
      </c>
      <c r="G1460" s="7">
        <v>0.12</v>
      </c>
      <c r="H1460" s="6" t="s">
        <v>3507</v>
      </c>
      <c r="I1460" s="6" t="s">
        <v>20</v>
      </c>
      <c r="J1460" s="6">
        <v>2020.0</v>
      </c>
      <c r="L1460" s="6">
        <v>2.0</v>
      </c>
      <c r="M1460" s="8">
        <f t="shared" si="1"/>
        <v>0.24</v>
      </c>
      <c r="P1460" s="9"/>
    </row>
    <row r="1461">
      <c r="A1461" s="6" t="s">
        <v>3508</v>
      </c>
      <c r="B1461" s="6" t="s">
        <v>62</v>
      </c>
      <c r="C1461" s="6" t="s">
        <v>23</v>
      </c>
      <c r="D1461" s="6" t="s">
        <v>3509</v>
      </c>
      <c r="E1461" s="6" t="s">
        <v>25</v>
      </c>
      <c r="F1461" s="6" t="s">
        <v>18</v>
      </c>
      <c r="G1461" s="7">
        <v>0.25</v>
      </c>
      <c r="H1461" s="6" t="s">
        <v>163</v>
      </c>
      <c r="I1461" s="6" t="s">
        <v>55</v>
      </c>
      <c r="J1461" s="6">
        <v>2023.0</v>
      </c>
      <c r="L1461" s="6">
        <v>1.0</v>
      </c>
      <c r="M1461" s="8"/>
      <c r="P1461" s="9"/>
    </row>
    <row r="1462">
      <c r="A1462" s="6" t="s">
        <v>3508</v>
      </c>
      <c r="B1462" s="6" t="s">
        <v>62</v>
      </c>
      <c r="C1462" s="6" t="s">
        <v>48</v>
      </c>
      <c r="D1462" s="6" t="s">
        <v>3509</v>
      </c>
      <c r="E1462" s="6" t="s">
        <v>25</v>
      </c>
      <c r="F1462" s="6" t="s">
        <v>18</v>
      </c>
      <c r="G1462" s="7">
        <v>0.25</v>
      </c>
      <c r="H1462" s="6" t="s">
        <v>2401</v>
      </c>
      <c r="I1462" s="6" t="s">
        <v>20</v>
      </c>
      <c r="J1462" s="6">
        <v>2018.0</v>
      </c>
      <c r="L1462" s="6">
        <v>1.0</v>
      </c>
      <c r="M1462" s="8">
        <f t="shared" ref="M1462:M2758" si="2">L1462*G1462</f>
        <v>0.25</v>
      </c>
      <c r="P1462" s="9"/>
    </row>
    <row r="1463">
      <c r="A1463" s="6" t="s">
        <v>3510</v>
      </c>
      <c r="B1463" s="6" t="s">
        <v>182</v>
      </c>
      <c r="C1463" s="6" t="s">
        <v>23</v>
      </c>
      <c r="D1463" s="6" t="s">
        <v>3511</v>
      </c>
      <c r="E1463" s="6" t="s">
        <v>79</v>
      </c>
      <c r="F1463" s="6" t="s">
        <v>51</v>
      </c>
      <c r="G1463" s="7">
        <v>0.06</v>
      </c>
      <c r="H1463" s="6" t="s">
        <v>1748</v>
      </c>
      <c r="I1463" s="6" t="s">
        <v>20</v>
      </c>
      <c r="J1463" s="6">
        <v>2008.0</v>
      </c>
      <c r="L1463" s="6">
        <v>1.0</v>
      </c>
      <c r="M1463" s="8">
        <f t="shared" si="2"/>
        <v>0.06</v>
      </c>
      <c r="P1463" s="9"/>
    </row>
    <row r="1464">
      <c r="A1464" s="6" t="s">
        <v>3512</v>
      </c>
      <c r="B1464" s="6" t="s">
        <v>3513</v>
      </c>
      <c r="C1464" s="6" t="s">
        <v>15</v>
      </c>
      <c r="D1464" s="6" t="s">
        <v>3514</v>
      </c>
      <c r="E1464" s="6" t="s">
        <v>3515</v>
      </c>
      <c r="F1464" s="6" t="s">
        <v>3516</v>
      </c>
      <c r="G1464" s="7">
        <v>0.2</v>
      </c>
      <c r="H1464" s="6" t="s">
        <v>209</v>
      </c>
      <c r="I1464" s="6" t="s">
        <v>20</v>
      </c>
      <c r="J1464" s="6">
        <v>2025.0</v>
      </c>
      <c r="K1464" s="10">
        <v>46084.0</v>
      </c>
      <c r="L1464" s="6">
        <v>1.0</v>
      </c>
      <c r="M1464" s="8">
        <f t="shared" si="2"/>
        <v>0.2</v>
      </c>
      <c r="P1464" s="9"/>
    </row>
    <row r="1465">
      <c r="A1465" s="6" t="s">
        <v>3517</v>
      </c>
      <c r="B1465" s="6" t="s">
        <v>366</v>
      </c>
      <c r="C1465" s="6" t="s">
        <v>23</v>
      </c>
      <c r="D1465" s="6" t="s">
        <v>3518</v>
      </c>
      <c r="E1465" s="6" t="s">
        <v>235</v>
      </c>
      <c r="F1465" s="6" t="s">
        <v>103</v>
      </c>
      <c r="G1465" s="7">
        <v>0.05</v>
      </c>
      <c r="H1465" s="6" t="s">
        <v>574</v>
      </c>
      <c r="I1465" s="6" t="s">
        <v>20</v>
      </c>
      <c r="J1465" s="6">
        <v>2000.0</v>
      </c>
      <c r="L1465" s="6">
        <v>1.0</v>
      </c>
      <c r="M1465" s="8">
        <f t="shared" si="2"/>
        <v>0.05</v>
      </c>
      <c r="P1465" s="9"/>
    </row>
    <row r="1466">
      <c r="A1466" s="6" t="s">
        <v>3519</v>
      </c>
      <c r="B1466" s="6" t="s">
        <v>628</v>
      </c>
      <c r="C1466" s="6" t="s">
        <v>23</v>
      </c>
      <c r="D1466" s="6" t="s">
        <v>3520</v>
      </c>
      <c r="E1466" s="6" t="s">
        <v>1771</v>
      </c>
      <c r="F1466" s="6" t="s">
        <v>51</v>
      </c>
      <c r="G1466" s="7">
        <v>0.04</v>
      </c>
      <c r="H1466" s="6" t="s">
        <v>336</v>
      </c>
      <c r="I1466" s="6" t="s">
        <v>20</v>
      </c>
      <c r="J1466" s="6">
        <v>2016.0</v>
      </c>
      <c r="K1466" s="10">
        <v>46055.0</v>
      </c>
      <c r="L1466" s="6">
        <v>2.0</v>
      </c>
      <c r="M1466" s="8">
        <f t="shared" si="2"/>
        <v>0.08</v>
      </c>
      <c r="P1466" s="9"/>
    </row>
    <row r="1467">
      <c r="A1467" s="6" t="s">
        <v>3521</v>
      </c>
      <c r="B1467" s="6" t="s">
        <v>1041</v>
      </c>
      <c r="C1467" s="6" t="s">
        <v>512</v>
      </c>
      <c r="D1467" s="6" t="s">
        <v>3522</v>
      </c>
      <c r="E1467" s="6" t="s">
        <v>2469</v>
      </c>
      <c r="F1467" s="6" t="s">
        <v>65</v>
      </c>
      <c r="G1467" s="7">
        <v>0.2</v>
      </c>
      <c r="H1467" s="6" t="s">
        <v>3523</v>
      </c>
      <c r="I1467" s="6" t="s">
        <v>20</v>
      </c>
      <c r="J1467" s="6">
        <v>2018.0</v>
      </c>
      <c r="L1467" s="6">
        <v>1.0</v>
      </c>
      <c r="M1467" s="8">
        <f t="shared" si="2"/>
        <v>0.2</v>
      </c>
      <c r="P1467" s="9"/>
    </row>
    <row r="1468">
      <c r="A1468" s="6" t="s">
        <v>3524</v>
      </c>
      <c r="B1468" s="6" t="s">
        <v>307</v>
      </c>
      <c r="C1468" s="6" t="s">
        <v>23</v>
      </c>
      <c r="D1468" s="6" t="s">
        <v>3525</v>
      </c>
      <c r="E1468" s="6" t="s">
        <v>196</v>
      </c>
      <c r="F1468" s="6" t="s">
        <v>65</v>
      </c>
      <c r="G1468" s="7">
        <v>4.0</v>
      </c>
      <c r="H1468" s="6" t="s">
        <v>418</v>
      </c>
      <c r="I1468" s="6" t="s">
        <v>20</v>
      </c>
      <c r="J1468" s="6">
        <v>2022.0</v>
      </c>
      <c r="L1468" s="6">
        <v>1.0</v>
      </c>
      <c r="M1468" s="8">
        <f t="shared" si="2"/>
        <v>4</v>
      </c>
      <c r="N1468" s="6" t="s">
        <v>172</v>
      </c>
      <c r="P1468" s="9"/>
    </row>
    <row r="1469">
      <c r="A1469" s="6" t="s">
        <v>3526</v>
      </c>
      <c r="B1469" s="6" t="s">
        <v>143</v>
      </c>
      <c r="C1469" s="6" t="s">
        <v>23</v>
      </c>
      <c r="D1469" s="6" t="s">
        <v>3527</v>
      </c>
      <c r="E1469" s="6" t="s">
        <v>303</v>
      </c>
      <c r="F1469" s="6" t="s">
        <v>37</v>
      </c>
      <c r="G1469" s="7">
        <v>0.7</v>
      </c>
      <c r="H1469" s="6" t="s">
        <v>163</v>
      </c>
      <c r="I1469" s="6" t="s">
        <v>20</v>
      </c>
      <c r="J1469" s="6">
        <v>2023.0</v>
      </c>
      <c r="L1469" s="6">
        <v>1.0</v>
      </c>
      <c r="M1469" s="8">
        <f t="shared" si="2"/>
        <v>0.7</v>
      </c>
      <c r="P1469" s="9"/>
    </row>
    <row r="1470">
      <c r="A1470" s="6" t="s">
        <v>3528</v>
      </c>
      <c r="B1470" s="6" t="s">
        <v>182</v>
      </c>
      <c r="C1470" s="6" t="s">
        <v>23</v>
      </c>
      <c r="D1470" s="6" t="s">
        <v>3529</v>
      </c>
      <c r="E1470" s="6" t="s">
        <v>112</v>
      </c>
      <c r="F1470" s="6" t="s">
        <v>65</v>
      </c>
      <c r="G1470" s="7">
        <v>0.06</v>
      </c>
      <c r="H1470" s="6" t="s">
        <v>418</v>
      </c>
      <c r="I1470" s="6" t="s">
        <v>20</v>
      </c>
      <c r="J1470" s="6">
        <v>2022.0</v>
      </c>
      <c r="L1470" s="6">
        <v>1.0</v>
      </c>
      <c r="M1470" s="8">
        <f t="shared" si="2"/>
        <v>0.06</v>
      </c>
      <c r="P1470" s="9"/>
    </row>
    <row r="1471">
      <c r="A1471" s="6" t="s">
        <v>3530</v>
      </c>
      <c r="B1471" s="6" t="s">
        <v>3531</v>
      </c>
      <c r="C1471" s="6" t="s">
        <v>23</v>
      </c>
      <c r="D1471" s="6" t="s">
        <v>3532</v>
      </c>
      <c r="E1471" s="6" t="s">
        <v>112</v>
      </c>
      <c r="F1471" s="6" t="s">
        <v>65</v>
      </c>
      <c r="G1471" s="7">
        <v>0.06</v>
      </c>
      <c r="H1471" s="6" t="s">
        <v>204</v>
      </c>
      <c r="I1471" s="6" t="s">
        <v>20</v>
      </c>
      <c r="J1471" s="6">
        <v>2026.0</v>
      </c>
      <c r="K1471" s="10">
        <v>46055.0</v>
      </c>
      <c r="L1471" s="6">
        <v>3.0</v>
      </c>
      <c r="M1471" s="8">
        <f t="shared" si="2"/>
        <v>0.18</v>
      </c>
      <c r="P1471" s="9"/>
    </row>
    <row r="1472">
      <c r="A1472" s="6" t="s">
        <v>3533</v>
      </c>
      <c r="B1472" s="6" t="s">
        <v>543</v>
      </c>
      <c r="C1472" s="6" t="s">
        <v>571</v>
      </c>
      <c r="D1472" s="6" t="s">
        <v>3534</v>
      </c>
      <c r="E1472" s="6" t="s">
        <v>3535</v>
      </c>
      <c r="F1472" s="6" t="s">
        <v>2954</v>
      </c>
      <c r="G1472" s="7">
        <v>3.41</v>
      </c>
      <c r="H1472" s="6" t="s">
        <v>113</v>
      </c>
      <c r="I1472" s="6" t="s">
        <v>20</v>
      </c>
      <c r="J1472" s="6">
        <v>2024.0</v>
      </c>
      <c r="L1472" s="6">
        <v>1.0</v>
      </c>
      <c r="M1472" s="8">
        <f t="shared" si="2"/>
        <v>3.41</v>
      </c>
      <c r="P1472" s="9"/>
    </row>
    <row r="1473">
      <c r="A1473" s="6" t="s">
        <v>3536</v>
      </c>
      <c r="B1473" s="6" t="s">
        <v>182</v>
      </c>
      <c r="C1473" s="6" t="s">
        <v>23</v>
      </c>
      <c r="D1473" s="6" t="s">
        <v>3537</v>
      </c>
      <c r="E1473" s="6" t="s">
        <v>102</v>
      </c>
      <c r="F1473" s="6" t="s">
        <v>103</v>
      </c>
      <c r="G1473" s="7">
        <v>0.25</v>
      </c>
      <c r="H1473" s="6" t="s">
        <v>346</v>
      </c>
      <c r="I1473" s="6" t="s">
        <v>20</v>
      </c>
      <c r="J1473" s="6">
        <v>2024.0</v>
      </c>
      <c r="L1473" s="6">
        <v>1.0</v>
      </c>
      <c r="M1473" s="8">
        <f t="shared" si="2"/>
        <v>0.25</v>
      </c>
      <c r="P1473" s="9"/>
    </row>
    <row r="1474">
      <c r="A1474" s="6" t="s">
        <v>3538</v>
      </c>
      <c r="B1474" s="6" t="s">
        <v>1032</v>
      </c>
      <c r="C1474" s="6" t="s">
        <v>41</v>
      </c>
      <c r="D1474" s="6" t="s">
        <v>3539</v>
      </c>
      <c r="E1474" s="6" t="s">
        <v>79</v>
      </c>
      <c r="F1474" s="6" t="s">
        <v>51</v>
      </c>
      <c r="G1474" s="7">
        <v>2.0</v>
      </c>
      <c r="H1474" s="6" t="s">
        <v>978</v>
      </c>
      <c r="I1474" s="6" t="s">
        <v>20</v>
      </c>
      <c r="J1474" s="6">
        <v>2022.0</v>
      </c>
      <c r="K1474" s="10">
        <v>46056.0</v>
      </c>
      <c r="L1474" s="6">
        <v>1.0</v>
      </c>
      <c r="M1474" s="8">
        <f t="shared" si="2"/>
        <v>2</v>
      </c>
      <c r="P1474" s="9"/>
    </row>
    <row r="1475">
      <c r="A1475" s="6" t="s">
        <v>3540</v>
      </c>
      <c r="B1475" s="6" t="s">
        <v>3148</v>
      </c>
      <c r="C1475" s="6" t="s">
        <v>23</v>
      </c>
      <c r="D1475" s="6" t="s">
        <v>974</v>
      </c>
      <c r="E1475" s="6" t="s">
        <v>738</v>
      </c>
      <c r="F1475" s="6" t="s">
        <v>51</v>
      </c>
      <c r="G1475" s="7">
        <v>0.03</v>
      </c>
      <c r="H1475" s="6" t="s">
        <v>875</v>
      </c>
      <c r="I1475" s="6" t="s">
        <v>20</v>
      </c>
      <c r="J1475" s="6">
        <v>2018.0</v>
      </c>
      <c r="K1475" s="10">
        <v>46083.0</v>
      </c>
      <c r="L1475" s="6">
        <v>1.0</v>
      </c>
      <c r="M1475" s="8">
        <f t="shared" si="2"/>
        <v>0.03</v>
      </c>
      <c r="P1475" s="9"/>
    </row>
    <row r="1476">
      <c r="A1476" s="6" t="s">
        <v>3541</v>
      </c>
      <c r="B1476" s="6" t="s">
        <v>3542</v>
      </c>
      <c r="C1476" s="6" t="s">
        <v>23</v>
      </c>
      <c r="D1476" s="6" t="s">
        <v>3543</v>
      </c>
      <c r="E1476" s="6" t="s">
        <v>235</v>
      </c>
      <c r="F1476" s="6" t="s">
        <v>103</v>
      </c>
      <c r="G1476" s="7">
        <v>0.05</v>
      </c>
      <c r="H1476" s="6" t="s">
        <v>184</v>
      </c>
      <c r="I1476" s="6" t="s">
        <v>20</v>
      </c>
      <c r="J1476" s="6">
        <v>2015.0</v>
      </c>
      <c r="K1476" s="10">
        <v>46055.0</v>
      </c>
      <c r="L1476" s="6">
        <v>4.0</v>
      </c>
      <c r="M1476" s="8">
        <f t="shared" si="2"/>
        <v>0.2</v>
      </c>
      <c r="P1476" s="9"/>
    </row>
    <row r="1477">
      <c r="A1477" s="6" t="s">
        <v>3541</v>
      </c>
      <c r="B1477" s="6" t="s">
        <v>3542</v>
      </c>
      <c r="C1477" s="6" t="s">
        <v>23</v>
      </c>
      <c r="D1477" s="6" t="s">
        <v>3543</v>
      </c>
      <c r="E1477" s="6" t="s">
        <v>235</v>
      </c>
      <c r="F1477" s="6" t="s">
        <v>103</v>
      </c>
      <c r="G1477" s="7">
        <v>0.05</v>
      </c>
      <c r="H1477" s="6" t="s">
        <v>184</v>
      </c>
      <c r="I1477" s="6" t="s">
        <v>20</v>
      </c>
      <c r="J1477" s="6">
        <v>2015.0</v>
      </c>
      <c r="K1477" s="10">
        <v>46055.0</v>
      </c>
      <c r="L1477" s="6">
        <v>1.0</v>
      </c>
      <c r="M1477" s="8">
        <f t="shared" si="2"/>
        <v>0.05</v>
      </c>
      <c r="P1477" s="9"/>
    </row>
    <row r="1478">
      <c r="A1478" s="6" t="s">
        <v>3544</v>
      </c>
      <c r="B1478" s="6" t="s">
        <v>307</v>
      </c>
      <c r="C1478" s="6" t="s">
        <v>48</v>
      </c>
      <c r="D1478" s="6" t="s">
        <v>3545</v>
      </c>
      <c r="E1478" s="6" t="s">
        <v>243</v>
      </c>
      <c r="F1478" s="6" t="s">
        <v>37</v>
      </c>
      <c r="G1478" s="7">
        <v>0.03</v>
      </c>
      <c r="H1478" s="6" t="s">
        <v>316</v>
      </c>
      <c r="I1478" s="6" t="s">
        <v>20</v>
      </c>
      <c r="J1478" s="6">
        <v>2016.0</v>
      </c>
      <c r="L1478" s="6">
        <v>1.0</v>
      </c>
      <c r="M1478" s="8">
        <f t="shared" si="2"/>
        <v>0.03</v>
      </c>
      <c r="P1478" s="9"/>
    </row>
    <row r="1479">
      <c r="A1479" s="6" t="s">
        <v>3546</v>
      </c>
      <c r="B1479" s="6" t="s">
        <v>1449</v>
      </c>
      <c r="C1479" s="6" t="s">
        <v>23</v>
      </c>
      <c r="D1479" s="6" t="s">
        <v>3547</v>
      </c>
      <c r="E1479" s="6" t="s">
        <v>167</v>
      </c>
      <c r="F1479" s="6" t="s">
        <v>103</v>
      </c>
      <c r="G1479" s="7">
        <v>0.06</v>
      </c>
      <c r="H1479" s="6" t="s">
        <v>396</v>
      </c>
      <c r="I1479" s="6" t="s">
        <v>20</v>
      </c>
      <c r="J1479" s="6">
        <v>2007.0</v>
      </c>
      <c r="K1479" s="10">
        <v>46023.0</v>
      </c>
      <c r="L1479" s="6">
        <v>1.0</v>
      </c>
      <c r="M1479" s="8">
        <f t="shared" si="2"/>
        <v>0.06</v>
      </c>
      <c r="P1479" s="9"/>
    </row>
    <row r="1480">
      <c r="A1480" s="6" t="s">
        <v>3548</v>
      </c>
      <c r="B1480" s="6" t="s">
        <v>3549</v>
      </c>
      <c r="C1480" s="6" t="s">
        <v>287</v>
      </c>
      <c r="D1480" s="6" t="s">
        <v>3550</v>
      </c>
      <c r="E1480" s="6" t="s">
        <v>1336</v>
      </c>
      <c r="F1480" s="6" t="s">
        <v>103</v>
      </c>
      <c r="G1480" s="7">
        <v>41.9</v>
      </c>
      <c r="H1480" s="6" t="s">
        <v>3017</v>
      </c>
      <c r="I1480" s="6" t="s">
        <v>20</v>
      </c>
      <c r="J1480" s="6">
        <v>2008.0</v>
      </c>
      <c r="K1480" s="10">
        <v>46055.0</v>
      </c>
      <c r="L1480" s="6">
        <v>1.0</v>
      </c>
      <c r="M1480" s="8">
        <f t="shared" si="2"/>
        <v>41.9</v>
      </c>
      <c r="P1480" s="9"/>
    </row>
    <row r="1481">
      <c r="A1481" s="6" t="s">
        <v>3551</v>
      </c>
      <c r="B1481" s="6" t="s">
        <v>182</v>
      </c>
      <c r="C1481" s="6" t="s">
        <v>23</v>
      </c>
      <c r="D1481" s="6" t="s">
        <v>3552</v>
      </c>
      <c r="E1481" s="6" t="s">
        <v>270</v>
      </c>
      <c r="F1481" s="6" t="s">
        <v>159</v>
      </c>
      <c r="G1481" s="7">
        <v>0.06</v>
      </c>
      <c r="H1481" s="6" t="s">
        <v>418</v>
      </c>
      <c r="I1481" s="6" t="s">
        <v>20</v>
      </c>
      <c r="J1481" s="6">
        <v>2022.0</v>
      </c>
      <c r="L1481" s="6">
        <v>1.0</v>
      </c>
      <c r="M1481" s="8">
        <f t="shared" si="2"/>
        <v>0.06</v>
      </c>
      <c r="P1481" s="9"/>
    </row>
    <row r="1482">
      <c r="A1482" s="6" t="s">
        <v>3553</v>
      </c>
      <c r="B1482" s="6" t="s">
        <v>62</v>
      </c>
      <c r="C1482" s="6" t="s">
        <v>48</v>
      </c>
      <c r="D1482" s="6" t="s">
        <v>3554</v>
      </c>
      <c r="E1482" s="6" t="s">
        <v>248</v>
      </c>
      <c r="F1482" s="6" t="s">
        <v>18</v>
      </c>
      <c r="G1482" s="7">
        <v>1.0</v>
      </c>
      <c r="H1482" s="6" t="s">
        <v>1692</v>
      </c>
      <c r="I1482" s="6" t="s">
        <v>20</v>
      </c>
      <c r="J1482" s="6">
        <v>2021.0</v>
      </c>
      <c r="L1482" s="6">
        <v>2.0</v>
      </c>
      <c r="M1482" s="8">
        <f t="shared" si="2"/>
        <v>2</v>
      </c>
      <c r="P1482" s="9"/>
    </row>
    <row r="1483">
      <c r="A1483" s="6" t="s">
        <v>3555</v>
      </c>
      <c r="B1483" s="6" t="s">
        <v>3556</v>
      </c>
      <c r="C1483" s="6" t="s">
        <v>15</v>
      </c>
      <c r="D1483" s="6" t="s">
        <v>3557</v>
      </c>
      <c r="E1483" s="6" t="s">
        <v>3558</v>
      </c>
      <c r="F1483" s="6" t="s">
        <v>18</v>
      </c>
      <c r="G1483" s="7">
        <v>0.09</v>
      </c>
      <c r="H1483" s="6" t="s">
        <v>180</v>
      </c>
      <c r="I1483" s="6" t="s">
        <v>20</v>
      </c>
      <c r="J1483" s="6">
        <v>2014.0</v>
      </c>
      <c r="K1483" s="10">
        <v>46024.0</v>
      </c>
      <c r="L1483" s="6">
        <v>2.0</v>
      </c>
      <c r="M1483" s="8">
        <f t="shared" si="2"/>
        <v>0.18</v>
      </c>
      <c r="P1483" s="9"/>
    </row>
    <row r="1484">
      <c r="A1484" s="6" t="s">
        <v>3559</v>
      </c>
      <c r="B1484" s="6" t="s">
        <v>3556</v>
      </c>
      <c r="C1484" s="6" t="s">
        <v>34</v>
      </c>
      <c r="D1484" s="6" t="s">
        <v>3560</v>
      </c>
      <c r="E1484" s="6" t="s">
        <v>2848</v>
      </c>
      <c r="F1484" s="6" t="s">
        <v>18</v>
      </c>
      <c r="G1484" s="7">
        <v>0.06</v>
      </c>
      <c r="H1484" s="6" t="s">
        <v>180</v>
      </c>
      <c r="I1484" s="6" t="s">
        <v>20</v>
      </c>
      <c r="J1484" s="6">
        <v>2014.0</v>
      </c>
      <c r="K1484" s="10">
        <v>46084.0</v>
      </c>
      <c r="L1484" s="6">
        <v>1.0</v>
      </c>
      <c r="M1484" s="8">
        <f t="shared" si="2"/>
        <v>0.06</v>
      </c>
      <c r="P1484" s="9"/>
    </row>
    <row r="1485">
      <c r="A1485" s="6" t="s">
        <v>3561</v>
      </c>
      <c r="B1485" s="6" t="s">
        <v>62</v>
      </c>
      <c r="C1485" s="6" t="s">
        <v>23</v>
      </c>
      <c r="D1485" s="6" t="s">
        <v>3562</v>
      </c>
      <c r="E1485" s="6" t="s">
        <v>700</v>
      </c>
      <c r="F1485" s="6" t="s">
        <v>18</v>
      </c>
      <c r="G1485" s="7">
        <v>0.03</v>
      </c>
      <c r="H1485" s="6" t="s">
        <v>316</v>
      </c>
      <c r="I1485" s="6" t="s">
        <v>20</v>
      </c>
      <c r="J1485" s="6">
        <v>2016.0</v>
      </c>
      <c r="L1485" s="6">
        <v>1.0</v>
      </c>
      <c r="M1485" s="8">
        <f t="shared" si="2"/>
        <v>0.03</v>
      </c>
      <c r="P1485" s="9"/>
    </row>
    <row r="1486">
      <c r="A1486" s="6" t="s">
        <v>3563</v>
      </c>
      <c r="B1486" s="6" t="s">
        <v>372</v>
      </c>
      <c r="C1486" s="6" t="s">
        <v>48</v>
      </c>
      <c r="D1486" s="6" t="s">
        <v>3564</v>
      </c>
      <c r="E1486" s="6" t="s">
        <v>50</v>
      </c>
      <c r="F1486" s="6" t="s">
        <v>51</v>
      </c>
      <c r="G1486" s="7">
        <v>0.1</v>
      </c>
      <c r="H1486" s="6" t="s">
        <v>66</v>
      </c>
      <c r="I1486" s="6" t="s">
        <v>20</v>
      </c>
      <c r="J1486" s="6">
        <v>2016.0</v>
      </c>
      <c r="L1486" s="6">
        <v>4.0</v>
      </c>
      <c r="M1486" s="8">
        <f t="shared" si="2"/>
        <v>0.4</v>
      </c>
      <c r="P1486" s="9"/>
    </row>
    <row r="1487">
      <c r="A1487" s="6" t="s">
        <v>3565</v>
      </c>
      <c r="B1487" s="6" t="s">
        <v>62</v>
      </c>
      <c r="C1487" s="6" t="s">
        <v>48</v>
      </c>
      <c r="D1487" s="6" t="s">
        <v>3566</v>
      </c>
      <c r="E1487" s="6" t="s">
        <v>175</v>
      </c>
      <c r="F1487" s="6" t="s">
        <v>51</v>
      </c>
      <c r="G1487" s="7">
        <v>0.23</v>
      </c>
      <c r="H1487" s="6" t="s">
        <v>1494</v>
      </c>
      <c r="I1487" s="6" t="s">
        <v>20</v>
      </c>
      <c r="J1487" s="6">
        <v>2012.0</v>
      </c>
      <c r="L1487" s="6">
        <v>4.0</v>
      </c>
      <c r="M1487" s="8">
        <f t="shared" si="2"/>
        <v>0.92</v>
      </c>
      <c r="P1487" s="9"/>
    </row>
    <row r="1488">
      <c r="A1488" s="6" t="s">
        <v>3567</v>
      </c>
      <c r="B1488" s="6" t="s">
        <v>182</v>
      </c>
      <c r="C1488" s="6" t="s">
        <v>23</v>
      </c>
      <c r="D1488" s="6" t="s">
        <v>3568</v>
      </c>
      <c r="E1488" s="6" t="s">
        <v>196</v>
      </c>
      <c r="F1488" s="6" t="s">
        <v>65</v>
      </c>
      <c r="G1488" s="7">
        <v>3.07</v>
      </c>
      <c r="H1488" s="6" t="s">
        <v>1494</v>
      </c>
      <c r="I1488" s="6" t="s">
        <v>20</v>
      </c>
      <c r="J1488" s="6">
        <v>2012.0</v>
      </c>
      <c r="L1488" s="6">
        <v>1.0</v>
      </c>
      <c r="M1488" s="8">
        <f t="shared" si="2"/>
        <v>3.07</v>
      </c>
      <c r="P1488" s="9"/>
    </row>
    <row r="1489">
      <c r="A1489" s="6" t="s">
        <v>3569</v>
      </c>
      <c r="B1489" s="6" t="s">
        <v>62</v>
      </c>
      <c r="C1489" s="6" t="s">
        <v>23</v>
      </c>
      <c r="D1489" s="6" t="s">
        <v>3570</v>
      </c>
      <c r="E1489" s="6" t="s">
        <v>102</v>
      </c>
      <c r="F1489" s="6" t="s">
        <v>103</v>
      </c>
      <c r="G1489" s="7">
        <v>0.07</v>
      </c>
      <c r="H1489" s="6" t="s">
        <v>216</v>
      </c>
      <c r="I1489" s="6" t="s">
        <v>20</v>
      </c>
      <c r="J1489" s="6">
        <v>2024.0</v>
      </c>
      <c r="L1489" s="6">
        <v>1.0</v>
      </c>
      <c r="M1489" s="8">
        <f t="shared" si="2"/>
        <v>0.07</v>
      </c>
      <c r="P1489" s="9"/>
    </row>
    <row r="1490">
      <c r="A1490" s="6" t="s">
        <v>3571</v>
      </c>
      <c r="B1490" s="6" t="s">
        <v>3572</v>
      </c>
      <c r="C1490" s="6" t="s">
        <v>15</v>
      </c>
      <c r="D1490" s="6" t="s">
        <v>3573</v>
      </c>
      <c r="E1490" s="6" t="s">
        <v>3574</v>
      </c>
      <c r="F1490" s="6" t="s">
        <v>18</v>
      </c>
      <c r="G1490" s="7">
        <v>0.69</v>
      </c>
      <c r="H1490" s="6" t="s">
        <v>38</v>
      </c>
      <c r="I1490" s="6" t="s">
        <v>20</v>
      </c>
      <c r="J1490" s="6">
        <v>2026.0</v>
      </c>
      <c r="K1490" s="10">
        <v>46115.0</v>
      </c>
      <c r="L1490" s="6">
        <v>1.0</v>
      </c>
      <c r="M1490" s="8">
        <f t="shared" si="2"/>
        <v>0.69</v>
      </c>
      <c r="P1490" s="9"/>
    </row>
    <row r="1491">
      <c r="A1491" s="6" t="s">
        <v>3575</v>
      </c>
      <c r="B1491" s="6" t="s">
        <v>472</v>
      </c>
      <c r="C1491" s="6" t="s">
        <v>23</v>
      </c>
      <c r="D1491" s="6" t="s">
        <v>3576</v>
      </c>
      <c r="E1491" s="6" t="s">
        <v>502</v>
      </c>
      <c r="F1491" s="6" t="s">
        <v>65</v>
      </c>
      <c r="G1491" s="7">
        <v>0.09</v>
      </c>
      <c r="H1491" s="6" t="s">
        <v>114</v>
      </c>
      <c r="I1491" s="6" t="s">
        <v>20</v>
      </c>
      <c r="J1491" s="6">
        <v>2021.0</v>
      </c>
      <c r="K1491" s="10">
        <v>46116.0</v>
      </c>
      <c r="L1491" s="6">
        <v>1.0</v>
      </c>
      <c r="M1491" s="8">
        <f t="shared" si="2"/>
        <v>0.09</v>
      </c>
      <c r="P1491" s="9"/>
    </row>
    <row r="1492">
      <c r="A1492" s="6" t="s">
        <v>3577</v>
      </c>
      <c r="B1492" s="6" t="s">
        <v>472</v>
      </c>
      <c r="C1492" s="6" t="s">
        <v>23</v>
      </c>
      <c r="D1492" s="6" t="s">
        <v>3578</v>
      </c>
      <c r="E1492" s="6" t="s">
        <v>235</v>
      </c>
      <c r="F1492" s="6" t="s">
        <v>103</v>
      </c>
      <c r="G1492" s="7">
        <v>0.08</v>
      </c>
      <c r="H1492" s="6" t="s">
        <v>1494</v>
      </c>
      <c r="I1492" s="6" t="s">
        <v>20</v>
      </c>
      <c r="J1492" s="6">
        <v>2012.0</v>
      </c>
      <c r="K1492" s="10">
        <v>46024.0</v>
      </c>
      <c r="L1492" s="6">
        <v>1.0</v>
      </c>
      <c r="M1492" s="8">
        <f t="shared" si="2"/>
        <v>0.08</v>
      </c>
      <c r="P1492" s="9"/>
    </row>
    <row r="1493">
      <c r="A1493" s="6" t="s">
        <v>3579</v>
      </c>
      <c r="B1493" s="6" t="s">
        <v>194</v>
      </c>
      <c r="C1493" s="6" t="s">
        <v>23</v>
      </c>
      <c r="D1493" s="6" t="s">
        <v>3580</v>
      </c>
      <c r="E1493" s="6" t="s">
        <v>573</v>
      </c>
      <c r="F1493" s="6" t="s">
        <v>51</v>
      </c>
      <c r="G1493" s="7">
        <v>1.38</v>
      </c>
      <c r="H1493" s="6" t="s">
        <v>26</v>
      </c>
      <c r="I1493" s="6" t="s">
        <v>20</v>
      </c>
      <c r="J1493" s="6">
        <v>2026.0</v>
      </c>
      <c r="L1493" s="6">
        <v>1.0</v>
      </c>
      <c r="M1493" s="8">
        <f t="shared" si="2"/>
        <v>1.38</v>
      </c>
      <c r="P1493" s="9"/>
    </row>
    <row r="1494">
      <c r="A1494" s="6" t="s">
        <v>3581</v>
      </c>
      <c r="B1494" s="6" t="s">
        <v>543</v>
      </c>
      <c r="C1494" s="6" t="s">
        <v>449</v>
      </c>
      <c r="D1494" s="6" t="s">
        <v>3582</v>
      </c>
      <c r="E1494" s="6" t="s">
        <v>118</v>
      </c>
      <c r="F1494" s="6" t="s">
        <v>904</v>
      </c>
      <c r="G1494" s="7">
        <v>0.62</v>
      </c>
      <c r="H1494" s="6" t="s">
        <v>2203</v>
      </c>
      <c r="I1494" s="6" t="s">
        <v>20</v>
      </c>
      <c r="J1494" s="6">
        <v>2001.0</v>
      </c>
      <c r="L1494" s="6">
        <v>1.0</v>
      </c>
      <c r="M1494" s="8">
        <f t="shared" si="2"/>
        <v>0.62</v>
      </c>
      <c r="P1494" s="9"/>
    </row>
    <row r="1495">
      <c r="A1495" s="6" t="s">
        <v>3583</v>
      </c>
      <c r="B1495" s="6" t="s">
        <v>3584</v>
      </c>
      <c r="C1495" s="6" t="s">
        <v>34</v>
      </c>
      <c r="D1495" s="6" t="s">
        <v>3585</v>
      </c>
      <c r="E1495" s="6" t="s">
        <v>243</v>
      </c>
      <c r="F1495" s="6" t="s">
        <v>37</v>
      </c>
      <c r="G1495" s="7">
        <v>0.1</v>
      </c>
      <c r="H1495" s="6" t="s">
        <v>552</v>
      </c>
      <c r="I1495" s="6" t="s">
        <v>20</v>
      </c>
      <c r="J1495" s="6">
        <v>2020.0</v>
      </c>
      <c r="K1495" s="10">
        <v>46055.0</v>
      </c>
      <c r="L1495" s="6">
        <v>4.0</v>
      </c>
      <c r="M1495" s="8">
        <f t="shared" si="2"/>
        <v>0.4</v>
      </c>
      <c r="P1495" s="9"/>
    </row>
    <row r="1496">
      <c r="A1496" s="6" t="s">
        <v>3586</v>
      </c>
      <c r="B1496" s="6" t="s">
        <v>2405</v>
      </c>
      <c r="C1496" s="6" t="s">
        <v>287</v>
      </c>
      <c r="D1496" s="6" t="s">
        <v>3587</v>
      </c>
      <c r="E1496" s="6" t="s">
        <v>102</v>
      </c>
      <c r="F1496" s="6" t="s">
        <v>103</v>
      </c>
      <c r="G1496" s="7">
        <v>1.19</v>
      </c>
      <c r="H1496" s="6" t="s">
        <v>663</v>
      </c>
      <c r="I1496" s="6" t="s">
        <v>20</v>
      </c>
      <c r="J1496" s="6">
        <v>2023.0</v>
      </c>
      <c r="K1496" s="10">
        <v>46023.0</v>
      </c>
      <c r="L1496" s="6">
        <v>3.0</v>
      </c>
      <c r="M1496" s="8">
        <f t="shared" si="2"/>
        <v>3.57</v>
      </c>
      <c r="P1496" s="9"/>
    </row>
    <row r="1497">
      <c r="A1497" s="6" t="s">
        <v>3586</v>
      </c>
      <c r="B1497" s="6" t="s">
        <v>815</v>
      </c>
      <c r="C1497" s="6" t="s">
        <v>521</v>
      </c>
      <c r="D1497" s="6" t="s">
        <v>3588</v>
      </c>
      <c r="E1497" s="6" t="s">
        <v>102</v>
      </c>
      <c r="F1497" s="6" t="s">
        <v>2954</v>
      </c>
      <c r="G1497" s="7">
        <v>1.4</v>
      </c>
      <c r="H1497" s="6" t="s">
        <v>3589</v>
      </c>
      <c r="I1497" s="6" t="s">
        <v>20</v>
      </c>
      <c r="J1497" s="6">
        <v>2011.0</v>
      </c>
      <c r="K1497" s="10">
        <v>46023.0</v>
      </c>
      <c r="L1497" s="6">
        <v>1.0</v>
      </c>
      <c r="M1497" s="8">
        <f t="shared" si="2"/>
        <v>1.4</v>
      </c>
      <c r="P1497" s="9"/>
    </row>
    <row r="1498">
      <c r="A1498" s="6" t="s">
        <v>3590</v>
      </c>
      <c r="B1498" s="6" t="s">
        <v>3591</v>
      </c>
      <c r="C1498" s="6" t="s">
        <v>287</v>
      </c>
      <c r="D1498" s="6" t="s">
        <v>3592</v>
      </c>
      <c r="E1498" s="6" t="s">
        <v>149</v>
      </c>
      <c r="F1498" s="6" t="s">
        <v>18</v>
      </c>
      <c r="G1498" s="7">
        <v>0.09</v>
      </c>
      <c r="H1498" s="6" t="s">
        <v>418</v>
      </c>
      <c r="I1498" s="6" t="s">
        <v>20</v>
      </c>
      <c r="J1498" s="6">
        <v>2022.0</v>
      </c>
      <c r="K1498" s="10">
        <v>46024.0</v>
      </c>
      <c r="L1498" s="6">
        <v>1.0</v>
      </c>
      <c r="M1498" s="8">
        <f t="shared" si="2"/>
        <v>0.09</v>
      </c>
      <c r="P1498" s="9"/>
    </row>
    <row r="1499">
      <c r="A1499" s="6" t="s">
        <v>3593</v>
      </c>
      <c r="B1499" s="6" t="s">
        <v>1903</v>
      </c>
      <c r="C1499" s="6" t="s">
        <v>48</v>
      </c>
      <c r="D1499" s="6" t="s">
        <v>3594</v>
      </c>
      <c r="E1499" s="6" t="s">
        <v>3595</v>
      </c>
      <c r="F1499" s="6" t="s">
        <v>826</v>
      </c>
      <c r="G1499" s="7">
        <v>0.05</v>
      </c>
      <c r="H1499" s="6" t="s">
        <v>276</v>
      </c>
      <c r="I1499" s="6" t="s">
        <v>20</v>
      </c>
      <c r="J1499" s="6">
        <v>2014.0</v>
      </c>
      <c r="K1499" s="10">
        <v>46084.0</v>
      </c>
      <c r="L1499" s="6">
        <v>1.0</v>
      </c>
      <c r="M1499" s="8">
        <f t="shared" si="2"/>
        <v>0.05</v>
      </c>
      <c r="P1499" s="9"/>
    </row>
    <row r="1500">
      <c r="A1500" s="6" t="s">
        <v>3596</v>
      </c>
      <c r="B1500" s="6" t="s">
        <v>3597</v>
      </c>
      <c r="C1500" s="6" t="s">
        <v>23</v>
      </c>
      <c r="D1500" s="6" t="s">
        <v>3598</v>
      </c>
      <c r="E1500" s="6" t="s">
        <v>196</v>
      </c>
      <c r="F1500" s="6" t="s">
        <v>65</v>
      </c>
      <c r="G1500" s="7">
        <v>0.06</v>
      </c>
      <c r="H1500" s="6" t="s">
        <v>875</v>
      </c>
      <c r="I1500" s="6" t="s">
        <v>20</v>
      </c>
      <c r="J1500" s="6">
        <v>2018.0</v>
      </c>
      <c r="K1500" s="10">
        <v>46023.0</v>
      </c>
      <c r="L1500" s="6">
        <v>3.0</v>
      </c>
      <c r="M1500" s="8">
        <f t="shared" si="2"/>
        <v>0.18</v>
      </c>
      <c r="P1500" s="9"/>
    </row>
    <row r="1501">
      <c r="A1501" s="6" t="s">
        <v>3599</v>
      </c>
      <c r="B1501" s="6" t="s">
        <v>57</v>
      </c>
      <c r="C1501" s="6" t="s">
        <v>48</v>
      </c>
      <c r="D1501" s="6" t="s">
        <v>3600</v>
      </c>
      <c r="E1501" s="6" t="s">
        <v>79</v>
      </c>
      <c r="F1501" s="6" t="s">
        <v>51</v>
      </c>
      <c r="G1501" s="7">
        <v>0.1</v>
      </c>
      <c r="H1501" s="6" t="s">
        <v>45</v>
      </c>
      <c r="I1501" s="6" t="s">
        <v>20</v>
      </c>
      <c r="J1501" s="6">
        <v>2025.0</v>
      </c>
      <c r="L1501" s="6">
        <v>1.0</v>
      </c>
      <c r="M1501" s="8">
        <f t="shared" si="2"/>
        <v>0.1</v>
      </c>
      <c r="P1501" s="9"/>
    </row>
    <row r="1502">
      <c r="A1502" s="6" t="s">
        <v>3601</v>
      </c>
      <c r="B1502" s="6" t="s">
        <v>3602</v>
      </c>
      <c r="C1502" s="6" t="s">
        <v>48</v>
      </c>
      <c r="D1502" s="6" t="s">
        <v>3603</v>
      </c>
      <c r="E1502" s="6" t="s">
        <v>298</v>
      </c>
      <c r="F1502" s="6" t="s">
        <v>159</v>
      </c>
      <c r="G1502" s="7">
        <v>0.1</v>
      </c>
      <c r="H1502" s="6" t="s">
        <v>324</v>
      </c>
      <c r="I1502" s="6" t="s">
        <v>20</v>
      </c>
      <c r="J1502" s="6">
        <v>2025.0</v>
      </c>
      <c r="K1502" s="10">
        <v>46057.0</v>
      </c>
      <c r="L1502" s="6">
        <v>1.0</v>
      </c>
      <c r="M1502" s="8">
        <f t="shared" si="2"/>
        <v>0.1</v>
      </c>
      <c r="P1502" s="9"/>
    </row>
    <row r="1503">
      <c r="A1503" s="6" t="s">
        <v>3604</v>
      </c>
      <c r="B1503" s="6" t="s">
        <v>3605</v>
      </c>
      <c r="C1503" s="6" t="s">
        <v>15</v>
      </c>
      <c r="D1503" s="6" t="s">
        <v>3606</v>
      </c>
      <c r="E1503" s="6" t="s">
        <v>377</v>
      </c>
      <c r="F1503" s="6" t="s">
        <v>103</v>
      </c>
      <c r="G1503" s="7">
        <v>0.2</v>
      </c>
      <c r="H1503" s="6" t="s">
        <v>209</v>
      </c>
      <c r="I1503" s="6" t="s">
        <v>20</v>
      </c>
      <c r="J1503" s="6">
        <v>2025.0</v>
      </c>
      <c r="K1503" s="10">
        <v>46083.0</v>
      </c>
      <c r="L1503" s="6">
        <v>1.0</v>
      </c>
      <c r="M1503" s="8">
        <f t="shared" si="2"/>
        <v>0.2</v>
      </c>
      <c r="P1503" s="9"/>
    </row>
    <row r="1504">
      <c r="A1504" s="6" t="s">
        <v>3607</v>
      </c>
      <c r="B1504" s="6" t="s">
        <v>182</v>
      </c>
      <c r="C1504" s="6" t="s">
        <v>23</v>
      </c>
      <c r="D1504" s="6" t="s">
        <v>3608</v>
      </c>
      <c r="E1504" s="6" t="s">
        <v>112</v>
      </c>
      <c r="F1504" s="6" t="s">
        <v>65</v>
      </c>
      <c r="G1504" s="7">
        <v>0.28</v>
      </c>
      <c r="H1504" s="6" t="s">
        <v>509</v>
      </c>
      <c r="I1504" s="6" t="s">
        <v>20</v>
      </c>
      <c r="J1504" s="6">
        <v>2024.0</v>
      </c>
      <c r="L1504" s="6">
        <v>2.0</v>
      </c>
      <c r="M1504" s="8">
        <f t="shared" si="2"/>
        <v>0.56</v>
      </c>
      <c r="P1504" s="9"/>
    </row>
    <row r="1505">
      <c r="A1505" s="6" t="s">
        <v>3609</v>
      </c>
      <c r="B1505" s="6" t="s">
        <v>182</v>
      </c>
      <c r="C1505" s="6" t="s">
        <v>48</v>
      </c>
      <c r="D1505" s="6" t="s">
        <v>3610</v>
      </c>
      <c r="E1505" s="6" t="s">
        <v>223</v>
      </c>
      <c r="F1505" s="6" t="s">
        <v>159</v>
      </c>
      <c r="G1505" s="7">
        <v>0.15</v>
      </c>
      <c r="H1505" s="6" t="s">
        <v>509</v>
      </c>
      <c r="I1505" s="6" t="s">
        <v>20</v>
      </c>
      <c r="J1505" s="6">
        <v>2024.0</v>
      </c>
      <c r="L1505" s="6">
        <v>1.0</v>
      </c>
      <c r="M1505" s="8">
        <f t="shared" si="2"/>
        <v>0.15</v>
      </c>
      <c r="P1505" s="9"/>
    </row>
    <row r="1506">
      <c r="A1506" s="6" t="s">
        <v>3611</v>
      </c>
      <c r="B1506" s="6" t="s">
        <v>983</v>
      </c>
      <c r="C1506" s="6" t="s">
        <v>48</v>
      </c>
      <c r="D1506" s="6" t="s">
        <v>3612</v>
      </c>
      <c r="E1506" s="6" t="s">
        <v>50</v>
      </c>
      <c r="F1506" s="6" t="s">
        <v>51</v>
      </c>
      <c r="G1506" s="7">
        <v>0.2</v>
      </c>
      <c r="H1506" s="6" t="s">
        <v>19</v>
      </c>
      <c r="I1506" s="6" t="s">
        <v>20</v>
      </c>
      <c r="J1506" s="6">
        <v>2023.0</v>
      </c>
      <c r="K1506" s="10">
        <v>46084.0</v>
      </c>
      <c r="L1506" s="6">
        <v>1.0</v>
      </c>
      <c r="M1506" s="8">
        <f t="shared" si="2"/>
        <v>0.2</v>
      </c>
      <c r="P1506" s="9"/>
    </row>
    <row r="1507">
      <c r="A1507" s="6" t="s">
        <v>3613</v>
      </c>
      <c r="B1507" s="6" t="s">
        <v>1420</v>
      </c>
      <c r="C1507" s="6" t="s">
        <v>41</v>
      </c>
      <c r="D1507" s="6" t="s">
        <v>3614</v>
      </c>
      <c r="E1507" s="6" t="s">
        <v>270</v>
      </c>
      <c r="F1507" s="6" t="s">
        <v>159</v>
      </c>
      <c r="G1507" s="7">
        <v>1.0</v>
      </c>
      <c r="H1507" s="6" t="s">
        <v>3615</v>
      </c>
      <c r="I1507" s="6" t="s">
        <v>20</v>
      </c>
      <c r="J1507" s="6">
        <v>2026.0</v>
      </c>
      <c r="K1507" s="10">
        <v>46023.0</v>
      </c>
      <c r="L1507" s="6">
        <v>1.0</v>
      </c>
      <c r="M1507" s="8">
        <f t="shared" si="2"/>
        <v>1</v>
      </c>
      <c r="N1507" s="6" t="s">
        <v>172</v>
      </c>
      <c r="P1507" s="9"/>
    </row>
    <row r="1508">
      <c r="A1508" s="6" t="s">
        <v>3616</v>
      </c>
      <c r="B1508" s="6" t="s">
        <v>1790</v>
      </c>
      <c r="C1508" s="6" t="s">
        <v>48</v>
      </c>
      <c r="D1508" s="6" t="s">
        <v>3617</v>
      </c>
      <c r="E1508" s="6" t="s">
        <v>3618</v>
      </c>
      <c r="F1508" s="6" t="s">
        <v>261</v>
      </c>
      <c r="G1508" s="7">
        <v>0.06</v>
      </c>
      <c r="H1508" s="6" t="s">
        <v>265</v>
      </c>
      <c r="I1508" s="6" t="s">
        <v>20</v>
      </c>
      <c r="J1508" s="6">
        <v>2017.0</v>
      </c>
      <c r="L1508" s="6">
        <v>1.0</v>
      </c>
      <c r="M1508" s="8">
        <f t="shared" si="2"/>
        <v>0.06</v>
      </c>
      <c r="P1508" s="9"/>
    </row>
    <row r="1509">
      <c r="A1509" s="6" t="s">
        <v>3619</v>
      </c>
      <c r="B1509" s="6" t="s">
        <v>3620</v>
      </c>
      <c r="C1509" s="6" t="s">
        <v>571</v>
      </c>
      <c r="D1509" s="6" t="s">
        <v>3621</v>
      </c>
      <c r="G1509" s="7">
        <v>0.27</v>
      </c>
      <c r="H1509" s="6" t="s">
        <v>3622</v>
      </c>
      <c r="I1509" s="6" t="s">
        <v>20</v>
      </c>
      <c r="J1509" s="6">
        <v>1994.0</v>
      </c>
      <c r="L1509" s="6">
        <v>1.0</v>
      </c>
      <c r="M1509" s="8">
        <f t="shared" si="2"/>
        <v>0.27</v>
      </c>
      <c r="P1509" s="9"/>
    </row>
    <row r="1510">
      <c r="A1510" s="6" t="s">
        <v>3623</v>
      </c>
      <c r="B1510" s="6" t="s">
        <v>1882</v>
      </c>
      <c r="C1510" s="6" t="s">
        <v>23</v>
      </c>
      <c r="D1510" s="6" t="s">
        <v>3624</v>
      </c>
      <c r="E1510" s="6" t="s">
        <v>738</v>
      </c>
      <c r="F1510" s="6" t="s">
        <v>51</v>
      </c>
      <c r="G1510" s="7">
        <v>0.2</v>
      </c>
      <c r="H1510" s="6" t="s">
        <v>252</v>
      </c>
      <c r="I1510" s="6" t="s">
        <v>20</v>
      </c>
      <c r="J1510" s="6">
        <v>1994.0</v>
      </c>
      <c r="K1510" s="10">
        <v>46055.0</v>
      </c>
      <c r="L1510" s="6">
        <v>1.0</v>
      </c>
      <c r="M1510" s="8">
        <f t="shared" si="2"/>
        <v>0.2</v>
      </c>
      <c r="P1510" s="9"/>
    </row>
    <row r="1511">
      <c r="A1511" s="6" t="s">
        <v>3625</v>
      </c>
      <c r="B1511" s="6" t="s">
        <v>3626</v>
      </c>
      <c r="C1511" s="6" t="s">
        <v>287</v>
      </c>
      <c r="D1511" s="6" t="s">
        <v>3627</v>
      </c>
      <c r="E1511" s="6" t="s">
        <v>738</v>
      </c>
      <c r="F1511" s="6" t="s">
        <v>51</v>
      </c>
      <c r="G1511" s="7">
        <v>0.33</v>
      </c>
      <c r="H1511" s="6" t="s">
        <v>252</v>
      </c>
      <c r="I1511" s="6" t="s">
        <v>20</v>
      </c>
      <c r="J1511" s="6">
        <v>1994.0</v>
      </c>
      <c r="K1511" s="10">
        <v>46082.0</v>
      </c>
      <c r="L1511" s="6">
        <v>1.0</v>
      </c>
      <c r="M1511" s="8">
        <f t="shared" si="2"/>
        <v>0.33</v>
      </c>
      <c r="P1511" s="9"/>
    </row>
    <row r="1512">
      <c r="A1512" s="6" t="s">
        <v>3628</v>
      </c>
      <c r="B1512" s="6" t="s">
        <v>182</v>
      </c>
      <c r="C1512" s="6" t="s">
        <v>23</v>
      </c>
      <c r="D1512" s="6" t="s">
        <v>3629</v>
      </c>
      <c r="E1512" s="6" t="s">
        <v>223</v>
      </c>
      <c r="F1512" s="6" t="s">
        <v>159</v>
      </c>
      <c r="G1512" s="7">
        <v>4.48</v>
      </c>
      <c r="H1512" s="6" t="s">
        <v>1519</v>
      </c>
      <c r="I1512" s="6" t="s">
        <v>20</v>
      </c>
      <c r="J1512" s="6">
        <v>2005.0</v>
      </c>
      <c r="L1512" s="6">
        <v>1.0</v>
      </c>
      <c r="M1512" s="8">
        <f t="shared" si="2"/>
        <v>4.48</v>
      </c>
      <c r="N1512" s="6" t="s">
        <v>172</v>
      </c>
      <c r="P1512" s="9"/>
    </row>
    <row r="1513">
      <c r="A1513" s="6" t="s">
        <v>3630</v>
      </c>
      <c r="B1513" s="6" t="s">
        <v>194</v>
      </c>
      <c r="C1513" s="6" t="s">
        <v>48</v>
      </c>
      <c r="D1513" s="6" t="s">
        <v>3631</v>
      </c>
      <c r="E1513" s="6" t="s">
        <v>102</v>
      </c>
      <c r="F1513" s="6" t="s">
        <v>103</v>
      </c>
      <c r="G1513" s="7">
        <v>0.07</v>
      </c>
      <c r="H1513" s="6" t="s">
        <v>45</v>
      </c>
      <c r="I1513" s="6" t="s">
        <v>20</v>
      </c>
      <c r="J1513" s="6">
        <v>2025.0</v>
      </c>
      <c r="L1513" s="6">
        <v>2.0</v>
      </c>
      <c r="M1513" s="8">
        <f t="shared" si="2"/>
        <v>0.14</v>
      </c>
      <c r="P1513" s="9"/>
    </row>
    <row r="1514">
      <c r="A1514" s="6" t="s">
        <v>3632</v>
      </c>
      <c r="B1514" s="6" t="s">
        <v>62</v>
      </c>
      <c r="C1514" s="6" t="s">
        <v>23</v>
      </c>
      <c r="D1514" s="6" t="s">
        <v>3633</v>
      </c>
      <c r="E1514" s="6" t="s">
        <v>153</v>
      </c>
      <c r="F1514" s="6" t="s">
        <v>103</v>
      </c>
      <c r="G1514" s="7">
        <v>0.05</v>
      </c>
      <c r="H1514" s="6" t="s">
        <v>1784</v>
      </c>
      <c r="I1514" s="6" t="s">
        <v>20</v>
      </c>
      <c r="J1514" s="6">
        <v>2013.0</v>
      </c>
      <c r="L1514" s="6">
        <v>1.0</v>
      </c>
      <c r="M1514" s="8">
        <f t="shared" si="2"/>
        <v>0.05</v>
      </c>
      <c r="P1514" s="9"/>
    </row>
    <row r="1515">
      <c r="A1515" s="6" t="s">
        <v>3634</v>
      </c>
      <c r="B1515" s="6" t="s">
        <v>543</v>
      </c>
      <c r="C1515" s="6" t="s">
        <v>41</v>
      </c>
      <c r="D1515" s="6" t="s">
        <v>3635</v>
      </c>
      <c r="E1515" s="6" t="s">
        <v>124</v>
      </c>
      <c r="F1515" s="6" t="s">
        <v>103</v>
      </c>
      <c r="G1515" s="7">
        <v>2.48</v>
      </c>
      <c r="H1515" s="6" t="s">
        <v>289</v>
      </c>
      <c r="I1515" s="6" t="s">
        <v>20</v>
      </c>
      <c r="J1515" s="6">
        <v>1996.0</v>
      </c>
      <c r="L1515" s="6">
        <v>1.0</v>
      </c>
      <c r="M1515" s="8">
        <f t="shared" si="2"/>
        <v>2.48</v>
      </c>
      <c r="P1515" s="9"/>
    </row>
    <row r="1516">
      <c r="A1516" s="6" t="s">
        <v>3636</v>
      </c>
      <c r="B1516" s="6" t="s">
        <v>372</v>
      </c>
      <c r="C1516" s="6" t="s">
        <v>23</v>
      </c>
      <c r="D1516" s="6" t="s">
        <v>3637</v>
      </c>
      <c r="E1516" s="6" t="s">
        <v>149</v>
      </c>
      <c r="F1516" s="6" t="s">
        <v>18</v>
      </c>
      <c r="G1516" s="7">
        <v>0.06</v>
      </c>
      <c r="H1516" s="6" t="s">
        <v>626</v>
      </c>
      <c r="I1516" s="6" t="s">
        <v>20</v>
      </c>
      <c r="J1516" s="6">
        <v>2013.0</v>
      </c>
      <c r="L1516" s="6">
        <v>1.0</v>
      </c>
      <c r="M1516" s="8">
        <f t="shared" si="2"/>
        <v>0.06</v>
      </c>
      <c r="P1516" s="9"/>
    </row>
    <row r="1517">
      <c r="A1517" s="6" t="s">
        <v>3638</v>
      </c>
      <c r="B1517" s="6" t="s">
        <v>194</v>
      </c>
      <c r="C1517" s="6" t="s">
        <v>34</v>
      </c>
      <c r="D1517" s="6" t="s">
        <v>3639</v>
      </c>
      <c r="E1517" s="6" t="s">
        <v>3640</v>
      </c>
      <c r="F1517" s="6" t="s">
        <v>51</v>
      </c>
      <c r="G1517" s="7">
        <v>0.04</v>
      </c>
      <c r="H1517" s="6" t="s">
        <v>3641</v>
      </c>
      <c r="I1517" s="6" t="s">
        <v>20</v>
      </c>
      <c r="J1517" s="6">
        <v>2025.0</v>
      </c>
      <c r="L1517" s="6">
        <v>6.0</v>
      </c>
      <c r="M1517" s="8">
        <f t="shared" si="2"/>
        <v>0.24</v>
      </c>
      <c r="P1517" s="9"/>
    </row>
    <row r="1518">
      <c r="A1518" s="6" t="s">
        <v>3642</v>
      </c>
      <c r="B1518" s="6" t="s">
        <v>62</v>
      </c>
      <c r="C1518" s="6" t="s">
        <v>23</v>
      </c>
      <c r="D1518" s="6" t="s">
        <v>3643</v>
      </c>
      <c r="E1518" s="6" t="s">
        <v>3644</v>
      </c>
      <c r="F1518" s="6" t="s">
        <v>717</v>
      </c>
      <c r="G1518" s="7">
        <v>0.2</v>
      </c>
      <c r="H1518" s="6" t="s">
        <v>1361</v>
      </c>
      <c r="I1518" s="6" t="s">
        <v>20</v>
      </c>
      <c r="J1518" s="6">
        <v>2008.0</v>
      </c>
      <c r="L1518" s="6">
        <v>1.0</v>
      </c>
      <c r="M1518" s="8">
        <f t="shared" si="2"/>
        <v>0.2</v>
      </c>
      <c r="P1518" s="9"/>
    </row>
    <row r="1519">
      <c r="A1519" s="6" t="s">
        <v>3645</v>
      </c>
      <c r="B1519" s="6" t="s">
        <v>62</v>
      </c>
      <c r="C1519" s="6" t="s">
        <v>41</v>
      </c>
      <c r="D1519" s="6" t="s">
        <v>3646</v>
      </c>
      <c r="E1519" s="6" t="s">
        <v>3647</v>
      </c>
      <c r="F1519" s="6" t="s">
        <v>18</v>
      </c>
      <c r="G1519" s="7">
        <v>0.49</v>
      </c>
      <c r="H1519" s="6" t="s">
        <v>276</v>
      </c>
      <c r="I1519" s="6" t="s">
        <v>20</v>
      </c>
      <c r="J1519" s="6">
        <v>2014.0</v>
      </c>
      <c r="L1519" s="6">
        <v>1.0</v>
      </c>
      <c r="M1519" s="8">
        <f t="shared" si="2"/>
        <v>0.49</v>
      </c>
      <c r="P1519" s="9"/>
    </row>
    <row r="1520">
      <c r="A1520" s="6" t="s">
        <v>3648</v>
      </c>
      <c r="B1520" s="6" t="s">
        <v>1234</v>
      </c>
      <c r="C1520" s="6" t="s">
        <v>41</v>
      </c>
      <c r="D1520" s="6" t="s">
        <v>3649</v>
      </c>
      <c r="E1520" s="6" t="s">
        <v>2909</v>
      </c>
      <c r="F1520" s="6" t="s">
        <v>717</v>
      </c>
      <c r="G1520" s="7">
        <v>0.1</v>
      </c>
      <c r="H1520" s="6" t="s">
        <v>621</v>
      </c>
      <c r="I1520" s="6" t="s">
        <v>20</v>
      </c>
      <c r="J1520" s="6">
        <v>2015.0</v>
      </c>
      <c r="K1520" s="10">
        <v>46023.0</v>
      </c>
      <c r="L1520" s="6">
        <v>1.0</v>
      </c>
      <c r="M1520" s="8">
        <f t="shared" si="2"/>
        <v>0.1</v>
      </c>
      <c r="P1520" s="9"/>
    </row>
    <row r="1521">
      <c r="A1521" s="6" t="s">
        <v>3650</v>
      </c>
      <c r="B1521" s="6" t="s">
        <v>1594</v>
      </c>
      <c r="C1521" s="6" t="s">
        <v>23</v>
      </c>
      <c r="D1521" s="6" t="s">
        <v>3651</v>
      </c>
      <c r="E1521" s="6" t="s">
        <v>235</v>
      </c>
      <c r="F1521" s="6" t="s">
        <v>103</v>
      </c>
      <c r="G1521" s="7">
        <v>0.03</v>
      </c>
      <c r="H1521" s="6" t="s">
        <v>875</v>
      </c>
      <c r="I1521" s="6" t="s">
        <v>20</v>
      </c>
      <c r="J1521" s="6">
        <v>2018.0</v>
      </c>
      <c r="K1521" s="10">
        <v>46084.0</v>
      </c>
      <c r="L1521" s="6">
        <v>1.0</v>
      </c>
      <c r="M1521" s="8">
        <f t="shared" si="2"/>
        <v>0.03</v>
      </c>
      <c r="P1521" s="9"/>
    </row>
    <row r="1522">
      <c r="A1522" s="6" t="s">
        <v>3652</v>
      </c>
      <c r="B1522" s="6" t="s">
        <v>1597</v>
      </c>
      <c r="C1522" s="6" t="s">
        <v>23</v>
      </c>
      <c r="D1522" s="6" t="s">
        <v>3653</v>
      </c>
      <c r="E1522" s="6" t="s">
        <v>153</v>
      </c>
      <c r="F1522" s="6" t="s">
        <v>103</v>
      </c>
      <c r="G1522" s="7">
        <v>0.03</v>
      </c>
      <c r="H1522" s="6" t="s">
        <v>555</v>
      </c>
      <c r="I1522" s="6" t="s">
        <v>20</v>
      </c>
      <c r="J1522" s="6">
        <v>2017.0</v>
      </c>
      <c r="K1522" s="10">
        <v>46084.0</v>
      </c>
      <c r="L1522" s="6">
        <v>1.0</v>
      </c>
      <c r="M1522" s="8">
        <f t="shared" si="2"/>
        <v>0.03</v>
      </c>
      <c r="P1522" s="9"/>
    </row>
    <row r="1523">
      <c r="A1523" s="6" t="s">
        <v>3654</v>
      </c>
      <c r="B1523" s="6" t="s">
        <v>3655</v>
      </c>
      <c r="C1523" s="6" t="s">
        <v>34</v>
      </c>
      <c r="D1523" s="6" t="s">
        <v>3656</v>
      </c>
      <c r="E1523" s="6" t="s">
        <v>1129</v>
      </c>
      <c r="F1523" s="6" t="s">
        <v>18</v>
      </c>
      <c r="G1523" s="7">
        <v>0.06</v>
      </c>
      <c r="H1523" s="6" t="s">
        <v>180</v>
      </c>
      <c r="I1523" s="6" t="s">
        <v>20</v>
      </c>
      <c r="J1523" s="6">
        <v>2014.0</v>
      </c>
      <c r="K1523" s="10">
        <v>46082.0</v>
      </c>
      <c r="L1523" s="6">
        <v>1.0</v>
      </c>
      <c r="M1523" s="8">
        <f t="shared" si="2"/>
        <v>0.06</v>
      </c>
      <c r="P1523" s="9"/>
    </row>
    <row r="1524">
      <c r="A1524" s="6" t="s">
        <v>3657</v>
      </c>
      <c r="B1524" s="6" t="s">
        <v>169</v>
      </c>
      <c r="C1524" s="6" t="s">
        <v>287</v>
      </c>
      <c r="D1524" s="6" t="s">
        <v>3658</v>
      </c>
      <c r="E1524" s="6" t="s">
        <v>611</v>
      </c>
      <c r="F1524" s="6" t="s">
        <v>103</v>
      </c>
      <c r="G1524" s="7">
        <v>0.05</v>
      </c>
      <c r="H1524" s="6" t="s">
        <v>88</v>
      </c>
      <c r="I1524" s="6" t="s">
        <v>20</v>
      </c>
      <c r="J1524" s="6">
        <v>2013.0</v>
      </c>
      <c r="L1524" s="6">
        <v>4.0</v>
      </c>
      <c r="M1524" s="8">
        <f t="shared" si="2"/>
        <v>0.2</v>
      </c>
      <c r="P1524" s="9"/>
    </row>
    <row r="1525">
      <c r="A1525" s="6" t="s">
        <v>3659</v>
      </c>
      <c r="B1525" s="6" t="s">
        <v>3660</v>
      </c>
      <c r="C1525" s="6" t="s">
        <v>41</v>
      </c>
      <c r="D1525" s="6" t="s">
        <v>3661</v>
      </c>
      <c r="E1525" s="6" t="s">
        <v>2709</v>
      </c>
      <c r="F1525" s="6" t="s">
        <v>215</v>
      </c>
      <c r="G1525" s="7">
        <v>0.11</v>
      </c>
      <c r="H1525" s="6" t="s">
        <v>1194</v>
      </c>
      <c r="I1525" s="6" t="s">
        <v>20</v>
      </c>
      <c r="J1525" s="6">
        <v>2023.0</v>
      </c>
      <c r="K1525" s="10">
        <v>46116.0</v>
      </c>
      <c r="L1525" s="6">
        <v>2.0</v>
      </c>
      <c r="M1525" s="8">
        <f t="shared" si="2"/>
        <v>0.22</v>
      </c>
      <c r="P1525" s="9"/>
    </row>
    <row r="1526">
      <c r="A1526" s="6" t="s">
        <v>3662</v>
      </c>
      <c r="B1526" s="6" t="s">
        <v>372</v>
      </c>
      <c r="C1526" s="6" t="s">
        <v>23</v>
      </c>
      <c r="D1526" s="6" t="s">
        <v>3663</v>
      </c>
      <c r="E1526" s="6" t="s">
        <v>298</v>
      </c>
      <c r="F1526" s="6" t="s">
        <v>159</v>
      </c>
      <c r="G1526" s="7">
        <v>0.04</v>
      </c>
      <c r="H1526" s="6" t="s">
        <v>418</v>
      </c>
      <c r="I1526" s="6" t="s">
        <v>20</v>
      </c>
      <c r="J1526" s="6">
        <v>2022.0</v>
      </c>
      <c r="L1526" s="6">
        <v>1.0</v>
      </c>
      <c r="M1526" s="8">
        <f t="shared" si="2"/>
        <v>0.04</v>
      </c>
      <c r="P1526" s="9"/>
    </row>
    <row r="1527">
      <c r="A1527" s="6" t="s">
        <v>3664</v>
      </c>
      <c r="B1527" s="6" t="s">
        <v>372</v>
      </c>
      <c r="C1527" s="6" t="s">
        <v>23</v>
      </c>
      <c r="D1527" s="6" t="s">
        <v>3665</v>
      </c>
      <c r="E1527" s="6" t="s">
        <v>1092</v>
      </c>
      <c r="F1527" s="6" t="s">
        <v>103</v>
      </c>
      <c r="G1527" s="7">
        <v>0.08</v>
      </c>
      <c r="H1527" s="6" t="s">
        <v>109</v>
      </c>
      <c r="I1527" s="6" t="s">
        <v>20</v>
      </c>
      <c r="J1527" s="6">
        <v>1995.0</v>
      </c>
      <c r="L1527" s="6">
        <v>3.0</v>
      </c>
      <c r="M1527" s="8">
        <f t="shared" si="2"/>
        <v>0.24</v>
      </c>
      <c r="P1527" s="9"/>
    </row>
    <row r="1528">
      <c r="A1528" s="6" t="s">
        <v>3664</v>
      </c>
      <c r="B1528" s="6" t="s">
        <v>372</v>
      </c>
      <c r="C1528" s="6" t="s">
        <v>23</v>
      </c>
      <c r="D1528" s="6" t="s">
        <v>3665</v>
      </c>
      <c r="E1528" s="6" t="s">
        <v>1092</v>
      </c>
      <c r="F1528" s="6" t="s">
        <v>103</v>
      </c>
      <c r="G1528" s="7">
        <v>0.21</v>
      </c>
      <c r="H1528" s="6" t="s">
        <v>1382</v>
      </c>
      <c r="I1528" s="6" t="s">
        <v>20</v>
      </c>
      <c r="J1528" s="6">
        <v>1995.0</v>
      </c>
      <c r="L1528" s="6">
        <v>3.0</v>
      </c>
      <c r="M1528" s="8">
        <f t="shared" si="2"/>
        <v>0.63</v>
      </c>
      <c r="P1528" s="9"/>
    </row>
    <row r="1529">
      <c r="A1529" s="6" t="s">
        <v>3664</v>
      </c>
      <c r="B1529" s="6" t="s">
        <v>372</v>
      </c>
      <c r="C1529" s="6" t="s">
        <v>23</v>
      </c>
      <c r="D1529" s="6" t="s">
        <v>3665</v>
      </c>
      <c r="E1529" s="6" t="s">
        <v>1092</v>
      </c>
      <c r="F1529" s="6" t="s">
        <v>103</v>
      </c>
      <c r="G1529" s="7">
        <v>0.15</v>
      </c>
      <c r="H1529" s="6" t="s">
        <v>607</v>
      </c>
      <c r="I1529" s="6" t="s">
        <v>20</v>
      </c>
      <c r="J1529" s="6">
        <v>1995.0</v>
      </c>
      <c r="L1529" s="6">
        <v>2.0</v>
      </c>
      <c r="M1529" s="8">
        <f t="shared" si="2"/>
        <v>0.3</v>
      </c>
      <c r="P1529" s="9"/>
    </row>
    <row r="1530">
      <c r="A1530" s="6" t="s">
        <v>3666</v>
      </c>
      <c r="B1530" s="6" t="s">
        <v>3667</v>
      </c>
      <c r="C1530" s="6" t="s">
        <v>48</v>
      </c>
      <c r="D1530" s="6" t="s">
        <v>3668</v>
      </c>
      <c r="E1530" s="6" t="s">
        <v>3669</v>
      </c>
      <c r="F1530" s="6" t="s">
        <v>65</v>
      </c>
      <c r="G1530" s="7">
        <v>0.09</v>
      </c>
      <c r="H1530" s="6" t="s">
        <v>645</v>
      </c>
      <c r="I1530" s="6" t="s">
        <v>20</v>
      </c>
      <c r="J1530" s="6">
        <v>2024.0</v>
      </c>
      <c r="K1530" s="10">
        <v>46116.0</v>
      </c>
      <c r="L1530" s="6">
        <v>1.0</v>
      </c>
      <c r="M1530" s="8">
        <f t="shared" si="2"/>
        <v>0.09</v>
      </c>
      <c r="P1530" s="9"/>
    </row>
    <row r="1531">
      <c r="A1531" s="6" t="s">
        <v>3670</v>
      </c>
      <c r="B1531" s="6" t="s">
        <v>3667</v>
      </c>
      <c r="C1531" s="6" t="s">
        <v>48</v>
      </c>
      <c r="D1531" s="6" t="s">
        <v>3671</v>
      </c>
      <c r="E1531" s="6" t="s">
        <v>293</v>
      </c>
      <c r="F1531" s="6" t="s">
        <v>18</v>
      </c>
      <c r="G1531" s="7">
        <v>0.19</v>
      </c>
      <c r="H1531" s="6" t="s">
        <v>645</v>
      </c>
      <c r="I1531" s="6" t="s">
        <v>20</v>
      </c>
      <c r="J1531" s="6">
        <v>2024.0</v>
      </c>
      <c r="K1531" s="10">
        <v>46056.0</v>
      </c>
      <c r="L1531" s="6">
        <v>1.0</v>
      </c>
      <c r="M1531" s="8">
        <f t="shared" si="2"/>
        <v>0.19</v>
      </c>
      <c r="P1531" s="9"/>
    </row>
    <row r="1532">
      <c r="A1532" s="6" t="s">
        <v>3672</v>
      </c>
      <c r="B1532" s="6" t="s">
        <v>3667</v>
      </c>
      <c r="C1532" s="6" t="s">
        <v>23</v>
      </c>
      <c r="D1532" s="6" t="s">
        <v>3673</v>
      </c>
      <c r="E1532" s="6" t="s">
        <v>118</v>
      </c>
      <c r="F1532" s="6" t="s">
        <v>51</v>
      </c>
      <c r="G1532" s="7">
        <v>0.05</v>
      </c>
      <c r="H1532" s="6" t="s">
        <v>645</v>
      </c>
      <c r="I1532" s="6" t="s">
        <v>20</v>
      </c>
      <c r="J1532" s="6">
        <v>2024.0</v>
      </c>
      <c r="K1532" s="10">
        <v>46055.0</v>
      </c>
      <c r="L1532" s="6">
        <v>1.0</v>
      </c>
      <c r="M1532" s="8">
        <f t="shared" si="2"/>
        <v>0.05</v>
      </c>
      <c r="P1532" s="9"/>
    </row>
    <row r="1533">
      <c r="A1533" s="6" t="s">
        <v>3674</v>
      </c>
      <c r="B1533" s="6" t="s">
        <v>3667</v>
      </c>
      <c r="C1533" s="6" t="s">
        <v>23</v>
      </c>
      <c r="D1533" s="6" t="s">
        <v>3675</v>
      </c>
      <c r="E1533" s="6" t="s">
        <v>611</v>
      </c>
      <c r="F1533" s="6" t="s">
        <v>103</v>
      </c>
      <c r="G1533" s="7">
        <v>0.03</v>
      </c>
      <c r="H1533" s="6" t="s">
        <v>645</v>
      </c>
      <c r="I1533" s="6" t="s">
        <v>20</v>
      </c>
      <c r="J1533" s="6">
        <v>2024.0</v>
      </c>
      <c r="K1533" s="10">
        <v>46147.0</v>
      </c>
      <c r="L1533" s="6">
        <v>1.0</v>
      </c>
      <c r="M1533" s="8">
        <f t="shared" si="2"/>
        <v>0.03</v>
      </c>
      <c r="P1533" s="9"/>
    </row>
    <row r="1534">
      <c r="A1534" s="6" t="s">
        <v>3676</v>
      </c>
      <c r="B1534" s="6" t="s">
        <v>372</v>
      </c>
      <c r="C1534" s="6" t="s">
        <v>23</v>
      </c>
      <c r="D1534" s="6" t="s">
        <v>3677</v>
      </c>
      <c r="E1534" s="6" t="s">
        <v>64</v>
      </c>
      <c r="F1534" s="6" t="s">
        <v>65</v>
      </c>
      <c r="G1534" s="7">
        <v>0.03</v>
      </c>
      <c r="H1534" s="6" t="s">
        <v>276</v>
      </c>
      <c r="I1534" s="6" t="s">
        <v>20</v>
      </c>
      <c r="J1534" s="6">
        <v>2014.0</v>
      </c>
      <c r="L1534" s="6">
        <v>1.0</v>
      </c>
      <c r="M1534" s="8">
        <f t="shared" si="2"/>
        <v>0.03</v>
      </c>
      <c r="P1534" s="9"/>
    </row>
    <row r="1535">
      <c r="A1535" s="6" t="s">
        <v>3678</v>
      </c>
      <c r="B1535" s="6" t="s">
        <v>62</v>
      </c>
      <c r="C1535" s="6" t="s">
        <v>23</v>
      </c>
      <c r="D1535" s="6" t="s">
        <v>3679</v>
      </c>
      <c r="E1535" s="6" t="s">
        <v>102</v>
      </c>
      <c r="F1535" s="6" t="s">
        <v>103</v>
      </c>
      <c r="G1535" s="7">
        <v>0.06</v>
      </c>
      <c r="H1535" s="6" t="s">
        <v>359</v>
      </c>
      <c r="I1535" s="6" t="s">
        <v>20</v>
      </c>
      <c r="J1535" s="6">
        <v>2014.0</v>
      </c>
      <c r="L1535" s="6">
        <v>4.0</v>
      </c>
      <c r="M1535" s="8">
        <f t="shared" si="2"/>
        <v>0.24</v>
      </c>
      <c r="P1535" s="9"/>
    </row>
    <row r="1536">
      <c r="A1536" s="6" t="s">
        <v>3680</v>
      </c>
      <c r="B1536" s="6" t="s">
        <v>182</v>
      </c>
      <c r="C1536" s="6" t="s">
        <v>23</v>
      </c>
      <c r="D1536" s="6" t="s">
        <v>3681</v>
      </c>
      <c r="E1536" s="6" t="s">
        <v>167</v>
      </c>
      <c r="F1536" s="6" t="s">
        <v>103</v>
      </c>
      <c r="G1536" s="7">
        <v>0.09</v>
      </c>
      <c r="H1536" s="6" t="s">
        <v>2005</v>
      </c>
      <c r="I1536" s="6" t="s">
        <v>20</v>
      </c>
      <c r="J1536" s="6">
        <v>2006.0</v>
      </c>
      <c r="L1536" s="6">
        <v>2.0</v>
      </c>
      <c r="M1536" s="8">
        <f t="shared" si="2"/>
        <v>0.18</v>
      </c>
      <c r="P1536" s="9"/>
    </row>
    <row r="1537">
      <c r="A1537" s="6" t="s">
        <v>3682</v>
      </c>
      <c r="B1537" s="6" t="s">
        <v>182</v>
      </c>
      <c r="C1537" s="6" t="s">
        <v>48</v>
      </c>
      <c r="D1537" s="6" t="s">
        <v>3683</v>
      </c>
      <c r="E1537" s="6" t="s">
        <v>1321</v>
      </c>
      <c r="F1537" s="6" t="s">
        <v>103</v>
      </c>
      <c r="G1537" s="7">
        <v>0.2</v>
      </c>
      <c r="H1537" s="6" t="s">
        <v>163</v>
      </c>
      <c r="I1537" s="6" t="s">
        <v>20</v>
      </c>
      <c r="J1537" s="6">
        <v>2023.0</v>
      </c>
      <c r="L1537" s="6">
        <v>1.0</v>
      </c>
      <c r="M1537" s="8">
        <f t="shared" si="2"/>
        <v>0.2</v>
      </c>
      <c r="P1537" s="9"/>
    </row>
    <row r="1538">
      <c r="A1538" s="6" t="s">
        <v>3684</v>
      </c>
      <c r="B1538" s="6" t="s">
        <v>366</v>
      </c>
      <c r="C1538" s="6" t="s">
        <v>23</v>
      </c>
      <c r="D1538" s="6" t="s">
        <v>3685</v>
      </c>
      <c r="E1538" s="6" t="s">
        <v>153</v>
      </c>
      <c r="F1538" s="6" t="s">
        <v>103</v>
      </c>
      <c r="G1538" s="7">
        <v>0.09</v>
      </c>
      <c r="H1538" s="6" t="s">
        <v>75</v>
      </c>
      <c r="I1538" s="6" t="s">
        <v>20</v>
      </c>
      <c r="J1538" s="6">
        <v>1995.0</v>
      </c>
      <c r="L1538" s="6">
        <v>1.0</v>
      </c>
      <c r="M1538" s="8">
        <f t="shared" si="2"/>
        <v>0.09</v>
      </c>
      <c r="P1538" s="9"/>
    </row>
    <row r="1539">
      <c r="A1539" s="6" t="s">
        <v>3686</v>
      </c>
      <c r="B1539" s="6" t="s">
        <v>194</v>
      </c>
      <c r="C1539" s="6" t="s">
        <v>23</v>
      </c>
      <c r="D1539" s="6" t="s">
        <v>3687</v>
      </c>
      <c r="E1539" s="6" t="s">
        <v>153</v>
      </c>
      <c r="F1539" s="6" t="s">
        <v>103</v>
      </c>
      <c r="G1539" s="7">
        <v>0.08</v>
      </c>
      <c r="H1539" s="6" t="s">
        <v>289</v>
      </c>
      <c r="I1539" s="6" t="s">
        <v>20</v>
      </c>
      <c r="J1539" s="6">
        <v>1996.0</v>
      </c>
      <c r="L1539" s="6">
        <v>2.0</v>
      </c>
      <c r="M1539" s="8">
        <f t="shared" si="2"/>
        <v>0.16</v>
      </c>
      <c r="P1539" s="9"/>
    </row>
    <row r="1540">
      <c r="A1540" s="6" t="s">
        <v>3688</v>
      </c>
      <c r="B1540" s="6" t="s">
        <v>709</v>
      </c>
      <c r="C1540" s="6" t="s">
        <v>48</v>
      </c>
      <c r="D1540" s="6" t="s">
        <v>3689</v>
      </c>
      <c r="E1540" s="6" t="s">
        <v>1321</v>
      </c>
      <c r="F1540" s="6" t="s">
        <v>103</v>
      </c>
      <c r="G1540" s="7">
        <v>0.1</v>
      </c>
      <c r="H1540" s="6" t="s">
        <v>2669</v>
      </c>
      <c r="I1540" s="6" t="s">
        <v>20</v>
      </c>
      <c r="J1540" s="6">
        <v>2019.0</v>
      </c>
      <c r="K1540" s="10">
        <v>46084.0</v>
      </c>
      <c r="L1540" s="6">
        <v>1.0</v>
      </c>
      <c r="M1540" s="8">
        <f t="shared" si="2"/>
        <v>0.1</v>
      </c>
      <c r="P1540" s="9"/>
    </row>
    <row r="1541">
      <c r="A1541" s="6" t="s">
        <v>3690</v>
      </c>
      <c r="B1541" s="6" t="s">
        <v>62</v>
      </c>
      <c r="C1541" s="6" t="s">
        <v>23</v>
      </c>
      <c r="D1541" s="6" t="s">
        <v>3691</v>
      </c>
      <c r="E1541" s="6" t="s">
        <v>118</v>
      </c>
      <c r="F1541" s="6" t="s">
        <v>51</v>
      </c>
      <c r="G1541" s="7">
        <v>0.06</v>
      </c>
      <c r="H1541" s="6" t="s">
        <v>129</v>
      </c>
      <c r="I1541" s="6" t="s">
        <v>20</v>
      </c>
      <c r="J1541" s="6">
        <v>2014.0</v>
      </c>
      <c r="L1541" s="6">
        <v>2.0</v>
      </c>
      <c r="M1541" s="8">
        <f t="shared" si="2"/>
        <v>0.12</v>
      </c>
      <c r="P1541" s="9"/>
    </row>
    <row r="1542">
      <c r="A1542" s="6" t="s">
        <v>3692</v>
      </c>
      <c r="B1542" s="6" t="s">
        <v>3693</v>
      </c>
      <c r="C1542" s="6" t="s">
        <v>48</v>
      </c>
      <c r="D1542" s="6" t="s">
        <v>3694</v>
      </c>
      <c r="E1542" s="6" t="s">
        <v>175</v>
      </c>
      <c r="F1542" s="6" t="s">
        <v>51</v>
      </c>
      <c r="G1542" s="7">
        <v>0.11</v>
      </c>
      <c r="H1542" s="6" t="s">
        <v>192</v>
      </c>
      <c r="I1542" s="6" t="s">
        <v>20</v>
      </c>
      <c r="J1542" s="6">
        <v>2026.0</v>
      </c>
      <c r="K1542" s="6" t="s">
        <v>341</v>
      </c>
      <c r="L1542" s="6">
        <v>2.0</v>
      </c>
      <c r="M1542" s="8">
        <f t="shared" si="2"/>
        <v>0.22</v>
      </c>
      <c r="P1542" s="9"/>
    </row>
    <row r="1543">
      <c r="A1543" s="6" t="s">
        <v>3695</v>
      </c>
      <c r="B1543" s="6" t="s">
        <v>62</v>
      </c>
      <c r="C1543" s="6" t="s">
        <v>23</v>
      </c>
      <c r="D1543" s="6" t="s">
        <v>3696</v>
      </c>
      <c r="E1543" s="6" t="s">
        <v>235</v>
      </c>
      <c r="F1543" s="6" t="s">
        <v>103</v>
      </c>
      <c r="G1543" s="7">
        <v>0.05</v>
      </c>
      <c r="H1543" s="6" t="s">
        <v>1194</v>
      </c>
      <c r="I1543" s="6" t="s">
        <v>20</v>
      </c>
      <c r="J1543" s="6">
        <v>2023.0</v>
      </c>
      <c r="L1543" s="6">
        <v>1.0</v>
      </c>
      <c r="M1543" s="8">
        <f t="shared" si="2"/>
        <v>0.05</v>
      </c>
      <c r="P1543" s="9"/>
    </row>
    <row r="1544">
      <c r="A1544" s="6" t="s">
        <v>3697</v>
      </c>
      <c r="B1544" s="6" t="s">
        <v>194</v>
      </c>
      <c r="C1544" s="6" t="s">
        <v>48</v>
      </c>
      <c r="D1544" s="6" t="s">
        <v>3698</v>
      </c>
      <c r="E1544" s="6" t="s">
        <v>102</v>
      </c>
      <c r="F1544" s="6" t="s">
        <v>103</v>
      </c>
      <c r="G1544" s="7">
        <v>0.45</v>
      </c>
      <c r="H1544" s="6" t="s">
        <v>994</v>
      </c>
      <c r="I1544" s="6" t="s">
        <v>20</v>
      </c>
      <c r="J1544" s="6">
        <v>2024.0</v>
      </c>
      <c r="L1544" s="6">
        <v>1.0</v>
      </c>
      <c r="M1544" s="8">
        <f t="shared" si="2"/>
        <v>0.45</v>
      </c>
      <c r="P1544" s="9"/>
    </row>
    <row r="1545">
      <c r="A1545" s="6" t="s">
        <v>3699</v>
      </c>
      <c r="B1545" s="6" t="s">
        <v>194</v>
      </c>
      <c r="C1545" s="6" t="s">
        <v>521</v>
      </c>
      <c r="D1545" s="6" t="s">
        <v>3700</v>
      </c>
      <c r="E1545" s="6" t="s">
        <v>533</v>
      </c>
      <c r="F1545" s="6" t="s">
        <v>3701</v>
      </c>
      <c r="G1545" s="7">
        <v>0.05</v>
      </c>
      <c r="H1545" s="6" t="s">
        <v>641</v>
      </c>
      <c r="I1545" s="6" t="s">
        <v>20</v>
      </c>
      <c r="J1545" s="6">
        <v>2026.0</v>
      </c>
      <c r="L1545" s="6">
        <v>1.0</v>
      </c>
      <c r="M1545" s="8">
        <f t="shared" si="2"/>
        <v>0.05</v>
      </c>
      <c r="P1545" s="9"/>
    </row>
    <row r="1546">
      <c r="A1546" s="6" t="s">
        <v>3702</v>
      </c>
      <c r="B1546" s="6" t="s">
        <v>62</v>
      </c>
      <c r="C1546" s="6" t="s">
        <v>23</v>
      </c>
      <c r="D1546" s="6" t="s">
        <v>3703</v>
      </c>
      <c r="E1546" s="6" t="s">
        <v>167</v>
      </c>
      <c r="F1546" s="6" t="s">
        <v>103</v>
      </c>
      <c r="G1546" s="7">
        <v>2.49</v>
      </c>
      <c r="H1546" s="6" t="s">
        <v>1115</v>
      </c>
      <c r="I1546" s="6" t="s">
        <v>20</v>
      </c>
      <c r="J1546" s="6">
        <v>2021.0</v>
      </c>
      <c r="L1546" s="6">
        <v>2.0</v>
      </c>
      <c r="M1546" s="8">
        <f t="shared" si="2"/>
        <v>4.98</v>
      </c>
      <c r="P1546" s="9"/>
    </row>
    <row r="1547">
      <c r="A1547" s="6" t="s">
        <v>3704</v>
      </c>
      <c r="B1547" s="6" t="s">
        <v>250</v>
      </c>
      <c r="C1547" s="6" t="s">
        <v>571</v>
      </c>
      <c r="D1547" s="6" t="s">
        <v>3705</v>
      </c>
      <c r="E1547" s="6" t="s">
        <v>303</v>
      </c>
      <c r="F1547" s="6" t="s">
        <v>452</v>
      </c>
      <c r="G1547" s="7">
        <v>0.9</v>
      </c>
      <c r="H1547" s="6" t="s">
        <v>3167</v>
      </c>
      <c r="I1547" s="6" t="s">
        <v>20</v>
      </c>
      <c r="J1547" s="6">
        <v>1997.0</v>
      </c>
      <c r="L1547" s="6">
        <v>1.0</v>
      </c>
      <c r="M1547" s="8">
        <f t="shared" si="2"/>
        <v>0.9</v>
      </c>
      <c r="P1547" s="9"/>
    </row>
    <row r="1548">
      <c r="A1548" s="6" t="s">
        <v>3706</v>
      </c>
      <c r="B1548" s="6" t="s">
        <v>531</v>
      </c>
      <c r="C1548" s="6" t="s">
        <v>23</v>
      </c>
      <c r="D1548" s="6" t="s">
        <v>3707</v>
      </c>
      <c r="E1548" s="6" t="s">
        <v>102</v>
      </c>
      <c r="F1548" s="6" t="s">
        <v>103</v>
      </c>
      <c r="G1548" s="7">
        <v>0.03</v>
      </c>
      <c r="H1548" s="6" t="s">
        <v>276</v>
      </c>
      <c r="I1548" s="6" t="s">
        <v>20</v>
      </c>
      <c r="J1548" s="6">
        <v>2014.0</v>
      </c>
      <c r="K1548" s="10">
        <v>46055.0</v>
      </c>
      <c r="L1548" s="6">
        <v>1.0</v>
      </c>
      <c r="M1548" s="8">
        <f t="shared" si="2"/>
        <v>0.03</v>
      </c>
      <c r="P1548" s="9"/>
    </row>
    <row r="1549">
      <c r="A1549" s="6" t="s">
        <v>3708</v>
      </c>
      <c r="B1549" s="6" t="s">
        <v>531</v>
      </c>
      <c r="C1549" s="6" t="s">
        <v>23</v>
      </c>
      <c r="E1549" s="6" t="s">
        <v>235</v>
      </c>
      <c r="F1549" s="6" t="s">
        <v>103</v>
      </c>
      <c r="G1549" s="7">
        <v>0.04</v>
      </c>
      <c r="H1549" s="6" t="s">
        <v>626</v>
      </c>
      <c r="I1549" s="6" t="s">
        <v>20</v>
      </c>
      <c r="J1549" s="6">
        <v>2013.0</v>
      </c>
      <c r="K1549" s="10">
        <v>46083.0</v>
      </c>
      <c r="L1549" s="6">
        <v>6.0</v>
      </c>
      <c r="M1549" s="8">
        <f t="shared" si="2"/>
        <v>0.24</v>
      </c>
      <c r="P1549" s="9"/>
    </row>
    <row r="1550">
      <c r="A1550" s="6" t="s">
        <v>3709</v>
      </c>
      <c r="B1550" s="6" t="s">
        <v>3710</v>
      </c>
      <c r="C1550" s="6" t="s">
        <v>23</v>
      </c>
      <c r="D1550" s="6" t="s">
        <v>3711</v>
      </c>
      <c r="E1550" s="6" t="s">
        <v>50</v>
      </c>
      <c r="F1550" s="6" t="s">
        <v>51</v>
      </c>
      <c r="G1550" s="7">
        <v>0.07</v>
      </c>
      <c r="H1550" s="6" t="s">
        <v>113</v>
      </c>
      <c r="I1550" s="6" t="s">
        <v>20</v>
      </c>
      <c r="J1550" s="6">
        <v>2024.0</v>
      </c>
      <c r="K1550" s="10">
        <v>46083.0</v>
      </c>
      <c r="L1550" s="6">
        <v>1.0</v>
      </c>
      <c r="M1550" s="8">
        <f t="shared" si="2"/>
        <v>0.07</v>
      </c>
      <c r="P1550" s="9"/>
    </row>
    <row r="1551">
      <c r="A1551" s="6" t="s">
        <v>3712</v>
      </c>
      <c r="B1551" s="6" t="s">
        <v>1161</v>
      </c>
      <c r="C1551" s="6" t="s">
        <v>23</v>
      </c>
      <c r="D1551" s="6" t="s">
        <v>3713</v>
      </c>
      <c r="E1551" s="6" t="s">
        <v>79</v>
      </c>
      <c r="F1551" s="6" t="s">
        <v>51</v>
      </c>
      <c r="G1551" s="7">
        <v>0.02</v>
      </c>
      <c r="H1551" s="6" t="s">
        <v>370</v>
      </c>
      <c r="I1551" s="6" t="s">
        <v>20</v>
      </c>
      <c r="J1551" s="6">
        <v>1996.0</v>
      </c>
      <c r="K1551" s="10">
        <v>46055.0</v>
      </c>
      <c r="L1551" s="6">
        <v>1.0</v>
      </c>
      <c r="M1551" s="8">
        <f t="shared" si="2"/>
        <v>0.02</v>
      </c>
      <c r="P1551" s="9"/>
    </row>
    <row r="1552">
      <c r="A1552" s="6" t="s">
        <v>3714</v>
      </c>
      <c r="B1552" s="6" t="s">
        <v>131</v>
      </c>
      <c r="C1552" s="6" t="s">
        <v>23</v>
      </c>
      <c r="D1552" s="6" t="s">
        <v>3715</v>
      </c>
      <c r="E1552" s="6" t="s">
        <v>118</v>
      </c>
      <c r="F1552" s="6" t="s">
        <v>51</v>
      </c>
      <c r="G1552" s="7">
        <v>0.06</v>
      </c>
      <c r="H1552" s="6" t="s">
        <v>2401</v>
      </c>
      <c r="I1552" s="6" t="s">
        <v>20</v>
      </c>
      <c r="J1552" s="6">
        <v>2018.0</v>
      </c>
      <c r="K1552" s="10">
        <v>46023.0</v>
      </c>
      <c r="L1552" s="6">
        <v>4.0</v>
      </c>
      <c r="M1552" s="8">
        <f t="shared" si="2"/>
        <v>0.24</v>
      </c>
      <c r="P1552" s="9"/>
    </row>
    <row r="1553">
      <c r="A1553" s="6" t="s">
        <v>3716</v>
      </c>
      <c r="B1553" s="6" t="s">
        <v>3717</v>
      </c>
      <c r="C1553" s="6" t="s">
        <v>15</v>
      </c>
      <c r="D1553" s="6" t="s">
        <v>3718</v>
      </c>
      <c r="E1553" s="6" t="s">
        <v>3719</v>
      </c>
      <c r="F1553" s="6" t="s">
        <v>103</v>
      </c>
      <c r="G1553" s="7">
        <v>0.15</v>
      </c>
      <c r="H1553" s="6" t="s">
        <v>19</v>
      </c>
      <c r="I1553" s="6" t="s">
        <v>20</v>
      </c>
      <c r="J1553" s="6">
        <v>2023.0</v>
      </c>
      <c r="K1553" s="10">
        <v>46116.0</v>
      </c>
      <c r="L1553" s="6">
        <v>1.0</v>
      </c>
      <c r="M1553" s="8">
        <f t="shared" si="2"/>
        <v>0.15</v>
      </c>
      <c r="P1553" s="9"/>
    </row>
    <row r="1554">
      <c r="A1554" s="6" t="s">
        <v>3716</v>
      </c>
      <c r="B1554" s="6" t="s">
        <v>3717</v>
      </c>
      <c r="C1554" s="6" t="s">
        <v>15</v>
      </c>
      <c r="D1554" s="6" t="s">
        <v>3720</v>
      </c>
      <c r="E1554" s="6" t="s">
        <v>3719</v>
      </c>
      <c r="F1554" s="6" t="s">
        <v>103</v>
      </c>
      <c r="G1554" s="7">
        <v>0.39</v>
      </c>
      <c r="H1554" s="6" t="s">
        <v>19</v>
      </c>
      <c r="I1554" s="6" t="s">
        <v>20</v>
      </c>
      <c r="J1554" s="6">
        <v>2023.0</v>
      </c>
      <c r="K1554" s="10">
        <v>46116.0</v>
      </c>
      <c r="L1554" s="6">
        <v>1.0</v>
      </c>
      <c r="M1554" s="8">
        <f t="shared" si="2"/>
        <v>0.39</v>
      </c>
      <c r="P1554" s="9"/>
    </row>
    <row r="1555">
      <c r="A1555" s="6" t="s">
        <v>3721</v>
      </c>
      <c r="B1555" s="6" t="s">
        <v>372</v>
      </c>
      <c r="C1555" s="6" t="s">
        <v>23</v>
      </c>
      <c r="D1555" s="6" t="s">
        <v>3722</v>
      </c>
      <c r="E1555" s="6" t="s">
        <v>270</v>
      </c>
      <c r="F1555" s="6" t="s">
        <v>159</v>
      </c>
      <c r="G1555" s="7">
        <v>0.03</v>
      </c>
      <c r="H1555" s="6" t="s">
        <v>541</v>
      </c>
      <c r="I1555" s="6" t="s">
        <v>20</v>
      </c>
      <c r="J1555" s="6">
        <v>2019.0</v>
      </c>
      <c r="L1555" s="6">
        <v>1.0</v>
      </c>
      <c r="M1555" s="8">
        <f t="shared" si="2"/>
        <v>0.03</v>
      </c>
      <c r="P1555" s="9"/>
    </row>
    <row r="1556">
      <c r="A1556" s="6" t="s">
        <v>3723</v>
      </c>
      <c r="B1556" s="6" t="s">
        <v>331</v>
      </c>
      <c r="C1556" s="6" t="s">
        <v>23</v>
      </c>
      <c r="E1556" s="6" t="s">
        <v>112</v>
      </c>
      <c r="F1556" s="6" t="s">
        <v>65</v>
      </c>
      <c r="G1556" s="7">
        <v>0.04</v>
      </c>
      <c r="H1556" s="6" t="s">
        <v>185</v>
      </c>
      <c r="I1556" s="6" t="s">
        <v>20</v>
      </c>
      <c r="J1556" s="6">
        <v>2019.0</v>
      </c>
      <c r="K1556" s="10">
        <v>46055.0</v>
      </c>
      <c r="L1556" s="6">
        <v>1.0</v>
      </c>
      <c r="M1556" s="8">
        <f t="shared" si="2"/>
        <v>0.04</v>
      </c>
      <c r="P1556" s="9"/>
    </row>
    <row r="1557">
      <c r="A1557" s="6" t="s">
        <v>3724</v>
      </c>
      <c r="B1557" s="6" t="s">
        <v>331</v>
      </c>
      <c r="C1557" s="6" t="s">
        <v>23</v>
      </c>
      <c r="D1557" s="6" t="s">
        <v>3725</v>
      </c>
      <c r="E1557" s="6" t="s">
        <v>223</v>
      </c>
      <c r="F1557" s="6" t="s">
        <v>159</v>
      </c>
      <c r="G1557" s="7">
        <v>0.03</v>
      </c>
      <c r="H1557" s="6" t="s">
        <v>265</v>
      </c>
      <c r="I1557" s="6" t="s">
        <v>20</v>
      </c>
      <c r="J1557" s="6">
        <v>2017.0</v>
      </c>
      <c r="K1557" s="10">
        <v>46082.0</v>
      </c>
      <c r="L1557" s="6">
        <v>2.0</v>
      </c>
      <c r="M1557" s="8">
        <f t="shared" si="2"/>
        <v>0.06</v>
      </c>
      <c r="P1557" s="9"/>
    </row>
    <row r="1558">
      <c r="A1558" s="6" t="s">
        <v>3726</v>
      </c>
      <c r="B1558" s="6" t="s">
        <v>1609</v>
      </c>
      <c r="C1558" s="6" t="s">
        <v>23</v>
      </c>
      <c r="D1558" s="6" t="s">
        <v>1274</v>
      </c>
      <c r="E1558" s="6" t="s">
        <v>235</v>
      </c>
      <c r="F1558" s="6" t="s">
        <v>103</v>
      </c>
      <c r="G1558" s="7">
        <v>0.05</v>
      </c>
      <c r="H1558" s="6" t="s">
        <v>370</v>
      </c>
      <c r="I1558" s="6" t="s">
        <v>20</v>
      </c>
      <c r="J1558" s="6">
        <v>1996.0</v>
      </c>
      <c r="K1558" s="10">
        <v>46024.0</v>
      </c>
      <c r="L1558" s="6">
        <v>1.0</v>
      </c>
      <c r="M1558" s="8">
        <f t="shared" si="2"/>
        <v>0.05</v>
      </c>
      <c r="P1558" s="9"/>
    </row>
    <row r="1559">
      <c r="A1559" s="6" t="s">
        <v>3727</v>
      </c>
      <c r="B1559" s="6" t="s">
        <v>424</v>
      </c>
      <c r="C1559" s="6" t="s">
        <v>23</v>
      </c>
      <c r="D1559" s="6" t="s">
        <v>3728</v>
      </c>
      <c r="F1559" s="6" t="s">
        <v>159</v>
      </c>
      <c r="G1559" s="7">
        <v>0.1</v>
      </c>
      <c r="H1559" s="6" t="s">
        <v>621</v>
      </c>
      <c r="I1559" s="6" t="s">
        <v>20</v>
      </c>
      <c r="J1559" s="6">
        <v>2015.0</v>
      </c>
      <c r="L1559" s="6">
        <v>2.0</v>
      </c>
      <c r="M1559" s="8">
        <f t="shared" si="2"/>
        <v>0.2</v>
      </c>
      <c r="P1559" s="9"/>
    </row>
    <row r="1560">
      <c r="A1560" s="6" t="s">
        <v>3727</v>
      </c>
      <c r="B1560" s="6" t="s">
        <v>424</v>
      </c>
      <c r="C1560" s="6" t="s">
        <v>23</v>
      </c>
      <c r="D1560" s="6" t="s">
        <v>3728</v>
      </c>
      <c r="F1560" s="6" t="s">
        <v>159</v>
      </c>
      <c r="G1560" s="7">
        <v>0.1</v>
      </c>
      <c r="H1560" s="6" t="s">
        <v>621</v>
      </c>
      <c r="I1560" s="6" t="s">
        <v>20</v>
      </c>
      <c r="J1560" s="6">
        <v>2015.0</v>
      </c>
      <c r="L1560" s="6">
        <v>1.0</v>
      </c>
      <c r="M1560" s="8">
        <f t="shared" si="2"/>
        <v>0.1</v>
      </c>
      <c r="P1560" s="9"/>
    </row>
    <row r="1561">
      <c r="A1561" s="6" t="s">
        <v>3729</v>
      </c>
      <c r="B1561" s="6" t="s">
        <v>326</v>
      </c>
      <c r="C1561" s="6" t="s">
        <v>23</v>
      </c>
      <c r="D1561" s="6" t="s">
        <v>3730</v>
      </c>
      <c r="E1561" s="6" t="s">
        <v>270</v>
      </c>
      <c r="F1561" s="6" t="s">
        <v>159</v>
      </c>
      <c r="G1561" s="7">
        <v>0.14</v>
      </c>
      <c r="H1561" s="6" t="s">
        <v>581</v>
      </c>
      <c r="I1561" s="6" t="s">
        <v>20</v>
      </c>
      <c r="J1561" s="6">
        <v>2022.0</v>
      </c>
      <c r="K1561" s="6" t="s">
        <v>697</v>
      </c>
      <c r="L1561" s="6">
        <v>1.0</v>
      </c>
      <c r="M1561" s="8">
        <f t="shared" si="2"/>
        <v>0.14</v>
      </c>
      <c r="P1561" s="9"/>
    </row>
    <row r="1562">
      <c r="A1562" s="6" t="s">
        <v>3731</v>
      </c>
      <c r="B1562" s="6" t="s">
        <v>291</v>
      </c>
      <c r="C1562" s="6" t="s">
        <v>48</v>
      </c>
      <c r="D1562" s="6" t="s">
        <v>3732</v>
      </c>
      <c r="E1562" s="6" t="s">
        <v>64</v>
      </c>
      <c r="F1562" s="6" t="s">
        <v>65</v>
      </c>
      <c r="G1562" s="7">
        <v>0.03</v>
      </c>
      <c r="H1562" s="6" t="s">
        <v>265</v>
      </c>
      <c r="I1562" s="6" t="s">
        <v>20</v>
      </c>
      <c r="J1562" s="6">
        <v>2017.0</v>
      </c>
      <c r="K1562" s="10">
        <v>46025.0</v>
      </c>
      <c r="L1562" s="6">
        <v>1.0</v>
      </c>
      <c r="M1562" s="8">
        <f t="shared" si="2"/>
        <v>0.03</v>
      </c>
      <c r="P1562" s="9"/>
    </row>
    <row r="1563">
      <c r="A1563" s="6" t="s">
        <v>3733</v>
      </c>
      <c r="B1563" s="6" t="s">
        <v>3734</v>
      </c>
      <c r="C1563" s="6" t="s">
        <v>23</v>
      </c>
      <c r="D1563" s="6" t="s">
        <v>3735</v>
      </c>
      <c r="E1563" s="6" t="s">
        <v>167</v>
      </c>
      <c r="F1563" s="6" t="s">
        <v>103</v>
      </c>
      <c r="G1563" s="7">
        <v>0.12</v>
      </c>
      <c r="H1563" s="6" t="s">
        <v>663</v>
      </c>
      <c r="I1563" s="6" t="s">
        <v>20</v>
      </c>
      <c r="J1563" s="6">
        <v>2023.0</v>
      </c>
      <c r="K1563" s="10">
        <v>46023.0</v>
      </c>
      <c r="L1563" s="6">
        <v>1.0</v>
      </c>
      <c r="M1563" s="8">
        <f t="shared" si="2"/>
        <v>0.12</v>
      </c>
      <c r="P1563" s="9"/>
    </row>
    <row r="1564">
      <c r="A1564" s="6" t="s">
        <v>3736</v>
      </c>
      <c r="B1564" s="6" t="s">
        <v>2898</v>
      </c>
      <c r="C1564" s="6" t="s">
        <v>23</v>
      </c>
      <c r="D1564" s="6" t="s">
        <v>3737</v>
      </c>
      <c r="E1564" s="6" t="s">
        <v>167</v>
      </c>
      <c r="F1564" s="6" t="s">
        <v>103</v>
      </c>
      <c r="G1564" s="7">
        <v>0.03</v>
      </c>
      <c r="H1564" s="6" t="s">
        <v>562</v>
      </c>
      <c r="I1564" s="6" t="s">
        <v>20</v>
      </c>
      <c r="J1564" s="6">
        <v>2017.0</v>
      </c>
      <c r="K1564" s="10">
        <v>46023.0</v>
      </c>
      <c r="L1564" s="6">
        <v>1.0</v>
      </c>
      <c r="M1564" s="8">
        <f t="shared" si="2"/>
        <v>0.03</v>
      </c>
      <c r="P1564" s="9"/>
    </row>
    <row r="1565">
      <c r="A1565" s="6" t="s">
        <v>3738</v>
      </c>
      <c r="B1565" s="6" t="s">
        <v>3739</v>
      </c>
      <c r="C1565" s="6" t="s">
        <v>23</v>
      </c>
      <c r="D1565" s="6" t="s">
        <v>3740</v>
      </c>
      <c r="E1565" s="6" t="s">
        <v>167</v>
      </c>
      <c r="F1565" s="6" t="s">
        <v>103</v>
      </c>
      <c r="G1565" s="7">
        <v>0.05</v>
      </c>
      <c r="H1565" s="6" t="s">
        <v>154</v>
      </c>
      <c r="I1565" s="6" t="s">
        <v>20</v>
      </c>
      <c r="J1565" s="6">
        <v>2013.0</v>
      </c>
      <c r="K1565" s="10">
        <v>46023.0</v>
      </c>
      <c r="L1565" s="6">
        <v>2.0</v>
      </c>
      <c r="M1565" s="8">
        <f t="shared" si="2"/>
        <v>0.1</v>
      </c>
      <c r="P1565" s="9"/>
    </row>
    <row r="1566">
      <c r="A1566" s="6" t="s">
        <v>3741</v>
      </c>
      <c r="B1566" s="6" t="s">
        <v>62</v>
      </c>
      <c r="C1566" s="6" t="s">
        <v>23</v>
      </c>
      <c r="D1566" s="6" t="s">
        <v>3742</v>
      </c>
      <c r="E1566" s="6" t="s">
        <v>611</v>
      </c>
      <c r="F1566" s="6" t="s">
        <v>103</v>
      </c>
      <c r="G1566" s="7">
        <v>0.05</v>
      </c>
      <c r="H1566" s="6" t="s">
        <v>141</v>
      </c>
      <c r="I1566" s="6" t="s">
        <v>20</v>
      </c>
      <c r="J1566" s="6">
        <v>2019.0</v>
      </c>
      <c r="L1566" s="6">
        <v>1.0</v>
      </c>
      <c r="M1566" s="8">
        <f t="shared" si="2"/>
        <v>0.05</v>
      </c>
      <c r="P1566" s="9"/>
    </row>
    <row r="1567">
      <c r="A1567" s="6" t="s">
        <v>3743</v>
      </c>
      <c r="B1567" s="6" t="s">
        <v>1359</v>
      </c>
      <c r="C1567" s="6" t="s">
        <v>23</v>
      </c>
      <c r="D1567" s="6" t="s">
        <v>3744</v>
      </c>
      <c r="E1567" s="6" t="s">
        <v>102</v>
      </c>
      <c r="F1567" s="6" t="s">
        <v>103</v>
      </c>
      <c r="G1567" s="7">
        <v>0.03</v>
      </c>
      <c r="H1567" s="6" t="s">
        <v>184</v>
      </c>
      <c r="I1567" s="6" t="s">
        <v>20</v>
      </c>
      <c r="J1567" s="6">
        <v>2015.0</v>
      </c>
      <c r="K1567" s="10">
        <v>46054.0</v>
      </c>
      <c r="L1567" s="6">
        <v>11.0</v>
      </c>
      <c r="M1567" s="8">
        <f t="shared" si="2"/>
        <v>0.33</v>
      </c>
      <c r="P1567" s="9"/>
    </row>
    <row r="1568">
      <c r="A1568" s="6" t="s">
        <v>3743</v>
      </c>
      <c r="B1568" s="6" t="s">
        <v>1359</v>
      </c>
      <c r="C1568" s="6" t="s">
        <v>23</v>
      </c>
      <c r="D1568" s="6" t="s">
        <v>3744</v>
      </c>
      <c r="E1568" s="6" t="s">
        <v>102</v>
      </c>
      <c r="F1568" s="6" t="s">
        <v>103</v>
      </c>
      <c r="G1568" s="7">
        <v>0.5</v>
      </c>
      <c r="H1568" s="6" t="s">
        <v>184</v>
      </c>
      <c r="I1568" s="6" t="s">
        <v>55</v>
      </c>
      <c r="J1568" s="6">
        <v>2015.0</v>
      </c>
      <c r="K1568" s="10">
        <v>46054.0</v>
      </c>
      <c r="L1568" s="6">
        <v>1.0</v>
      </c>
      <c r="M1568" s="8">
        <f t="shared" si="2"/>
        <v>0.5</v>
      </c>
      <c r="P1568" s="9"/>
    </row>
    <row r="1569">
      <c r="A1569" s="6" t="s">
        <v>3743</v>
      </c>
      <c r="B1569" s="6" t="s">
        <v>1359</v>
      </c>
      <c r="C1569" s="6" t="s">
        <v>23</v>
      </c>
      <c r="D1569" s="6" t="s">
        <v>3744</v>
      </c>
      <c r="E1569" s="6" t="s">
        <v>102</v>
      </c>
      <c r="F1569" s="6" t="s">
        <v>103</v>
      </c>
      <c r="G1569" s="7">
        <v>0.03</v>
      </c>
      <c r="H1569" s="6" t="s">
        <v>184</v>
      </c>
      <c r="I1569" s="6" t="s">
        <v>20</v>
      </c>
      <c r="J1569" s="6">
        <v>2015.0</v>
      </c>
      <c r="K1569" s="10">
        <v>46054.0</v>
      </c>
      <c r="L1569" s="6">
        <v>1.0</v>
      </c>
      <c r="M1569" s="8">
        <f t="shared" si="2"/>
        <v>0.03</v>
      </c>
      <c r="P1569" s="9"/>
    </row>
    <row r="1570">
      <c r="A1570" s="6" t="s">
        <v>3745</v>
      </c>
      <c r="B1570" s="6" t="s">
        <v>194</v>
      </c>
      <c r="C1570" s="6" t="s">
        <v>23</v>
      </c>
      <c r="D1570" s="6" t="s">
        <v>3746</v>
      </c>
      <c r="E1570" s="6" t="s">
        <v>235</v>
      </c>
      <c r="F1570" s="6" t="s">
        <v>103</v>
      </c>
      <c r="G1570" s="7">
        <v>0.05</v>
      </c>
      <c r="H1570" s="6" t="s">
        <v>289</v>
      </c>
      <c r="I1570" s="6" t="s">
        <v>20</v>
      </c>
      <c r="J1570" s="6">
        <v>1996.0</v>
      </c>
      <c r="L1570" s="6">
        <v>1.0</v>
      </c>
      <c r="M1570" s="8">
        <f t="shared" si="2"/>
        <v>0.05</v>
      </c>
      <c r="P1570" s="9"/>
    </row>
    <row r="1571">
      <c r="A1571" s="6" t="s">
        <v>3747</v>
      </c>
      <c r="B1571" s="6" t="s">
        <v>796</v>
      </c>
      <c r="C1571" s="6" t="s">
        <v>34</v>
      </c>
      <c r="D1571" s="6" t="s">
        <v>3748</v>
      </c>
      <c r="E1571" s="6" t="s">
        <v>2058</v>
      </c>
      <c r="F1571" s="6" t="s">
        <v>65</v>
      </c>
      <c r="G1571" s="7">
        <v>0.06</v>
      </c>
      <c r="H1571" s="6" t="s">
        <v>180</v>
      </c>
      <c r="I1571" s="6" t="s">
        <v>20</v>
      </c>
      <c r="J1571" s="6">
        <v>2014.0</v>
      </c>
      <c r="L1571" s="6">
        <v>2.0</v>
      </c>
      <c r="M1571" s="8">
        <f t="shared" si="2"/>
        <v>0.12</v>
      </c>
      <c r="P1571" s="9"/>
    </row>
    <row r="1572">
      <c r="A1572" s="6" t="s">
        <v>3749</v>
      </c>
      <c r="B1572" s="6" t="s">
        <v>62</v>
      </c>
      <c r="C1572" s="6" t="s">
        <v>23</v>
      </c>
      <c r="D1572" s="6" t="s">
        <v>3750</v>
      </c>
      <c r="E1572" s="6" t="s">
        <v>196</v>
      </c>
      <c r="F1572" s="6" t="s">
        <v>65</v>
      </c>
      <c r="G1572" s="7">
        <v>0.2</v>
      </c>
      <c r="H1572" s="6" t="s">
        <v>184</v>
      </c>
      <c r="I1572" s="6" t="s">
        <v>20</v>
      </c>
      <c r="J1572" s="6">
        <v>2015.0</v>
      </c>
      <c r="L1572" s="6">
        <v>4.0</v>
      </c>
      <c r="M1572" s="8">
        <f t="shared" si="2"/>
        <v>0.8</v>
      </c>
      <c r="P1572" s="9"/>
    </row>
    <row r="1573">
      <c r="A1573" s="6" t="s">
        <v>3749</v>
      </c>
      <c r="B1573" s="6" t="s">
        <v>62</v>
      </c>
      <c r="C1573" s="6" t="s">
        <v>23</v>
      </c>
      <c r="D1573" s="6" t="s">
        <v>3751</v>
      </c>
      <c r="E1573" s="6" t="s">
        <v>196</v>
      </c>
      <c r="F1573" s="6" t="s">
        <v>65</v>
      </c>
      <c r="G1573" s="7">
        <v>0.15</v>
      </c>
      <c r="H1573" s="6" t="s">
        <v>184</v>
      </c>
      <c r="I1573" s="6" t="s">
        <v>20</v>
      </c>
      <c r="J1573" s="6">
        <v>2015.0</v>
      </c>
      <c r="L1573" s="6">
        <v>1.0</v>
      </c>
      <c r="M1573" s="8">
        <f t="shared" si="2"/>
        <v>0.15</v>
      </c>
      <c r="P1573" s="9"/>
    </row>
    <row r="1574">
      <c r="A1574" s="6" t="s">
        <v>3752</v>
      </c>
      <c r="B1574" s="6" t="s">
        <v>796</v>
      </c>
      <c r="C1574" s="6" t="s">
        <v>34</v>
      </c>
      <c r="D1574" s="6" t="s">
        <v>3753</v>
      </c>
      <c r="E1574" s="6" t="s">
        <v>377</v>
      </c>
      <c r="F1574" s="6" t="s">
        <v>103</v>
      </c>
      <c r="G1574" s="7">
        <v>0.1</v>
      </c>
      <c r="H1574" s="6" t="s">
        <v>209</v>
      </c>
      <c r="I1574" s="6" t="s">
        <v>20</v>
      </c>
      <c r="J1574" s="6">
        <v>2025.0</v>
      </c>
      <c r="L1574" s="6">
        <v>9.0</v>
      </c>
      <c r="M1574" s="8">
        <f t="shared" si="2"/>
        <v>0.9</v>
      </c>
      <c r="P1574" s="9"/>
    </row>
    <row r="1575">
      <c r="A1575" s="6" t="s">
        <v>3752</v>
      </c>
      <c r="B1575" s="6" t="s">
        <v>796</v>
      </c>
      <c r="C1575" s="6" t="s">
        <v>34</v>
      </c>
      <c r="D1575" s="6" t="s">
        <v>3753</v>
      </c>
      <c r="E1575" s="6" t="s">
        <v>377</v>
      </c>
      <c r="F1575" s="6" t="s">
        <v>103</v>
      </c>
      <c r="G1575" s="7">
        <v>0.4</v>
      </c>
      <c r="H1575" s="6" t="s">
        <v>209</v>
      </c>
      <c r="I1575" s="6" t="s">
        <v>55</v>
      </c>
      <c r="J1575" s="6">
        <v>2025.0</v>
      </c>
      <c r="L1575" s="6">
        <v>1.0</v>
      </c>
      <c r="M1575" s="8">
        <f t="shared" si="2"/>
        <v>0.4</v>
      </c>
      <c r="P1575" s="9"/>
    </row>
    <row r="1576">
      <c r="A1576" s="6" t="s">
        <v>3754</v>
      </c>
      <c r="B1576" s="6" t="s">
        <v>182</v>
      </c>
      <c r="C1576" s="6" t="s">
        <v>48</v>
      </c>
      <c r="D1576" s="6" t="s">
        <v>3755</v>
      </c>
      <c r="E1576" s="6" t="s">
        <v>64</v>
      </c>
      <c r="F1576" s="6" t="s">
        <v>65</v>
      </c>
      <c r="G1576" s="7">
        <v>0.04</v>
      </c>
      <c r="H1576" s="6" t="s">
        <v>200</v>
      </c>
      <c r="I1576" s="6" t="s">
        <v>20</v>
      </c>
      <c r="J1576" s="6">
        <v>2018.0</v>
      </c>
      <c r="L1576" s="6">
        <v>2.0</v>
      </c>
      <c r="M1576" s="8">
        <f t="shared" si="2"/>
        <v>0.08</v>
      </c>
      <c r="P1576" s="9"/>
    </row>
    <row r="1577">
      <c r="A1577" s="6" t="s">
        <v>3756</v>
      </c>
      <c r="B1577" s="6" t="s">
        <v>3757</v>
      </c>
      <c r="C1577" s="6" t="s">
        <v>48</v>
      </c>
      <c r="D1577" s="6" t="s">
        <v>3758</v>
      </c>
      <c r="E1577" s="6" t="s">
        <v>243</v>
      </c>
      <c r="F1577" s="6" t="s">
        <v>37</v>
      </c>
      <c r="G1577" s="7">
        <v>0.07</v>
      </c>
      <c r="H1577" s="6" t="s">
        <v>316</v>
      </c>
      <c r="I1577" s="6" t="s">
        <v>20</v>
      </c>
      <c r="J1577" s="6">
        <v>2016.0</v>
      </c>
      <c r="K1577" s="10">
        <v>46055.0</v>
      </c>
      <c r="L1577" s="6">
        <v>2.0</v>
      </c>
      <c r="M1577" s="8">
        <f t="shared" si="2"/>
        <v>0.14</v>
      </c>
      <c r="P1577" s="9"/>
    </row>
    <row r="1578">
      <c r="A1578" s="6" t="s">
        <v>3759</v>
      </c>
      <c r="B1578" s="6" t="s">
        <v>413</v>
      </c>
      <c r="C1578" s="6" t="s">
        <v>48</v>
      </c>
      <c r="D1578" s="6" t="s">
        <v>3760</v>
      </c>
      <c r="E1578" s="6" t="s">
        <v>293</v>
      </c>
      <c r="F1578" s="6" t="s">
        <v>18</v>
      </c>
      <c r="G1578" s="7">
        <v>1.9</v>
      </c>
      <c r="H1578" s="6" t="s">
        <v>2696</v>
      </c>
      <c r="I1578" s="6" t="s">
        <v>55</v>
      </c>
      <c r="J1578" s="6">
        <v>2023.0</v>
      </c>
      <c r="L1578" s="6">
        <v>1.0</v>
      </c>
      <c r="M1578" s="8">
        <f t="shared" si="2"/>
        <v>1.9</v>
      </c>
      <c r="N1578" s="6" t="s">
        <v>172</v>
      </c>
      <c r="P1578" s="9"/>
    </row>
    <row r="1579">
      <c r="A1579" s="6" t="s">
        <v>3761</v>
      </c>
      <c r="B1579" s="6" t="s">
        <v>165</v>
      </c>
      <c r="C1579" s="6" t="s">
        <v>34</v>
      </c>
      <c r="D1579" s="6" t="s">
        <v>3762</v>
      </c>
      <c r="E1579" s="6" t="s">
        <v>1475</v>
      </c>
      <c r="F1579" s="6" t="s">
        <v>65</v>
      </c>
      <c r="G1579" s="7">
        <v>0.08</v>
      </c>
      <c r="H1579" s="6" t="s">
        <v>19</v>
      </c>
      <c r="I1579" s="6" t="s">
        <v>20</v>
      </c>
      <c r="J1579" s="6">
        <v>2023.0</v>
      </c>
      <c r="L1579" s="6">
        <v>1.0</v>
      </c>
      <c r="M1579" s="8">
        <f t="shared" si="2"/>
        <v>0.08</v>
      </c>
      <c r="P1579" s="9"/>
    </row>
    <row r="1580">
      <c r="A1580" s="6" t="s">
        <v>3763</v>
      </c>
      <c r="B1580" s="6" t="s">
        <v>62</v>
      </c>
      <c r="C1580" s="6" t="s">
        <v>23</v>
      </c>
      <c r="D1580" s="6" t="s">
        <v>3764</v>
      </c>
      <c r="E1580" s="6" t="s">
        <v>611</v>
      </c>
      <c r="F1580" s="6" t="s">
        <v>103</v>
      </c>
      <c r="G1580" s="7">
        <v>0.03</v>
      </c>
      <c r="H1580" s="6" t="s">
        <v>526</v>
      </c>
      <c r="I1580" s="6" t="s">
        <v>20</v>
      </c>
      <c r="J1580" s="6">
        <v>2020.0</v>
      </c>
      <c r="L1580" s="6">
        <v>2.0</v>
      </c>
      <c r="M1580" s="8">
        <f t="shared" si="2"/>
        <v>0.06</v>
      </c>
      <c r="P1580" s="9"/>
    </row>
    <row r="1581">
      <c r="A1581" s="6" t="s">
        <v>3765</v>
      </c>
      <c r="B1581" s="6" t="s">
        <v>62</v>
      </c>
      <c r="C1581" s="6" t="s">
        <v>23</v>
      </c>
      <c r="D1581" s="6" t="s">
        <v>3766</v>
      </c>
      <c r="E1581" s="6" t="s">
        <v>64</v>
      </c>
      <c r="F1581" s="6" t="s">
        <v>65</v>
      </c>
      <c r="G1581" s="7">
        <v>0.03</v>
      </c>
      <c r="H1581" s="6" t="s">
        <v>526</v>
      </c>
      <c r="I1581" s="6" t="s">
        <v>20</v>
      </c>
      <c r="J1581" s="6">
        <v>2020.0</v>
      </c>
      <c r="L1581" s="6">
        <v>1.0</v>
      </c>
      <c r="M1581" s="8">
        <f t="shared" si="2"/>
        <v>0.03</v>
      </c>
      <c r="P1581" s="9"/>
    </row>
    <row r="1582">
      <c r="A1582" s="6" t="s">
        <v>3767</v>
      </c>
      <c r="B1582" s="6" t="s">
        <v>62</v>
      </c>
      <c r="C1582" s="6" t="s">
        <v>23</v>
      </c>
      <c r="D1582" s="6" t="s">
        <v>3768</v>
      </c>
      <c r="E1582" s="6" t="s">
        <v>1844</v>
      </c>
      <c r="F1582" s="6" t="s">
        <v>98</v>
      </c>
      <c r="G1582" s="7">
        <v>0.05</v>
      </c>
      <c r="H1582" s="6" t="s">
        <v>185</v>
      </c>
      <c r="I1582" s="6" t="s">
        <v>20</v>
      </c>
      <c r="J1582" s="6">
        <v>2019.0</v>
      </c>
      <c r="L1582" s="6">
        <v>1.0</v>
      </c>
      <c r="M1582" s="8">
        <f t="shared" si="2"/>
        <v>0.05</v>
      </c>
      <c r="P1582" s="9"/>
    </row>
    <row r="1583">
      <c r="A1583" s="6" t="s">
        <v>3769</v>
      </c>
      <c r="B1583" s="6" t="s">
        <v>372</v>
      </c>
      <c r="C1583" s="6" t="s">
        <v>23</v>
      </c>
      <c r="D1583" s="6" t="s">
        <v>3770</v>
      </c>
      <c r="E1583" s="6" t="s">
        <v>270</v>
      </c>
      <c r="F1583" s="6" t="s">
        <v>159</v>
      </c>
      <c r="G1583" s="7">
        <v>0.04</v>
      </c>
      <c r="H1583" s="6" t="s">
        <v>1675</v>
      </c>
      <c r="I1583" s="6" t="s">
        <v>20</v>
      </c>
      <c r="J1583" s="6">
        <v>2021.0</v>
      </c>
      <c r="L1583" s="6">
        <v>1.0</v>
      </c>
      <c r="M1583" s="8">
        <f t="shared" si="2"/>
        <v>0.04</v>
      </c>
      <c r="P1583" s="9"/>
    </row>
    <row r="1584">
      <c r="A1584" s="6" t="s">
        <v>3771</v>
      </c>
      <c r="B1584" s="6" t="s">
        <v>250</v>
      </c>
      <c r="C1584" s="6" t="s">
        <v>571</v>
      </c>
      <c r="D1584" s="6" t="s">
        <v>3772</v>
      </c>
      <c r="E1584" s="6" t="s">
        <v>36</v>
      </c>
      <c r="F1584" s="6" t="s">
        <v>452</v>
      </c>
      <c r="G1584" s="7">
        <v>5.1</v>
      </c>
      <c r="H1584" s="6" t="s">
        <v>370</v>
      </c>
      <c r="I1584" s="6" t="s">
        <v>20</v>
      </c>
      <c r="J1584" s="6">
        <v>1996.0</v>
      </c>
      <c r="L1584" s="6">
        <v>1.0</v>
      </c>
      <c r="M1584" s="8">
        <f t="shared" si="2"/>
        <v>5.1</v>
      </c>
      <c r="P1584" s="9"/>
    </row>
    <row r="1585">
      <c r="A1585" s="6" t="s">
        <v>3773</v>
      </c>
      <c r="B1585" s="6" t="s">
        <v>3048</v>
      </c>
      <c r="C1585" s="6" t="s">
        <v>48</v>
      </c>
      <c r="D1585" s="6" t="s">
        <v>3774</v>
      </c>
      <c r="E1585" s="6" t="s">
        <v>1001</v>
      </c>
      <c r="F1585" s="6" t="s">
        <v>65</v>
      </c>
      <c r="G1585" s="7">
        <v>0.2</v>
      </c>
      <c r="H1585" s="6" t="s">
        <v>197</v>
      </c>
      <c r="I1585" s="6" t="s">
        <v>20</v>
      </c>
      <c r="J1585" s="6">
        <v>1995.0</v>
      </c>
      <c r="K1585" s="10">
        <v>46054.0</v>
      </c>
      <c r="L1585" s="6">
        <v>1.0</v>
      </c>
      <c r="M1585" s="8">
        <f t="shared" si="2"/>
        <v>0.2</v>
      </c>
      <c r="P1585" s="9"/>
    </row>
    <row r="1586">
      <c r="A1586" s="6" t="s">
        <v>3775</v>
      </c>
      <c r="B1586" s="6" t="s">
        <v>326</v>
      </c>
      <c r="C1586" s="6" t="s">
        <v>23</v>
      </c>
      <c r="E1586" s="6" t="s">
        <v>2129</v>
      </c>
      <c r="F1586" s="6" t="s">
        <v>65</v>
      </c>
      <c r="G1586" s="7">
        <v>0.03</v>
      </c>
      <c r="H1586" s="6" t="s">
        <v>200</v>
      </c>
      <c r="I1586" s="6" t="s">
        <v>20</v>
      </c>
      <c r="J1586" s="6">
        <v>2018.0</v>
      </c>
      <c r="K1586" s="10">
        <v>46117.0</v>
      </c>
      <c r="L1586" s="6">
        <v>2.0</v>
      </c>
      <c r="M1586" s="8">
        <f t="shared" si="2"/>
        <v>0.06</v>
      </c>
      <c r="P1586" s="9"/>
    </row>
    <row r="1587">
      <c r="A1587" s="6" t="s">
        <v>3775</v>
      </c>
      <c r="B1587" s="6" t="s">
        <v>326</v>
      </c>
      <c r="C1587" s="6" t="s">
        <v>48</v>
      </c>
      <c r="E1587" s="6" t="s">
        <v>2129</v>
      </c>
      <c r="F1587" s="6" t="s">
        <v>65</v>
      </c>
      <c r="G1587" s="7">
        <v>0.1</v>
      </c>
      <c r="H1587" s="6" t="s">
        <v>119</v>
      </c>
      <c r="I1587" s="6" t="s">
        <v>20</v>
      </c>
      <c r="J1587" s="6">
        <v>1995.0</v>
      </c>
      <c r="K1587" s="10">
        <v>46117.0</v>
      </c>
      <c r="L1587" s="6">
        <v>1.0</v>
      </c>
      <c r="M1587" s="8">
        <f t="shared" si="2"/>
        <v>0.1</v>
      </c>
      <c r="P1587" s="9"/>
    </row>
    <row r="1588">
      <c r="A1588" s="6" t="s">
        <v>3775</v>
      </c>
      <c r="B1588" s="6" t="s">
        <v>326</v>
      </c>
      <c r="C1588" s="6" t="s">
        <v>48</v>
      </c>
      <c r="E1588" s="6" t="s">
        <v>2129</v>
      </c>
      <c r="F1588" s="6" t="s">
        <v>65</v>
      </c>
      <c r="G1588" s="7">
        <v>0.2</v>
      </c>
      <c r="H1588" s="6" t="s">
        <v>120</v>
      </c>
      <c r="I1588" s="6" t="s">
        <v>20</v>
      </c>
      <c r="J1588" s="6">
        <v>1995.0</v>
      </c>
      <c r="K1588" s="10">
        <v>46117.0</v>
      </c>
      <c r="L1588" s="6">
        <v>1.0</v>
      </c>
      <c r="M1588" s="8">
        <f t="shared" si="2"/>
        <v>0.2</v>
      </c>
      <c r="P1588" s="9"/>
    </row>
    <row r="1589">
      <c r="A1589" s="6" t="s">
        <v>3775</v>
      </c>
      <c r="B1589" s="6" t="s">
        <v>326</v>
      </c>
      <c r="C1589" s="6" t="s">
        <v>23</v>
      </c>
      <c r="E1589" s="6" t="s">
        <v>2129</v>
      </c>
      <c r="F1589" s="6" t="s">
        <v>65</v>
      </c>
      <c r="G1589" s="7">
        <v>0.05</v>
      </c>
      <c r="H1589" s="6" t="s">
        <v>701</v>
      </c>
      <c r="I1589" s="6" t="s">
        <v>20</v>
      </c>
      <c r="J1589" s="6">
        <v>2012.0</v>
      </c>
      <c r="K1589" s="10">
        <v>46117.0</v>
      </c>
      <c r="L1589" s="6">
        <v>3.0</v>
      </c>
      <c r="M1589" s="8">
        <f t="shared" si="2"/>
        <v>0.15</v>
      </c>
      <c r="P1589" s="9"/>
    </row>
    <row r="1590">
      <c r="A1590" s="6" t="s">
        <v>3776</v>
      </c>
      <c r="B1590" s="6" t="s">
        <v>729</v>
      </c>
      <c r="C1590" s="6" t="s">
        <v>23</v>
      </c>
      <c r="D1590" s="6" t="s">
        <v>3777</v>
      </c>
      <c r="E1590" s="6" t="s">
        <v>196</v>
      </c>
      <c r="F1590" s="6" t="s">
        <v>65</v>
      </c>
      <c r="G1590" s="7">
        <v>0.09</v>
      </c>
      <c r="H1590" s="6" t="s">
        <v>45</v>
      </c>
      <c r="I1590" s="6" t="s">
        <v>20</v>
      </c>
      <c r="J1590" s="6">
        <v>2025.0</v>
      </c>
      <c r="K1590" s="10">
        <v>46054.0</v>
      </c>
      <c r="L1590" s="6">
        <v>4.0</v>
      </c>
      <c r="M1590" s="8">
        <f t="shared" si="2"/>
        <v>0.36</v>
      </c>
      <c r="P1590" s="9"/>
    </row>
    <row r="1591">
      <c r="A1591" s="6" t="s">
        <v>3778</v>
      </c>
      <c r="B1591" s="6" t="s">
        <v>3779</v>
      </c>
      <c r="C1591" s="6" t="s">
        <v>48</v>
      </c>
      <c r="D1591" s="6" t="s">
        <v>3780</v>
      </c>
      <c r="E1591" s="6" t="s">
        <v>235</v>
      </c>
      <c r="F1591" s="6" t="s">
        <v>103</v>
      </c>
      <c r="G1591" s="7">
        <v>0.06</v>
      </c>
      <c r="H1591" s="6" t="s">
        <v>45</v>
      </c>
      <c r="I1591" s="6" t="s">
        <v>20</v>
      </c>
      <c r="J1591" s="6">
        <v>2025.0</v>
      </c>
      <c r="K1591" s="10">
        <v>46083.0</v>
      </c>
      <c r="L1591" s="6">
        <v>1.0</v>
      </c>
      <c r="M1591" s="8">
        <f t="shared" si="2"/>
        <v>0.06</v>
      </c>
      <c r="P1591" s="9"/>
    </row>
    <row r="1592">
      <c r="A1592" s="6" t="s">
        <v>3781</v>
      </c>
      <c r="B1592" s="6" t="s">
        <v>729</v>
      </c>
      <c r="C1592" s="6" t="s">
        <v>23</v>
      </c>
      <c r="D1592" s="6" t="s">
        <v>3782</v>
      </c>
      <c r="E1592" s="6" t="s">
        <v>533</v>
      </c>
      <c r="F1592" s="6" t="s">
        <v>65</v>
      </c>
      <c r="G1592" s="7">
        <v>0.06</v>
      </c>
      <c r="H1592" s="6" t="s">
        <v>45</v>
      </c>
      <c r="I1592" s="6" t="s">
        <v>20</v>
      </c>
      <c r="J1592" s="6">
        <v>2025.0</v>
      </c>
      <c r="K1592" s="10">
        <v>46057.0</v>
      </c>
      <c r="L1592" s="6">
        <v>1.0</v>
      </c>
      <c r="M1592" s="8">
        <f t="shared" si="2"/>
        <v>0.06</v>
      </c>
      <c r="P1592" s="9"/>
    </row>
    <row r="1593">
      <c r="A1593" s="6" t="s">
        <v>3783</v>
      </c>
      <c r="B1593" s="6" t="s">
        <v>2193</v>
      </c>
      <c r="C1593" s="6" t="s">
        <v>48</v>
      </c>
      <c r="D1593" s="6" t="s">
        <v>3784</v>
      </c>
      <c r="E1593" s="6" t="s">
        <v>243</v>
      </c>
      <c r="F1593" s="6" t="s">
        <v>37</v>
      </c>
      <c r="G1593" s="7">
        <v>0.06</v>
      </c>
      <c r="H1593" s="6" t="s">
        <v>45</v>
      </c>
      <c r="I1593" s="6" t="s">
        <v>20</v>
      </c>
      <c r="J1593" s="6">
        <v>2025.0</v>
      </c>
      <c r="K1593" s="10">
        <v>46116.0</v>
      </c>
      <c r="L1593" s="6">
        <v>1.0</v>
      </c>
      <c r="M1593" s="8">
        <f t="shared" si="2"/>
        <v>0.06</v>
      </c>
      <c r="P1593" s="9"/>
    </row>
    <row r="1594">
      <c r="A1594" s="6" t="s">
        <v>3785</v>
      </c>
      <c r="B1594" s="6" t="s">
        <v>3786</v>
      </c>
      <c r="C1594" s="6" t="s">
        <v>48</v>
      </c>
      <c r="D1594" s="6" t="s">
        <v>3787</v>
      </c>
      <c r="E1594" s="6" t="s">
        <v>235</v>
      </c>
      <c r="F1594" s="6" t="s">
        <v>103</v>
      </c>
      <c r="G1594" s="7">
        <v>0.4</v>
      </c>
      <c r="H1594" s="6" t="s">
        <v>45</v>
      </c>
      <c r="I1594" s="6" t="s">
        <v>55</v>
      </c>
      <c r="J1594" s="6">
        <v>2025.0</v>
      </c>
      <c r="K1594" s="6" t="s">
        <v>597</v>
      </c>
      <c r="L1594" s="6">
        <v>1.0</v>
      </c>
      <c r="M1594" s="8">
        <f t="shared" si="2"/>
        <v>0.4</v>
      </c>
      <c r="P1594" s="9"/>
    </row>
    <row r="1595">
      <c r="A1595" s="6" t="s">
        <v>3788</v>
      </c>
      <c r="B1595" s="6" t="s">
        <v>80</v>
      </c>
      <c r="C1595" s="6" t="s">
        <v>48</v>
      </c>
      <c r="D1595" s="6" t="s">
        <v>3789</v>
      </c>
      <c r="E1595" s="6" t="s">
        <v>112</v>
      </c>
      <c r="F1595" s="6" t="s">
        <v>65</v>
      </c>
      <c r="G1595" s="7">
        <v>0.15</v>
      </c>
      <c r="H1595" s="6" t="s">
        <v>45</v>
      </c>
      <c r="I1595" s="6" t="s">
        <v>20</v>
      </c>
      <c r="J1595" s="6">
        <v>2025.0</v>
      </c>
      <c r="K1595" s="10">
        <v>46055.0</v>
      </c>
      <c r="L1595" s="6">
        <v>1.0</v>
      </c>
      <c r="M1595" s="8">
        <f t="shared" si="2"/>
        <v>0.15</v>
      </c>
      <c r="P1595" s="9"/>
    </row>
    <row r="1596">
      <c r="A1596" s="6" t="s">
        <v>3790</v>
      </c>
      <c r="B1596" s="6" t="s">
        <v>182</v>
      </c>
      <c r="C1596" s="6" t="s">
        <v>23</v>
      </c>
      <c r="D1596" s="6" t="s">
        <v>3791</v>
      </c>
      <c r="E1596" s="6" t="s">
        <v>2838</v>
      </c>
      <c r="F1596" s="6" t="s">
        <v>65</v>
      </c>
      <c r="G1596" s="7">
        <v>0.1</v>
      </c>
      <c r="H1596" s="6" t="s">
        <v>1381</v>
      </c>
      <c r="I1596" s="6" t="s">
        <v>20</v>
      </c>
      <c r="J1596" s="6">
        <v>1995.0</v>
      </c>
      <c r="L1596" s="6">
        <v>4.0</v>
      </c>
      <c r="M1596" s="8">
        <f t="shared" si="2"/>
        <v>0.4</v>
      </c>
      <c r="P1596" s="9"/>
    </row>
    <row r="1597">
      <c r="A1597" s="6" t="s">
        <v>3792</v>
      </c>
      <c r="B1597" s="6" t="s">
        <v>57</v>
      </c>
      <c r="C1597" s="6" t="s">
        <v>23</v>
      </c>
      <c r="D1597" s="6" t="s">
        <v>3793</v>
      </c>
      <c r="E1597" s="6" t="s">
        <v>196</v>
      </c>
      <c r="F1597" s="6" t="s">
        <v>65</v>
      </c>
      <c r="G1597" s="7">
        <v>0.2</v>
      </c>
      <c r="H1597" s="6" t="s">
        <v>45</v>
      </c>
      <c r="I1597" s="6" t="s">
        <v>20</v>
      </c>
      <c r="J1597" s="6">
        <v>2025.0</v>
      </c>
      <c r="L1597" s="6">
        <v>1.0</v>
      </c>
      <c r="M1597" s="8">
        <f t="shared" si="2"/>
        <v>0.2</v>
      </c>
      <c r="P1597" s="9"/>
    </row>
    <row r="1598">
      <c r="A1598" s="6" t="s">
        <v>3794</v>
      </c>
      <c r="B1598" s="6" t="s">
        <v>740</v>
      </c>
      <c r="C1598" s="6" t="s">
        <v>48</v>
      </c>
      <c r="D1598" s="6" t="s">
        <v>3795</v>
      </c>
      <c r="E1598" s="6" t="s">
        <v>1454</v>
      </c>
      <c r="F1598" s="6" t="s">
        <v>426</v>
      </c>
      <c r="G1598" s="7">
        <v>0.1</v>
      </c>
      <c r="H1598" s="6" t="s">
        <v>185</v>
      </c>
      <c r="I1598" s="6" t="s">
        <v>20</v>
      </c>
      <c r="J1598" s="6">
        <v>2019.0</v>
      </c>
      <c r="K1598" s="10">
        <v>46055.0</v>
      </c>
      <c r="L1598" s="6">
        <v>4.0</v>
      </c>
      <c r="M1598" s="8">
        <f t="shared" si="2"/>
        <v>0.4</v>
      </c>
      <c r="P1598" s="9"/>
    </row>
    <row r="1599">
      <c r="A1599" s="6" t="s">
        <v>3796</v>
      </c>
      <c r="B1599" s="6" t="s">
        <v>182</v>
      </c>
      <c r="C1599" s="6" t="s">
        <v>23</v>
      </c>
      <c r="D1599" s="6" t="s">
        <v>3797</v>
      </c>
      <c r="E1599" s="6" t="s">
        <v>196</v>
      </c>
      <c r="F1599" s="6" t="s">
        <v>65</v>
      </c>
      <c r="G1599" s="7">
        <v>0.14</v>
      </c>
      <c r="H1599" s="6" t="s">
        <v>1560</v>
      </c>
      <c r="I1599" s="6" t="s">
        <v>20</v>
      </c>
      <c r="J1599" s="6">
        <v>2016.0</v>
      </c>
      <c r="L1599" s="6">
        <v>2.0</v>
      </c>
      <c r="M1599" s="8">
        <f t="shared" si="2"/>
        <v>0.28</v>
      </c>
      <c r="P1599" s="9"/>
    </row>
    <row r="1600">
      <c r="A1600" s="6" t="s">
        <v>3798</v>
      </c>
      <c r="B1600" s="6" t="s">
        <v>652</v>
      </c>
      <c r="C1600" s="6" t="s">
        <v>23</v>
      </c>
      <c r="D1600" s="6" t="s">
        <v>3799</v>
      </c>
      <c r="E1600" s="6" t="s">
        <v>112</v>
      </c>
      <c r="F1600" s="6" t="s">
        <v>65</v>
      </c>
      <c r="G1600" s="7">
        <v>0.2</v>
      </c>
      <c r="H1600" s="6" t="s">
        <v>113</v>
      </c>
      <c r="I1600" s="6" t="s">
        <v>20</v>
      </c>
      <c r="J1600" s="6">
        <v>2024.0</v>
      </c>
      <c r="K1600" s="10">
        <v>46024.0</v>
      </c>
      <c r="L1600" s="6">
        <v>1.0</v>
      </c>
      <c r="M1600" s="8">
        <f t="shared" si="2"/>
        <v>0.2</v>
      </c>
      <c r="P1600" s="9"/>
    </row>
    <row r="1601">
      <c r="A1601" s="6" t="s">
        <v>3800</v>
      </c>
      <c r="B1601" s="6" t="s">
        <v>372</v>
      </c>
      <c r="C1601" s="6" t="s">
        <v>23</v>
      </c>
      <c r="D1601" s="6" t="s">
        <v>3801</v>
      </c>
      <c r="E1601" s="6" t="s">
        <v>196</v>
      </c>
      <c r="F1601" s="6" t="s">
        <v>65</v>
      </c>
      <c r="G1601" s="7">
        <v>0.05</v>
      </c>
      <c r="H1601" s="6" t="s">
        <v>109</v>
      </c>
      <c r="I1601" s="6" t="s">
        <v>20</v>
      </c>
      <c r="J1601" s="6">
        <v>1995.0</v>
      </c>
      <c r="L1601" s="6">
        <v>6.0</v>
      </c>
      <c r="M1601" s="8">
        <f t="shared" si="2"/>
        <v>0.3</v>
      </c>
      <c r="P1601" s="9"/>
    </row>
    <row r="1602">
      <c r="A1602" s="6" t="s">
        <v>3800</v>
      </c>
      <c r="B1602" s="6" t="s">
        <v>372</v>
      </c>
      <c r="C1602" s="6" t="s">
        <v>23</v>
      </c>
      <c r="D1602" s="6" t="s">
        <v>3801</v>
      </c>
      <c r="E1602" s="6" t="s">
        <v>196</v>
      </c>
      <c r="F1602" s="6" t="s">
        <v>65</v>
      </c>
      <c r="G1602" s="7">
        <v>0.17</v>
      </c>
      <c r="H1602" s="6" t="s">
        <v>1382</v>
      </c>
      <c r="I1602" s="6" t="s">
        <v>20</v>
      </c>
      <c r="J1602" s="6">
        <v>1995.0</v>
      </c>
      <c r="L1602" s="6">
        <v>1.0</v>
      </c>
      <c r="M1602" s="8">
        <f t="shared" si="2"/>
        <v>0.17</v>
      </c>
      <c r="P1602" s="9"/>
    </row>
    <row r="1603">
      <c r="A1603" s="6" t="s">
        <v>3802</v>
      </c>
      <c r="B1603" s="6" t="s">
        <v>326</v>
      </c>
      <c r="C1603" s="6" t="s">
        <v>23</v>
      </c>
      <c r="D1603" s="6" t="s">
        <v>3803</v>
      </c>
      <c r="E1603" s="6" t="s">
        <v>533</v>
      </c>
      <c r="F1603" s="6" t="s">
        <v>65</v>
      </c>
      <c r="G1603" s="7">
        <v>0.06</v>
      </c>
      <c r="H1603" s="6" t="s">
        <v>184</v>
      </c>
      <c r="I1603" s="6" t="s">
        <v>20</v>
      </c>
      <c r="J1603" s="6">
        <v>2015.0</v>
      </c>
      <c r="K1603" s="10">
        <v>46056.0</v>
      </c>
      <c r="L1603" s="6">
        <v>12.0</v>
      </c>
      <c r="M1603" s="8">
        <f t="shared" si="2"/>
        <v>0.72</v>
      </c>
      <c r="P1603" s="9"/>
    </row>
    <row r="1604">
      <c r="A1604" s="6" t="s">
        <v>3804</v>
      </c>
      <c r="B1604" s="6" t="s">
        <v>2460</v>
      </c>
      <c r="C1604" s="6" t="s">
        <v>48</v>
      </c>
      <c r="D1604" s="6" t="s">
        <v>3805</v>
      </c>
      <c r="E1604" s="6" t="s">
        <v>64</v>
      </c>
      <c r="F1604" s="6" t="s">
        <v>65</v>
      </c>
      <c r="G1604" s="7">
        <v>0.99</v>
      </c>
      <c r="H1604" s="6" t="s">
        <v>239</v>
      </c>
      <c r="I1604" s="6" t="s">
        <v>20</v>
      </c>
      <c r="J1604" s="6">
        <v>2024.0</v>
      </c>
      <c r="K1604" s="10">
        <v>46055.0</v>
      </c>
      <c r="L1604" s="6">
        <v>1.0</v>
      </c>
      <c r="M1604" s="8">
        <f t="shared" si="2"/>
        <v>0.99</v>
      </c>
      <c r="N1604" s="6" t="s">
        <v>172</v>
      </c>
      <c r="P1604" s="9"/>
    </row>
    <row r="1605">
      <c r="A1605" s="6" t="s">
        <v>3806</v>
      </c>
      <c r="B1605" s="6" t="s">
        <v>3807</v>
      </c>
      <c r="C1605" s="6" t="s">
        <v>48</v>
      </c>
      <c r="D1605" s="6" t="s">
        <v>3808</v>
      </c>
      <c r="E1605" s="6" t="s">
        <v>3809</v>
      </c>
      <c r="F1605" s="6" t="s">
        <v>98</v>
      </c>
      <c r="G1605" s="7">
        <v>0.15</v>
      </c>
      <c r="H1605" s="6" t="s">
        <v>3810</v>
      </c>
      <c r="I1605" s="6" t="s">
        <v>20</v>
      </c>
      <c r="J1605" s="6">
        <v>2023.0</v>
      </c>
      <c r="K1605" s="10">
        <v>46114.0</v>
      </c>
      <c r="L1605" s="6">
        <v>1.0</v>
      </c>
      <c r="M1605" s="8">
        <f t="shared" si="2"/>
        <v>0.15</v>
      </c>
      <c r="P1605" s="9"/>
    </row>
    <row r="1606">
      <c r="A1606" s="6" t="s">
        <v>3811</v>
      </c>
      <c r="B1606" s="6" t="s">
        <v>3812</v>
      </c>
      <c r="C1606" s="6" t="s">
        <v>23</v>
      </c>
      <c r="D1606" s="6" t="s">
        <v>3813</v>
      </c>
      <c r="E1606" s="6" t="s">
        <v>149</v>
      </c>
      <c r="F1606" s="6" t="s">
        <v>18</v>
      </c>
      <c r="G1606" s="7">
        <v>0.1</v>
      </c>
      <c r="H1606" s="6" t="s">
        <v>45</v>
      </c>
      <c r="I1606" s="6" t="s">
        <v>20</v>
      </c>
      <c r="J1606" s="6">
        <v>2025.0</v>
      </c>
      <c r="K1606" s="10">
        <v>46054.0</v>
      </c>
      <c r="L1606" s="6">
        <v>2.0</v>
      </c>
      <c r="M1606" s="8">
        <f t="shared" si="2"/>
        <v>0.2</v>
      </c>
      <c r="P1606" s="9"/>
    </row>
    <row r="1607">
      <c r="A1607" s="6" t="s">
        <v>3814</v>
      </c>
      <c r="B1607" s="6" t="s">
        <v>194</v>
      </c>
      <c r="C1607" s="6" t="s">
        <v>23</v>
      </c>
      <c r="D1607" s="6" t="s">
        <v>3815</v>
      </c>
      <c r="E1607" s="6" t="s">
        <v>2129</v>
      </c>
      <c r="F1607" s="6" t="s">
        <v>65</v>
      </c>
      <c r="G1607" s="7">
        <v>0.09</v>
      </c>
      <c r="H1607" s="6" t="s">
        <v>1381</v>
      </c>
      <c r="I1607" s="6" t="s">
        <v>20</v>
      </c>
      <c r="J1607" s="6">
        <v>1995.0</v>
      </c>
      <c r="L1607" s="6">
        <v>1.0</v>
      </c>
      <c r="M1607" s="8">
        <f t="shared" si="2"/>
        <v>0.09</v>
      </c>
      <c r="P1607" s="9"/>
    </row>
    <row r="1608">
      <c r="A1608" s="6" t="s">
        <v>3814</v>
      </c>
      <c r="B1608" s="6" t="s">
        <v>194</v>
      </c>
      <c r="C1608" s="6" t="s">
        <v>23</v>
      </c>
      <c r="D1608" s="6" t="s">
        <v>3815</v>
      </c>
      <c r="E1608" s="6" t="s">
        <v>2129</v>
      </c>
      <c r="F1608" s="6" t="s">
        <v>65</v>
      </c>
      <c r="G1608" s="7">
        <v>0.09</v>
      </c>
      <c r="H1608" s="6" t="s">
        <v>1382</v>
      </c>
      <c r="I1608" s="6" t="s">
        <v>20</v>
      </c>
      <c r="J1608" s="6">
        <v>1995.0</v>
      </c>
      <c r="L1608" s="6">
        <v>1.0</v>
      </c>
      <c r="M1608" s="8">
        <f t="shared" si="2"/>
        <v>0.09</v>
      </c>
      <c r="P1608" s="9"/>
    </row>
    <row r="1609">
      <c r="A1609" s="6" t="s">
        <v>3816</v>
      </c>
      <c r="B1609" s="6" t="s">
        <v>62</v>
      </c>
      <c r="C1609" s="6" t="s">
        <v>23</v>
      </c>
      <c r="D1609" s="6" t="s">
        <v>3817</v>
      </c>
      <c r="E1609" s="6" t="s">
        <v>112</v>
      </c>
      <c r="F1609" s="6" t="s">
        <v>65</v>
      </c>
      <c r="G1609" s="7">
        <v>0.35</v>
      </c>
      <c r="H1609" s="6" t="s">
        <v>163</v>
      </c>
      <c r="I1609" s="6" t="s">
        <v>20</v>
      </c>
      <c r="J1609" s="6">
        <v>2023.0</v>
      </c>
      <c r="L1609" s="6">
        <v>1.0</v>
      </c>
      <c r="M1609" s="8">
        <f t="shared" si="2"/>
        <v>0.35</v>
      </c>
      <c r="P1609" s="9"/>
    </row>
    <row r="1610">
      <c r="A1610" s="6" t="s">
        <v>3816</v>
      </c>
      <c r="B1610" s="6" t="s">
        <v>62</v>
      </c>
      <c r="C1610" s="6" t="s">
        <v>23</v>
      </c>
      <c r="D1610" s="6" t="s">
        <v>3817</v>
      </c>
      <c r="E1610" s="6" t="s">
        <v>112</v>
      </c>
      <c r="F1610" s="6" t="s">
        <v>65</v>
      </c>
      <c r="G1610" s="7">
        <v>1.25</v>
      </c>
      <c r="H1610" s="6" t="s">
        <v>163</v>
      </c>
      <c r="I1610" s="6" t="s">
        <v>55</v>
      </c>
      <c r="J1610" s="6">
        <v>2023.0</v>
      </c>
      <c r="L1610" s="6">
        <v>1.0</v>
      </c>
      <c r="M1610" s="8">
        <f t="shared" si="2"/>
        <v>1.25</v>
      </c>
      <c r="P1610" s="9"/>
    </row>
    <row r="1611">
      <c r="A1611" s="6" t="s">
        <v>3818</v>
      </c>
      <c r="B1611" s="6" t="s">
        <v>3819</v>
      </c>
      <c r="C1611" s="6" t="s">
        <v>212</v>
      </c>
      <c r="D1611" s="6" t="s">
        <v>3820</v>
      </c>
      <c r="E1611" s="6" t="s">
        <v>3821</v>
      </c>
      <c r="F1611" s="6" t="s">
        <v>18</v>
      </c>
      <c r="G1611" s="7">
        <v>0.85</v>
      </c>
      <c r="H1611" s="6" t="s">
        <v>483</v>
      </c>
      <c r="I1611" s="6" t="s">
        <v>55</v>
      </c>
      <c r="J1611" s="6">
        <v>2014.0</v>
      </c>
      <c r="K1611" s="10">
        <v>46179.0</v>
      </c>
      <c r="L1611" s="6">
        <v>1.0</v>
      </c>
      <c r="M1611" s="8">
        <f t="shared" si="2"/>
        <v>0.85</v>
      </c>
      <c r="P1611" s="9"/>
    </row>
    <row r="1612">
      <c r="A1612" s="6" t="s">
        <v>3818</v>
      </c>
      <c r="B1612" s="6" t="s">
        <v>3819</v>
      </c>
      <c r="C1612" s="6" t="s">
        <v>212</v>
      </c>
      <c r="D1612" s="6" t="s">
        <v>3820</v>
      </c>
      <c r="E1612" s="6" t="s">
        <v>3821</v>
      </c>
      <c r="F1612" s="6" t="s">
        <v>18</v>
      </c>
      <c r="G1612" s="7">
        <v>0.56</v>
      </c>
      <c r="H1612" s="6" t="s">
        <v>483</v>
      </c>
      <c r="I1612" s="6" t="s">
        <v>20</v>
      </c>
      <c r="J1612" s="6">
        <v>2014.0</v>
      </c>
      <c r="K1612" s="10">
        <v>46179.0</v>
      </c>
      <c r="L1612" s="6">
        <v>2.0</v>
      </c>
      <c r="M1612" s="8">
        <f t="shared" si="2"/>
        <v>1.12</v>
      </c>
      <c r="P1612" s="9"/>
    </row>
    <row r="1613">
      <c r="A1613" s="6" t="s">
        <v>3822</v>
      </c>
      <c r="B1613" s="6" t="s">
        <v>3823</v>
      </c>
      <c r="C1613" s="6" t="s">
        <v>48</v>
      </c>
      <c r="D1613" s="6" t="s">
        <v>3824</v>
      </c>
      <c r="E1613" s="6" t="s">
        <v>502</v>
      </c>
      <c r="F1613" s="6" t="s">
        <v>65</v>
      </c>
      <c r="G1613" s="7">
        <v>0.05</v>
      </c>
      <c r="H1613" s="6" t="s">
        <v>245</v>
      </c>
      <c r="I1613" s="6" t="s">
        <v>20</v>
      </c>
      <c r="J1613" s="6">
        <v>1995.0</v>
      </c>
      <c r="K1613" s="10">
        <v>46083.0</v>
      </c>
      <c r="L1613" s="6">
        <v>1.0</v>
      </c>
      <c r="M1613" s="8">
        <f t="shared" si="2"/>
        <v>0.05</v>
      </c>
      <c r="P1613" s="9"/>
    </row>
    <row r="1614">
      <c r="A1614" s="6" t="s">
        <v>3825</v>
      </c>
      <c r="B1614" s="6" t="s">
        <v>62</v>
      </c>
      <c r="C1614" s="6" t="s">
        <v>23</v>
      </c>
      <c r="D1614" s="6" t="s">
        <v>3826</v>
      </c>
      <c r="E1614" s="6" t="s">
        <v>196</v>
      </c>
      <c r="F1614" s="6" t="s">
        <v>65</v>
      </c>
      <c r="G1614" s="7">
        <v>0.04</v>
      </c>
      <c r="H1614" s="6" t="s">
        <v>114</v>
      </c>
      <c r="I1614" s="6" t="s">
        <v>20</v>
      </c>
      <c r="J1614" s="6">
        <v>2021.0</v>
      </c>
      <c r="L1614" s="6">
        <v>1.0</v>
      </c>
      <c r="M1614" s="8">
        <f t="shared" si="2"/>
        <v>0.04</v>
      </c>
      <c r="P1614" s="9"/>
    </row>
    <row r="1615">
      <c r="A1615" s="6" t="s">
        <v>3827</v>
      </c>
      <c r="B1615" s="6" t="s">
        <v>3828</v>
      </c>
      <c r="C1615" s="6" t="s">
        <v>521</v>
      </c>
      <c r="D1615" s="6" t="s">
        <v>3829</v>
      </c>
      <c r="E1615" s="6" t="s">
        <v>112</v>
      </c>
      <c r="F1615" s="6" t="s">
        <v>3701</v>
      </c>
      <c r="G1615" s="7">
        <v>0.2</v>
      </c>
      <c r="H1615" s="6" t="s">
        <v>641</v>
      </c>
      <c r="I1615" s="6" t="s">
        <v>55</v>
      </c>
      <c r="J1615" s="6">
        <v>2026.0</v>
      </c>
      <c r="K1615" s="10">
        <v>46055.0</v>
      </c>
      <c r="L1615" s="6">
        <v>1.0</v>
      </c>
      <c r="M1615" s="8">
        <f t="shared" si="2"/>
        <v>0.2</v>
      </c>
      <c r="P1615" s="9"/>
    </row>
    <row r="1616">
      <c r="A1616" s="6" t="s">
        <v>3827</v>
      </c>
      <c r="B1616" s="6" t="s">
        <v>3828</v>
      </c>
      <c r="C1616" s="6" t="s">
        <v>521</v>
      </c>
      <c r="D1616" s="6" t="s">
        <v>3829</v>
      </c>
      <c r="E1616" s="6" t="s">
        <v>112</v>
      </c>
      <c r="F1616" s="6" t="s">
        <v>3701</v>
      </c>
      <c r="G1616" s="7">
        <v>0.1</v>
      </c>
      <c r="H1616" s="6" t="s">
        <v>641</v>
      </c>
      <c r="I1616" s="6" t="s">
        <v>20</v>
      </c>
      <c r="J1616" s="6">
        <v>2026.0</v>
      </c>
      <c r="K1616" s="10">
        <v>46055.0</v>
      </c>
      <c r="L1616" s="6">
        <v>1.0</v>
      </c>
      <c r="M1616" s="8">
        <f t="shared" si="2"/>
        <v>0.1</v>
      </c>
      <c r="P1616" s="9"/>
    </row>
    <row r="1617">
      <c r="A1617" s="6" t="s">
        <v>3830</v>
      </c>
      <c r="B1617" s="6" t="s">
        <v>3831</v>
      </c>
      <c r="C1617" s="6" t="s">
        <v>15</v>
      </c>
      <c r="D1617" s="6" t="s">
        <v>3832</v>
      </c>
      <c r="E1617" s="6" t="s">
        <v>3833</v>
      </c>
      <c r="F1617" s="6" t="s">
        <v>858</v>
      </c>
      <c r="G1617" s="7">
        <v>0.09</v>
      </c>
      <c r="H1617" s="6" t="s">
        <v>180</v>
      </c>
      <c r="I1617" s="6" t="s">
        <v>20</v>
      </c>
      <c r="J1617" s="6">
        <v>2014.0</v>
      </c>
      <c r="K1617" s="10">
        <v>46055.0</v>
      </c>
      <c r="L1617" s="6">
        <v>1.0</v>
      </c>
      <c r="M1617" s="8">
        <f t="shared" si="2"/>
        <v>0.09</v>
      </c>
      <c r="P1617" s="9"/>
    </row>
    <row r="1618">
      <c r="A1618" s="6" t="s">
        <v>3834</v>
      </c>
      <c r="B1618" s="6" t="s">
        <v>1937</v>
      </c>
      <c r="C1618" s="6" t="s">
        <v>23</v>
      </c>
      <c r="D1618" s="6" t="s">
        <v>3835</v>
      </c>
      <c r="E1618" s="6" t="s">
        <v>533</v>
      </c>
      <c r="F1618" s="6" t="s">
        <v>65</v>
      </c>
      <c r="G1618" s="7">
        <v>0.11</v>
      </c>
      <c r="H1618" s="6" t="s">
        <v>641</v>
      </c>
      <c r="I1618" s="6" t="s">
        <v>20</v>
      </c>
      <c r="J1618" s="6">
        <v>2026.0</v>
      </c>
      <c r="K1618" s="10">
        <v>46085.0</v>
      </c>
      <c r="L1618" s="6">
        <v>1.0</v>
      </c>
      <c r="M1618" s="8">
        <f t="shared" si="2"/>
        <v>0.11</v>
      </c>
      <c r="P1618" s="9"/>
    </row>
    <row r="1619">
      <c r="A1619" s="6" t="s">
        <v>3836</v>
      </c>
      <c r="B1619" s="6" t="s">
        <v>1113</v>
      </c>
      <c r="C1619" s="6" t="s">
        <v>48</v>
      </c>
      <c r="D1619" s="6" t="s">
        <v>3837</v>
      </c>
      <c r="E1619" s="6" t="s">
        <v>64</v>
      </c>
      <c r="F1619" s="6" t="s">
        <v>65</v>
      </c>
      <c r="G1619" s="7">
        <v>0.08</v>
      </c>
      <c r="H1619" s="6" t="s">
        <v>632</v>
      </c>
      <c r="I1619" s="6" t="s">
        <v>20</v>
      </c>
      <c r="J1619" s="6">
        <v>2002.0</v>
      </c>
      <c r="K1619" s="10">
        <v>46024.0</v>
      </c>
      <c r="L1619" s="6">
        <v>1.0</v>
      </c>
      <c r="M1619" s="8">
        <f t="shared" si="2"/>
        <v>0.08</v>
      </c>
      <c r="P1619" s="9"/>
    </row>
    <row r="1620">
      <c r="A1620" s="6" t="s">
        <v>3838</v>
      </c>
      <c r="B1620" s="6" t="s">
        <v>3839</v>
      </c>
      <c r="C1620" s="6" t="s">
        <v>41</v>
      </c>
      <c r="D1620" s="6" t="s">
        <v>3840</v>
      </c>
      <c r="E1620" s="6" t="s">
        <v>1001</v>
      </c>
      <c r="F1620" s="6" t="s">
        <v>65</v>
      </c>
      <c r="G1620" s="7">
        <v>0.19</v>
      </c>
      <c r="H1620" s="6" t="s">
        <v>705</v>
      </c>
      <c r="I1620" s="6" t="s">
        <v>20</v>
      </c>
      <c r="J1620" s="6">
        <v>2015.0</v>
      </c>
      <c r="K1620" s="10">
        <v>46055.0</v>
      </c>
      <c r="L1620" s="6">
        <v>1.0</v>
      </c>
      <c r="M1620" s="8">
        <f t="shared" si="2"/>
        <v>0.19</v>
      </c>
      <c r="P1620" s="9"/>
    </row>
    <row r="1621">
      <c r="A1621" s="6" t="s">
        <v>3841</v>
      </c>
      <c r="B1621" s="6" t="s">
        <v>3842</v>
      </c>
      <c r="C1621" s="6" t="s">
        <v>48</v>
      </c>
      <c r="D1621" s="6" t="s">
        <v>3843</v>
      </c>
      <c r="E1621" s="6" t="s">
        <v>64</v>
      </c>
      <c r="F1621" s="6" t="s">
        <v>65</v>
      </c>
      <c r="G1621" s="7">
        <v>0.09</v>
      </c>
      <c r="H1621" s="6" t="s">
        <v>3844</v>
      </c>
      <c r="I1621" s="6" t="s">
        <v>20</v>
      </c>
      <c r="J1621" s="6">
        <v>2018.0</v>
      </c>
      <c r="K1621" s="10">
        <v>46055.0</v>
      </c>
      <c r="L1621" s="6">
        <v>1.0</v>
      </c>
      <c r="M1621" s="8">
        <f t="shared" si="2"/>
        <v>0.09</v>
      </c>
      <c r="P1621" s="9"/>
    </row>
    <row r="1622">
      <c r="A1622" s="6" t="s">
        <v>3845</v>
      </c>
      <c r="B1622" s="6" t="s">
        <v>62</v>
      </c>
      <c r="C1622" s="6" t="s">
        <v>23</v>
      </c>
      <c r="D1622" s="6" t="s">
        <v>3846</v>
      </c>
      <c r="E1622" s="6" t="s">
        <v>64</v>
      </c>
      <c r="F1622" s="6" t="s">
        <v>65</v>
      </c>
      <c r="G1622" s="7">
        <v>0.05</v>
      </c>
      <c r="H1622" s="6" t="s">
        <v>245</v>
      </c>
      <c r="I1622" s="6" t="s">
        <v>20</v>
      </c>
      <c r="J1622" s="6">
        <v>1995.0</v>
      </c>
      <c r="L1622" s="6">
        <v>3.0</v>
      </c>
      <c r="M1622" s="8">
        <f t="shared" si="2"/>
        <v>0.15</v>
      </c>
      <c r="P1622" s="9"/>
    </row>
    <row r="1623">
      <c r="A1623" s="6" t="s">
        <v>3847</v>
      </c>
      <c r="B1623" s="6" t="s">
        <v>1937</v>
      </c>
      <c r="C1623" s="6" t="s">
        <v>23</v>
      </c>
      <c r="D1623" s="6" t="s">
        <v>3848</v>
      </c>
      <c r="E1623" s="6" t="s">
        <v>3849</v>
      </c>
      <c r="F1623" s="6" t="s">
        <v>60</v>
      </c>
      <c r="G1623" s="7">
        <v>0.11</v>
      </c>
      <c r="H1623" s="6" t="s">
        <v>641</v>
      </c>
      <c r="I1623" s="6" t="s">
        <v>20</v>
      </c>
      <c r="J1623" s="6">
        <v>2026.0</v>
      </c>
      <c r="K1623" s="10">
        <v>46056.0</v>
      </c>
      <c r="L1623" s="6">
        <v>1.0</v>
      </c>
      <c r="M1623" s="8">
        <f t="shared" si="2"/>
        <v>0.11</v>
      </c>
      <c r="P1623" s="9"/>
    </row>
    <row r="1624">
      <c r="A1624" s="6" t="s">
        <v>3850</v>
      </c>
      <c r="B1624" s="6" t="s">
        <v>62</v>
      </c>
      <c r="C1624" s="6" t="s">
        <v>48</v>
      </c>
      <c r="D1624" s="6" t="s">
        <v>3851</v>
      </c>
      <c r="E1624" s="6" t="s">
        <v>3852</v>
      </c>
      <c r="F1624" s="6" t="s">
        <v>18</v>
      </c>
      <c r="G1624" s="7">
        <v>7.51</v>
      </c>
      <c r="H1624" s="6" t="s">
        <v>3853</v>
      </c>
      <c r="I1624" s="6" t="s">
        <v>20</v>
      </c>
      <c r="J1624" s="6">
        <v>2002.0</v>
      </c>
      <c r="L1624" s="6">
        <v>1.0</v>
      </c>
      <c r="M1624" s="8">
        <f t="shared" si="2"/>
        <v>7.51</v>
      </c>
      <c r="P1624" s="9"/>
    </row>
    <row r="1625">
      <c r="A1625" s="6" t="s">
        <v>3854</v>
      </c>
      <c r="B1625" s="6" t="s">
        <v>182</v>
      </c>
      <c r="C1625" s="6" t="s">
        <v>48</v>
      </c>
      <c r="D1625" s="6" t="s">
        <v>3855</v>
      </c>
      <c r="E1625" s="6" t="s">
        <v>533</v>
      </c>
      <c r="F1625" s="6" t="s">
        <v>65</v>
      </c>
      <c r="G1625" s="7">
        <v>0.41</v>
      </c>
      <c r="H1625" s="6" t="s">
        <v>3856</v>
      </c>
      <c r="I1625" s="6" t="s">
        <v>20</v>
      </c>
      <c r="J1625" s="6">
        <v>2003.0</v>
      </c>
      <c r="L1625" s="6">
        <v>1.0</v>
      </c>
      <c r="M1625" s="8">
        <f t="shared" si="2"/>
        <v>0.41</v>
      </c>
      <c r="P1625" s="9"/>
    </row>
    <row r="1626">
      <c r="A1626" s="6" t="s">
        <v>3854</v>
      </c>
      <c r="B1626" s="6" t="s">
        <v>182</v>
      </c>
      <c r="C1626" s="6" t="s">
        <v>48</v>
      </c>
      <c r="D1626" s="6" t="s">
        <v>3855</v>
      </c>
      <c r="E1626" s="6" t="s">
        <v>533</v>
      </c>
      <c r="F1626" s="6" t="s">
        <v>65</v>
      </c>
      <c r="G1626" s="7">
        <v>0.19</v>
      </c>
      <c r="H1626" s="6" t="s">
        <v>109</v>
      </c>
      <c r="I1626" s="6" t="s">
        <v>20</v>
      </c>
      <c r="J1626" s="6">
        <v>1995.0</v>
      </c>
      <c r="L1626" s="6">
        <v>1.0</v>
      </c>
      <c r="M1626" s="8">
        <f t="shared" si="2"/>
        <v>0.19</v>
      </c>
      <c r="P1626" s="9"/>
    </row>
    <row r="1627">
      <c r="A1627" s="6" t="s">
        <v>3854</v>
      </c>
      <c r="B1627" s="6" t="s">
        <v>182</v>
      </c>
      <c r="C1627" s="6" t="s">
        <v>48</v>
      </c>
      <c r="D1627" s="6" t="s">
        <v>3855</v>
      </c>
      <c r="E1627" s="6" t="s">
        <v>533</v>
      </c>
      <c r="F1627" s="6" t="s">
        <v>65</v>
      </c>
      <c r="G1627" s="7">
        <v>0.75</v>
      </c>
      <c r="H1627" s="6" t="s">
        <v>1382</v>
      </c>
      <c r="I1627" s="6" t="s">
        <v>20</v>
      </c>
      <c r="J1627" s="6">
        <v>1995.0</v>
      </c>
      <c r="L1627" s="6">
        <v>1.0</v>
      </c>
      <c r="M1627" s="8">
        <f t="shared" si="2"/>
        <v>0.75</v>
      </c>
      <c r="P1627" s="9"/>
    </row>
    <row r="1628">
      <c r="A1628" s="6" t="s">
        <v>3857</v>
      </c>
      <c r="B1628" s="6" t="s">
        <v>62</v>
      </c>
      <c r="C1628" s="6" t="s">
        <v>23</v>
      </c>
      <c r="D1628" s="6" t="s">
        <v>3858</v>
      </c>
      <c r="E1628" s="6" t="s">
        <v>153</v>
      </c>
      <c r="F1628" s="6" t="s">
        <v>103</v>
      </c>
      <c r="G1628" s="7">
        <v>0.07</v>
      </c>
      <c r="H1628" s="6" t="s">
        <v>559</v>
      </c>
      <c r="I1628" s="6" t="s">
        <v>20</v>
      </c>
      <c r="J1628" s="6">
        <v>2015.0</v>
      </c>
      <c r="L1628" s="6">
        <v>1.0</v>
      </c>
      <c r="M1628" s="8">
        <f t="shared" si="2"/>
        <v>0.07</v>
      </c>
      <c r="P1628" s="9"/>
    </row>
    <row r="1629">
      <c r="A1629" s="6" t="s">
        <v>3859</v>
      </c>
      <c r="B1629" s="6" t="s">
        <v>3860</v>
      </c>
      <c r="C1629" s="6" t="s">
        <v>48</v>
      </c>
      <c r="D1629" s="6" t="s">
        <v>3861</v>
      </c>
      <c r="E1629" s="6" t="s">
        <v>3862</v>
      </c>
      <c r="F1629" s="6" t="s">
        <v>159</v>
      </c>
      <c r="G1629" s="7">
        <v>0.3</v>
      </c>
      <c r="H1629" s="6" t="s">
        <v>141</v>
      </c>
      <c r="I1629" s="6" t="s">
        <v>55</v>
      </c>
      <c r="J1629" s="6">
        <v>2019.0</v>
      </c>
      <c r="K1629" s="10">
        <v>46054.0</v>
      </c>
      <c r="L1629" s="6">
        <v>1.0</v>
      </c>
      <c r="M1629" s="8">
        <f t="shared" si="2"/>
        <v>0.3</v>
      </c>
      <c r="P1629" s="9"/>
    </row>
    <row r="1630">
      <c r="A1630" s="6" t="s">
        <v>3863</v>
      </c>
      <c r="B1630" s="6" t="s">
        <v>1929</v>
      </c>
      <c r="C1630" s="6" t="s">
        <v>41</v>
      </c>
      <c r="D1630" s="6" t="s">
        <v>3864</v>
      </c>
      <c r="E1630" s="6" t="s">
        <v>1950</v>
      </c>
      <c r="F1630" s="6" t="s">
        <v>65</v>
      </c>
      <c r="G1630" s="7">
        <v>0.35</v>
      </c>
      <c r="H1630" s="6" t="s">
        <v>1494</v>
      </c>
      <c r="I1630" s="6" t="s">
        <v>20</v>
      </c>
      <c r="J1630" s="6">
        <v>2012.0</v>
      </c>
      <c r="K1630" s="10">
        <v>46057.0</v>
      </c>
      <c r="L1630" s="6">
        <v>1.0</v>
      </c>
      <c r="M1630" s="8">
        <f t="shared" si="2"/>
        <v>0.35</v>
      </c>
      <c r="P1630" s="9"/>
    </row>
    <row r="1631">
      <c r="A1631" s="6" t="s">
        <v>3865</v>
      </c>
      <c r="B1631" s="6" t="s">
        <v>182</v>
      </c>
      <c r="C1631" s="6" t="s">
        <v>48</v>
      </c>
      <c r="D1631" s="6" t="s">
        <v>3866</v>
      </c>
      <c r="E1631" s="6" t="s">
        <v>1336</v>
      </c>
      <c r="F1631" s="6" t="s">
        <v>103</v>
      </c>
      <c r="G1631" s="7">
        <v>0.06</v>
      </c>
      <c r="H1631" s="6" t="s">
        <v>336</v>
      </c>
      <c r="I1631" s="6" t="s">
        <v>20</v>
      </c>
      <c r="J1631" s="6">
        <v>2016.0</v>
      </c>
      <c r="L1631" s="6">
        <v>1.0</v>
      </c>
      <c r="M1631" s="8">
        <f t="shared" si="2"/>
        <v>0.06</v>
      </c>
      <c r="P1631" s="9"/>
    </row>
    <row r="1632">
      <c r="A1632" s="6" t="s">
        <v>3867</v>
      </c>
      <c r="B1632" s="6" t="s">
        <v>331</v>
      </c>
      <c r="C1632" s="6" t="s">
        <v>41</v>
      </c>
      <c r="D1632" s="6" t="s">
        <v>3868</v>
      </c>
      <c r="E1632" s="6" t="s">
        <v>3869</v>
      </c>
      <c r="F1632" s="6" t="s">
        <v>874</v>
      </c>
      <c r="G1632" s="7">
        <v>0.28</v>
      </c>
      <c r="H1632" s="6" t="s">
        <v>626</v>
      </c>
      <c r="I1632" s="6" t="s">
        <v>20</v>
      </c>
      <c r="J1632" s="6">
        <v>2013.0</v>
      </c>
      <c r="K1632" s="10">
        <v>46084.0</v>
      </c>
      <c r="L1632" s="6">
        <v>4.0</v>
      </c>
      <c r="M1632" s="8">
        <f t="shared" si="2"/>
        <v>1.12</v>
      </c>
      <c r="P1632" s="9"/>
    </row>
    <row r="1633">
      <c r="A1633" s="6" t="s">
        <v>3870</v>
      </c>
      <c r="B1633" s="6" t="s">
        <v>796</v>
      </c>
      <c r="C1633" s="6" t="s">
        <v>34</v>
      </c>
      <c r="D1633" s="6" t="s">
        <v>3871</v>
      </c>
      <c r="E1633" s="6" t="s">
        <v>3558</v>
      </c>
      <c r="F1633" s="6" t="s">
        <v>18</v>
      </c>
      <c r="G1633" s="7">
        <v>0.06</v>
      </c>
      <c r="H1633" s="6" t="s">
        <v>180</v>
      </c>
      <c r="I1633" s="6" t="s">
        <v>20</v>
      </c>
      <c r="J1633" s="6">
        <v>2014.0</v>
      </c>
      <c r="L1633" s="6">
        <v>1.0</v>
      </c>
      <c r="M1633" s="8">
        <f t="shared" si="2"/>
        <v>0.06</v>
      </c>
      <c r="P1633" s="9"/>
    </row>
    <row r="1634">
      <c r="A1634" s="6" t="s">
        <v>3872</v>
      </c>
      <c r="B1634" s="6" t="s">
        <v>3873</v>
      </c>
      <c r="C1634" s="6" t="s">
        <v>41</v>
      </c>
      <c r="D1634" s="6" t="s">
        <v>3874</v>
      </c>
      <c r="E1634" s="6" t="s">
        <v>25</v>
      </c>
      <c r="F1634" s="6" t="s">
        <v>18</v>
      </c>
      <c r="G1634" s="7">
        <v>0.35</v>
      </c>
      <c r="H1634" s="6" t="s">
        <v>546</v>
      </c>
      <c r="I1634" s="6" t="s">
        <v>20</v>
      </c>
      <c r="J1634" s="6">
        <v>2001.0</v>
      </c>
      <c r="K1634" s="10">
        <v>46024.0</v>
      </c>
      <c r="L1634" s="6">
        <v>1.0</v>
      </c>
      <c r="M1634" s="8">
        <f t="shared" si="2"/>
        <v>0.35</v>
      </c>
      <c r="P1634" s="9"/>
    </row>
    <row r="1635">
      <c r="A1635" s="6" t="s">
        <v>3875</v>
      </c>
      <c r="B1635" s="6" t="s">
        <v>182</v>
      </c>
      <c r="C1635" s="6" t="s">
        <v>48</v>
      </c>
      <c r="D1635" s="6" t="s">
        <v>3876</v>
      </c>
      <c r="E1635" s="6" t="s">
        <v>124</v>
      </c>
      <c r="F1635" s="6" t="s">
        <v>103</v>
      </c>
      <c r="G1635" s="7">
        <v>0.09</v>
      </c>
      <c r="H1635" s="6" t="s">
        <v>146</v>
      </c>
      <c r="I1635" s="6" t="s">
        <v>20</v>
      </c>
      <c r="J1635" s="6">
        <v>2010.0</v>
      </c>
      <c r="L1635" s="6">
        <v>2.0</v>
      </c>
      <c r="M1635" s="8">
        <f t="shared" si="2"/>
        <v>0.18</v>
      </c>
      <c r="P1635" s="9"/>
    </row>
    <row r="1636">
      <c r="A1636" s="6" t="s">
        <v>3877</v>
      </c>
      <c r="B1636" s="6" t="s">
        <v>1799</v>
      </c>
      <c r="C1636" s="6" t="s">
        <v>23</v>
      </c>
      <c r="D1636" s="6" t="s">
        <v>3878</v>
      </c>
      <c r="E1636" s="6" t="s">
        <v>223</v>
      </c>
      <c r="F1636" s="6" t="s">
        <v>159</v>
      </c>
      <c r="G1636" s="7">
        <v>0.05</v>
      </c>
      <c r="H1636" s="6" t="s">
        <v>645</v>
      </c>
      <c r="I1636" s="6" t="s">
        <v>20</v>
      </c>
      <c r="J1636" s="6">
        <v>2024.0</v>
      </c>
      <c r="K1636" s="10">
        <v>46055.0</v>
      </c>
      <c r="L1636" s="6">
        <v>1.0</v>
      </c>
      <c r="M1636" s="8">
        <f t="shared" si="2"/>
        <v>0.05</v>
      </c>
      <c r="P1636" s="9"/>
    </row>
    <row r="1637">
      <c r="A1637" s="6" t="s">
        <v>3879</v>
      </c>
      <c r="B1637" s="6" t="s">
        <v>3880</v>
      </c>
      <c r="C1637" s="6" t="s">
        <v>15</v>
      </c>
      <c r="D1637" s="6" t="s">
        <v>3881</v>
      </c>
      <c r="E1637" s="6" t="s">
        <v>3882</v>
      </c>
      <c r="F1637" s="6" t="s">
        <v>103</v>
      </c>
      <c r="G1637" s="7">
        <v>1.19</v>
      </c>
      <c r="H1637" s="6" t="s">
        <v>3883</v>
      </c>
      <c r="I1637" s="6" t="s">
        <v>20</v>
      </c>
      <c r="J1637" s="6">
        <v>2018.0</v>
      </c>
      <c r="K1637" s="10">
        <v>46025.0</v>
      </c>
      <c r="L1637" s="6">
        <v>1.0</v>
      </c>
      <c r="M1637" s="8">
        <f t="shared" si="2"/>
        <v>1.19</v>
      </c>
      <c r="P1637" s="9"/>
    </row>
    <row r="1638">
      <c r="A1638" s="6" t="s">
        <v>3879</v>
      </c>
      <c r="B1638" s="6" t="s">
        <v>3880</v>
      </c>
      <c r="C1638" s="6" t="s">
        <v>15</v>
      </c>
      <c r="D1638" s="6" t="s">
        <v>3881</v>
      </c>
      <c r="E1638" s="6" t="s">
        <v>3882</v>
      </c>
      <c r="F1638" s="6" t="s">
        <v>103</v>
      </c>
      <c r="G1638" s="7">
        <v>0.49</v>
      </c>
      <c r="H1638" s="6" t="s">
        <v>180</v>
      </c>
      <c r="I1638" s="6" t="s">
        <v>20</v>
      </c>
      <c r="J1638" s="6">
        <v>2014.0</v>
      </c>
      <c r="K1638" s="10">
        <v>46025.0</v>
      </c>
      <c r="L1638" s="6">
        <v>1.0</v>
      </c>
      <c r="M1638" s="8">
        <f t="shared" si="2"/>
        <v>0.49</v>
      </c>
      <c r="P1638" s="9"/>
    </row>
    <row r="1639">
      <c r="A1639" s="6" t="s">
        <v>3879</v>
      </c>
      <c r="B1639" s="6" t="s">
        <v>3880</v>
      </c>
      <c r="C1639" s="6" t="s">
        <v>15</v>
      </c>
      <c r="D1639" s="6" t="s">
        <v>3881</v>
      </c>
      <c r="E1639" s="6" t="s">
        <v>3882</v>
      </c>
      <c r="F1639" s="6" t="s">
        <v>103</v>
      </c>
      <c r="G1639" s="7">
        <v>0.4</v>
      </c>
      <c r="H1639" s="6" t="s">
        <v>3884</v>
      </c>
      <c r="I1639" s="6" t="s">
        <v>20</v>
      </c>
      <c r="J1639" s="6">
        <v>2015.0</v>
      </c>
      <c r="K1639" s="10">
        <v>46025.0</v>
      </c>
      <c r="L1639" s="6">
        <v>2.0</v>
      </c>
      <c r="M1639" s="8">
        <f t="shared" si="2"/>
        <v>0.8</v>
      </c>
      <c r="P1639" s="9"/>
    </row>
    <row r="1640">
      <c r="A1640" s="6" t="s">
        <v>3885</v>
      </c>
      <c r="B1640" s="6" t="s">
        <v>771</v>
      </c>
      <c r="C1640" s="6" t="s">
        <v>48</v>
      </c>
      <c r="D1640" s="6" t="s">
        <v>3886</v>
      </c>
      <c r="E1640" s="6" t="s">
        <v>235</v>
      </c>
      <c r="F1640" s="6" t="s">
        <v>103</v>
      </c>
      <c r="G1640" s="7">
        <v>0.26</v>
      </c>
      <c r="H1640" s="6" t="s">
        <v>184</v>
      </c>
      <c r="I1640" s="6" t="s">
        <v>20</v>
      </c>
      <c r="J1640" s="6">
        <v>2015.0</v>
      </c>
      <c r="K1640" s="10">
        <v>46025.0</v>
      </c>
      <c r="L1640" s="6">
        <v>1.0</v>
      </c>
      <c r="M1640" s="8">
        <f t="shared" si="2"/>
        <v>0.26</v>
      </c>
      <c r="P1640" s="9"/>
    </row>
    <row r="1641">
      <c r="A1641" s="6" t="s">
        <v>3887</v>
      </c>
      <c r="B1641" s="6" t="s">
        <v>3142</v>
      </c>
      <c r="C1641" s="6" t="s">
        <v>23</v>
      </c>
      <c r="D1641" s="6" t="s">
        <v>3888</v>
      </c>
      <c r="E1641" s="6" t="s">
        <v>102</v>
      </c>
      <c r="F1641" s="6" t="s">
        <v>103</v>
      </c>
      <c r="G1641" s="7">
        <v>0.04</v>
      </c>
      <c r="H1641" s="6" t="s">
        <v>626</v>
      </c>
      <c r="I1641" s="6" t="s">
        <v>20</v>
      </c>
      <c r="J1641" s="6">
        <v>2013.0</v>
      </c>
      <c r="K1641" s="10">
        <v>46055.0</v>
      </c>
      <c r="L1641" s="6">
        <v>1.0</v>
      </c>
      <c r="M1641" s="8">
        <f t="shared" si="2"/>
        <v>0.04</v>
      </c>
      <c r="P1641" s="9"/>
    </row>
    <row r="1642">
      <c r="A1642" s="6" t="s">
        <v>3887</v>
      </c>
      <c r="B1642" s="6" t="s">
        <v>3142</v>
      </c>
      <c r="C1642" s="6" t="s">
        <v>23</v>
      </c>
      <c r="D1642" s="6" t="s">
        <v>3888</v>
      </c>
      <c r="E1642" s="6" t="s">
        <v>102</v>
      </c>
      <c r="F1642" s="6" t="s">
        <v>103</v>
      </c>
      <c r="G1642" s="7">
        <v>0.04</v>
      </c>
      <c r="H1642" s="6" t="s">
        <v>626</v>
      </c>
      <c r="I1642" s="6" t="s">
        <v>20</v>
      </c>
      <c r="J1642" s="6">
        <v>2013.0</v>
      </c>
      <c r="K1642" s="10">
        <v>46055.0</v>
      </c>
      <c r="L1642" s="6">
        <v>3.0</v>
      </c>
      <c r="M1642" s="8">
        <f t="shared" si="2"/>
        <v>0.12</v>
      </c>
      <c r="P1642" s="9"/>
    </row>
    <row r="1643">
      <c r="A1643" s="6" t="s">
        <v>3889</v>
      </c>
      <c r="B1643" s="6" t="s">
        <v>3890</v>
      </c>
      <c r="C1643" s="6" t="s">
        <v>23</v>
      </c>
      <c r="D1643" s="6" t="s">
        <v>3891</v>
      </c>
      <c r="E1643" s="6" t="s">
        <v>30</v>
      </c>
      <c r="F1643" s="6" t="s">
        <v>18</v>
      </c>
      <c r="G1643" s="7">
        <v>0.08</v>
      </c>
      <c r="H1643" s="6" t="s">
        <v>45</v>
      </c>
      <c r="I1643" s="6" t="s">
        <v>20</v>
      </c>
      <c r="J1643" s="6">
        <v>2025.0</v>
      </c>
      <c r="K1643" s="10">
        <v>46144.0</v>
      </c>
      <c r="L1643" s="6">
        <v>1.0</v>
      </c>
      <c r="M1643" s="8">
        <f t="shared" si="2"/>
        <v>0.08</v>
      </c>
      <c r="P1643" s="9"/>
    </row>
    <row r="1644">
      <c r="A1644" s="6" t="s">
        <v>3892</v>
      </c>
      <c r="B1644" s="6" t="s">
        <v>3893</v>
      </c>
      <c r="C1644" s="6" t="s">
        <v>34</v>
      </c>
      <c r="D1644" s="6" t="s">
        <v>3894</v>
      </c>
      <c r="E1644" s="6" t="s">
        <v>364</v>
      </c>
      <c r="F1644" s="6" t="s">
        <v>51</v>
      </c>
      <c r="G1644" s="7">
        <v>0.05</v>
      </c>
      <c r="H1644" s="6" t="s">
        <v>1043</v>
      </c>
      <c r="I1644" s="6" t="s">
        <v>20</v>
      </c>
      <c r="J1644" s="6">
        <v>2025.0</v>
      </c>
      <c r="K1644" s="10">
        <v>46084.0</v>
      </c>
      <c r="L1644" s="6">
        <v>1.0</v>
      </c>
      <c r="M1644" s="8">
        <f t="shared" si="2"/>
        <v>0.05</v>
      </c>
      <c r="P1644" s="9"/>
    </row>
    <row r="1645">
      <c r="A1645" s="6" t="s">
        <v>3895</v>
      </c>
      <c r="B1645" s="6" t="s">
        <v>62</v>
      </c>
      <c r="C1645" s="6" t="s">
        <v>23</v>
      </c>
      <c r="D1645" s="6" t="s">
        <v>3896</v>
      </c>
      <c r="E1645" s="6" t="s">
        <v>112</v>
      </c>
      <c r="F1645" s="6" t="s">
        <v>65</v>
      </c>
      <c r="G1645" s="7">
        <v>0.5</v>
      </c>
      <c r="H1645" s="6" t="s">
        <v>141</v>
      </c>
      <c r="I1645" s="6" t="s">
        <v>55</v>
      </c>
      <c r="J1645" s="6">
        <v>2019.0</v>
      </c>
      <c r="L1645" s="6">
        <v>2.0</v>
      </c>
      <c r="M1645" s="8">
        <f t="shared" si="2"/>
        <v>1</v>
      </c>
      <c r="P1645" s="9"/>
    </row>
    <row r="1646">
      <c r="A1646" s="6" t="s">
        <v>3897</v>
      </c>
      <c r="B1646" s="6" t="s">
        <v>326</v>
      </c>
      <c r="C1646" s="6" t="s">
        <v>23</v>
      </c>
      <c r="D1646" s="6" t="s">
        <v>3898</v>
      </c>
      <c r="E1646" s="6" t="s">
        <v>328</v>
      </c>
      <c r="F1646" s="6" t="s">
        <v>18</v>
      </c>
      <c r="G1646" s="7">
        <v>0.04</v>
      </c>
      <c r="H1646" s="6" t="s">
        <v>2861</v>
      </c>
      <c r="I1646" s="6" t="s">
        <v>20</v>
      </c>
      <c r="J1646" s="6">
        <v>2008.0</v>
      </c>
      <c r="K1646" s="6" t="s">
        <v>697</v>
      </c>
      <c r="L1646" s="6">
        <v>1.0</v>
      </c>
      <c r="M1646" s="8">
        <f t="shared" si="2"/>
        <v>0.04</v>
      </c>
      <c r="P1646" s="9"/>
    </row>
    <row r="1647">
      <c r="A1647" s="6" t="s">
        <v>3899</v>
      </c>
      <c r="B1647" s="6" t="s">
        <v>3900</v>
      </c>
      <c r="C1647" s="6" t="s">
        <v>48</v>
      </c>
      <c r="D1647" s="6" t="s">
        <v>3901</v>
      </c>
      <c r="E1647" s="6" t="s">
        <v>149</v>
      </c>
      <c r="F1647" s="6" t="s">
        <v>18</v>
      </c>
      <c r="G1647" s="7">
        <v>1.65</v>
      </c>
      <c r="H1647" s="6" t="s">
        <v>645</v>
      </c>
      <c r="I1647" s="6" t="s">
        <v>20</v>
      </c>
      <c r="J1647" s="6">
        <v>2024.0</v>
      </c>
      <c r="K1647" s="10">
        <v>46024.0</v>
      </c>
      <c r="L1647" s="6">
        <v>2.0</v>
      </c>
      <c r="M1647" s="8">
        <f t="shared" si="2"/>
        <v>3.3</v>
      </c>
      <c r="N1647" s="6" t="s">
        <v>172</v>
      </c>
      <c r="P1647" s="9"/>
    </row>
    <row r="1648">
      <c r="A1648" s="6" t="s">
        <v>3902</v>
      </c>
      <c r="B1648" s="6" t="s">
        <v>182</v>
      </c>
      <c r="C1648" s="6" t="s">
        <v>23</v>
      </c>
      <c r="D1648" s="6" t="s">
        <v>3903</v>
      </c>
      <c r="E1648" s="6" t="s">
        <v>345</v>
      </c>
      <c r="F1648" s="6" t="s">
        <v>18</v>
      </c>
      <c r="G1648" s="7">
        <v>0.03</v>
      </c>
      <c r="H1648" s="6" t="s">
        <v>562</v>
      </c>
      <c r="I1648" s="6" t="s">
        <v>20</v>
      </c>
      <c r="J1648" s="6">
        <v>2017.0</v>
      </c>
      <c r="L1648" s="6">
        <v>2.0</v>
      </c>
      <c r="M1648" s="8">
        <f t="shared" si="2"/>
        <v>0.06</v>
      </c>
      <c r="P1648" s="9"/>
    </row>
    <row r="1649">
      <c r="A1649" s="6" t="s">
        <v>3904</v>
      </c>
      <c r="B1649" s="6" t="s">
        <v>3905</v>
      </c>
      <c r="C1649" s="6" t="s">
        <v>48</v>
      </c>
      <c r="D1649" s="6" t="s">
        <v>3906</v>
      </c>
      <c r="E1649" s="6" t="s">
        <v>1570</v>
      </c>
      <c r="F1649" s="6" t="s">
        <v>159</v>
      </c>
      <c r="G1649" s="7">
        <v>0.15</v>
      </c>
      <c r="H1649" s="6" t="s">
        <v>45</v>
      </c>
      <c r="I1649" s="6" t="s">
        <v>20</v>
      </c>
      <c r="J1649" s="6">
        <v>2025.0</v>
      </c>
      <c r="K1649" s="10">
        <v>46116.0</v>
      </c>
      <c r="L1649" s="6">
        <v>1.0</v>
      </c>
      <c r="M1649" s="8">
        <f t="shared" si="2"/>
        <v>0.15</v>
      </c>
      <c r="P1649" s="9"/>
    </row>
    <row r="1650">
      <c r="A1650" s="6" t="s">
        <v>3907</v>
      </c>
      <c r="B1650" s="6" t="s">
        <v>3908</v>
      </c>
      <c r="C1650" s="6" t="s">
        <v>48</v>
      </c>
      <c r="D1650" s="6" t="s">
        <v>3909</v>
      </c>
      <c r="E1650" s="6" t="s">
        <v>3910</v>
      </c>
      <c r="F1650" s="6" t="s">
        <v>3911</v>
      </c>
      <c r="G1650" s="7">
        <v>0.1</v>
      </c>
      <c r="H1650" s="6" t="s">
        <v>346</v>
      </c>
      <c r="I1650" s="6" t="s">
        <v>20</v>
      </c>
      <c r="J1650" s="6">
        <v>2024.0</v>
      </c>
      <c r="L1650" s="6">
        <v>1.0</v>
      </c>
      <c r="M1650" s="8">
        <f t="shared" si="2"/>
        <v>0.1</v>
      </c>
      <c r="P1650" s="9"/>
    </row>
    <row r="1651">
      <c r="A1651" s="6" t="s">
        <v>3912</v>
      </c>
      <c r="B1651" s="6" t="s">
        <v>3913</v>
      </c>
      <c r="C1651" s="6" t="s">
        <v>23</v>
      </c>
      <c r="D1651" s="6" t="s">
        <v>3914</v>
      </c>
      <c r="E1651" s="6" t="s">
        <v>1570</v>
      </c>
      <c r="F1651" s="6" t="s">
        <v>159</v>
      </c>
      <c r="G1651" s="7">
        <v>0.09</v>
      </c>
      <c r="H1651" s="6" t="s">
        <v>114</v>
      </c>
      <c r="I1651" s="6" t="s">
        <v>20</v>
      </c>
      <c r="J1651" s="6">
        <v>2021.0</v>
      </c>
      <c r="K1651" s="10">
        <v>46179.0</v>
      </c>
      <c r="L1651" s="6">
        <v>2.0</v>
      </c>
      <c r="M1651" s="8">
        <f t="shared" si="2"/>
        <v>0.18</v>
      </c>
      <c r="P1651" s="9"/>
    </row>
    <row r="1652">
      <c r="A1652" s="6" t="s">
        <v>3915</v>
      </c>
      <c r="B1652" s="6" t="s">
        <v>307</v>
      </c>
      <c r="C1652" s="6" t="s">
        <v>41</v>
      </c>
      <c r="D1652" s="6" t="s">
        <v>3916</v>
      </c>
      <c r="E1652" s="6" t="s">
        <v>625</v>
      </c>
      <c r="F1652" s="6" t="s">
        <v>37</v>
      </c>
      <c r="G1652" s="7">
        <v>2.8</v>
      </c>
      <c r="H1652" s="6" t="s">
        <v>120</v>
      </c>
      <c r="I1652" s="6" t="s">
        <v>20</v>
      </c>
      <c r="J1652" s="6">
        <v>1995.0</v>
      </c>
      <c r="L1652" s="6">
        <v>1.0</v>
      </c>
      <c r="M1652" s="8">
        <f t="shared" si="2"/>
        <v>2.8</v>
      </c>
      <c r="N1652" s="6" t="s">
        <v>172</v>
      </c>
      <c r="P1652" s="9"/>
    </row>
    <row r="1653">
      <c r="A1653" s="6" t="s">
        <v>3917</v>
      </c>
      <c r="B1653" s="6" t="s">
        <v>3918</v>
      </c>
      <c r="C1653" s="6" t="s">
        <v>34</v>
      </c>
      <c r="D1653" s="6" t="s">
        <v>3919</v>
      </c>
      <c r="E1653" s="6" t="s">
        <v>3920</v>
      </c>
      <c r="F1653" s="6" t="s">
        <v>159</v>
      </c>
      <c r="G1653" s="7">
        <v>0.2</v>
      </c>
      <c r="H1653" s="6" t="s">
        <v>2326</v>
      </c>
      <c r="I1653" s="6" t="s">
        <v>20</v>
      </c>
      <c r="J1653" s="6">
        <v>2026.0</v>
      </c>
      <c r="K1653" s="10">
        <v>46084.0</v>
      </c>
      <c r="L1653" s="6">
        <v>2.0</v>
      </c>
      <c r="M1653" s="8">
        <f t="shared" si="2"/>
        <v>0.4</v>
      </c>
      <c r="P1653" s="9"/>
    </row>
    <row r="1654">
      <c r="A1654" s="6" t="s">
        <v>3921</v>
      </c>
      <c r="B1654" s="6" t="s">
        <v>413</v>
      </c>
      <c r="C1654" s="6" t="s">
        <v>287</v>
      </c>
      <c r="D1654" s="6" t="s">
        <v>3922</v>
      </c>
      <c r="E1654" s="6" t="s">
        <v>238</v>
      </c>
      <c r="F1654" s="6" t="s">
        <v>159</v>
      </c>
      <c r="G1654" s="7">
        <v>0.37</v>
      </c>
      <c r="H1654" s="6" t="s">
        <v>154</v>
      </c>
      <c r="I1654" s="6" t="s">
        <v>20</v>
      </c>
      <c r="J1654" s="6">
        <v>2013.0</v>
      </c>
      <c r="L1654" s="6">
        <v>1.0</v>
      </c>
      <c r="M1654" s="8">
        <f t="shared" si="2"/>
        <v>0.37</v>
      </c>
      <c r="P1654" s="9"/>
    </row>
    <row r="1655">
      <c r="A1655" s="6" t="s">
        <v>3923</v>
      </c>
      <c r="B1655" s="6" t="s">
        <v>372</v>
      </c>
      <c r="C1655" s="6" t="s">
        <v>23</v>
      </c>
      <c r="D1655" s="6" t="s">
        <v>3924</v>
      </c>
      <c r="E1655" s="6" t="s">
        <v>79</v>
      </c>
      <c r="F1655" s="6" t="s">
        <v>51</v>
      </c>
      <c r="G1655" s="7">
        <v>0.29</v>
      </c>
      <c r="H1655" s="6" t="s">
        <v>19</v>
      </c>
      <c r="I1655" s="6" t="s">
        <v>55</v>
      </c>
      <c r="J1655" s="6">
        <v>2023.0</v>
      </c>
      <c r="L1655" s="6">
        <v>1.0</v>
      </c>
      <c r="M1655" s="8">
        <f t="shared" si="2"/>
        <v>0.29</v>
      </c>
      <c r="P1655" s="9"/>
    </row>
    <row r="1656">
      <c r="A1656" s="6" t="s">
        <v>3925</v>
      </c>
      <c r="B1656" s="6" t="s">
        <v>3926</v>
      </c>
      <c r="C1656" s="6" t="s">
        <v>23</v>
      </c>
      <c r="D1656" s="6" t="s">
        <v>3927</v>
      </c>
      <c r="E1656" s="6" t="s">
        <v>153</v>
      </c>
      <c r="F1656" s="6" t="s">
        <v>103</v>
      </c>
      <c r="G1656" s="7">
        <v>0.06</v>
      </c>
      <c r="H1656" s="6" t="s">
        <v>45</v>
      </c>
      <c r="I1656" s="6" t="s">
        <v>20</v>
      </c>
      <c r="J1656" s="6">
        <v>2025.0</v>
      </c>
      <c r="K1656" s="10">
        <v>46115.0</v>
      </c>
      <c r="L1656" s="6">
        <v>2.0</v>
      </c>
      <c r="M1656" s="8">
        <f t="shared" si="2"/>
        <v>0.12</v>
      </c>
      <c r="P1656" s="9"/>
    </row>
    <row r="1657">
      <c r="A1657" s="6" t="s">
        <v>3928</v>
      </c>
      <c r="B1657" s="6" t="s">
        <v>3929</v>
      </c>
      <c r="C1657" s="6" t="s">
        <v>23</v>
      </c>
      <c r="D1657" s="6" t="s">
        <v>3930</v>
      </c>
      <c r="E1657" s="6" t="s">
        <v>298</v>
      </c>
      <c r="F1657" s="6" t="s">
        <v>159</v>
      </c>
      <c r="G1657" s="7">
        <v>0.06</v>
      </c>
      <c r="H1657" s="6" t="s">
        <v>45</v>
      </c>
      <c r="I1657" s="6" t="s">
        <v>20</v>
      </c>
      <c r="J1657" s="6">
        <v>2025.0</v>
      </c>
      <c r="K1657" s="10">
        <v>46085.0</v>
      </c>
      <c r="L1657" s="6">
        <v>3.0</v>
      </c>
      <c r="M1657" s="8">
        <f t="shared" si="2"/>
        <v>0.18</v>
      </c>
      <c r="P1657" s="9"/>
    </row>
    <row r="1658">
      <c r="A1658" s="6" t="s">
        <v>3931</v>
      </c>
      <c r="B1658" s="6" t="s">
        <v>165</v>
      </c>
      <c r="C1658" s="6" t="s">
        <v>34</v>
      </c>
      <c r="D1658" s="6" t="s">
        <v>3932</v>
      </c>
      <c r="E1658" s="6" t="s">
        <v>2469</v>
      </c>
      <c r="F1658" s="6" t="s">
        <v>65</v>
      </c>
      <c r="G1658" s="7">
        <v>0.08</v>
      </c>
      <c r="H1658" s="6" t="s">
        <v>19</v>
      </c>
      <c r="I1658" s="6" t="s">
        <v>20</v>
      </c>
      <c r="J1658" s="6">
        <v>2023.0</v>
      </c>
      <c r="L1658" s="6">
        <v>1.0</v>
      </c>
      <c r="M1658" s="8">
        <f t="shared" si="2"/>
        <v>0.08</v>
      </c>
      <c r="P1658" s="9"/>
    </row>
    <row r="1659">
      <c r="A1659" s="6" t="s">
        <v>3933</v>
      </c>
      <c r="B1659" s="6" t="s">
        <v>301</v>
      </c>
      <c r="C1659" s="6" t="s">
        <v>34</v>
      </c>
      <c r="D1659" s="6" t="s">
        <v>3934</v>
      </c>
      <c r="E1659" s="6">
        <v>1.0</v>
      </c>
      <c r="F1659" s="6" t="s">
        <v>37</v>
      </c>
      <c r="G1659" s="7">
        <v>0.18</v>
      </c>
      <c r="H1659" s="6" t="s">
        <v>19</v>
      </c>
      <c r="I1659" s="6" t="s">
        <v>20</v>
      </c>
      <c r="J1659" s="6">
        <v>2023.0</v>
      </c>
      <c r="L1659" s="6">
        <v>1.0</v>
      </c>
      <c r="M1659" s="8">
        <f t="shared" si="2"/>
        <v>0.18</v>
      </c>
      <c r="P1659" s="9"/>
    </row>
    <row r="1660">
      <c r="A1660" s="6" t="s">
        <v>3933</v>
      </c>
      <c r="B1660" s="6" t="s">
        <v>301</v>
      </c>
      <c r="C1660" s="6" t="s">
        <v>34</v>
      </c>
      <c r="D1660" s="6" t="s">
        <v>3934</v>
      </c>
      <c r="E1660" s="6">
        <v>1.0</v>
      </c>
      <c r="F1660" s="6" t="s">
        <v>37</v>
      </c>
      <c r="G1660" s="7">
        <v>1.9</v>
      </c>
      <c r="H1660" s="6" t="s">
        <v>19</v>
      </c>
      <c r="I1660" s="6" t="s">
        <v>20</v>
      </c>
      <c r="J1660" s="6">
        <v>2023.0</v>
      </c>
      <c r="L1660" s="6">
        <v>1.0</v>
      </c>
      <c r="M1660" s="8">
        <f t="shared" si="2"/>
        <v>1.9</v>
      </c>
      <c r="P1660" s="9"/>
    </row>
    <row r="1661">
      <c r="A1661" s="6" t="s">
        <v>3935</v>
      </c>
      <c r="B1661" s="6" t="s">
        <v>182</v>
      </c>
      <c r="C1661" s="6" t="s">
        <v>23</v>
      </c>
      <c r="D1661" s="6" t="s">
        <v>3936</v>
      </c>
      <c r="E1661" s="6" t="s">
        <v>223</v>
      </c>
      <c r="F1661" s="6" t="s">
        <v>159</v>
      </c>
      <c r="G1661" s="7">
        <v>0.07</v>
      </c>
      <c r="H1661" s="6" t="s">
        <v>3937</v>
      </c>
      <c r="I1661" s="6" t="s">
        <v>20</v>
      </c>
      <c r="J1661" s="6">
        <v>2026.0</v>
      </c>
      <c r="L1661" s="6">
        <v>3.0</v>
      </c>
      <c r="M1661" s="8">
        <f t="shared" si="2"/>
        <v>0.21</v>
      </c>
      <c r="P1661" s="9"/>
    </row>
    <row r="1662">
      <c r="A1662" s="6" t="s">
        <v>3938</v>
      </c>
      <c r="B1662" s="6" t="s">
        <v>202</v>
      </c>
      <c r="C1662" s="6" t="s">
        <v>23</v>
      </c>
      <c r="D1662" s="6" t="s">
        <v>3939</v>
      </c>
      <c r="E1662" s="6" t="s">
        <v>238</v>
      </c>
      <c r="F1662" s="6" t="s">
        <v>159</v>
      </c>
      <c r="G1662" s="7">
        <v>0.03</v>
      </c>
      <c r="H1662" s="6" t="s">
        <v>359</v>
      </c>
      <c r="I1662" s="6" t="s">
        <v>20</v>
      </c>
      <c r="J1662" s="6">
        <v>2014.0</v>
      </c>
      <c r="L1662" s="6">
        <v>1.0</v>
      </c>
      <c r="M1662" s="8">
        <f t="shared" si="2"/>
        <v>0.03</v>
      </c>
      <c r="P1662" s="9"/>
    </row>
    <row r="1663">
      <c r="A1663" s="6" t="s">
        <v>3940</v>
      </c>
      <c r="B1663" s="6" t="s">
        <v>1041</v>
      </c>
      <c r="C1663" s="6" t="s">
        <v>34</v>
      </c>
      <c r="D1663" s="6" t="s">
        <v>3941</v>
      </c>
      <c r="E1663" s="6" t="s">
        <v>1129</v>
      </c>
      <c r="F1663" s="6" t="s">
        <v>18</v>
      </c>
      <c r="G1663" s="7">
        <v>0.03</v>
      </c>
      <c r="H1663" s="6" t="s">
        <v>483</v>
      </c>
      <c r="I1663" s="6" t="s">
        <v>20</v>
      </c>
      <c r="J1663" s="6">
        <v>2014.0</v>
      </c>
      <c r="L1663" s="6">
        <v>3.0</v>
      </c>
      <c r="M1663" s="8">
        <f t="shared" si="2"/>
        <v>0.09</v>
      </c>
      <c r="P1663" s="9"/>
    </row>
    <row r="1664">
      <c r="A1664" s="6" t="s">
        <v>3942</v>
      </c>
      <c r="B1664" s="6" t="s">
        <v>202</v>
      </c>
      <c r="C1664" s="6" t="s">
        <v>23</v>
      </c>
      <c r="D1664" s="6" t="s">
        <v>3943</v>
      </c>
      <c r="E1664" s="6" t="s">
        <v>102</v>
      </c>
      <c r="F1664" s="6" t="s">
        <v>103</v>
      </c>
      <c r="G1664" s="7">
        <v>0.06</v>
      </c>
      <c r="H1664" s="6" t="s">
        <v>359</v>
      </c>
      <c r="I1664" s="6" t="s">
        <v>20</v>
      </c>
      <c r="J1664" s="6">
        <v>2014.0</v>
      </c>
      <c r="L1664" s="6">
        <v>1.0</v>
      </c>
      <c r="M1664" s="8">
        <f t="shared" si="2"/>
        <v>0.06</v>
      </c>
      <c r="P1664" s="9"/>
    </row>
    <row r="1665">
      <c r="A1665" s="6" t="s">
        <v>3944</v>
      </c>
      <c r="B1665" s="6" t="s">
        <v>202</v>
      </c>
      <c r="C1665" s="6" t="s">
        <v>23</v>
      </c>
      <c r="D1665" s="6" t="s">
        <v>3945</v>
      </c>
      <c r="E1665" s="6" t="s">
        <v>118</v>
      </c>
      <c r="F1665" s="6" t="s">
        <v>51</v>
      </c>
      <c r="G1665" s="7">
        <v>0.03</v>
      </c>
      <c r="H1665" s="6" t="s">
        <v>359</v>
      </c>
      <c r="I1665" s="6" t="s">
        <v>20</v>
      </c>
      <c r="J1665" s="6">
        <v>2014.0</v>
      </c>
      <c r="L1665" s="6">
        <v>2.0</v>
      </c>
      <c r="M1665" s="8">
        <f t="shared" si="2"/>
        <v>0.06</v>
      </c>
      <c r="P1665" s="9"/>
    </row>
    <row r="1666">
      <c r="A1666" s="6" t="s">
        <v>3946</v>
      </c>
      <c r="B1666" s="6" t="s">
        <v>1041</v>
      </c>
      <c r="C1666" s="6" t="s">
        <v>34</v>
      </c>
      <c r="D1666" s="6" t="s">
        <v>3947</v>
      </c>
      <c r="E1666" s="6" t="s">
        <v>681</v>
      </c>
      <c r="F1666" s="6" t="s">
        <v>1732</v>
      </c>
      <c r="G1666" s="7">
        <v>0.03</v>
      </c>
      <c r="H1666" s="6" t="s">
        <v>483</v>
      </c>
      <c r="I1666" s="6" t="s">
        <v>20</v>
      </c>
      <c r="J1666" s="6">
        <v>2014.0</v>
      </c>
      <c r="L1666" s="6">
        <v>3.0</v>
      </c>
      <c r="M1666" s="8">
        <f t="shared" si="2"/>
        <v>0.09</v>
      </c>
      <c r="P1666" s="9"/>
    </row>
    <row r="1667">
      <c r="A1667" s="6" t="s">
        <v>3948</v>
      </c>
      <c r="B1667" s="6" t="s">
        <v>3949</v>
      </c>
      <c r="C1667" s="6" t="s">
        <v>23</v>
      </c>
      <c r="D1667" s="6" t="s">
        <v>3950</v>
      </c>
      <c r="E1667" s="6" t="s">
        <v>3951</v>
      </c>
      <c r="F1667" s="6" t="s">
        <v>98</v>
      </c>
      <c r="G1667" s="7">
        <v>0.1</v>
      </c>
      <c r="H1667" s="6" t="s">
        <v>192</v>
      </c>
      <c r="I1667" s="6" t="s">
        <v>20</v>
      </c>
      <c r="J1667" s="6">
        <v>2026.0</v>
      </c>
      <c r="K1667" s="10">
        <v>46114.0</v>
      </c>
      <c r="L1667" s="6">
        <v>6.0</v>
      </c>
      <c r="M1667" s="8">
        <f t="shared" si="2"/>
        <v>0.6</v>
      </c>
      <c r="P1667" s="9"/>
    </row>
    <row r="1668">
      <c r="A1668" s="6" t="s">
        <v>3948</v>
      </c>
      <c r="B1668" s="6" t="s">
        <v>3949</v>
      </c>
      <c r="C1668" s="6" t="s">
        <v>23</v>
      </c>
      <c r="D1668" s="6" t="s">
        <v>3950</v>
      </c>
      <c r="E1668" s="6" t="s">
        <v>3951</v>
      </c>
      <c r="F1668" s="6" t="s">
        <v>98</v>
      </c>
      <c r="G1668" s="7">
        <v>0.2</v>
      </c>
      <c r="H1668" s="6" t="s">
        <v>192</v>
      </c>
      <c r="I1668" s="6" t="s">
        <v>55</v>
      </c>
      <c r="J1668" s="6">
        <v>2026.0</v>
      </c>
      <c r="K1668" s="10">
        <v>46114.0</v>
      </c>
      <c r="L1668" s="6">
        <v>1.0</v>
      </c>
      <c r="M1668" s="8">
        <f t="shared" si="2"/>
        <v>0.2</v>
      </c>
      <c r="P1668" s="9"/>
    </row>
    <row r="1669">
      <c r="A1669" s="6" t="s">
        <v>3952</v>
      </c>
      <c r="B1669" s="6" t="s">
        <v>68</v>
      </c>
      <c r="C1669" s="6" t="s">
        <v>23</v>
      </c>
      <c r="D1669" s="6" t="s">
        <v>3953</v>
      </c>
      <c r="F1669" s="6" t="s">
        <v>98</v>
      </c>
      <c r="G1669" s="7">
        <v>0.15</v>
      </c>
      <c r="H1669" s="6" t="s">
        <v>192</v>
      </c>
      <c r="I1669" s="6" t="s">
        <v>20</v>
      </c>
      <c r="J1669" s="6">
        <v>2026.0</v>
      </c>
      <c r="L1669" s="6">
        <v>1.0</v>
      </c>
      <c r="M1669" s="8">
        <f t="shared" si="2"/>
        <v>0.15</v>
      </c>
      <c r="P1669" s="9"/>
    </row>
    <row r="1670">
      <c r="A1670" s="6" t="s">
        <v>3954</v>
      </c>
      <c r="B1670" s="6" t="s">
        <v>3955</v>
      </c>
      <c r="C1670" s="6" t="s">
        <v>23</v>
      </c>
      <c r="D1670" s="6" t="s">
        <v>3956</v>
      </c>
      <c r="E1670" s="6" t="s">
        <v>153</v>
      </c>
      <c r="F1670" s="6" t="s">
        <v>103</v>
      </c>
      <c r="G1670" s="7">
        <v>0.1</v>
      </c>
      <c r="H1670" s="6" t="s">
        <v>192</v>
      </c>
      <c r="I1670" s="6" t="s">
        <v>20</v>
      </c>
      <c r="J1670" s="6">
        <v>2026.0</v>
      </c>
      <c r="K1670" s="10">
        <v>46114.0</v>
      </c>
      <c r="L1670" s="6">
        <v>1.0</v>
      </c>
      <c r="M1670" s="8">
        <f t="shared" si="2"/>
        <v>0.1</v>
      </c>
      <c r="P1670" s="9"/>
    </row>
    <row r="1671">
      <c r="A1671" s="6" t="s">
        <v>3957</v>
      </c>
      <c r="B1671" s="6" t="s">
        <v>3958</v>
      </c>
      <c r="C1671" s="6" t="s">
        <v>287</v>
      </c>
      <c r="D1671" s="6" t="s">
        <v>3959</v>
      </c>
      <c r="E1671" s="6" t="s">
        <v>175</v>
      </c>
      <c r="F1671" s="6" t="s">
        <v>51</v>
      </c>
      <c r="G1671" s="7">
        <v>0.07</v>
      </c>
      <c r="H1671" s="6" t="s">
        <v>632</v>
      </c>
      <c r="I1671" s="6" t="s">
        <v>20</v>
      </c>
      <c r="J1671" s="6">
        <v>2002.0</v>
      </c>
      <c r="K1671" s="10">
        <v>46023.0</v>
      </c>
      <c r="L1671" s="6">
        <v>1.0</v>
      </c>
      <c r="M1671" s="8">
        <f t="shared" si="2"/>
        <v>0.07</v>
      </c>
      <c r="P1671" s="9"/>
    </row>
    <row r="1672">
      <c r="A1672" s="6" t="s">
        <v>3960</v>
      </c>
      <c r="B1672" s="6" t="s">
        <v>761</v>
      </c>
      <c r="C1672" s="6" t="s">
        <v>287</v>
      </c>
      <c r="D1672" s="6" t="s">
        <v>3961</v>
      </c>
      <c r="E1672" s="6" t="s">
        <v>175</v>
      </c>
      <c r="F1672" s="6" t="s">
        <v>51</v>
      </c>
      <c r="G1672" s="7">
        <v>0.09</v>
      </c>
      <c r="H1672" s="6" t="s">
        <v>119</v>
      </c>
      <c r="I1672" s="6" t="s">
        <v>20</v>
      </c>
      <c r="J1672" s="6">
        <v>1995.0</v>
      </c>
      <c r="L1672" s="6">
        <v>5.0</v>
      </c>
      <c r="M1672" s="8">
        <f t="shared" si="2"/>
        <v>0.45</v>
      </c>
      <c r="P1672" s="9"/>
    </row>
    <row r="1673">
      <c r="A1673" s="6" t="s">
        <v>3960</v>
      </c>
      <c r="B1673" s="6" t="s">
        <v>761</v>
      </c>
      <c r="C1673" s="6" t="s">
        <v>287</v>
      </c>
      <c r="D1673" s="6" t="s">
        <v>3961</v>
      </c>
      <c r="E1673" s="6" t="s">
        <v>175</v>
      </c>
      <c r="F1673" s="6" t="s">
        <v>51</v>
      </c>
      <c r="G1673" s="7">
        <v>0.2</v>
      </c>
      <c r="H1673" s="6" t="s">
        <v>120</v>
      </c>
      <c r="I1673" s="6" t="s">
        <v>20</v>
      </c>
      <c r="J1673" s="6">
        <v>1995.0</v>
      </c>
      <c r="L1673" s="6">
        <v>5.0</v>
      </c>
      <c r="M1673" s="8">
        <f t="shared" si="2"/>
        <v>1</v>
      </c>
      <c r="P1673" s="9"/>
    </row>
    <row r="1674">
      <c r="A1674" s="6" t="s">
        <v>3962</v>
      </c>
      <c r="B1674" s="6" t="s">
        <v>62</v>
      </c>
      <c r="C1674" s="6" t="s">
        <v>23</v>
      </c>
      <c r="D1674" s="6" t="s">
        <v>3963</v>
      </c>
      <c r="E1674" s="6" t="s">
        <v>223</v>
      </c>
      <c r="F1674" s="6" t="s">
        <v>159</v>
      </c>
      <c r="G1674" s="7">
        <v>0.09</v>
      </c>
      <c r="H1674" s="6" t="s">
        <v>786</v>
      </c>
      <c r="I1674" s="6" t="s">
        <v>20</v>
      </c>
      <c r="J1674" s="6">
        <v>2024.0</v>
      </c>
      <c r="L1674" s="6">
        <v>1.0</v>
      </c>
      <c r="M1674" s="8">
        <f t="shared" si="2"/>
        <v>0.09</v>
      </c>
      <c r="P1674" s="9"/>
    </row>
    <row r="1675">
      <c r="A1675" s="6" t="s">
        <v>3964</v>
      </c>
      <c r="B1675" s="6" t="s">
        <v>1234</v>
      </c>
      <c r="C1675" s="6" t="s">
        <v>48</v>
      </c>
      <c r="D1675" s="6" t="s">
        <v>3965</v>
      </c>
      <c r="E1675" s="6" t="s">
        <v>1454</v>
      </c>
      <c r="F1675" s="6" t="s">
        <v>37</v>
      </c>
      <c r="G1675" s="7">
        <v>0.09</v>
      </c>
      <c r="H1675" s="6" t="s">
        <v>621</v>
      </c>
      <c r="I1675" s="6" t="s">
        <v>20</v>
      </c>
      <c r="J1675" s="6">
        <v>2015.0</v>
      </c>
      <c r="K1675" s="10">
        <v>46056.0</v>
      </c>
      <c r="L1675" s="6">
        <v>3.0</v>
      </c>
      <c r="M1675" s="8">
        <f t="shared" si="2"/>
        <v>0.27</v>
      </c>
      <c r="O1675" s="6" t="s">
        <v>3966</v>
      </c>
      <c r="P1675" s="9"/>
    </row>
    <row r="1676">
      <c r="A1676" s="6" t="s">
        <v>3967</v>
      </c>
      <c r="B1676" s="6" t="s">
        <v>3968</v>
      </c>
      <c r="C1676" s="6" t="s">
        <v>41</v>
      </c>
      <c r="D1676" s="6" t="s">
        <v>3969</v>
      </c>
      <c r="F1676" s="6" t="s">
        <v>159</v>
      </c>
      <c r="G1676" s="7">
        <v>1.79</v>
      </c>
      <c r="H1676" s="6" t="s">
        <v>3970</v>
      </c>
      <c r="I1676" s="6" t="s">
        <v>55</v>
      </c>
      <c r="J1676" s="6">
        <v>1998.0</v>
      </c>
      <c r="L1676" s="6">
        <v>1.0</v>
      </c>
      <c r="M1676" s="8">
        <f t="shared" si="2"/>
        <v>1.79</v>
      </c>
      <c r="N1676" s="6" t="s">
        <v>172</v>
      </c>
      <c r="P1676" s="9"/>
    </row>
    <row r="1677">
      <c r="A1677" s="6" t="s">
        <v>3967</v>
      </c>
      <c r="B1677" s="6" t="s">
        <v>3968</v>
      </c>
      <c r="C1677" s="6" t="s">
        <v>41</v>
      </c>
      <c r="D1677" s="6" t="s">
        <v>3969</v>
      </c>
      <c r="F1677" s="6" t="s">
        <v>159</v>
      </c>
      <c r="G1677" s="7">
        <v>1.2</v>
      </c>
      <c r="H1677" s="6" t="s">
        <v>3970</v>
      </c>
      <c r="I1677" s="6" t="s">
        <v>55</v>
      </c>
      <c r="J1677" s="6">
        <v>1998.0</v>
      </c>
      <c r="L1677" s="6">
        <v>1.0</v>
      </c>
      <c r="M1677" s="8">
        <f t="shared" si="2"/>
        <v>1.2</v>
      </c>
      <c r="N1677" s="6" t="s">
        <v>172</v>
      </c>
      <c r="P1677" s="9"/>
    </row>
    <row r="1678">
      <c r="A1678" s="6" t="s">
        <v>3967</v>
      </c>
      <c r="B1678" s="6" t="s">
        <v>3968</v>
      </c>
      <c r="C1678" s="6" t="s">
        <v>23</v>
      </c>
      <c r="D1678" s="6" t="s">
        <v>3969</v>
      </c>
      <c r="F1678" s="6" t="s">
        <v>159</v>
      </c>
      <c r="G1678" s="7">
        <v>0.33</v>
      </c>
      <c r="H1678" s="6" t="s">
        <v>104</v>
      </c>
      <c r="I1678" s="6" t="s">
        <v>20</v>
      </c>
      <c r="J1678" s="6">
        <v>2018.0</v>
      </c>
      <c r="L1678" s="6">
        <v>1.0</v>
      </c>
      <c r="M1678" s="8">
        <f t="shared" si="2"/>
        <v>0.33</v>
      </c>
      <c r="P1678" s="9"/>
    </row>
    <row r="1679">
      <c r="A1679" s="6" t="s">
        <v>3967</v>
      </c>
      <c r="B1679" s="6" t="s">
        <v>3968</v>
      </c>
      <c r="C1679" s="6" t="s">
        <v>23</v>
      </c>
      <c r="D1679" s="6" t="s">
        <v>3969</v>
      </c>
      <c r="F1679" s="6" t="s">
        <v>159</v>
      </c>
      <c r="G1679" s="7">
        <v>0.24</v>
      </c>
      <c r="H1679" s="6" t="s">
        <v>645</v>
      </c>
      <c r="I1679" s="6" t="s">
        <v>20</v>
      </c>
      <c r="J1679" s="6">
        <v>2024.0</v>
      </c>
      <c r="L1679" s="6">
        <v>1.0</v>
      </c>
      <c r="M1679" s="8">
        <f t="shared" si="2"/>
        <v>0.24</v>
      </c>
      <c r="P1679" s="9"/>
    </row>
    <row r="1680">
      <c r="A1680" s="6" t="s">
        <v>3967</v>
      </c>
      <c r="B1680" s="6" t="s">
        <v>3968</v>
      </c>
      <c r="C1680" s="6" t="s">
        <v>23</v>
      </c>
      <c r="D1680" s="6" t="s">
        <v>3969</v>
      </c>
      <c r="F1680" s="6" t="s">
        <v>159</v>
      </c>
      <c r="G1680" s="7">
        <v>0.2</v>
      </c>
      <c r="H1680" s="6" t="s">
        <v>113</v>
      </c>
      <c r="I1680" s="6" t="s">
        <v>20</v>
      </c>
      <c r="J1680" s="6">
        <v>2024.0</v>
      </c>
      <c r="L1680" s="6">
        <v>1.0</v>
      </c>
      <c r="M1680" s="8">
        <f t="shared" si="2"/>
        <v>0.2</v>
      </c>
      <c r="P1680" s="9"/>
    </row>
    <row r="1681">
      <c r="A1681" s="6" t="s">
        <v>3967</v>
      </c>
      <c r="B1681" s="6" t="s">
        <v>3968</v>
      </c>
      <c r="C1681" s="6" t="s">
        <v>23</v>
      </c>
      <c r="D1681" s="6" t="s">
        <v>3969</v>
      </c>
      <c r="F1681" s="6" t="s">
        <v>159</v>
      </c>
      <c r="G1681" s="7">
        <v>0.39</v>
      </c>
      <c r="H1681" s="6" t="s">
        <v>3971</v>
      </c>
      <c r="I1681" s="6" t="s">
        <v>20</v>
      </c>
      <c r="J1681" s="6">
        <v>2024.0</v>
      </c>
      <c r="L1681" s="6">
        <v>1.0</v>
      </c>
      <c r="M1681" s="8">
        <f t="shared" si="2"/>
        <v>0.39</v>
      </c>
      <c r="P1681" s="9"/>
    </row>
    <row r="1682">
      <c r="A1682" s="6" t="s">
        <v>3967</v>
      </c>
      <c r="B1682" s="6" t="s">
        <v>3968</v>
      </c>
      <c r="C1682" s="6" t="s">
        <v>23</v>
      </c>
      <c r="D1682" s="6" t="s">
        <v>3969</v>
      </c>
      <c r="F1682" s="6" t="s">
        <v>159</v>
      </c>
      <c r="G1682" s="7">
        <v>0.2</v>
      </c>
      <c r="H1682" s="6" t="s">
        <v>3972</v>
      </c>
      <c r="I1682" s="6" t="s">
        <v>20</v>
      </c>
      <c r="J1682" s="6">
        <v>2019.0</v>
      </c>
      <c r="L1682" s="6">
        <v>1.0</v>
      </c>
      <c r="M1682" s="8">
        <f t="shared" si="2"/>
        <v>0.2</v>
      </c>
      <c r="P1682" s="9"/>
    </row>
    <row r="1683">
      <c r="A1683" s="6" t="s">
        <v>3967</v>
      </c>
      <c r="B1683" s="6" t="s">
        <v>3968</v>
      </c>
      <c r="C1683" s="6" t="s">
        <v>23</v>
      </c>
      <c r="D1683" s="6" t="s">
        <v>3969</v>
      </c>
      <c r="F1683" s="6" t="s">
        <v>159</v>
      </c>
      <c r="G1683" s="7">
        <v>0.2</v>
      </c>
      <c r="H1683" s="6" t="s">
        <v>265</v>
      </c>
      <c r="I1683" s="6" t="s">
        <v>20</v>
      </c>
      <c r="J1683" s="6">
        <v>2017.0</v>
      </c>
      <c r="L1683" s="6">
        <v>11.0</v>
      </c>
      <c r="M1683" s="8">
        <f t="shared" si="2"/>
        <v>2.2</v>
      </c>
      <c r="P1683" s="9"/>
    </row>
    <row r="1684">
      <c r="A1684" s="6" t="s">
        <v>3967</v>
      </c>
      <c r="B1684" s="6" t="s">
        <v>3968</v>
      </c>
      <c r="C1684" s="6" t="s">
        <v>23</v>
      </c>
      <c r="D1684" s="6" t="s">
        <v>3969</v>
      </c>
      <c r="F1684" s="6" t="s">
        <v>159</v>
      </c>
      <c r="G1684" s="7">
        <v>0.25</v>
      </c>
      <c r="H1684" s="6" t="s">
        <v>3973</v>
      </c>
      <c r="I1684" s="6" t="s">
        <v>20</v>
      </c>
      <c r="J1684" s="6">
        <v>2011.0</v>
      </c>
      <c r="L1684" s="6">
        <v>1.0</v>
      </c>
      <c r="M1684" s="8">
        <f t="shared" si="2"/>
        <v>0.25</v>
      </c>
      <c r="P1684" s="9"/>
    </row>
    <row r="1685">
      <c r="A1685" s="6" t="s">
        <v>3967</v>
      </c>
      <c r="B1685" s="6" t="s">
        <v>3968</v>
      </c>
      <c r="C1685" s="6" t="s">
        <v>23</v>
      </c>
      <c r="D1685" s="6" t="s">
        <v>3969</v>
      </c>
      <c r="F1685" s="6" t="s">
        <v>159</v>
      </c>
      <c r="G1685" s="7">
        <v>0.28</v>
      </c>
      <c r="H1685" s="6" t="s">
        <v>3974</v>
      </c>
      <c r="I1685" s="6" t="s">
        <v>20</v>
      </c>
      <c r="J1685" s="6">
        <v>2007.0</v>
      </c>
      <c r="L1685" s="6">
        <v>1.0</v>
      </c>
      <c r="M1685" s="8">
        <f t="shared" si="2"/>
        <v>0.28</v>
      </c>
      <c r="P1685" s="9"/>
    </row>
    <row r="1686">
      <c r="A1686" s="6" t="s">
        <v>3967</v>
      </c>
      <c r="B1686" s="6" t="s">
        <v>3968</v>
      </c>
      <c r="C1686" s="6" t="s">
        <v>23</v>
      </c>
      <c r="D1686" s="6" t="s">
        <v>3969</v>
      </c>
      <c r="F1686" s="6" t="s">
        <v>159</v>
      </c>
      <c r="G1686" s="7">
        <v>0.25</v>
      </c>
      <c r="H1686" s="6" t="s">
        <v>3974</v>
      </c>
      <c r="I1686" s="6" t="s">
        <v>20</v>
      </c>
      <c r="J1686" s="6">
        <v>2007.0</v>
      </c>
      <c r="L1686" s="6">
        <v>1.0</v>
      </c>
      <c r="M1686" s="8">
        <f t="shared" si="2"/>
        <v>0.25</v>
      </c>
      <c r="P1686" s="9"/>
    </row>
    <row r="1687">
      <c r="A1687" s="6" t="s">
        <v>3967</v>
      </c>
      <c r="B1687" s="6" t="s">
        <v>3968</v>
      </c>
      <c r="C1687" s="6" t="s">
        <v>23</v>
      </c>
      <c r="D1687" s="6" t="s">
        <v>3969</v>
      </c>
      <c r="F1687" s="6" t="s">
        <v>159</v>
      </c>
      <c r="G1687" s="7">
        <v>0.27</v>
      </c>
      <c r="H1687" s="6" t="s">
        <v>294</v>
      </c>
      <c r="I1687" s="6" t="s">
        <v>20</v>
      </c>
      <c r="J1687" s="6">
        <v>2010.0</v>
      </c>
      <c r="L1687" s="6">
        <v>3.0</v>
      </c>
      <c r="M1687" s="8">
        <f t="shared" si="2"/>
        <v>0.81</v>
      </c>
      <c r="P1687" s="9"/>
    </row>
    <row r="1688">
      <c r="A1688" s="6" t="s">
        <v>3967</v>
      </c>
      <c r="B1688" s="6" t="s">
        <v>3968</v>
      </c>
      <c r="C1688" s="6" t="s">
        <v>23</v>
      </c>
      <c r="D1688" s="6" t="s">
        <v>3969</v>
      </c>
      <c r="F1688" s="6" t="s">
        <v>159</v>
      </c>
      <c r="G1688" s="7">
        <v>0.18</v>
      </c>
      <c r="H1688" s="6" t="s">
        <v>294</v>
      </c>
      <c r="I1688" s="6" t="s">
        <v>20</v>
      </c>
      <c r="J1688" s="6">
        <v>2010.0</v>
      </c>
      <c r="L1688" s="6">
        <v>2.0</v>
      </c>
      <c r="M1688" s="8">
        <f t="shared" si="2"/>
        <v>0.36</v>
      </c>
      <c r="P1688" s="9"/>
    </row>
    <row r="1689">
      <c r="A1689" s="6" t="s">
        <v>3967</v>
      </c>
      <c r="B1689" s="6" t="s">
        <v>3968</v>
      </c>
      <c r="C1689" s="6" t="s">
        <v>23</v>
      </c>
      <c r="D1689" s="6" t="s">
        <v>3969</v>
      </c>
      <c r="F1689" s="6" t="s">
        <v>159</v>
      </c>
      <c r="G1689" s="7">
        <v>0.27</v>
      </c>
      <c r="H1689" s="6" t="s">
        <v>294</v>
      </c>
      <c r="I1689" s="6" t="s">
        <v>20</v>
      </c>
      <c r="J1689" s="6">
        <v>2010.0</v>
      </c>
      <c r="L1689" s="6">
        <v>3.0</v>
      </c>
      <c r="M1689" s="8">
        <f t="shared" si="2"/>
        <v>0.81</v>
      </c>
      <c r="P1689" s="9"/>
    </row>
    <row r="1690">
      <c r="A1690" s="6" t="s">
        <v>3967</v>
      </c>
      <c r="B1690" s="6" t="s">
        <v>3968</v>
      </c>
      <c r="C1690" s="6" t="s">
        <v>23</v>
      </c>
      <c r="D1690" s="6" t="s">
        <v>3969</v>
      </c>
      <c r="F1690" s="6" t="s">
        <v>159</v>
      </c>
      <c r="G1690" s="7">
        <v>0.25</v>
      </c>
      <c r="H1690" s="6" t="s">
        <v>3975</v>
      </c>
      <c r="I1690" s="6" t="s">
        <v>20</v>
      </c>
      <c r="J1690" s="6">
        <v>2012.0</v>
      </c>
      <c r="L1690" s="6">
        <v>1.0</v>
      </c>
      <c r="M1690" s="8">
        <f t="shared" si="2"/>
        <v>0.25</v>
      </c>
      <c r="P1690" s="9"/>
    </row>
    <row r="1691">
      <c r="A1691" s="6" t="s">
        <v>3967</v>
      </c>
      <c r="B1691" s="6" t="s">
        <v>3968</v>
      </c>
      <c r="C1691" s="6" t="s">
        <v>23</v>
      </c>
      <c r="D1691" s="6" t="s">
        <v>3969</v>
      </c>
      <c r="F1691" s="6" t="s">
        <v>159</v>
      </c>
      <c r="G1691" s="7">
        <v>0.27</v>
      </c>
      <c r="H1691" s="6" t="s">
        <v>154</v>
      </c>
      <c r="I1691" s="6" t="s">
        <v>20</v>
      </c>
      <c r="J1691" s="6">
        <v>2013.0</v>
      </c>
      <c r="L1691" s="6">
        <v>2.0</v>
      </c>
      <c r="M1691" s="8">
        <f t="shared" si="2"/>
        <v>0.54</v>
      </c>
      <c r="P1691" s="9"/>
    </row>
    <row r="1692">
      <c r="A1692" s="6" t="s">
        <v>3967</v>
      </c>
      <c r="B1692" s="6" t="s">
        <v>3968</v>
      </c>
      <c r="C1692" s="6" t="s">
        <v>23</v>
      </c>
      <c r="D1692" s="6" t="s">
        <v>3969</v>
      </c>
      <c r="F1692" s="6" t="s">
        <v>37</v>
      </c>
      <c r="G1692" s="7">
        <v>0.27</v>
      </c>
      <c r="H1692" s="6" t="s">
        <v>154</v>
      </c>
      <c r="I1692" s="6" t="s">
        <v>20</v>
      </c>
      <c r="J1692" s="6">
        <v>2013.0</v>
      </c>
      <c r="L1692" s="6">
        <v>1.0</v>
      </c>
      <c r="M1692" s="8">
        <f t="shared" si="2"/>
        <v>0.27</v>
      </c>
      <c r="P1692" s="9"/>
    </row>
    <row r="1693">
      <c r="A1693" s="6" t="s">
        <v>3967</v>
      </c>
      <c r="B1693" s="6" t="s">
        <v>3968</v>
      </c>
      <c r="C1693" s="6" t="s">
        <v>23</v>
      </c>
      <c r="D1693" s="6" t="s">
        <v>3969</v>
      </c>
      <c r="F1693" s="6" t="s">
        <v>37</v>
      </c>
      <c r="G1693" s="7">
        <v>0.25</v>
      </c>
      <c r="H1693" s="6" t="s">
        <v>154</v>
      </c>
      <c r="I1693" s="6" t="s">
        <v>20</v>
      </c>
      <c r="J1693" s="6">
        <v>2013.0</v>
      </c>
      <c r="L1693" s="6">
        <v>2.0</v>
      </c>
      <c r="M1693" s="8">
        <f t="shared" si="2"/>
        <v>0.5</v>
      </c>
      <c r="P1693" s="9"/>
    </row>
    <row r="1694">
      <c r="A1694" s="6" t="s">
        <v>3967</v>
      </c>
      <c r="B1694" s="6" t="s">
        <v>3968</v>
      </c>
      <c r="C1694" s="6" t="s">
        <v>23</v>
      </c>
      <c r="D1694" s="6" t="s">
        <v>3969</v>
      </c>
      <c r="F1694" s="6" t="s">
        <v>37</v>
      </c>
      <c r="G1694" s="7">
        <v>0.17</v>
      </c>
      <c r="H1694" s="6" t="s">
        <v>154</v>
      </c>
      <c r="I1694" s="6" t="s">
        <v>20</v>
      </c>
      <c r="J1694" s="6">
        <v>2013.0</v>
      </c>
      <c r="L1694" s="6">
        <v>1.0</v>
      </c>
      <c r="M1694" s="8">
        <f t="shared" si="2"/>
        <v>0.17</v>
      </c>
      <c r="P1694" s="9"/>
    </row>
    <row r="1695">
      <c r="A1695" s="6" t="s">
        <v>3967</v>
      </c>
      <c r="B1695" s="6" t="s">
        <v>3968</v>
      </c>
      <c r="C1695" s="6" t="s">
        <v>23</v>
      </c>
      <c r="D1695" s="6" t="s">
        <v>3969</v>
      </c>
      <c r="F1695" s="6" t="s">
        <v>159</v>
      </c>
      <c r="G1695" s="7">
        <v>0.2</v>
      </c>
      <c r="H1695" s="6" t="s">
        <v>184</v>
      </c>
      <c r="I1695" s="6" t="s">
        <v>20</v>
      </c>
      <c r="J1695" s="6">
        <v>2015.0</v>
      </c>
      <c r="L1695" s="6">
        <v>1.0</v>
      </c>
      <c r="M1695" s="8">
        <f t="shared" si="2"/>
        <v>0.2</v>
      </c>
      <c r="P1695" s="9"/>
    </row>
    <row r="1696">
      <c r="A1696" s="6" t="s">
        <v>3967</v>
      </c>
      <c r="B1696" s="6" t="s">
        <v>3968</v>
      </c>
      <c r="C1696" s="6" t="s">
        <v>23</v>
      </c>
      <c r="D1696" s="6" t="s">
        <v>3969</v>
      </c>
      <c r="F1696" s="6" t="s">
        <v>37</v>
      </c>
      <c r="G1696" s="7">
        <v>0.2</v>
      </c>
      <c r="H1696" s="6" t="s">
        <v>184</v>
      </c>
      <c r="I1696" s="6" t="s">
        <v>20</v>
      </c>
      <c r="J1696" s="6">
        <v>2015.0</v>
      </c>
      <c r="L1696" s="6">
        <v>3.0</v>
      </c>
      <c r="M1696" s="8">
        <f t="shared" si="2"/>
        <v>0.6</v>
      </c>
      <c r="P1696" s="9"/>
    </row>
    <row r="1697">
      <c r="A1697" s="6" t="s">
        <v>3967</v>
      </c>
      <c r="B1697" s="6" t="s">
        <v>3968</v>
      </c>
      <c r="C1697" s="6" t="s">
        <v>41</v>
      </c>
      <c r="D1697" s="6" t="s">
        <v>3969</v>
      </c>
      <c r="F1697" s="6" t="s">
        <v>159</v>
      </c>
      <c r="G1697" s="7">
        <v>0.51</v>
      </c>
      <c r="H1697" s="6" t="s">
        <v>3976</v>
      </c>
      <c r="I1697" s="6" t="s">
        <v>55</v>
      </c>
      <c r="J1697" s="6">
        <v>1999.0</v>
      </c>
      <c r="L1697" s="6">
        <v>1.0</v>
      </c>
      <c r="M1697" s="8">
        <f t="shared" si="2"/>
        <v>0.51</v>
      </c>
      <c r="P1697" s="9"/>
    </row>
    <row r="1698">
      <c r="A1698" s="6" t="s">
        <v>3967</v>
      </c>
      <c r="B1698" s="6" t="s">
        <v>3968</v>
      </c>
      <c r="C1698" s="6" t="s">
        <v>23</v>
      </c>
      <c r="D1698" s="6" t="s">
        <v>3969</v>
      </c>
      <c r="F1698" s="6" t="s">
        <v>159</v>
      </c>
      <c r="G1698" s="7">
        <v>0.2</v>
      </c>
      <c r="H1698" s="6" t="s">
        <v>3977</v>
      </c>
      <c r="I1698" s="6" t="s">
        <v>20</v>
      </c>
      <c r="J1698" s="6">
        <v>2008.0</v>
      </c>
      <c r="L1698" s="6">
        <v>1.0</v>
      </c>
      <c r="M1698" s="8">
        <f t="shared" si="2"/>
        <v>0.2</v>
      </c>
      <c r="P1698" s="9"/>
    </row>
    <row r="1699">
      <c r="A1699" s="6" t="s">
        <v>3967</v>
      </c>
      <c r="B1699" s="6" t="s">
        <v>3968</v>
      </c>
      <c r="C1699" s="6" t="s">
        <v>23</v>
      </c>
      <c r="D1699" s="6" t="s">
        <v>3969</v>
      </c>
      <c r="F1699" s="6" t="s">
        <v>159</v>
      </c>
      <c r="G1699" s="7">
        <v>0.26</v>
      </c>
      <c r="H1699" s="6" t="s">
        <v>3978</v>
      </c>
      <c r="I1699" s="6" t="s">
        <v>20</v>
      </c>
      <c r="J1699" s="6">
        <v>2005.0</v>
      </c>
      <c r="L1699" s="6">
        <v>1.0</v>
      </c>
      <c r="M1699" s="8">
        <f t="shared" si="2"/>
        <v>0.26</v>
      </c>
      <c r="P1699" s="9"/>
    </row>
    <row r="1700">
      <c r="A1700" s="6" t="s">
        <v>3967</v>
      </c>
      <c r="B1700" s="6" t="s">
        <v>3968</v>
      </c>
      <c r="C1700" s="6" t="s">
        <v>41</v>
      </c>
      <c r="D1700" s="6" t="s">
        <v>3969</v>
      </c>
      <c r="F1700" s="6" t="s">
        <v>159</v>
      </c>
      <c r="G1700" s="7">
        <v>2.4</v>
      </c>
      <c r="H1700" s="6" t="s">
        <v>607</v>
      </c>
      <c r="I1700" s="6" t="s">
        <v>55</v>
      </c>
      <c r="J1700" s="6">
        <v>1994.0</v>
      </c>
      <c r="L1700" s="6">
        <v>2.0</v>
      </c>
      <c r="M1700" s="8">
        <f t="shared" si="2"/>
        <v>4.8</v>
      </c>
      <c r="N1700" s="6" t="s">
        <v>172</v>
      </c>
      <c r="P1700" s="9"/>
    </row>
    <row r="1701">
      <c r="A1701" s="6" t="s">
        <v>3967</v>
      </c>
      <c r="B1701" s="6" t="s">
        <v>3968</v>
      </c>
      <c r="C1701" s="6" t="s">
        <v>23</v>
      </c>
      <c r="D1701" s="6" t="s">
        <v>3969</v>
      </c>
      <c r="F1701" s="6" t="s">
        <v>159</v>
      </c>
      <c r="G1701" s="7">
        <v>0.25</v>
      </c>
      <c r="H1701" s="6" t="s">
        <v>978</v>
      </c>
      <c r="I1701" s="6" t="s">
        <v>20</v>
      </c>
      <c r="J1701" s="6">
        <v>2022.0</v>
      </c>
      <c r="L1701" s="6">
        <v>1.0</v>
      </c>
      <c r="M1701" s="8">
        <f t="shared" si="2"/>
        <v>0.25</v>
      </c>
      <c r="P1701" s="9"/>
    </row>
    <row r="1702">
      <c r="A1702" s="6" t="s">
        <v>3967</v>
      </c>
      <c r="B1702" s="6" t="s">
        <v>3968</v>
      </c>
      <c r="C1702" s="6" t="s">
        <v>23</v>
      </c>
      <c r="D1702" s="6" t="s">
        <v>3969</v>
      </c>
      <c r="F1702" s="6" t="s">
        <v>159</v>
      </c>
      <c r="G1702" s="7">
        <v>0.25</v>
      </c>
      <c r="H1702" s="6" t="s">
        <v>1301</v>
      </c>
      <c r="I1702" s="6" t="s">
        <v>20</v>
      </c>
      <c r="J1702" s="6">
        <v>2022.0</v>
      </c>
      <c r="L1702" s="6">
        <v>1.0</v>
      </c>
      <c r="M1702" s="8">
        <f t="shared" si="2"/>
        <v>0.25</v>
      </c>
      <c r="P1702" s="9"/>
    </row>
    <row r="1703">
      <c r="A1703" s="6" t="s">
        <v>3967</v>
      </c>
      <c r="B1703" s="6" t="s">
        <v>3968</v>
      </c>
      <c r="C1703" s="6" t="s">
        <v>23</v>
      </c>
      <c r="D1703" s="6" t="s">
        <v>3969</v>
      </c>
      <c r="F1703" s="6" t="s">
        <v>159</v>
      </c>
      <c r="G1703" s="7">
        <v>0.3</v>
      </c>
      <c r="H1703" s="6" t="s">
        <v>3979</v>
      </c>
      <c r="I1703" s="6" t="s">
        <v>20</v>
      </c>
      <c r="J1703" s="6">
        <v>2013.0</v>
      </c>
      <c r="L1703" s="6">
        <v>1.0</v>
      </c>
      <c r="M1703" s="8">
        <f t="shared" si="2"/>
        <v>0.3</v>
      </c>
      <c r="P1703" s="9"/>
    </row>
    <row r="1704">
      <c r="A1704" s="6" t="s">
        <v>3967</v>
      </c>
      <c r="B1704" s="6" t="s">
        <v>3968</v>
      </c>
      <c r="C1704" s="6" t="s">
        <v>23</v>
      </c>
      <c r="D1704" s="6" t="s">
        <v>3969</v>
      </c>
      <c r="F1704" s="6" t="s">
        <v>159</v>
      </c>
      <c r="G1704" s="7">
        <v>0.2</v>
      </c>
      <c r="H1704" s="6" t="s">
        <v>626</v>
      </c>
      <c r="I1704" s="6" t="s">
        <v>20</v>
      </c>
      <c r="J1704" s="6">
        <v>2013.0</v>
      </c>
      <c r="L1704" s="6">
        <v>1.0</v>
      </c>
      <c r="M1704" s="8">
        <f t="shared" si="2"/>
        <v>0.2</v>
      </c>
      <c r="P1704" s="9"/>
    </row>
    <row r="1705">
      <c r="A1705" s="6" t="s">
        <v>3967</v>
      </c>
      <c r="B1705" s="6" t="s">
        <v>3968</v>
      </c>
      <c r="C1705" s="6" t="s">
        <v>23</v>
      </c>
      <c r="D1705" s="6" t="s">
        <v>3969</v>
      </c>
      <c r="F1705" s="6" t="s">
        <v>159</v>
      </c>
      <c r="G1705" s="7">
        <v>0.15</v>
      </c>
      <c r="H1705" s="6" t="s">
        <v>626</v>
      </c>
      <c r="I1705" s="6" t="s">
        <v>20</v>
      </c>
      <c r="J1705" s="6">
        <v>2013.0</v>
      </c>
      <c r="L1705" s="6">
        <v>1.0</v>
      </c>
      <c r="M1705" s="8">
        <f t="shared" si="2"/>
        <v>0.15</v>
      </c>
      <c r="P1705" s="9"/>
    </row>
    <row r="1706">
      <c r="A1706" s="6" t="s">
        <v>3967</v>
      </c>
      <c r="B1706" s="6" t="s">
        <v>3968</v>
      </c>
      <c r="C1706" s="6" t="s">
        <v>23</v>
      </c>
      <c r="D1706" s="6" t="s">
        <v>3969</v>
      </c>
      <c r="F1706" s="6" t="s">
        <v>159</v>
      </c>
      <c r="G1706" s="7">
        <v>0.25</v>
      </c>
      <c r="H1706" s="6" t="s">
        <v>1194</v>
      </c>
      <c r="I1706" s="6" t="s">
        <v>20</v>
      </c>
      <c r="J1706" s="6">
        <v>2023.0</v>
      </c>
      <c r="L1706" s="6">
        <v>1.0</v>
      </c>
      <c r="M1706" s="8">
        <f t="shared" si="2"/>
        <v>0.25</v>
      </c>
      <c r="P1706" s="9"/>
    </row>
    <row r="1707">
      <c r="A1707" s="6" t="s">
        <v>3980</v>
      </c>
      <c r="B1707" s="6" t="s">
        <v>3981</v>
      </c>
      <c r="C1707" s="6" t="s">
        <v>34</v>
      </c>
      <c r="D1707" s="6" t="s">
        <v>3982</v>
      </c>
      <c r="E1707" s="6" t="s">
        <v>1185</v>
      </c>
      <c r="F1707" s="6" t="s">
        <v>65</v>
      </c>
      <c r="G1707" s="7">
        <v>0.05</v>
      </c>
      <c r="H1707" s="6" t="s">
        <v>483</v>
      </c>
      <c r="I1707" s="6" t="s">
        <v>20</v>
      </c>
      <c r="J1707" s="6">
        <v>2014.0</v>
      </c>
      <c r="K1707" s="10">
        <v>46057.0</v>
      </c>
      <c r="L1707" s="6">
        <v>2.0</v>
      </c>
      <c r="M1707" s="8">
        <f t="shared" si="2"/>
        <v>0.1</v>
      </c>
      <c r="P1707" s="9"/>
    </row>
    <row r="1708">
      <c r="A1708" s="6" t="s">
        <v>3983</v>
      </c>
      <c r="B1708" s="6" t="s">
        <v>796</v>
      </c>
      <c r="C1708" s="6" t="s">
        <v>15</v>
      </c>
      <c r="D1708" s="6" t="s">
        <v>3984</v>
      </c>
      <c r="E1708" s="6" t="s">
        <v>3558</v>
      </c>
      <c r="F1708" s="6" t="s">
        <v>18</v>
      </c>
      <c r="G1708" s="7">
        <v>0.03</v>
      </c>
      <c r="H1708" s="6" t="s">
        <v>483</v>
      </c>
      <c r="I1708" s="6" t="s">
        <v>20</v>
      </c>
      <c r="J1708" s="6">
        <v>2014.0</v>
      </c>
      <c r="L1708" s="6">
        <v>5.0</v>
      </c>
      <c r="M1708" s="8">
        <f t="shared" si="2"/>
        <v>0.15</v>
      </c>
      <c r="P1708" s="9"/>
    </row>
    <row r="1709">
      <c r="A1709" s="6" t="s">
        <v>3985</v>
      </c>
      <c r="B1709" s="6" t="s">
        <v>2898</v>
      </c>
      <c r="C1709" s="6" t="s">
        <v>23</v>
      </c>
      <c r="D1709" s="6" t="s">
        <v>3986</v>
      </c>
      <c r="E1709" s="6" t="s">
        <v>153</v>
      </c>
      <c r="F1709" s="6" t="s">
        <v>103</v>
      </c>
      <c r="G1709" s="7">
        <v>0.03</v>
      </c>
      <c r="H1709" s="6" t="s">
        <v>276</v>
      </c>
      <c r="I1709" s="6" t="s">
        <v>20</v>
      </c>
      <c r="J1709" s="6">
        <v>2014.0</v>
      </c>
      <c r="K1709" s="10">
        <v>46057.0</v>
      </c>
      <c r="L1709" s="6">
        <v>1.0</v>
      </c>
      <c r="M1709" s="8">
        <f t="shared" si="2"/>
        <v>0.03</v>
      </c>
      <c r="P1709" s="9"/>
    </row>
    <row r="1710">
      <c r="A1710" s="6" t="s">
        <v>3985</v>
      </c>
      <c r="B1710" s="6" t="s">
        <v>2898</v>
      </c>
      <c r="C1710" s="6" t="s">
        <v>23</v>
      </c>
      <c r="D1710" s="6" t="s">
        <v>3986</v>
      </c>
      <c r="E1710" s="6" t="s">
        <v>153</v>
      </c>
      <c r="F1710" s="6" t="s">
        <v>103</v>
      </c>
      <c r="G1710" s="7">
        <v>0.03</v>
      </c>
      <c r="H1710" s="6" t="s">
        <v>276</v>
      </c>
      <c r="I1710" s="6" t="s">
        <v>20</v>
      </c>
      <c r="J1710" s="6">
        <v>2014.0</v>
      </c>
      <c r="K1710" s="10">
        <v>46057.0</v>
      </c>
      <c r="L1710" s="6">
        <v>2.0</v>
      </c>
      <c r="M1710" s="8">
        <f t="shared" si="2"/>
        <v>0.06</v>
      </c>
      <c r="P1710" s="9"/>
    </row>
    <row r="1711">
      <c r="A1711" s="6" t="s">
        <v>3987</v>
      </c>
      <c r="B1711" s="6" t="s">
        <v>62</v>
      </c>
      <c r="C1711" s="6" t="s">
        <v>23</v>
      </c>
      <c r="D1711" s="6" t="s">
        <v>3988</v>
      </c>
      <c r="E1711" s="6" t="s">
        <v>79</v>
      </c>
      <c r="F1711" s="6" t="s">
        <v>51</v>
      </c>
      <c r="G1711" s="7">
        <v>0.06</v>
      </c>
      <c r="H1711" s="6" t="s">
        <v>154</v>
      </c>
      <c r="I1711" s="6" t="s">
        <v>20</v>
      </c>
      <c r="J1711" s="6">
        <v>2013.0</v>
      </c>
      <c r="L1711" s="6">
        <v>1.0</v>
      </c>
      <c r="M1711" s="8">
        <f t="shared" si="2"/>
        <v>0.06</v>
      </c>
      <c r="P1711" s="9"/>
    </row>
    <row r="1712">
      <c r="A1712" s="6" t="s">
        <v>3987</v>
      </c>
      <c r="B1712" s="6" t="s">
        <v>62</v>
      </c>
      <c r="C1712" s="6" t="s">
        <v>23</v>
      </c>
      <c r="D1712" s="6" t="s">
        <v>3988</v>
      </c>
      <c r="E1712" s="6" t="s">
        <v>79</v>
      </c>
      <c r="F1712" s="6" t="s">
        <v>51</v>
      </c>
      <c r="G1712" s="7">
        <v>0.06</v>
      </c>
      <c r="H1712" s="6" t="s">
        <v>1246</v>
      </c>
      <c r="I1712" s="6" t="s">
        <v>20</v>
      </c>
      <c r="J1712" s="6">
        <v>2006.0</v>
      </c>
      <c r="L1712" s="6">
        <v>1.0</v>
      </c>
      <c r="M1712" s="8">
        <f t="shared" si="2"/>
        <v>0.06</v>
      </c>
      <c r="P1712" s="9"/>
    </row>
    <row r="1713">
      <c r="A1713" s="6" t="s">
        <v>3989</v>
      </c>
      <c r="B1713" s="6" t="s">
        <v>3990</v>
      </c>
      <c r="C1713" s="6" t="s">
        <v>41</v>
      </c>
      <c r="D1713" s="6" t="s">
        <v>3991</v>
      </c>
      <c r="E1713" s="6" t="s">
        <v>502</v>
      </c>
      <c r="F1713" s="6" t="s">
        <v>65</v>
      </c>
      <c r="G1713" s="7">
        <v>0.3</v>
      </c>
      <c r="H1713" s="6" t="s">
        <v>2401</v>
      </c>
      <c r="I1713" s="6" t="s">
        <v>20</v>
      </c>
      <c r="J1713" s="6">
        <v>2018.0</v>
      </c>
      <c r="K1713" s="6" t="s">
        <v>422</v>
      </c>
      <c r="L1713" s="6">
        <v>1.0</v>
      </c>
      <c r="M1713" s="8">
        <f t="shared" si="2"/>
        <v>0.3</v>
      </c>
      <c r="P1713" s="9"/>
    </row>
    <row r="1714">
      <c r="A1714" s="6" t="s">
        <v>3992</v>
      </c>
      <c r="B1714" s="6" t="s">
        <v>182</v>
      </c>
      <c r="C1714" s="6" t="s">
        <v>48</v>
      </c>
      <c r="D1714" s="6" t="s">
        <v>3993</v>
      </c>
      <c r="E1714" s="6" t="s">
        <v>3994</v>
      </c>
      <c r="F1714" s="6" t="s">
        <v>826</v>
      </c>
      <c r="G1714" s="7">
        <v>0.15</v>
      </c>
      <c r="H1714" s="6" t="s">
        <v>1361</v>
      </c>
      <c r="I1714" s="6" t="s">
        <v>20</v>
      </c>
      <c r="J1714" s="6">
        <v>2008.0</v>
      </c>
      <c r="L1714" s="6">
        <v>2.0</v>
      </c>
      <c r="M1714" s="8">
        <f t="shared" si="2"/>
        <v>0.3</v>
      </c>
      <c r="P1714" s="9"/>
    </row>
    <row r="1715">
      <c r="A1715" s="6" t="s">
        <v>3995</v>
      </c>
      <c r="B1715" s="6" t="s">
        <v>3412</v>
      </c>
      <c r="C1715" s="6" t="s">
        <v>23</v>
      </c>
      <c r="D1715" s="6" t="s">
        <v>3996</v>
      </c>
      <c r="E1715" s="6" t="s">
        <v>235</v>
      </c>
      <c r="F1715" s="6" t="s">
        <v>103</v>
      </c>
      <c r="G1715" s="7">
        <v>0.05</v>
      </c>
      <c r="H1715" s="6" t="s">
        <v>125</v>
      </c>
      <c r="I1715" s="6" t="s">
        <v>20</v>
      </c>
      <c r="J1715" s="6">
        <v>1995.0</v>
      </c>
      <c r="K1715" s="10">
        <v>46025.0</v>
      </c>
      <c r="L1715" s="6">
        <v>1.0</v>
      </c>
      <c r="M1715" s="8">
        <f t="shared" si="2"/>
        <v>0.05</v>
      </c>
      <c r="P1715" s="9"/>
    </row>
    <row r="1716">
      <c r="A1716" s="6" t="s">
        <v>3997</v>
      </c>
      <c r="B1716" s="6" t="s">
        <v>182</v>
      </c>
      <c r="C1716" s="6" t="s">
        <v>48</v>
      </c>
      <c r="D1716" s="6" t="s">
        <v>3998</v>
      </c>
      <c r="E1716" s="6" t="s">
        <v>102</v>
      </c>
      <c r="F1716" s="6" t="s">
        <v>103</v>
      </c>
      <c r="G1716" s="7">
        <v>0.04</v>
      </c>
      <c r="H1716" s="6" t="s">
        <v>1692</v>
      </c>
      <c r="I1716" s="6" t="s">
        <v>20</v>
      </c>
      <c r="J1716" s="6">
        <v>2021.0</v>
      </c>
      <c r="L1716" s="6">
        <v>1.0</v>
      </c>
      <c r="M1716" s="8">
        <f t="shared" si="2"/>
        <v>0.04</v>
      </c>
      <c r="P1716" s="9"/>
    </row>
    <row r="1717">
      <c r="A1717" s="6" t="s">
        <v>3999</v>
      </c>
      <c r="B1717" s="6" t="s">
        <v>4000</v>
      </c>
      <c r="C1717" s="6" t="s">
        <v>521</v>
      </c>
      <c r="D1717" s="6" t="s">
        <v>4001</v>
      </c>
      <c r="E1717" s="6" t="s">
        <v>303</v>
      </c>
      <c r="F1717" s="6" t="s">
        <v>452</v>
      </c>
      <c r="G1717" s="7">
        <v>0.03</v>
      </c>
      <c r="H1717" s="6" t="s">
        <v>645</v>
      </c>
      <c r="I1717" s="6" t="s">
        <v>20</v>
      </c>
      <c r="J1717" s="6">
        <v>2024.0</v>
      </c>
      <c r="L1717" s="6">
        <v>1.0</v>
      </c>
      <c r="M1717" s="8">
        <f t="shared" si="2"/>
        <v>0.03</v>
      </c>
      <c r="P1717" s="9"/>
    </row>
    <row r="1718">
      <c r="A1718" s="6" t="s">
        <v>4002</v>
      </c>
      <c r="B1718" s="6" t="s">
        <v>1449</v>
      </c>
      <c r="C1718" s="6" t="s">
        <v>23</v>
      </c>
      <c r="D1718" s="6" t="s">
        <v>4003</v>
      </c>
      <c r="E1718" s="6" t="s">
        <v>196</v>
      </c>
      <c r="F1718" s="6" t="s">
        <v>65</v>
      </c>
      <c r="G1718" s="7">
        <v>0.09</v>
      </c>
      <c r="H1718" s="6" t="s">
        <v>88</v>
      </c>
      <c r="I1718" s="6" t="s">
        <v>20</v>
      </c>
      <c r="J1718" s="6">
        <v>2013.0</v>
      </c>
      <c r="K1718" s="10">
        <v>46023.0</v>
      </c>
      <c r="L1718" s="6">
        <v>1.0</v>
      </c>
      <c r="M1718" s="8">
        <f t="shared" si="2"/>
        <v>0.09</v>
      </c>
      <c r="P1718" s="9"/>
    </row>
    <row r="1719">
      <c r="A1719" s="6" t="s">
        <v>4004</v>
      </c>
      <c r="B1719" s="6" t="s">
        <v>62</v>
      </c>
      <c r="C1719" s="6" t="s">
        <v>23</v>
      </c>
      <c r="D1719" s="6" t="s">
        <v>4005</v>
      </c>
      <c r="E1719" s="6" t="s">
        <v>223</v>
      </c>
      <c r="F1719" s="6" t="s">
        <v>159</v>
      </c>
      <c r="G1719" s="7">
        <v>0.04</v>
      </c>
      <c r="H1719" s="6" t="s">
        <v>509</v>
      </c>
      <c r="I1719" s="6" t="s">
        <v>20</v>
      </c>
      <c r="J1719" s="6">
        <v>2024.0</v>
      </c>
      <c r="L1719" s="6">
        <v>1.0</v>
      </c>
      <c r="M1719" s="8">
        <f t="shared" si="2"/>
        <v>0.04</v>
      </c>
      <c r="P1719" s="9"/>
    </row>
    <row r="1720">
      <c r="A1720" s="6" t="s">
        <v>4006</v>
      </c>
      <c r="B1720" s="6" t="s">
        <v>4007</v>
      </c>
      <c r="C1720" s="6" t="s">
        <v>34</v>
      </c>
      <c r="D1720" s="6" t="s">
        <v>4008</v>
      </c>
      <c r="E1720" s="6" t="s">
        <v>4009</v>
      </c>
      <c r="F1720" s="6" t="s">
        <v>858</v>
      </c>
      <c r="G1720" s="7">
        <v>0.05</v>
      </c>
      <c r="H1720" s="6" t="s">
        <v>807</v>
      </c>
      <c r="I1720" s="6" t="s">
        <v>20</v>
      </c>
      <c r="J1720" s="6">
        <v>2026.0</v>
      </c>
      <c r="K1720" s="10">
        <v>46179.0</v>
      </c>
      <c r="L1720" s="6">
        <v>5.0</v>
      </c>
      <c r="M1720" s="8">
        <f t="shared" si="2"/>
        <v>0.25</v>
      </c>
      <c r="P1720" s="9"/>
    </row>
    <row r="1721">
      <c r="A1721" s="6" t="s">
        <v>4006</v>
      </c>
      <c r="B1721" s="6" t="s">
        <v>4007</v>
      </c>
      <c r="C1721" s="6" t="s">
        <v>34</v>
      </c>
      <c r="D1721" s="6" t="s">
        <v>4008</v>
      </c>
      <c r="E1721" s="6" t="s">
        <v>4009</v>
      </c>
      <c r="F1721" s="6" t="s">
        <v>858</v>
      </c>
      <c r="G1721" s="7">
        <v>0.29</v>
      </c>
      <c r="H1721" s="6" t="s">
        <v>807</v>
      </c>
      <c r="I1721" s="6" t="s">
        <v>55</v>
      </c>
      <c r="J1721" s="6">
        <v>2026.0</v>
      </c>
      <c r="K1721" s="10">
        <v>46179.0</v>
      </c>
      <c r="L1721" s="6">
        <v>2.0</v>
      </c>
      <c r="M1721" s="8">
        <f t="shared" si="2"/>
        <v>0.58</v>
      </c>
      <c r="P1721" s="9"/>
    </row>
    <row r="1722">
      <c r="A1722" s="6" t="s">
        <v>4010</v>
      </c>
      <c r="B1722" s="6" t="s">
        <v>366</v>
      </c>
      <c r="C1722" s="6" t="s">
        <v>23</v>
      </c>
      <c r="D1722" s="6" t="s">
        <v>4011</v>
      </c>
      <c r="E1722" s="6" t="s">
        <v>270</v>
      </c>
      <c r="F1722" s="6" t="s">
        <v>159</v>
      </c>
      <c r="G1722" s="7">
        <v>0.05</v>
      </c>
      <c r="H1722" s="6" t="s">
        <v>645</v>
      </c>
      <c r="I1722" s="6" t="s">
        <v>20</v>
      </c>
      <c r="J1722" s="6">
        <v>2024.0</v>
      </c>
      <c r="L1722" s="6">
        <v>1.0</v>
      </c>
      <c r="M1722" s="8">
        <f t="shared" si="2"/>
        <v>0.05</v>
      </c>
      <c r="P1722" s="9"/>
    </row>
    <row r="1723">
      <c r="A1723" s="6" t="s">
        <v>4012</v>
      </c>
      <c r="B1723" s="6" t="s">
        <v>4013</v>
      </c>
      <c r="C1723" s="6" t="s">
        <v>287</v>
      </c>
      <c r="D1723" s="6" t="s">
        <v>4014</v>
      </c>
      <c r="E1723" s="6" t="s">
        <v>118</v>
      </c>
      <c r="F1723" s="6" t="s">
        <v>51</v>
      </c>
      <c r="G1723" s="7">
        <v>1.5</v>
      </c>
      <c r="H1723" s="6" t="s">
        <v>4015</v>
      </c>
      <c r="I1723" s="6" t="s">
        <v>20</v>
      </c>
      <c r="J1723" s="6">
        <v>1996.0</v>
      </c>
      <c r="K1723" s="10">
        <v>46023.0</v>
      </c>
      <c r="L1723" s="6">
        <v>4.0</v>
      </c>
      <c r="M1723" s="8">
        <f t="shared" si="2"/>
        <v>6</v>
      </c>
      <c r="N1723" s="6" t="s">
        <v>172</v>
      </c>
      <c r="P1723" s="9"/>
    </row>
    <row r="1724">
      <c r="A1724" s="6" t="s">
        <v>4016</v>
      </c>
      <c r="B1724" s="6" t="s">
        <v>4017</v>
      </c>
      <c r="C1724" s="6" t="s">
        <v>23</v>
      </c>
      <c r="D1724" s="6" t="s">
        <v>4018</v>
      </c>
      <c r="E1724" s="6" t="s">
        <v>825</v>
      </c>
      <c r="F1724" s="6" t="s">
        <v>826</v>
      </c>
      <c r="G1724" s="7">
        <v>0.03</v>
      </c>
      <c r="H1724" s="6" t="s">
        <v>185</v>
      </c>
      <c r="I1724" s="6" t="s">
        <v>20</v>
      </c>
      <c r="J1724" s="6">
        <v>2019.0</v>
      </c>
      <c r="K1724" s="10">
        <v>46084.0</v>
      </c>
      <c r="L1724" s="6">
        <v>1.0</v>
      </c>
      <c r="M1724" s="8">
        <f t="shared" si="2"/>
        <v>0.03</v>
      </c>
      <c r="P1724" s="9"/>
    </row>
    <row r="1725">
      <c r="A1725" s="6" t="s">
        <v>4019</v>
      </c>
      <c r="B1725" s="6" t="s">
        <v>4020</v>
      </c>
      <c r="C1725" s="6" t="s">
        <v>15</v>
      </c>
      <c r="D1725" s="6" t="s">
        <v>4021</v>
      </c>
      <c r="E1725" s="6" t="s">
        <v>1304</v>
      </c>
      <c r="F1725" s="6" t="s">
        <v>65</v>
      </c>
      <c r="G1725" s="7">
        <v>0.09</v>
      </c>
      <c r="H1725" s="6" t="s">
        <v>180</v>
      </c>
      <c r="I1725" s="6" t="s">
        <v>20</v>
      </c>
      <c r="J1725" s="6">
        <v>2014.0</v>
      </c>
      <c r="K1725" s="10">
        <v>46023.0</v>
      </c>
      <c r="L1725" s="6">
        <v>1.0</v>
      </c>
      <c r="M1725" s="8">
        <f t="shared" si="2"/>
        <v>0.09</v>
      </c>
      <c r="P1725" s="9"/>
    </row>
    <row r="1726">
      <c r="A1726" s="6" t="s">
        <v>4022</v>
      </c>
      <c r="B1726" s="6" t="s">
        <v>507</v>
      </c>
      <c r="C1726" s="6" t="s">
        <v>23</v>
      </c>
      <c r="E1726" s="6" t="s">
        <v>64</v>
      </c>
      <c r="F1726" s="6" t="s">
        <v>65</v>
      </c>
      <c r="G1726" s="7">
        <v>0.03</v>
      </c>
      <c r="H1726" s="6" t="s">
        <v>555</v>
      </c>
      <c r="I1726" s="6" t="s">
        <v>20</v>
      </c>
      <c r="J1726" s="6">
        <v>2017.0</v>
      </c>
      <c r="K1726" s="10">
        <v>46057.0</v>
      </c>
      <c r="L1726" s="6">
        <v>1.0</v>
      </c>
      <c r="M1726" s="8">
        <f t="shared" si="2"/>
        <v>0.03</v>
      </c>
      <c r="P1726" s="9"/>
    </row>
    <row r="1727">
      <c r="A1727" s="6" t="s">
        <v>4023</v>
      </c>
      <c r="B1727" s="6" t="s">
        <v>182</v>
      </c>
      <c r="C1727" s="6" t="s">
        <v>48</v>
      </c>
      <c r="D1727" s="6" t="s">
        <v>4024</v>
      </c>
      <c r="E1727" s="6" t="s">
        <v>4025</v>
      </c>
      <c r="F1727" s="6" t="s">
        <v>826</v>
      </c>
      <c r="G1727" s="7">
        <v>0.08</v>
      </c>
      <c r="H1727" s="6" t="s">
        <v>88</v>
      </c>
      <c r="I1727" s="6" t="s">
        <v>20</v>
      </c>
      <c r="J1727" s="6">
        <v>2013.0</v>
      </c>
      <c r="L1727" s="6">
        <v>1.0</v>
      </c>
      <c r="M1727" s="8">
        <f t="shared" si="2"/>
        <v>0.08</v>
      </c>
      <c r="P1727" s="9"/>
    </row>
    <row r="1728">
      <c r="A1728" s="6" t="s">
        <v>4026</v>
      </c>
      <c r="B1728" s="6" t="s">
        <v>131</v>
      </c>
      <c r="C1728" s="6" t="s">
        <v>23</v>
      </c>
      <c r="D1728" s="6" t="s">
        <v>4027</v>
      </c>
      <c r="E1728" s="6" t="s">
        <v>3016</v>
      </c>
      <c r="F1728" s="6" t="s">
        <v>986</v>
      </c>
      <c r="G1728" s="7">
        <v>0.04</v>
      </c>
      <c r="H1728" s="6" t="s">
        <v>1084</v>
      </c>
      <c r="I1728" s="6" t="s">
        <v>20</v>
      </c>
      <c r="J1728" s="6">
        <v>2018.0</v>
      </c>
      <c r="K1728" s="10">
        <v>46024.0</v>
      </c>
      <c r="L1728" s="6">
        <v>1.0</v>
      </c>
      <c r="M1728" s="8">
        <f t="shared" si="2"/>
        <v>0.04</v>
      </c>
      <c r="P1728" s="9"/>
    </row>
    <row r="1729">
      <c r="A1729" s="6" t="s">
        <v>4028</v>
      </c>
      <c r="B1729" s="6" t="s">
        <v>4029</v>
      </c>
      <c r="C1729" s="6" t="s">
        <v>15</v>
      </c>
      <c r="D1729" s="6" t="s">
        <v>4030</v>
      </c>
      <c r="E1729" s="6" t="s">
        <v>196</v>
      </c>
      <c r="F1729" s="6" t="s">
        <v>65</v>
      </c>
      <c r="G1729" s="7">
        <v>0.37</v>
      </c>
      <c r="H1729" s="6" t="s">
        <v>209</v>
      </c>
      <c r="I1729" s="6" t="s">
        <v>20</v>
      </c>
      <c r="J1729" s="6">
        <v>2025.0</v>
      </c>
      <c r="K1729" s="10">
        <v>46023.0</v>
      </c>
      <c r="L1729" s="6">
        <v>1.0</v>
      </c>
      <c r="M1729" s="8">
        <f t="shared" si="2"/>
        <v>0.37</v>
      </c>
      <c r="P1729" s="9"/>
    </row>
    <row r="1730">
      <c r="A1730" s="6" t="s">
        <v>4031</v>
      </c>
      <c r="B1730" s="6" t="s">
        <v>3412</v>
      </c>
      <c r="C1730" s="6" t="s">
        <v>23</v>
      </c>
      <c r="D1730" s="6" t="s">
        <v>4032</v>
      </c>
      <c r="E1730" s="6" t="s">
        <v>50</v>
      </c>
      <c r="F1730" s="6" t="s">
        <v>51</v>
      </c>
      <c r="G1730" s="7">
        <v>0.05</v>
      </c>
      <c r="H1730" s="6" t="s">
        <v>645</v>
      </c>
      <c r="I1730" s="6" t="s">
        <v>20</v>
      </c>
      <c r="J1730" s="6">
        <v>2024.0</v>
      </c>
      <c r="K1730" s="10">
        <v>46114.0</v>
      </c>
      <c r="L1730" s="6">
        <v>1.0</v>
      </c>
      <c r="M1730" s="8">
        <f t="shared" si="2"/>
        <v>0.05</v>
      </c>
      <c r="P1730" s="9"/>
    </row>
    <row r="1731">
      <c r="A1731" s="6" t="s">
        <v>4033</v>
      </c>
      <c r="B1731" s="6" t="s">
        <v>62</v>
      </c>
      <c r="C1731" s="6" t="s">
        <v>48</v>
      </c>
      <c r="D1731" s="6" t="s">
        <v>4034</v>
      </c>
      <c r="E1731" s="6" t="s">
        <v>1159</v>
      </c>
      <c r="F1731" s="6" t="s">
        <v>3203</v>
      </c>
      <c r="G1731" s="7">
        <v>0.18</v>
      </c>
      <c r="H1731" s="6" t="s">
        <v>19</v>
      </c>
      <c r="I1731" s="6" t="s">
        <v>20</v>
      </c>
      <c r="J1731" s="6">
        <v>2023.0</v>
      </c>
      <c r="L1731" s="6">
        <v>1.0</v>
      </c>
      <c r="M1731" s="8">
        <f t="shared" si="2"/>
        <v>0.18</v>
      </c>
      <c r="P1731" s="9"/>
    </row>
    <row r="1732">
      <c r="A1732" s="6" t="s">
        <v>4035</v>
      </c>
      <c r="B1732" s="6" t="s">
        <v>4036</v>
      </c>
      <c r="C1732" s="6" t="s">
        <v>23</v>
      </c>
      <c r="D1732" s="6" t="s">
        <v>4037</v>
      </c>
      <c r="E1732" s="6" t="s">
        <v>36</v>
      </c>
      <c r="F1732" s="6" t="s">
        <v>37</v>
      </c>
      <c r="G1732" s="7">
        <v>0.05</v>
      </c>
      <c r="H1732" s="6" t="s">
        <v>645</v>
      </c>
      <c r="I1732" s="6" t="s">
        <v>20</v>
      </c>
      <c r="J1732" s="6">
        <v>2024.0</v>
      </c>
      <c r="K1732" s="10">
        <v>46055.0</v>
      </c>
      <c r="L1732" s="6">
        <v>1.0</v>
      </c>
      <c r="M1732" s="8">
        <f t="shared" si="2"/>
        <v>0.05</v>
      </c>
      <c r="P1732" s="9"/>
    </row>
    <row r="1733">
      <c r="A1733" s="6" t="s">
        <v>4038</v>
      </c>
      <c r="B1733" s="6" t="s">
        <v>4039</v>
      </c>
      <c r="C1733" s="6" t="s">
        <v>23</v>
      </c>
      <c r="D1733" s="6" t="s">
        <v>4040</v>
      </c>
      <c r="E1733" s="6" t="s">
        <v>36</v>
      </c>
      <c r="F1733" s="6" t="s">
        <v>37</v>
      </c>
      <c r="G1733" s="7">
        <v>0.05</v>
      </c>
      <c r="H1733" s="6" t="s">
        <v>645</v>
      </c>
      <c r="I1733" s="6" t="s">
        <v>20</v>
      </c>
      <c r="J1733" s="6">
        <v>2024.0</v>
      </c>
      <c r="K1733" s="10">
        <v>46055.0</v>
      </c>
      <c r="L1733" s="6">
        <v>1.0</v>
      </c>
      <c r="M1733" s="8">
        <f t="shared" si="2"/>
        <v>0.05</v>
      </c>
      <c r="P1733" s="9"/>
    </row>
    <row r="1734">
      <c r="A1734" s="6" t="s">
        <v>4041</v>
      </c>
      <c r="B1734" s="6" t="s">
        <v>62</v>
      </c>
      <c r="C1734" s="6" t="s">
        <v>23</v>
      </c>
      <c r="D1734" s="6" t="s">
        <v>4042</v>
      </c>
      <c r="E1734" s="6" t="s">
        <v>25</v>
      </c>
      <c r="F1734" s="6" t="s">
        <v>18</v>
      </c>
      <c r="G1734" s="7">
        <v>0.09</v>
      </c>
      <c r="H1734" s="6" t="s">
        <v>491</v>
      </c>
      <c r="I1734" s="6" t="s">
        <v>20</v>
      </c>
      <c r="J1734" s="6">
        <v>2011.0</v>
      </c>
      <c r="L1734" s="6">
        <v>1.0</v>
      </c>
      <c r="M1734" s="8">
        <f t="shared" si="2"/>
        <v>0.09</v>
      </c>
      <c r="P1734" s="9"/>
    </row>
    <row r="1735">
      <c r="A1735" s="6" t="s">
        <v>4043</v>
      </c>
      <c r="B1735" s="6" t="s">
        <v>4044</v>
      </c>
      <c r="C1735" s="6" t="s">
        <v>15</v>
      </c>
      <c r="D1735" s="6" t="s">
        <v>4045</v>
      </c>
      <c r="E1735" s="6" t="s">
        <v>3869</v>
      </c>
      <c r="F1735" s="6" t="s">
        <v>1797</v>
      </c>
      <c r="G1735" s="7">
        <v>0.15</v>
      </c>
      <c r="H1735" s="6" t="s">
        <v>19</v>
      </c>
      <c r="I1735" s="6" t="s">
        <v>20</v>
      </c>
      <c r="J1735" s="6">
        <v>2023.0</v>
      </c>
      <c r="K1735" s="10">
        <v>46082.0</v>
      </c>
      <c r="L1735" s="6">
        <v>1.0</v>
      </c>
      <c r="M1735" s="8">
        <f t="shared" si="2"/>
        <v>0.15</v>
      </c>
      <c r="P1735" s="9"/>
    </row>
    <row r="1736">
      <c r="A1736" s="6" t="s">
        <v>4046</v>
      </c>
      <c r="B1736" s="6" t="s">
        <v>4047</v>
      </c>
      <c r="C1736" s="6" t="s">
        <v>23</v>
      </c>
      <c r="D1736" s="6" t="s">
        <v>4048</v>
      </c>
      <c r="E1736" s="6" t="s">
        <v>223</v>
      </c>
      <c r="F1736" s="6" t="s">
        <v>159</v>
      </c>
      <c r="G1736" s="7">
        <v>0.1</v>
      </c>
      <c r="H1736" s="6" t="s">
        <v>192</v>
      </c>
      <c r="I1736" s="6" t="s">
        <v>20</v>
      </c>
      <c r="J1736" s="6">
        <v>2026.0</v>
      </c>
      <c r="K1736" s="10">
        <v>46023.0</v>
      </c>
      <c r="L1736" s="6">
        <v>4.0</v>
      </c>
      <c r="M1736" s="8">
        <f t="shared" si="2"/>
        <v>0.4</v>
      </c>
      <c r="P1736" s="9"/>
    </row>
    <row r="1737">
      <c r="A1737" s="6" t="s">
        <v>4049</v>
      </c>
      <c r="B1737" s="6" t="s">
        <v>4050</v>
      </c>
      <c r="C1737" s="6" t="s">
        <v>521</v>
      </c>
      <c r="D1737" s="6" t="s">
        <v>4051</v>
      </c>
      <c r="E1737" s="6" t="s">
        <v>625</v>
      </c>
      <c r="F1737" s="6" t="s">
        <v>452</v>
      </c>
      <c r="G1737" s="7">
        <v>0.32</v>
      </c>
      <c r="H1737" s="6" t="s">
        <v>636</v>
      </c>
      <c r="I1737" s="6" t="s">
        <v>20</v>
      </c>
      <c r="J1737" s="6">
        <v>2015.0</v>
      </c>
      <c r="K1737" s="10">
        <v>46055.0</v>
      </c>
      <c r="L1737" s="6">
        <v>1.0</v>
      </c>
      <c r="M1737" s="8">
        <f t="shared" si="2"/>
        <v>0.32</v>
      </c>
      <c r="P1737" s="9"/>
    </row>
    <row r="1738">
      <c r="A1738" s="6" t="s">
        <v>4052</v>
      </c>
      <c r="B1738" s="6" t="s">
        <v>4053</v>
      </c>
      <c r="C1738" s="6" t="s">
        <v>23</v>
      </c>
      <c r="D1738" s="6" t="s">
        <v>4054</v>
      </c>
      <c r="E1738" s="6" t="s">
        <v>625</v>
      </c>
      <c r="F1738" s="6" t="s">
        <v>37</v>
      </c>
      <c r="G1738" s="7">
        <v>0.32</v>
      </c>
      <c r="H1738" s="6" t="s">
        <v>305</v>
      </c>
      <c r="I1738" s="6" t="s">
        <v>20</v>
      </c>
      <c r="J1738" s="6">
        <v>2003.0</v>
      </c>
      <c r="K1738" s="10">
        <v>46055.0</v>
      </c>
      <c r="L1738" s="6">
        <v>4.0</v>
      </c>
      <c r="M1738" s="8">
        <f t="shared" si="2"/>
        <v>1.28</v>
      </c>
      <c r="P1738" s="9"/>
    </row>
    <row r="1739">
      <c r="A1739" s="6" t="s">
        <v>4055</v>
      </c>
      <c r="B1739" s="6" t="s">
        <v>1456</v>
      </c>
      <c r="C1739" s="6" t="s">
        <v>23</v>
      </c>
      <c r="D1739" s="6" t="s">
        <v>4056</v>
      </c>
      <c r="E1739" s="6" t="s">
        <v>102</v>
      </c>
      <c r="F1739" s="6" t="s">
        <v>103</v>
      </c>
      <c r="G1739" s="7">
        <v>0.1</v>
      </c>
      <c r="H1739" s="6" t="s">
        <v>2861</v>
      </c>
      <c r="I1739" s="6" t="s">
        <v>20</v>
      </c>
      <c r="J1739" s="6">
        <v>2008.0</v>
      </c>
      <c r="K1739" s="10">
        <v>46023.0</v>
      </c>
      <c r="L1739" s="6">
        <v>1.0</v>
      </c>
      <c r="M1739" s="8">
        <f t="shared" si="2"/>
        <v>0.1</v>
      </c>
      <c r="P1739" s="9"/>
    </row>
    <row r="1740">
      <c r="A1740" s="6" t="s">
        <v>4057</v>
      </c>
      <c r="B1740" s="6" t="s">
        <v>4058</v>
      </c>
      <c r="C1740" s="6" t="s">
        <v>48</v>
      </c>
      <c r="D1740" s="6" t="s">
        <v>4059</v>
      </c>
      <c r="E1740" s="6" t="s">
        <v>4060</v>
      </c>
      <c r="F1740" s="6" t="s">
        <v>18</v>
      </c>
      <c r="G1740" s="7">
        <v>0.04</v>
      </c>
      <c r="H1740" s="6" t="s">
        <v>1194</v>
      </c>
      <c r="I1740" s="6" t="s">
        <v>20</v>
      </c>
      <c r="J1740" s="6">
        <v>2023.0</v>
      </c>
      <c r="K1740" s="10">
        <v>46055.0</v>
      </c>
      <c r="L1740" s="6">
        <v>1.0</v>
      </c>
      <c r="M1740" s="8">
        <f t="shared" si="2"/>
        <v>0.04</v>
      </c>
      <c r="P1740" s="9"/>
    </row>
    <row r="1741">
      <c r="A1741" s="6" t="s">
        <v>4061</v>
      </c>
      <c r="B1741" s="6" t="s">
        <v>165</v>
      </c>
      <c r="C1741" s="6" t="s">
        <v>212</v>
      </c>
      <c r="D1741" s="6" t="s">
        <v>4062</v>
      </c>
      <c r="E1741" s="6" t="s">
        <v>208</v>
      </c>
      <c r="F1741" s="6" t="s">
        <v>51</v>
      </c>
      <c r="G1741" s="7">
        <v>0.74</v>
      </c>
      <c r="H1741" s="6" t="s">
        <v>209</v>
      </c>
      <c r="I1741" s="6" t="s">
        <v>20</v>
      </c>
      <c r="J1741" s="6">
        <v>2025.0</v>
      </c>
      <c r="L1741" s="6">
        <v>1.0</v>
      </c>
      <c r="M1741" s="8">
        <f t="shared" si="2"/>
        <v>0.74</v>
      </c>
      <c r="P1741" s="9"/>
    </row>
    <row r="1742">
      <c r="A1742" s="6" t="s">
        <v>4063</v>
      </c>
      <c r="B1742" s="6" t="s">
        <v>2391</v>
      </c>
      <c r="C1742" s="6" t="s">
        <v>48</v>
      </c>
      <c r="D1742" s="6" t="s">
        <v>4064</v>
      </c>
      <c r="E1742" s="6" t="s">
        <v>118</v>
      </c>
      <c r="F1742" s="6" t="s">
        <v>51</v>
      </c>
      <c r="G1742" s="7">
        <v>0.08</v>
      </c>
      <c r="H1742" s="6" t="s">
        <v>216</v>
      </c>
      <c r="I1742" s="6" t="s">
        <v>20</v>
      </c>
      <c r="J1742" s="6">
        <v>2024.0</v>
      </c>
      <c r="K1742" s="10">
        <v>46024.0</v>
      </c>
      <c r="L1742" s="6">
        <v>1.0</v>
      </c>
      <c r="M1742" s="8">
        <f t="shared" si="2"/>
        <v>0.08</v>
      </c>
      <c r="P1742" s="9"/>
    </row>
    <row r="1743">
      <c r="A1743" s="6" t="s">
        <v>4065</v>
      </c>
      <c r="B1743" s="6" t="s">
        <v>2744</v>
      </c>
      <c r="C1743" s="6" t="s">
        <v>23</v>
      </c>
      <c r="D1743" s="6" t="s">
        <v>4066</v>
      </c>
      <c r="E1743" s="6" t="s">
        <v>558</v>
      </c>
      <c r="F1743" s="6" t="s">
        <v>18</v>
      </c>
      <c r="G1743" s="7">
        <v>0.09</v>
      </c>
      <c r="H1743" s="6" t="s">
        <v>1418</v>
      </c>
      <c r="I1743" s="6" t="s">
        <v>20</v>
      </c>
      <c r="J1743" s="6">
        <v>2010.0</v>
      </c>
      <c r="K1743" s="10">
        <v>46084.0</v>
      </c>
      <c r="L1743" s="6">
        <v>1.0</v>
      </c>
      <c r="M1743" s="8">
        <f t="shared" si="2"/>
        <v>0.09</v>
      </c>
      <c r="P1743" s="9"/>
    </row>
    <row r="1744">
      <c r="A1744" s="6" t="s">
        <v>4067</v>
      </c>
      <c r="B1744" s="6" t="s">
        <v>366</v>
      </c>
      <c r="C1744" s="6" t="s">
        <v>23</v>
      </c>
      <c r="D1744" s="6" t="s">
        <v>4068</v>
      </c>
      <c r="E1744" s="6" t="s">
        <v>25</v>
      </c>
      <c r="F1744" s="6" t="s">
        <v>18</v>
      </c>
      <c r="G1744" s="7">
        <v>0.09</v>
      </c>
      <c r="H1744" s="6" t="s">
        <v>31</v>
      </c>
      <c r="I1744" s="6" t="s">
        <v>20</v>
      </c>
      <c r="J1744" s="6">
        <v>2026.0</v>
      </c>
      <c r="L1744" s="6">
        <v>1.0</v>
      </c>
      <c r="M1744" s="8">
        <f t="shared" si="2"/>
        <v>0.09</v>
      </c>
      <c r="P1744" s="9"/>
    </row>
    <row r="1745">
      <c r="A1745" s="6" t="s">
        <v>4069</v>
      </c>
      <c r="B1745" s="6" t="s">
        <v>2026</v>
      </c>
      <c r="C1745" s="6" t="s">
        <v>34</v>
      </c>
      <c r="D1745" s="6" t="s">
        <v>4070</v>
      </c>
      <c r="E1745" s="6" t="s">
        <v>1767</v>
      </c>
      <c r="F1745" s="6" t="s">
        <v>18</v>
      </c>
      <c r="G1745" s="7">
        <v>0.13</v>
      </c>
      <c r="H1745" s="6" t="s">
        <v>38</v>
      </c>
      <c r="I1745" s="6" t="s">
        <v>20</v>
      </c>
      <c r="J1745" s="6">
        <v>2026.0</v>
      </c>
      <c r="L1745" s="6">
        <v>1.0</v>
      </c>
      <c r="M1745" s="8">
        <f t="shared" si="2"/>
        <v>0.13</v>
      </c>
      <c r="P1745" s="9"/>
    </row>
    <row r="1746">
      <c r="A1746" s="6" t="s">
        <v>4071</v>
      </c>
      <c r="B1746" s="6" t="s">
        <v>4072</v>
      </c>
      <c r="C1746" s="6" t="s">
        <v>23</v>
      </c>
      <c r="D1746" s="6" t="s">
        <v>4073</v>
      </c>
      <c r="E1746" s="6" t="s">
        <v>235</v>
      </c>
      <c r="F1746" s="6" t="s">
        <v>103</v>
      </c>
      <c r="G1746" s="7">
        <v>0.08</v>
      </c>
      <c r="H1746" s="6" t="s">
        <v>109</v>
      </c>
      <c r="I1746" s="6" t="s">
        <v>20</v>
      </c>
      <c r="J1746" s="6">
        <v>1995.0</v>
      </c>
      <c r="K1746" s="6" t="s">
        <v>422</v>
      </c>
      <c r="L1746" s="6">
        <v>1.0</v>
      </c>
      <c r="M1746" s="8">
        <f t="shared" si="2"/>
        <v>0.08</v>
      </c>
      <c r="P1746" s="9"/>
    </row>
    <row r="1747">
      <c r="A1747" s="6" t="s">
        <v>4071</v>
      </c>
      <c r="B1747" s="6" t="s">
        <v>4072</v>
      </c>
      <c r="C1747" s="6" t="s">
        <v>23</v>
      </c>
      <c r="D1747" s="6" t="s">
        <v>4073</v>
      </c>
      <c r="E1747" s="6" t="s">
        <v>235</v>
      </c>
      <c r="F1747" s="6" t="s">
        <v>103</v>
      </c>
      <c r="G1747" s="7">
        <v>0.17</v>
      </c>
      <c r="H1747" s="6" t="s">
        <v>1382</v>
      </c>
      <c r="I1747" s="6" t="s">
        <v>20</v>
      </c>
      <c r="J1747" s="6">
        <v>1995.0</v>
      </c>
      <c r="K1747" s="6" t="s">
        <v>422</v>
      </c>
      <c r="L1747" s="6">
        <v>2.0</v>
      </c>
      <c r="M1747" s="8">
        <f t="shared" si="2"/>
        <v>0.34</v>
      </c>
      <c r="P1747" s="9"/>
    </row>
    <row r="1748">
      <c r="A1748" s="6" t="s">
        <v>4071</v>
      </c>
      <c r="B1748" s="6" t="s">
        <v>4072</v>
      </c>
      <c r="C1748" s="6" t="s">
        <v>23</v>
      </c>
      <c r="D1748" s="6" t="s">
        <v>4073</v>
      </c>
      <c r="E1748" s="6" t="s">
        <v>235</v>
      </c>
      <c r="F1748" s="6" t="s">
        <v>103</v>
      </c>
      <c r="G1748" s="7">
        <v>0.21</v>
      </c>
      <c r="H1748" s="6" t="s">
        <v>607</v>
      </c>
      <c r="I1748" s="6" t="s">
        <v>20</v>
      </c>
      <c r="J1748" s="6">
        <v>1994.0</v>
      </c>
      <c r="K1748" s="6" t="s">
        <v>422</v>
      </c>
      <c r="L1748" s="6">
        <v>3.0</v>
      </c>
      <c r="M1748" s="8">
        <f t="shared" si="2"/>
        <v>0.63</v>
      </c>
      <c r="P1748" s="9"/>
    </row>
    <row r="1749">
      <c r="A1749" s="6" t="s">
        <v>4074</v>
      </c>
      <c r="B1749" s="6" t="s">
        <v>182</v>
      </c>
      <c r="C1749" s="6" t="s">
        <v>23</v>
      </c>
      <c r="D1749" s="6" t="s">
        <v>4075</v>
      </c>
      <c r="E1749" s="6" t="s">
        <v>167</v>
      </c>
      <c r="F1749" s="6" t="s">
        <v>103</v>
      </c>
      <c r="G1749" s="7">
        <v>0.07</v>
      </c>
      <c r="H1749" s="6" t="s">
        <v>526</v>
      </c>
      <c r="I1749" s="6" t="s">
        <v>20</v>
      </c>
      <c r="J1749" s="6">
        <v>2020.0</v>
      </c>
      <c r="L1749" s="6">
        <v>1.0</v>
      </c>
      <c r="M1749" s="8">
        <f t="shared" si="2"/>
        <v>0.07</v>
      </c>
      <c r="P1749" s="9"/>
    </row>
    <row r="1750">
      <c r="A1750" s="6" t="s">
        <v>4074</v>
      </c>
      <c r="B1750" s="6" t="s">
        <v>182</v>
      </c>
      <c r="C1750" s="6" t="s">
        <v>23</v>
      </c>
      <c r="D1750" s="6" t="s">
        <v>4075</v>
      </c>
      <c r="E1750" s="6" t="s">
        <v>167</v>
      </c>
      <c r="F1750" s="6" t="s">
        <v>103</v>
      </c>
      <c r="G1750" s="7">
        <v>0.07</v>
      </c>
      <c r="H1750" s="6" t="s">
        <v>526</v>
      </c>
      <c r="I1750" s="6" t="s">
        <v>20</v>
      </c>
      <c r="J1750" s="6">
        <v>2020.0</v>
      </c>
      <c r="L1750" s="6">
        <v>1.0</v>
      </c>
      <c r="M1750" s="8">
        <f t="shared" si="2"/>
        <v>0.07</v>
      </c>
      <c r="P1750" s="9"/>
    </row>
    <row r="1751">
      <c r="A1751" s="6" t="s">
        <v>4076</v>
      </c>
      <c r="B1751" s="6" t="s">
        <v>4077</v>
      </c>
      <c r="C1751" s="6" t="s">
        <v>48</v>
      </c>
      <c r="D1751" s="6" t="s">
        <v>4078</v>
      </c>
      <c r="E1751" s="6" t="s">
        <v>248</v>
      </c>
      <c r="F1751" s="6" t="s">
        <v>18</v>
      </c>
      <c r="G1751" s="7">
        <v>0.2</v>
      </c>
      <c r="H1751" s="6" t="s">
        <v>192</v>
      </c>
      <c r="I1751" s="6" t="s">
        <v>20</v>
      </c>
      <c r="J1751" s="6">
        <v>2026.0</v>
      </c>
      <c r="K1751" s="10">
        <v>46023.0</v>
      </c>
      <c r="L1751" s="6">
        <v>1.0</v>
      </c>
      <c r="M1751" s="8">
        <f t="shared" si="2"/>
        <v>0.2</v>
      </c>
      <c r="P1751" s="9"/>
    </row>
    <row r="1752">
      <c r="A1752" s="6" t="s">
        <v>4079</v>
      </c>
      <c r="B1752" s="6" t="s">
        <v>291</v>
      </c>
      <c r="C1752" s="6" t="s">
        <v>23</v>
      </c>
      <c r="E1752" s="6" t="s">
        <v>248</v>
      </c>
      <c r="F1752" s="6" t="s">
        <v>18</v>
      </c>
      <c r="G1752" s="7">
        <v>0.04</v>
      </c>
      <c r="H1752" s="6" t="s">
        <v>494</v>
      </c>
      <c r="I1752" s="6" t="s">
        <v>55</v>
      </c>
      <c r="J1752" s="6">
        <v>2003.0</v>
      </c>
      <c r="K1752" s="10">
        <v>46023.0</v>
      </c>
      <c r="L1752" s="6">
        <v>1.0</v>
      </c>
      <c r="M1752" s="8">
        <f t="shared" si="2"/>
        <v>0.04</v>
      </c>
      <c r="P1752" s="9"/>
    </row>
    <row r="1753">
      <c r="A1753" s="6" t="s">
        <v>4079</v>
      </c>
      <c r="B1753" s="6" t="s">
        <v>291</v>
      </c>
      <c r="C1753" s="6" t="s">
        <v>23</v>
      </c>
      <c r="E1753" s="6" t="s">
        <v>248</v>
      </c>
      <c r="F1753" s="6" t="s">
        <v>18</v>
      </c>
      <c r="G1753" s="7">
        <v>0.09</v>
      </c>
      <c r="H1753" s="6" t="s">
        <v>3110</v>
      </c>
      <c r="I1753" s="6" t="s">
        <v>20</v>
      </c>
      <c r="J1753" s="6">
        <v>2007.0</v>
      </c>
      <c r="K1753" s="10">
        <v>46023.0</v>
      </c>
      <c r="L1753" s="6">
        <v>1.0</v>
      </c>
      <c r="M1753" s="8">
        <f t="shared" si="2"/>
        <v>0.09</v>
      </c>
      <c r="P1753" s="9"/>
    </row>
    <row r="1754">
      <c r="A1754" s="6" t="s">
        <v>4080</v>
      </c>
      <c r="B1754" s="6" t="s">
        <v>182</v>
      </c>
      <c r="C1754" s="6" t="s">
        <v>48</v>
      </c>
      <c r="D1754" s="6" t="s">
        <v>4081</v>
      </c>
      <c r="E1754" s="6" t="s">
        <v>158</v>
      </c>
      <c r="F1754" s="6" t="s">
        <v>159</v>
      </c>
      <c r="G1754" s="7">
        <v>0.1</v>
      </c>
      <c r="H1754" s="6" t="s">
        <v>216</v>
      </c>
      <c r="I1754" s="6" t="s">
        <v>20</v>
      </c>
      <c r="J1754" s="6">
        <v>2024.0</v>
      </c>
      <c r="L1754" s="6">
        <v>1.0</v>
      </c>
      <c r="M1754" s="8">
        <f t="shared" si="2"/>
        <v>0.1</v>
      </c>
      <c r="P1754" s="9"/>
    </row>
    <row r="1755">
      <c r="A1755" s="6" t="s">
        <v>4082</v>
      </c>
      <c r="B1755" s="6" t="s">
        <v>182</v>
      </c>
      <c r="C1755" s="6" t="s">
        <v>23</v>
      </c>
      <c r="D1755" s="6" t="s">
        <v>4083</v>
      </c>
      <c r="E1755" s="6" t="s">
        <v>235</v>
      </c>
      <c r="F1755" s="6" t="s">
        <v>103</v>
      </c>
      <c r="G1755" s="7">
        <v>0.03</v>
      </c>
      <c r="H1755" s="6" t="s">
        <v>526</v>
      </c>
      <c r="I1755" s="6" t="s">
        <v>20</v>
      </c>
      <c r="J1755" s="6">
        <v>2020.0</v>
      </c>
      <c r="L1755" s="6">
        <v>3.0</v>
      </c>
      <c r="M1755" s="8">
        <f t="shared" si="2"/>
        <v>0.09</v>
      </c>
      <c r="P1755" s="9"/>
    </row>
    <row r="1756">
      <c r="A1756" s="6" t="s">
        <v>4084</v>
      </c>
      <c r="B1756" s="6" t="s">
        <v>4085</v>
      </c>
      <c r="C1756" s="6" t="s">
        <v>34</v>
      </c>
      <c r="D1756" s="6" t="s">
        <v>4086</v>
      </c>
      <c r="E1756" s="6" t="s">
        <v>4087</v>
      </c>
      <c r="F1756" s="6" t="s">
        <v>159</v>
      </c>
      <c r="G1756" s="7">
        <v>0.09</v>
      </c>
      <c r="H1756" s="6" t="s">
        <v>1043</v>
      </c>
      <c r="I1756" s="6" t="s">
        <v>20</v>
      </c>
      <c r="J1756" s="6">
        <v>2025.0</v>
      </c>
      <c r="K1756" s="10">
        <v>46147.0</v>
      </c>
      <c r="L1756" s="6">
        <v>1.0</v>
      </c>
      <c r="M1756" s="8">
        <f t="shared" si="2"/>
        <v>0.09</v>
      </c>
      <c r="P1756" s="9"/>
    </row>
    <row r="1757">
      <c r="A1757" s="6" t="s">
        <v>4088</v>
      </c>
      <c r="B1757" s="6" t="s">
        <v>202</v>
      </c>
      <c r="C1757" s="6" t="s">
        <v>48</v>
      </c>
      <c r="D1757" s="6" t="s">
        <v>4089</v>
      </c>
      <c r="E1757" s="6" t="s">
        <v>223</v>
      </c>
      <c r="F1757" s="6" t="s">
        <v>159</v>
      </c>
      <c r="G1757" s="7">
        <v>0.23</v>
      </c>
      <c r="H1757" s="6" t="s">
        <v>163</v>
      </c>
      <c r="I1757" s="6" t="s">
        <v>20</v>
      </c>
      <c r="J1757" s="6">
        <v>2023.0</v>
      </c>
      <c r="L1757" s="6">
        <v>1.0</v>
      </c>
      <c r="M1757" s="8">
        <f t="shared" si="2"/>
        <v>0.23</v>
      </c>
      <c r="P1757" s="9"/>
    </row>
    <row r="1758">
      <c r="A1758" s="6" t="s">
        <v>4090</v>
      </c>
      <c r="B1758" s="6" t="s">
        <v>4091</v>
      </c>
      <c r="C1758" s="6" t="s">
        <v>571</v>
      </c>
      <c r="D1758" s="6" t="s">
        <v>4092</v>
      </c>
      <c r="E1758" s="6" t="s">
        <v>298</v>
      </c>
      <c r="F1758" s="6" t="s">
        <v>159</v>
      </c>
      <c r="G1758" s="7">
        <v>0.74</v>
      </c>
      <c r="H1758" s="7" t="s">
        <v>1246</v>
      </c>
      <c r="I1758" s="6" t="s">
        <v>20</v>
      </c>
      <c r="J1758" s="6">
        <v>2006.0</v>
      </c>
      <c r="K1758" s="10">
        <v>46055.0</v>
      </c>
      <c r="L1758" s="6">
        <v>1.0</v>
      </c>
      <c r="M1758" s="8">
        <f t="shared" si="2"/>
        <v>0.74</v>
      </c>
      <c r="P1758" s="9"/>
    </row>
    <row r="1759">
      <c r="A1759" s="6" t="s">
        <v>4093</v>
      </c>
      <c r="B1759" s="6" t="s">
        <v>165</v>
      </c>
      <c r="C1759" s="6" t="s">
        <v>34</v>
      </c>
      <c r="D1759" s="6" t="s">
        <v>4094</v>
      </c>
      <c r="E1759" s="6" t="s">
        <v>1265</v>
      </c>
      <c r="F1759" s="6" t="s">
        <v>159</v>
      </c>
      <c r="G1759" s="7">
        <v>0.08</v>
      </c>
      <c r="H1759" s="6" t="s">
        <v>19</v>
      </c>
      <c r="I1759" s="6" t="s">
        <v>20</v>
      </c>
      <c r="J1759" s="6">
        <v>2023.0</v>
      </c>
      <c r="L1759" s="6">
        <v>1.0</v>
      </c>
      <c r="M1759" s="8">
        <f t="shared" si="2"/>
        <v>0.08</v>
      </c>
      <c r="P1759" s="9"/>
    </row>
    <row r="1760">
      <c r="A1760" s="6" t="s">
        <v>4095</v>
      </c>
      <c r="B1760" s="6" t="s">
        <v>202</v>
      </c>
      <c r="C1760" s="6" t="s">
        <v>48</v>
      </c>
      <c r="D1760" s="6" t="s">
        <v>4096</v>
      </c>
      <c r="E1760" s="6" t="s">
        <v>1001</v>
      </c>
      <c r="F1760" s="6" t="s">
        <v>65</v>
      </c>
      <c r="G1760" s="7">
        <v>0.07</v>
      </c>
      <c r="H1760" s="6" t="s">
        <v>146</v>
      </c>
      <c r="I1760" s="6" t="s">
        <v>20</v>
      </c>
      <c r="J1760" s="6">
        <v>2010.0</v>
      </c>
      <c r="L1760" s="6">
        <v>1.0</v>
      </c>
      <c r="M1760" s="8">
        <f t="shared" si="2"/>
        <v>0.07</v>
      </c>
      <c r="P1760" s="9"/>
    </row>
    <row r="1761">
      <c r="A1761" s="6" t="s">
        <v>4097</v>
      </c>
      <c r="B1761" s="6" t="s">
        <v>4098</v>
      </c>
      <c r="C1761" s="6" t="s">
        <v>48</v>
      </c>
      <c r="D1761" s="6" t="s">
        <v>4099</v>
      </c>
      <c r="E1761" s="6" t="s">
        <v>25</v>
      </c>
      <c r="F1761" s="6" t="s">
        <v>18</v>
      </c>
      <c r="G1761" s="7">
        <v>0.09</v>
      </c>
      <c r="H1761" s="6" t="s">
        <v>346</v>
      </c>
      <c r="I1761" s="6" t="s">
        <v>20</v>
      </c>
      <c r="J1761" s="6">
        <v>2024.0</v>
      </c>
      <c r="K1761" s="10">
        <v>46056.0</v>
      </c>
      <c r="L1761" s="6">
        <v>1.0</v>
      </c>
      <c r="M1761" s="8">
        <f t="shared" si="2"/>
        <v>0.09</v>
      </c>
      <c r="P1761" s="9"/>
    </row>
    <row r="1762">
      <c r="A1762" s="6" t="s">
        <v>4100</v>
      </c>
      <c r="B1762" s="6" t="s">
        <v>2561</v>
      </c>
      <c r="C1762" s="6" t="s">
        <v>23</v>
      </c>
      <c r="D1762" s="6" t="s">
        <v>4101</v>
      </c>
      <c r="E1762" s="6" t="s">
        <v>149</v>
      </c>
      <c r="F1762" s="6" t="s">
        <v>18</v>
      </c>
      <c r="G1762" s="7">
        <v>0.06</v>
      </c>
      <c r="H1762" s="6" t="s">
        <v>93</v>
      </c>
      <c r="I1762" s="6" t="s">
        <v>20</v>
      </c>
      <c r="J1762" s="6">
        <v>2016.0</v>
      </c>
      <c r="K1762" s="10">
        <v>46024.0</v>
      </c>
      <c r="L1762" s="6">
        <v>2.0</v>
      </c>
      <c r="M1762" s="8">
        <f t="shared" si="2"/>
        <v>0.12</v>
      </c>
      <c r="P1762" s="9"/>
    </row>
    <row r="1763">
      <c r="A1763" s="6" t="s">
        <v>4102</v>
      </c>
      <c r="B1763" s="6" t="s">
        <v>165</v>
      </c>
      <c r="C1763" s="6" t="s">
        <v>212</v>
      </c>
      <c r="D1763" s="6" t="s">
        <v>4103</v>
      </c>
      <c r="E1763" s="6" t="s">
        <v>4104</v>
      </c>
      <c r="F1763" s="6" t="s">
        <v>65</v>
      </c>
      <c r="G1763" s="7">
        <v>17.95</v>
      </c>
      <c r="H1763" s="6" t="s">
        <v>180</v>
      </c>
      <c r="I1763" s="6" t="s">
        <v>20</v>
      </c>
      <c r="J1763" s="6">
        <v>2014.0</v>
      </c>
      <c r="L1763" s="6">
        <v>1.0</v>
      </c>
      <c r="M1763" s="8">
        <f t="shared" si="2"/>
        <v>17.95</v>
      </c>
      <c r="P1763" s="9"/>
    </row>
    <row r="1764">
      <c r="A1764" s="6" t="s">
        <v>4105</v>
      </c>
      <c r="B1764" s="6" t="s">
        <v>250</v>
      </c>
      <c r="C1764" s="6" t="s">
        <v>23</v>
      </c>
      <c r="D1764" s="6" t="s">
        <v>4106</v>
      </c>
      <c r="E1764" s="6" t="s">
        <v>149</v>
      </c>
      <c r="F1764" s="6" t="s">
        <v>18</v>
      </c>
      <c r="G1764" s="7">
        <v>0.18</v>
      </c>
      <c r="H1764" s="6" t="s">
        <v>31</v>
      </c>
      <c r="I1764" s="6" t="s">
        <v>20</v>
      </c>
      <c r="J1764" s="6">
        <v>2026.0</v>
      </c>
      <c r="L1764" s="6">
        <v>1.0</v>
      </c>
      <c r="M1764" s="8">
        <f t="shared" si="2"/>
        <v>0.18</v>
      </c>
      <c r="P1764" s="9"/>
    </row>
    <row r="1765">
      <c r="A1765" s="6" t="s">
        <v>4107</v>
      </c>
      <c r="B1765" s="6" t="s">
        <v>1013</v>
      </c>
      <c r="C1765" s="6" t="s">
        <v>23</v>
      </c>
      <c r="D1765" s="6" t="s">
        <v>4108</v>
      </c>
      <c r="E1765" s="6" t="s">
        <v>30</v>
      </c>
      <c r="F1765" s="6" t="s">
        <v>18</v>
      </c>
      <c r="G1765" s="7">
        <v>0.06</v>
      </c>
      <c r="H1765" s="6" t="s">
        <v>418</v>
      </c>
      <c r="I1765" s="6" t="s">
        <v>20</v>
      </c>
      <c r="J1765" s="6">
        <v>2022.0</v>
      </c>
      <c r="K1765" s="10">
        <v>46179.0</v>
      </c>
      <c r="L1765" s="6">
        <v>3.0</v>
      </c>
      <c r="M1765" s="8">
        <f t="shared" si="2"/>
        <v>0.18</v>
      </c>
      <c r="P1765" s="9"/>
    </row>
    <row r="1766">
      <c r="A1766" s="6" t="s">
        <v>4109</v>
      </c>
      <c r="B1766" s="6" t="s">
        <v>250</v>
      </c>
      <c r="C1766" s="6" t="s">
        <v>48</v>
      </c>
      <c r="D1766" s="6" t="s">
        <v>4110</v>
      </c>
      <c r="E1766" s="6" t="s">
        <v>36</v>
      </c>
      <c r="F1766" s="6" t="s">
        <v>37</v>
      </c>
      <c r="G1766" s="7">
        <v>0.5</v>
      </c>
      <c r="H1766" s="6" t="s">
        <v>245</v>
      </c>
      <c r="I1766" s="6" t="s">
        <v>20</v>
      </c>
      <c r="J1766" s="6">
        <v>1995.0</v>
      </c>
      <c r="L1766" s="6">
        <v>1.0</v>
      </c>
      <c r="M1766" s="8">
        <f t="shared" si="2"/>
        <v>0.5</v>
      </c>
      <c r="P1766" s="9"/>
    </row>
    <row r="1767">
      <c r="A1767" s="6" t="s">
        <v>4111</v>
      </c>
      <c r="B1767" s="6" t="s">
        <v>62</v>
      </c>
      <c r="C1767" s="6" t="s">
        <v>23</v>
      </c>
      <c r="D1767" s="6" t="s">
        <v>4112</v>
      </c>
      <c r="E1767" s="6" t="s">
        <v>223</v>
      </c>
      <c r="F1767" s="6" t="s">
        <v>159</v>
      </c>
      <c r="G1767" s="7">
        <v>1.81</v>
      </c>
      <c r="H1767" s="6" t="s">
        <v>1301</v>
      </c>
      <c r="I1767" s="6" t="s">
        <v>20</v>
      </c>
      <c r="J1767" s="6">
        <v>2022.0</v>
      </c>
      <c r="L1767" s="6">
        <v>1.0</v>
      </c>
      <c r="M1767" s="8">
        <f t="shared" si="2"/>
        <v>1.81</v>
      </c>
      <c r="P1767" s="9"/>
    </row>
    <row r="1768">
      <c r="A1768" s="6" t="s">
        <v>4113</v>
      </c>
      <c r="B1768" s="6" t="s">
        <v>4114</v>
      </c>
      <c r="C1768" s="6" t="s">
        <v>34</v>
      </c>
      <c r="D1768" s="6" t="s">
        <v>4115</v>
      </c>
      <c r="E1768" s="6" t="s">
        <v>364</v>
      </c>
      <c r="F1768" s="6" t="s">
        <v>51</v>
      </c>
      <c r="G1768" s="7">
        <v>0.05</v>
      </c>
      <c r="H1768" s="6" t="s">
        <v>209</v>
      </c>
      <c r="I1768" s="6" t="s">
        <v>20</v>
      </c>
      <c r="J1768" s="6">
        <v>2025.0</v>
      </c>
      <c r="K1768" s="10">
        <v>46082.0</v>
      </c>
      <c r="L1768" s="6">
        <v>7.0</v>
      </c>
      <c r="M1768" s="8">
        <f t="shared" si="2"/>
        <v>0.35</v>
      </c>
      <c r="P1768" s="9"/>
    </row>
    <row r="1769">
      <c r="A1769" s="6" t="s">
        <v>4113</v>
      </c>
      <c r="B1769" s="6" t="s">
        <v>4114</v>
      </c>
      <c r="C1769" s="6" t="s">
        <v>34</v>
      </c>
      <c r="D1769" s="6" t="s">
        <v>4115</v>
      </c>
      <c r="E1769" s="6" t="s">
        <v>364</v>
      </c>
      <c r="F1769" s="6" t="s">
        <v>51</v>
      </c>
      <c r="G1769" s="7">
        <v>0.25</v>
      </c>
      <c r="H1769" s="6" t="s">
        <v>209</v>
      </c>
      <c r="I1769" s="6" t="s">
        <v>55</v>
      </c>
      <c r="J1769" s="6">
        <v>2025.0</v>
      </c>
      <c r="K1769" s="10">
        <v>46082.0</v>
      </c>
      <c r="L1769" s="6">
        <v>2.0</v>
      </c>
      <c r="M1769" s="8">
        <f t="shared" si="2"/>
        <v>0.5</v>
      </c>
      <c r="P1769" s="9"/>
    </row>
    <row r="1770">
      <c r="A1770" s="6" t="s">
        <v>4116</v>
      </c>
      <c r="B1770" s="6" t="s">
        <v>348</v>
      </c>
      <c r="C1770" s="6" t="s">
        <v>15</v>
      </c>
      <c r="D1770" s="6" t="s">
        <v>4117</v>
      </c>
      <c r="E1770" s="6" t="s">
        <v>4118</v>
      </c>
      <c r="F1770" s="6" t="s">
        <v>2365</v>
      </c>
      <c r="G1770" s="7">
        <v>0.25</v>
      </c>
      <c r="H1770" s="6" t="s">
        <v>4119</v>
      </c>
      <c r="I1770" s="6" t="s">
        <v>20</v>
      </c>
      <c r="J1770" s="6">
        <v>2025.0</v>
      </c>
      <c r="K1770" s="10">
        <v>46056.0</v>
      </c>
      <c r="L1770" s="6">
        <v>2.0</v>
      </c>
      <c r="M1770" s="8">
        <f t="shared" si="2"/>
        <v>0.5</v>
      </c>
      <c r="P1770" s="9"/>
    </row>
    <row r="1771">
      <c r="A1771" s="6" t="s">
        <v>4120</v>
      </c>
      <c r="B1771" s="6" t="s">
        <v>4121</v>
      </c>
      <c r="C1771" s="6" t="s">
        <v>1956</v>
      </c>
      <c r="D1771" s="6" t="s">
        <v>4122</v>
      </c>
      <c r="E1771" s="6" t="s">
        <v>4123</v>
      </c>
      <c r="F1771" s="6" t="s">
        <v>284</v>
      </c>
      <c r="G1771" s="7">
        <v>1.76</v>
      </c>
      <c r="H1771" s="6" t="s">
        <v>4124</v>
      </c>
      <c r="I1771" s="6" t="s">
        <v>20</v>
      </c>
      <c r="J1771" s="6">
        <v>2023.0</v>
      </c>
      <c r="K1771" s="10">
        <v>46146.0</v>
      </c>
      <c r="L1771" s="6">
        <v>1.0</v>
      </c>
      <c r="M1771" s="8">
        <f t="shared" si="2"/>
        <v>1.76</v>
      </c>
      <c r="P1771" s="9"/>
    </row>
    <row r="1772">
      <c r="A1772" s="6" t="s">
        <v>4125</v>
      </c>
      <c r="B1772" s="6" t="s">
        <v>62</v>
      </c>
      <c r="C1772" s="6" t="s">
        <v>48</v>
      </c>
      <c r="D1772" s="6" t="s">
        <v>4126</v>
      </c>
      <c r="E1772" s="6" t="s">
        <v>25</v>
      </c>
      <c r="F1772" s="6" t="s">
        <v>18</v>
      </c>
      <c r="G1772" s="7">
        <v>0.08</v>
      </c>
      <c r="H1772" s="6" t="s">
        <v>562</v>
      </c>
      <c r="I1772" s="6" t="s">
        <v>20</v>
      </c>
      <c r="J1772" s="6">
        <v>2017.0</v>
      </c>
      <c r="L1772" s="6">
        <v>1.0</v>
      </c>
      <c r="M1772" s="8">
        <f t="shared" si="2"/>
        <v>0.08</v>
      </c>
      <c r="P1772" s="9"/>
    </row>
    <row r="1773">
      <c r="A1773" s="6" t="s">
        <v>4127</v>
      </c>
      <c r="B1773" s="6" t="s">
        <v>4128</v>
      </c>
      <c r="C1773" s="6" t="s">
        <v>23</v>
      </c>
      <c r="D1773" s="6" t="s">
        <v>4129</v>
      </c>
      <c r="E1773" s="6" t="s">
        <v>50</v>
      </c>
      <c r="F1773" s="6" t="s">
        <v>51</v>
      </c>
      <c r="G1773" s="7">
        <v>0.1</v>
      </c>
      <c r="H1773" s="6" t="s">
        <v>641</v>
      </c>
      <c r="I1773" s="6" t="s">
        <v>20</v>
      </c>
      <c r="J1773" s="6">
        <v>2026.0</v>
      </c>
      <c r="K1773" s="10">
        <v>46115.0</v>
      </c>
      <c r="L1773" s="6">
        <v>2.0</v>
      </c>
      <c r="M1773" s="8">
        <f t="shared" si="2"/>
        <v>0.2</v>
      </c>
      <c r="P1773" s="9"/>
    </row>
    <row r="1774">
      <c r="A1774" s="6" t="s">
        <v>4130</v>
      </c>
      <c r="B1774" s="6" t="s">
        <v>194</v>
      </c>
      <c r="C1774" s="6" t="s">
        <v>48</v>
      </c>
      <c r="D1774" s="6" t="s">
        <v>4131</v>
      </c>
      <c r="E1774" s="6" t="s">
        <v>118</v>
      </c>
      <c r="F1774" s="6" t="s">
        <v>51</v>
      </c>
      <c r="G1774" s="7">
        <v>0.13</v>
      </c>
      <c r="H1774" s="6" t="s">
        <v>324</v>
      </c>
      <c r="I1774" s="6" t="s">
        <v>20</v>
      </c>
      <c r="J1774" s="6">
        <v>2025.0</v>
      </c>
      <c r="L1774" s="6">
        <v>1.0</v>
      </c>
      <c r="M1774" s="8">
        <f t="shared" si="2"/>
        <v>0.13</v>
      </c>
      <c r="P1774" s="9"/>
    </row>
    <row r="1775">
      <c r="A1775" s="6" t="s">
        <v>4132</v>
      </c>
      <c r="B1775" s="6" t="s">
        <v>62</v>
      </c>
      <c r="C1775" s="6" t="s">
        <v>48</v>
      </c>
      <c r="D1775" s="6" t="s">
        <v>4133</v>
      </c>
      <c r="E1775" s="6" t="s">
        <v>118</v>
      </c>
      <c r="F1775" s="6" t="s">
        <v>51</v>
      </c>
      <c r="G1775" s="7">
        <v>0.17</v>
      </c>
      <c r="H1775" s="6" t="s">
        <v>2066</v>
      </c>
      <c r="I1775" s="6" t="s">
        <v>20</v>
      </c>
      <c r="J1775" s="6">
        <v>1997.0</v>
      </c>
      <c r="L1775" s="6">
        <v>1.0</v>
      </c>
      <c r="M1775" s="8">
        <f t="shared" si="2"/>
        <v>0.17</v>
      </c>
      <c r="P1775" s="9"/>
    </row>
    <row r="1776">
      <c r="A1776" s="6" t="s">
        <v>4134</v>
      </c>
      <c r="B1776" s="6" t="s">
        <v>796</v>
      </c>
      <c r="C1776" s="6" t="s">
        <v>15</v>
      </c>
      <c r="D1776" s="6" t="s">
        <v>4135</v>
      </c>
      <c r="E1776" s="6" t="s">
        <v>1265</v>
      </c>
      <c r="F1776" s="6" t="s">
        <v>159</v>
      </c>
      <c r="G1776" s="7">
        <v>0.18</v>
      </c>
      <c r="H1776" s="6" t="s">
        <v>209</v>
      </c>
      <c r="I1776" s="6" t="s">
        <v>20</v>
      </c>
      <c r="J1776" s="6">
        <v>2025.0</v>
      </c>
      <c r="L1776" s="6">
        <v>3.0</v>
      </c>
      <c r="M1776" s="8">
        <f t="shared" si="2"/>
        <v>0.54</v>
      </c>
      <c r="P1776" s="9"/>
    </row>
    <row r="1777">
      <c r="A1777" s="6" t="s">
        <v>4136</v>
      </c>
      <c r="B1777" s="6" t="s">
        <v>291</v>
      </c>
      <c r="C1777" s="6" t="s">
        <v>23</v>
      </c>
      <c r="D1777" s="6" t="s">
        <v>4137</v>
      </c>
      <c r="E1777" s="6" t="s">
        <v>25</v>
      </c>
      <c r="F1777" s="6" t="s">
        <v>18</v>
      </c>
      <c r="G1777" s="7">
        <v>0.2</v>
      </c>
      <c r="H1777" s="6" t="s">
        <v>596</v>
      </c>
      <c r="I1777" s="6" t="s">
        <v>20</v>
      </c>
      <c r="J1777" s="6">
        <v>2012.0</v>
      </c>
      <c r="K1777" s="10">
        <v>46113.0</v>
      </c>
      <c r="L1777" s="6">
        <v>1.0</v>
      </c>
      <c r="M1777" s="8">
        <f t="shared" si="2"/>
        <v>0.2</v>
      </c>
      <c r="P1777" s="9"/>
    </row>
    <row r="1778">
      <c r="A1778" s="6" t="s">
        <v>4138</v>
      </c>
      <c r="B1778" s="6" t="s">
        <v>62</v>
      </c>
      <c r="C1778" s="6" t="s">
        <v>23</v>
      </c>
      <c r="D1778" s="6" t="s">
        <v>4139</v>
      </c>
      <c r="E1778" s="6" t="s">
        <v>196</v>
      </c>
      <c r="F1778" s="6" t="s">
        <v>65</v>
      </c>
      <c r="G1778" s="7">
        <v>12.26</v>
      </c>
      <c r="H1778" s="6" t="s">
        <v>146</v>
      </c>
      <c r="I1778" s="6" t="s">
        <v>20</v>
      </c>
      <c r="J1778" s="6">
        <v>2010.0</v>
      </c>
      <c r="L1778" s="6">
        <v>4.0</v>
      </c>
      <c r="M1778" s="8">
        <f t="shared" si="2"/>
        <v>49.04</v>
      </c>
      <c r="P1778" s="9"/>
    </row>
    <row r="1779">
      <c r="A1779" s="6" t="s">
        <v>4140</v>
      </c>
      <c r="B1779" s="6" t="s">
        <v>250</v>
      </c>
      <c r="C1779" s="6" t="s">
        <v>571</v>
      </c>
      <c r="D1779" s="6" t="s">
        <v>4141</v>
      </c>
      <c r="E1779" s="6" t="s">
        <v>36</v>
      </c>
      <c r="F1779" s="6" t="s">
        <v>452</v>
      </c>
      <c r="G1779" s="7">
        <v>0.05</v>
      </c>
      <c r="H1779" s="6" t="s">
        <v>305</v>
      </c>
      <c r="I1779" s="6" t="s">
        <v>20</v>
      </c>
      <c r="J1779" s="6">
        <v>2003.0</v>
      </c>
      <c r="L1779" s="6">
        <v>1.0</v>
      </c>
      <c r="M1779" s="8">
        <f t="shared" si="2"/>
        <v>0.05</v>
      </c>
      <c r="P1779" s="9"/>
    </row>
    <row r="1780">
      <c r="A1780" s="6" t="s">
        <v>4142</v>
      </c>
      <c r="B1780" s="6" t="s">
        <v>3378</v>
      </c>
      <c r="C1780" s="6" t="s">
        <v>15</v>
      </c>
      <c r="D1780" s="6" t="s">
        <v>4143</v>
      </c>
      <c r="E1780" s="6" t="s">
        <v>4144</v>
      </c>
      <c r="F1780" s="6" t="s">
        <v>65</v>
      </c>
      <c r="G1780" s="7">
        <v>0.26</v>
      </c>
      <c r="H1780" s="6" t="s">
        <v>1043</v>
      </c>
      <c r="I1780" s="6" t="s">
        <v>55</v>
      </c>
      <c r="J1780" s="6">
        <v>2025.0</v>
      </c>
      <c r="K1780" s="10">
        <v>46148.0</v>
      </c>
      <c r="L1780" s="6">
        <v>1.0</v>
      </c>
      <c r="M1780" s="8">
        <f t="shared" si="2"/>
        <v>0.26</v>
      </c>
      <c r="P1780" s="9"/>
    </row>
    <row r="1781">
      <c r="A1781" s="6" t="s">
        <v>4145</v>
      </c>
      <c r="B1781" s="6" t="s">
        <v>4146</v>
      </c>
      <c r="C1781" s="6" t="s">
        <v>15</v>
      </c>
      <c r="D1781" s="6" t="s">
        <v>4147</v>
      </c>
      <c r="E1781" s="6" t="s">
        <v>17</v>
      </c>
      <c r="F1781" s="6" t="s">
        <v>18</v>
      </c>
      <c r="G1781" s="7">
        <v>0.5</v>
      </c>
      <c r="H1781" s="6" t="s">
        <v>19</v>
      </c>
      <c r="I1781" s="6" t="s">
        <v>20</v>
      </c>
      <c r="J1781" s="6">
        <v>2023.0</v>
      </c>
      <c r="K1781" s="10">
        <v>46114.0</v>
      </c>
      <c r="L1781" s="6">
        <v>2.0</v>
      </c>
      <c r="M1781" s="8">
        <f t="shared" si="2"/>
        <v>1</v>
      </c>
      <c r="P1781" s="9"/>
    </row>
    <row r="1782">
      <c r="A1782" s="6" t="s">
        <v>4148</v>
      </c>
      <c r="B1782" s="6" t="s">
        <v>2011</v>
      </c>
      <c r="C1782" s="6" t="s">
        <v>23</v>
      </c>
      <c r="D1782" s="6" t="s">
        <v>4149</v>
      </c>
      <c r="E1782" s="6" t="s">
        <v>4150</v>
      </c>
      <c r="F1782" s="6" t="s">
        <v>826</v>
      </c>
      <c r="G1782" s="7">
        <v>0.11</v>
      </c>
      <c r="H1782" s="6" t="s">
        <v>641</v>
      </c>
      <c r="I1782" s="6" t="s">
        <v>20</v>
      </c>
      <c r="J1782" s="6">
        <v>2026.0</v>
      </c>
      <c r="K1782" s="10">
        <v>46057.0</v>
      </c>
      <c r="L1782" s="6">
        <v>2.0</v>
      </c>
      <c r="M1782" s="8">
        <f t="shared" si="2"/>
        <v>0.22</v>
      </c>
      <c r="P1782" s="9"/>
    </row>
    <row r="1783">
      <c r="A1783" s="6" t="s">
        <v>4151</v>
      </c>
      <c r="B1783" s="6" t="s">
        <v>815</v>
      </c>
      <c r="C1783" s="6" t="s">
        <v>23</v>
      </c>
      <c r="D1783" s="6" t="s">
        <v>4152</v>
      </c>
      <c r="E1783" s="6" t="s">
        <v>1336</v>
      </c>
      <c r="F1783" s="6" t="s">
        <v>103</v>
      </c>
      <c r="G1783" s="7">
        <v>0.1</v>
      </c>
      <c r="H1783" s="6" t="s">
        <v>245</v>
      </c>
      <c r="I1783" s="6" t="s">
        <v>20</v>
      </c>
      <c r="J1783" s="6">
        <v>1995.0</v>
      </c>
      <c r="K1783" s="10">
        <v>46055.0</v>
      </c>
      <c r="L1783" s="6">
        <v>3.0</v>
      </c>
      <c r="M1783" s="8">
        <f t="shared" si="2"/>
        <v>0.3</v>
      </c>
      <c r="P1783" s="9"/>
    </row>
    <row r="1784">
      <c r="A1784" s="6" t="s">
        <v>4153</v>
      </c>
      <c r="B1784" s="6" t="s">
        <v>2599</v>
      </c>
      <c r="C1784" s="6" t="s">
        <v>48</v>
      </c>
      <c r="D1784" s="6" t="s">
        <v>4154</v>
      </c>
      <c r="E1784" s="6" t="s">
        <v>4155</v>
      </c>
      <c r="F1784" s="6" t="s">
        <v>426</v>
      </c>
      <c r="G1784" s="7">
        <v>0.05</v>
      </c>
      <c r="H1784" s="6" t="s">
        <v>430</v>
      </c>
      <c r="I1784" s="6" t="s">
        <v>20</v>
      </c>
      <c r="J1784" s="6">
        <v>2018.0</v>
      </c>
      <c r="K1784" s="10">
        <v>46084.0</v>
      </c>
      <c r="L1784" s="6">
        <v>1.0</v>
      </c>
      <c r="M1784" s="8">
        <f t="shared" si="2"/>
        <v>0.05</v>
      </c>
      <c r="P1784" s="9"/>
    </row>
    <row r="1785">
      <c r="A1785" s="6" t="s">
        <v>4156</v>
      </c>
      <c r="B1785" s="6" t="s">
        <v>4157</v>
      </c>
      <c r="C1785" s="6" t="s">
        <v>15</v>
      </c>
      <c r="D1785" s="6" t="s">
        <v>4158</v>
      </c>
      <c r="E1785" s="6" t="s">
        <v>3869</v>
      </c>
      <c r="F1785" s="6" t="s">
        <v>4159</v>
      </c>
      <c r="G1785" s="7">
        <v>0.32</v>
      </c>
      <c r="H1785" s="6" t="s">
        <v>209</v>
      </c>
      <c r="I1785" s="6" t="s">
        <v>20</v>
      </c>
      <c r="J1785" s="6">
        <v>2025.0</v>
      </c>
      <c r="K1785" s="10">
        <v>46055.0</v>
      </c>
      <c r="L1785" s="6">
        <v>1.0</v>
      </c>
      <c r="M1785" s="8">
        <f t="shared" si="2"/>
        <v>0.32</v>
      </c>
      <c r="P1785" s="9"/>
    </row>
    <row r="1786">
      <c r="A1786" s="6" t="s">
        <v>4160</v>
      </c>
      <c r="B1786" s="6" t="s">
        <v>4161</v>
      </c>
      <c r="C1786" s="6" t="s">
        <v>48</v>
      </c>
      <c r="D1786" s="6" t="s">
        <v>4162</v>
      </c>
      <c r="E1786" s="6" t="s">
        <v>533</v>
      </c>
      <c r="F1786" s="6" t="s">
        <v>65</v>
      </c>
      <c r="G1786" s="7">
        <v>0.18</v>
      </c>
      <c r="H1786" s="6" t="s">
        <v>204</v>
      </c>
      <c r="I1786" s="6" t="s">
        <v>20</v>
      </c>
      <c r="J1786" s="6">
        <v>2026.0</v>
      </c>
      <c r="K1786" s="10">
        <v>46115.0</v>
      </c>
      <c r="L1786" s="6">
        <v>1.0</v>
      </c>
      <c r="M1786" s="8">
        <f t="shared" si="2"/>
        <v>0.18</v>
      </c>
      <c r="P1786" s="9"/>
    </row>
    <row r="1787">
      <c r="A1787" s="6" t="s">
        <v>4163</v>
      </c>
      <c r="B1787" s="6" t="s">
        <v>4164</v>
      </c>
      <c r="C1787" s="6" t="s">
        <v>41</v>
      </c>
      <c r="D1787" s="11" t="str">
        <f>+1: Untap two target lands. −1: Create a 3/3 green Beast creature token. −4: Creatures you control get +3/+3 and gain trample until end of turn. / +1: Desvire dois terrenos alvo. -1: Coloque no campo de batalha uma ficha de criatura verde 3/3 do tipo Besta. -4: As criaturas que você controla recebem +3/+3 e ganham atropelar até o final do turno.</f>
        <v>#ERROR!</v>
      </c>
      <c r="E1787" s="6" t="s">
        <v>937</v>
      </c>
      <c r="F1787" s="6" t="s">
        <v>159</v>
      </c>
      <c r="G1787" s="7">
        <v>6.83</v>
      </c>
      <c r="H1787" s="6" t="s">
        <v>396</v>
      </c>
      <c r="I1787" s="6" t="s">
        <v>20</v>
      </c>
      <c r="J1787" s="6">
        <v>2007.0</v>
      </c>
      <c r="L1787" s="6">
        <v>1.0</v>
      </c>
      <c r="M1787" s="8">
        <f t="shared" si="2"/>
        <v>6.83</v>
      </c>
      <c r="N1787" s="6" t="s">
        <v>172</v>
      </c>
      <c r="P1787" s="9"/>
    </row>
    <row r="1788">
      <c r="A1788" s="6" t="s">
        <v>4165</v>
      </c>
      <c r="B1788" s="6" t="s">
        <v>841</v>
      </c>
      <c r="C1788" s="6" t="s">
        <v>48</v>
      </c>
      <c r="D1788" s="6" t="s">
        <v>4166</v>
      </c>
      <c r="E1788" s="6" t="s">
        <v>458</v>
      </c>
      <c r="F1788" s="6" t="s">
        <v>37</v>
      </c>
      <c r="G1788" s="7">
        <v>0.09</v>
      </c>
      <c r="H1788" s="6" t="s">
        <v>185</v>
      </c>
      <c r="I1788" s="6" t="s">
        <v>20</v>
      </c>
      <c r="J1788" s="6">
        <v>2019.0</v>
      </c>
      <c r="K1788" s="10">
        <v>46242.0</v>
      </c>
      <c r="L1788" s="6">
        <v>1.0</v>
      </c>
      <c r="M1788" s="8">
        <f t="shared" si="2"/>
        <v>0.09</v>
      </c>
      <c r="P1788" s="9"/>
    </row>
    <row r="1789">
      <c r="A1789" s="6" t="s">
        <v>4167</v>
      </c>
      <c r="B1789" s="6" t="s">
        <v>4168</v>
      </c>
      <c r="C1789" s="6" t="s">
        <v>48</v>
      </c>
      <c r="D1789" s="6" t="s">
        <v>4169</v>
      </c>
      <c r="E1789" s="6" t="s">
        <v>270</v>
      </c>
      <c r="F1789" s="6" t="s">
        <v>159</v>
      </c>
      <c r="G1789" s="7">
        <v>0.13</v>
      </c>
      <c r="H1789" s="6" t="s">
        <v>185</v>
      </c>
      <c r="I1789" s="6" t="s">
        <v>20</v>
      </c>
      <c r="J1789" s="6">
        <v>2019.0</v>
      </c>
      <c r="K1789" s="10">
        <v>46055.0</v>
      </c>
      <c r="L1789" s="6">
        <v>3.0</v>
      </c>
      <c r="M1789" s="8">
        <f t="shared" si="2"/>
        <v>0.39</v>
      </c>
      <c r="P1789" s="9"/>
    </row>
    <row r="1790">
      <c r="A1790" s="6" t="s">
        <v>4170</v>
      </c>
      <c r="B1790" s="6" t="s">
        <v>960</v>
      </c>
      <c r="C1790" s="6" t="s">
        <v>23</v>
      </c>
      <c r="D1790" s="6" t="s">
        <v>4171</v>
      </c>
      <c r="F1790" s="6" t="s">
        <v>37</v>
      </c>
      <c r="G1790" s="7">
        <v>0.1</v>
      </c>
      <c r="H1790" s="6" t="s">
        <v>185</v>
      </c>
      <c r="I1790" s="6" t="s">
        <v>20</v>
      </c>
      <c r="J1790" s="6">
        <v>2019.0</v>
      </c>
      <c r="L1790" s="6">
        <v>3.0</v>
      </c>
      <c r="M1790" s="8">
        <f t="shared" si="2"/>
        <v>0.3</v>
      </c>
      <c r="P1790" s="9"/>
    </row>
    <row r="1791">
      <c r="A1791" s="6" t="s">
        <v>4172</v>
      </c>
      <c r="B1791" s="6" t="s">
        <v>182</v>
      </c>
      <c r="C1791" s="6" t="s">
        <v>23</v>
      </c>
      <c r="D1791" s="6" t="s">
        <v>4173</v>
      </c>
      <c r="E1791" s="6" t="s">
        <v>118</v>
      </c>
      <c r="F1791" s="6" t="s">
        <v>51</v>
      </c>
      <c r="G1791" s="7">
        <v>0.08</v>
      </c>
      <c r="H1791" s="6" t="s">
        <v>380</v>
      </c>
      <c r="I1791" s="6" t="s">
        <v>20</v>
      </c>
      <c r="J1791" s="6">
        <v>2025.0</v>
      </c>
      <c r="L1791" s="6">
        <v>1.0</v>
      </c>
      <c r="M1791" s="8">
        <f t="shared" si="2"/>
        <v>0.08</v>
      </c>
      <c r="P1791" s="9"/>
    </row>
    <row r="1792">
      <c r="A1792" s="6" t="s">
        <v>4174</v>
      </c>
      <c r="B1792" s="6" t="s">
        <v>4175</v>
      </c>
      <c r="C1792" s="6" t="s">
        <v>287</v>
      </c>
      <c r="D1792" s="6" t="s">
        <v>4176</v>
      </c>
      <c r="E1792" s="6" t="s">
        <v>102</v>
      </c>
      <c r="F1792" s="6" t="s">
        <v>103</v>
      </c>
      <c r="G1792" s="7">
        <v>0.11</v>
      </c>
      <c r="H1792" s="6" t="s">
        <v>1494</v>
      </c>
      <c r="I1792" s="6" t="s">
        <v>20</v>
      </c>
      <c r="J1792" s="6">
        <v>2012.0</v>
      </c>
      <c r="K1792" s="10">
        <v>46023.0</v>
      </c>
      <c r="L1792" s="6">
        <v>4.0</v>
      </c>
      <c r="M1792" s="8">
        <f t="shared" si="2"/>
        <v>0.44</v>
      </c>
      <c r="P1792" s="9"/>
    </row>
    <row r="1793">
      <c r="A1793" s="6" t="s">
        <v>4177</v>
      </c>
      <c r="B1793" s="6" t="s">
        <v>543</v>
      </c>
      <c r="C1793" s="6" t="s">
        <v>23</v>
      </c>
      <c r="D1793" s="6" t="s">
        <v>4178</v>
      </c>
      <c r="E1793" s="6" t="s">
        <v>102</v>
      </c>
      <c r="F1793" s="6" t="s">
        <v>103</v>
      </c>
      <c r="G1793" s="7">
        <v>0.05</v>
      </c>
      <c r="H1793" s="6" t="s">
        <v>245</v>
      </c>
      <c r="I1793" s="6" t="s">
        <v>20</v>
      </c>
      <c r="J1793" s="6">
        <v>1995.0</v>
      </c>
      <c r="L1793" s="6">
        <v>2.0</v>
      </c>
      <c r="M1793" s="8">
        <f t="shared" si="2"/>
        <v>0.1</v>
      </c>
      <c r="P1793" s="9"/>
    </row>
    <row r="1794">
      <c r="A1794" s="6" t="s">
        <v>4179</v>
      </c>
      <c r="B1794" s="6" t="s">
        <v>2518</v>
      </c>
      <c r="C1794" s="6" t="s">
        <v>23</v>
      </c>
      <c r="D1794" s="6" t="s">
        <v>4180</v>
      </c>
      <c r="E1794" s="6" t="s">
        <v>2520</v>
      </c>
      <c r="F1794" s="6" t="s">
        <v>18</v>
      </c>
      <c r="G1794" s="7">
        <v>0.1</v>
      </c>
      <c r="H1794" s="6" t="s">
        <v>324</v>
      </c>
      <c r="I1794" s="6" t="s">
        <v>20</v>
      </c>
      <c r="J1794" s="6">
        <v>2025.0</v>
      </c>
      <c r="K1794" s="10">
        <v>46178.0</v>
      </c>
      <c r="L1794" s="6">
        <v>2.0</v>
      </c>
      <c r="M1794" s="8">
        <f t="shared" si="2"/>
        <v>0.2</v>
      </c>
      <c r="P1794" s="9"/>
    </row>
    <row r="1795">
      <c r="A1795" s="6" t="s">
        <v>4179</v>
      </c>
      <c r="B1795" s="6" t="s">
        <v>2518</v>
      </c>
      <c r="C1795" s="6" t="s">
        <v>23</v>
      </c>
      <c r="D1795" s="6" t="s">
        <v>4180</v>
      </c>
      <c r="E1795" s="6" t="s">
        <v>2520</v>
      </c>
      <c r="F1795" s="6" t="s">
        <v>18</v>
      </c>
      <c r="G1795" s="7">
        <v>0.09</v>
      </c>
      <c r="H1795" s="6" t="s">
        <v>316</v>
      </c>
      <c r="I1795" s="6" t="s">
        <v>20</v>
      </c>
      <c r="J1795" s="6">
        <v>2016.0</v>
      </c>
      <c r="K1795" s="10">
        <v>46178.0</v>
      </c>
      <c r="L1795" s="6">
        <v>2.0</v>
      </c>
      <c r="M1795" s="8">
        <f t="shared" si="2"/>
        <v>0.18</v>
      </c>
      <c r="P1795" s="9"/>
    </row>
    <row r="1796">
      <c r="A1796" s="6" t="s">
        <v>4181</v>
      </c>
      <c r="B1796" s="6" t="s">
        <v>4182</v>
      </c>
      <c r="C1796" s="6" t="s">
        <v>48</v>
      </c>
      <c r="D1796" s="6" t="s">
        <v>4183</v>
      </c>
      <c r="E1796" s="6" t="s">
        <v>118</v>
      </c>
      <c r="F1796" s="6" t="s">
        <v>51</v>
      </c>
      <c r="G1796" s="7">
        <v>0.06</v>
      </c>
      <c r="H1796" s="6" t="s">
        <v>66</v>
      </c>
      <c r="I1796" s="6" t="s">
        <v>20</v>
      </c>
      <c r="J1796" s="6">
        <v>2016.0</v>
      </c>
      <c r="K1796" s="10">
        <v>46083.0</v>
      </c>
      <c r="L1796" s="6">
        <v>2.0</v>
      </c>
      <c r="M1796" s="8">
        <f t="shared" si="2"/>
        <v>0.12</v>
      </c>
      <c r="P1796" s="9"/>
    </row>
    <row r="1797">
      <c r="A1797" s="6" t="s">
        <v>4184</v>
      </c>
      <c r="B1797" s="6" t="s">
        <v>1926</v>
      </c>
      <c r="C1797" s="6" t="s">
        <v>48</v>
      </c>
      <c r="D1797" s="6" t="s">
        <v>4185</v>
      </c>
      <c r="E1797" s="6" t="s">
        <v>625</v>
      </c>
      <c r="F1797" s="6" t="s">
        <v>37</v>
      </c>
      <c r="G1797" s="7">
        <v>0.07</v>
      </c>
      <c r="H1797" s="6" t="s">
        <v>66</v>
      </c>
      <c r="I1797" s="6" t="s">
        <v>20</v>
      </c>
      <c r="J1797" s="6">
        <v>2016.0</v>
      </c>
      <c r="K1797" s="10">
        <v>46116.0</v>
      </c>
      <c r="L1797" s="6">
        <v>1.0</v>
      </c>
      <c r="M1797" s="8">
        <f t="shared" si="2"/>
        <v>0.07</v>
      </c>
      <c r="P1797" s="9"/>
    </row>
    <row r="1798">
      <c r="A1798" s="6" t="s">
        <v>4186</v>
      </c>
      <c r="B1798" s="6" t="s">
        <v>413</v>
      </c>
      <c r="C1798" s="6" t="s">
        <v>287</v>
      </c>
      <c r="D1798" s="6" t="s">
        <v>4187</v>
      </c>
      <c r="E1798" s="6" t="s">
        <v>293</v>
      </c>
      <c r="F1798" s="6" t="s">
        <v>18</v>
      </c>
      <c r="G1798" s="7">
        <v>0.12</v>
      </c>
      <c r="H1798" s="6" t="s">
        <v>4188</v>
      </c>
      <c r="I1798" s="6" t="s">
        <v>20</v>
      </c>
      <c r="J1798" s="6">
        <v>2023.0</v>
      </c>
      <c r="L1798" s="6">
        <v>1.0</v>
      </c>
      <c r="M1798" s="8">
        <f t="shared" si="2"/>
        <v>0.12</v>
      </c>
      <c r="P1798" s="9"/>
    </row>
    <row r="1799">
      <c r="A1799" s="6" t="s">
        <v>4189</v>
      </c>
      <c r="B1799" s="6" t="s">
        <v>4190</v>
      </c>
      <c r="C1799" s="6" t="s">
        <v>48</v>
      </c>
      <c r="D1799" s="6" t="s">
        <v>4191</v>
      </c>
      <c r="E1799" s="6" t="s">
        <v>2129</v>
      </c>
      <c r="F1799" s="6" t="s">
        <v>65</v>
      </c>
      <c r="G1799" s="7">
        <v>0.13</v>
      </c>
      <c r="H1799" s="6" t="s">
        <v>192</v>
      </c>
      <c r="I1799" s="6" t="s">
        <v>20</v>
      </c>
      <c r="J1799" s="6">
        <v>2026.0</v>
      </c>
      <c r="K1799" s="10">
        <v>46085.0</v>
      </c>
      <c r="L1799" s="6">
        <v>1.0</v>
      </c>
      <c r="M1799" s="8">
        <f t="shared" si="2"/>
        <v>0.13</v>
      </c>
      <c r="P1799" s="9"/>
    </row>
    <row r="1800">
      <c r="A1800" s="6" t="s">
        <v>4192</v>
      </c>
      <c r="B1800" s="6" t="s">
        <v>413</v>
      </c>
      <c r="C1800" s="6" t="s">
        <v>72</v>
      </c>
      <c r="D1800" s="6" t="s">
        <v>4193</v>
      </c>
      <c r="E1800" s="6" t="s">
        <v>650</v>
      </c>
      <c r="F1800" s="6" t="s">
        <v>4194</v>
      </c>
      <c r="G1800" s="7">
        <v>0.75</v>
      </c>
      <c r="H1800" s="6" t="s">
        <v>509</v>
      </c>
      <c r="I1800" s="6" t="s">
        <v>20</v>
      </c>
      <c r="J1800" s="6">
        <v>2024.0</v>
      </c>
      <c r="L1800" s="6">
        <v>1.0</v>
      </c>
      <c r="M1800" s="8">
        <f t="shared" si="2"/>
        <v>0.75</v>
      </c>
      <c r="P1800" s="9"/>
    </row>
    <row r="1801">
      <c r="A1801" s="6" t="s">
        <v>4195</v>
      </c>
      <c r="B1801" s="6" t="s">
        <v>4196</v>
      </c>
      <c r="C1801" s="6" t="s">
        <v>48</v>
      </c>
      <c r="D1801" s="6" t="s">
        <v>4197</v>
      </c>
      <c r="E1801" s="6" t="s">
        <v>650</v>
      </c>
      <c r="F1801" s="6" t="s">
        <v>284</v>
      </c>
      <c r="G1801" s="7">
        <v>0.14</v>
      </c>
      <c r="H1801" s="6" t="s">
        <v>192</v>
      </c>
      <c r="I1801" s="6" t="s">
        <v>20</v>
      </c>
      <c r="J1801" s="6">
        <v>2026.0</v>
      </c>
      <c r="K1801" s="10">
        <v>46082.0</v>
      </c>
      <c r="L1801" s="6">
        <v>2.0</v>
      </c>
      <c r="M1801" s="8">
        <f t="shared" si="2"/>
        <v>0.28</v>
      </c>
      <c r="P1801" s="9"/>
    </row>
    <row r="1802">
      <c r="A1802" s="6" t="s">
        <v>4198</v>
      </c>
      <c r="B1802" s="6" t="s">
        <v>4199</v>
      </c>
      <c r="C1802" s="6" t="s">
        <v>48</v>
      </c>
      <c r="D1802" s="6" t="s">
        <v>4200</v>
      </c>
      <c r="E1802" s="6" t="s">
        <v>248</v>
      </c>
      <c r="F1802" s="6" t="s">
        <v>18</v>
      </c>
      <c r="G1802" s="7">
        <v>0.5</v>
      </c>
      <c r="H1802" s="6" t="s">
        <v>2401</v>
      </c>
      <c r="I1802" s="6" t="s">
        <v>55</v>
      </c>
      <c r="J1802" s="6">
        <v>2018.0</v>
      </c>
      <c r="L1802" s="6">
        <v>1.0</v>
      </c>
      <c r="M1802" s="8">
        <f t="shared" si="2"/>
        <v>0.5</v>
      </c>
      <c r="P1802" s="9"/>
    </row>
    <row r="1803">
      <c r="A1803" s="6" t="s">
        <v>4201</v>
      </c>
      <c r="B1803" s="6" t="s">
        <v>151</v>
      </c>
      <c r="C1803" s="6" t="s">
        <v>23</v>
      </c>
      <c r="D1803" s="6" t="s">
        <v>4202</v>
      </c>
      <c r="E1803" s="6" t="s">
        <v>298</v>
      </c>
      <c r="F1803" s="6" t="s">
        <v>159</v>
      </c>
      <c r="G1803" s="7">
        <v>0.06</v>
      </c>
      <c r="H1803" s="7" t="s">
        <v>418</v>
      </c>
      <c r="I1803" s="6" t="s">
        <v>20</v>
      </c>
      <c r="J1803" s="6">
        <v>2022.0</v>
      </c>
      <c r="K1803" s="10">
        <v>46085.0</v>
      </c>
      <c r="L1803" s="6">
        <v>1.0</v>
      </c>
      <c r="M1803" s="8">
        <f t="shared" si="2"/>
        <v>0.06</v>
      </c>
      <c r="P1803" s="9"/>
    </row>
    <row r="1804">
      <c r="A1804" s="6" t="s">
        <v>4203</v>
      </c>
      <c r="B1804" s="6" t="s">
        <v>2405</v>
      </c>
      <c r="C1804" s="6" t="s">
        <v>287</v>
      </c>
      <c r="D1804" s="6" t="s">
        <v>4204</v>
      </c>
      <c r="E1804" s="6" t="s">
        <v>1336</v>
      </c>
      <c r="F1804" s="6" t="s">
        <v>103</v>
      </c>
      <c r="G1804" s="7">
        <v>1.31</v>
      </c>
      <c r="H1804" s="6" t="s">
        <v>491</v>
      </c>
      <c r="I1804" s="6" t="s">
        <v>55</v>
      </c>
      <c r="J1804" s="6">
        <v>2011.0</v>
      </c>
      <c r="K1804" s="10">
        <v>46055.0</v>
      </c>
      <c r="L1804" s="6">
        <v>1.0</v>
      </c>
      <c r="M1804" s="8">
        <f t="shared" si="2"/>
        <v>1.31</v>
      </c>
      <c r="P1804" s="9"/>
    </row>
    <row r="1805">
      <c r="A1805" s="6" t="s">
        <v>4205</v>
      </c>
      <c r="B1805" s="6" t="s">
        <v>62</v>
      </c>
      <c r="C1805" s="6" t="s">
        <v>23</v>
      </c>
      <c r="D1805" s="6" t="s">
        <v>4206</v>
      </c>
      <c r="E1805" s="6" t="s">
        <v>4155</v>
      </c>
      <c r="F1805" s="6" t="s">
        <v>426</v>
      </c>
      <c r="G1805" s="7">
        <v>0.03</v>
      </c>
      <c r="H1805" s="6" t="s">
        <v>185</v>
      </c>
      <c r="I1805" s="6" t="s">
        <v>20</v>
      </c>
      <c r="J1805" s="6">
        <v>2019.0</v>
      </c>
      <c r="L1805" s="6">
        <v>1.0</v>
      </c>
      <c r="M1805" s="8">
        <f t="shared" si="2"/>
        <v>0.03</v>
      </c>
      <c r="P1805" s="9"/>
    </row>
    <row r="1806">
      <c r="A1806" s="6" t="s">
        <v>4205</v>
      </c>
      <c r="B1806" s="6" t="s">
        <v>62</v>
      </c>
      <c r="C1806" s="6" t="s">
        <v>23</v>
      </c>
      <c r="D1806" s="6" t="s">
        <v>4206</v>
      </c>
      <c r="E1806" s="6" t="s">
        <v>4155</v>
      </c>
      <c r="F1806" s="6" t="s">
        <v>426</v>
      </c>
      <c r="G1806" s="7">
        <v>0.03</v>
      </c>
      <c r="H1806" s="6" t="s">
        <v>185</v>
      </c>
      <c r="I1806" s="6" t="s">
        <v>20</v>
      </c>
      <c r="J1806" s="6">
        <v>2019.0</v>
      </c>
      <c r="L1806" s="6">
        <v>1.0</v>
      </c>
      <c r="M1806" s="8">
        <f t="shared" si="2"/>
        <v>0.03</v>
      </c>
      <c r="P1806" s="9"/>
    </row>
    <row r="1807">
      <c r="A1807" s="6" t="s">
        <v>4207</v>
      </c>
      <c r="B1807" s="6" t="s">
        <v>3890</v>
      </c>
      <c r="C1807" s="6" t="s">
        <v>23</v>
      </c>
      <c r="D1807" s="6" t="s">
        <v>4208</v>
      </c>
      <c r="E1807" s="6" t="s">
        <v>558</v>
      </c>
      <c r="F1807" s="6" t="s">
        <v>18</v>
      </c>
      <c r="G1807" s="7">
        <v>0.05</v>
      </c>
      <c r="H1807" s="6" t="s">
        <v>45</v>
      </c>
      <c r="I1807" s="6" t="s">
        <v>20</v>
      </c>
      <c r="J1807" s="6">
        <v>2025.0</v>
      </c>
      <c r="K1807" s="10">
        <v>46085.0</v>
      </c>
      <c r="L1807" s="6">
        <v>2.0</v>
      </c>
      <c r="M1807" s="8">
        <f t="shared" si="2"/>
        <v>0.1</v>
      </c>
      <c r="P1807" s="9"/>
    </row>
    <row r="1808">
      <c r="A1808" s="6" t="s">
        <v>4209</v>
      </c>
      <c r="B1808" s="6" t="s">
        <v>202</v>
      </c>
      <c r="C1808" s="6" t="s">
        <v>48</v>
      </c>
      <c r="D1808" s="6" t="s">
        <v>4210</v>
      </c>
      <c r="E1808" s="6" t="s">
        <v>64</v>
      </c>
      <c r="F1808" s="6" t="s">
        <v>65</v>
      </c>
      <c r="G1808" s="7">
        <v>0.1</v>
      </c>
      <c r="H1808" s="6" t="s">
        <v>184</v>
      </c>
      <c r="I1808" s="6" t="s">
        <v>20</v>
      </c>
      <c r="J1808" s="6">
        <v>2015.0</v>
      </c>
      <c r="L1808" s="6">
        <v>1.0</v>
      </c>
      <c r="M1808" s="8">
        <f t="shared" si="2"/>
        <v>0.1</v>
      </c>
      <c r="P1808" s="9"/>
    </row>
    <row r="1809">
      <c r="A1809" s="6" t="s">
        <v>4211</v>
      </c>
      <c r="B1809" s="6" t="s">
        <v>258</v>
      </c>
      <c r="C1809" s="6" t="s">
        <v>23</v>
      </c>
      <c r="D1809" s="6" t="s">
        <v>4212</v>
      </c>
      <c r="E1809" s="6" t="s">
        <v>64</v>
      </c>
      <c r="F1809" s="6" t="s">
        <v>65</v>
      </c>
      <c r="G1809" s="7">
        <v>0.04</v>
      </c>
      <c r="H1809" s="6" t="s">
        <v>184</v>
      </c>
      <c r="I1809" s="6" t="s">
        <v>20</v>
      </c>
      <c r="J1809" s="6">
        <v>2015.0</v>
      </c>
      <c r="K1809" s="10">
        <v>46024.0</v>
      </c>
      <c r="L1809" s="6">
        <v>3.0</v>
      </c>
      <c r="M1809" s="8">
        <f t="shared" si="2"/>
        <v>0.12</v>
      </c>
      <c r="P1809" s="9"/>
    </row>
    <row r="1810">
      <c r="A1810" s="6" t="s">
        <v>4213</v>
      </c>
      <c r="B1810" s="6" t="s">
        <v>1907</v>
      </c>
      <c r="C1810" s="6" t="s">
        <v>48</v>
      </c>
      <c r="D1810" s="6" t="s">
        <v>4214</v>
      </c>
      <c r="E1810" s="6" t="s">
        <v>270</v>
      </c>
      <c r="F1810" s="6" t="s">
        <v>159</v>
      </c>
      <c r="G1810" s="7">
        <v>0.17</v>
      </c>
      <c r="H1810" s="6" t="s">
        <v>1933</v>
      </c>
      <c r="I1810" s="6" t="s">
        <v>20</v>
      </c>
      <c r="J1810" s="6">
        <v>2020.0</v>
      </c>
      <c r="K1810" s="10">
        <v>46056.0</v>
      </c>
      <c r="L1810" s="6">
        <v>1.0</v>
      </c>
      <c r="M1810" s="8">
        <f t="shared" si="2"/>
        <v>0.17</v>
      </c>
      <c r="P1810" s="9"/>
    </row>
    <row r="1811">
      <c r="A1811" s="6" t="s">
        <v>4215</v>
      </c>
      <c r="B1811" s="6" t="s">
        <v>291</v>
      </c>
      <c r="C1811" s="6" t="s">
        <v>23</v>
      </c>
      <c r="D1811" s="6" t="s">
        <v>4216</v>
      </c>
      <c r="E1811" s="6" t="s">
        <v>112</v>
      </c>
      <c r="F1811" s="6" t="s">
        <v>65</v>
      </c>
      <c r="G1811" s="7">
        <v>0.05</v>
      </c>
      <c r="H1811" s="6" t="s">
        <v>136</v>
      </c>
      <c r="I1811" s="6" t="s">
        <v>20</v>
      </c>
      <c r="J1811" s="6">
        <v>2022.0</v>
      </c>
      <c r="K1811" s="10">
        <v>46054.0</v>
      </c>
      <c r="L1811" s="6">
        <v>1.0</v>
      </c>
      <c r="M1811" s="8">
        <f t="shared" si="2"/>
        <v>0.05</v>
      </c>
      <c r="P1811" s="9"/>
    </row>
    <row r="1812">
      <c r="A1812" s="6" t="s">
        <v>4217</v>
      </c>
      <c r="B1812" s="6" t="s">
        <v>2257</v>
      </c>
      <c r="C1812" s="6" t="s">
        <v>15</v>
      </c>
      <c r="D1812" s="6" t="s">
        <v>4218</v>
      </c>
      <c r="E1812" s="6" t="s">
        <v>3506</v>
      </c>
      <c r="F1812" s="6" t="s">
        <v>65</v>
      </c>
      <c r="G1812" s="7">
        <v>0.44</v>
      </c>
      <c r="H1812" s="6" t="s">
        <v>180</v>
      </c>
      <c r="I1812" s="6" t="s">
        <v>20</v>
      </c>
      <c r="J1812" s="6">
        <v>2014.0</v>
      </c>
      <c r="L1812" s="6">
        <v>1.0</v>
      </c>
      <c r="M1812" s="8">
        <f t="shared" si="2"/>
        <v>0.44</v>
      </c>
      <c r="P1812" s="9"/>
    </row>
    <row r="1813">
      <c r="A1813" s="6" t="s">
        <v>4219</v>
      </c>
      <c r="B1813" s="6" t="s">
        <v>4220</v>
      </c>
      <c r="C1813" s="6" t="s">
        <v>15</v>
      </c>
      <c r="D1813" s="6" t="s">
        <v>4221</v>
      </c>
      <c r="E1813" s="6" t="s">
        <v>4222</v>
      </c>
      <c r="F1813" s="6" t="s">
        <v>858</v>
      </c>
      <c r="G1813" s="7">
        <v>0.44</v>
      </c>
      <c r="H1813" s="6" t="s">
        <v>38</v>
      </c>
      <c r="I1813" s="6" t="s">
        <v>20</v>
      </c>
      <c r="J1813" s="6">
        <v>2026.0</v>
      </c>
      <c r="K1813" s="10">
        <v>46055.0</v>
      </c>
      <c r="L1813" s="6">
        <v>1.0</v>
      </c>
      <c r="M1813" s="8">
        <f t="shared" si="2"/>
        <v>0.44</v>
      </c>
      <c r="P1813" s="9"/>
    </row>
    <row r="1814">
      <c r="A1814" s="6" t="s">
        <v>4223</v>
      </c>
      <c r="B1814" s="6" t="s">
        <v>3412</v>
      </c>
      <c r="C1814" s="6" t="s">
        <v>48</v>
      </c>
      <c r="D1814" s="6" t="s">
        <v>4224</v>
      </c>
      <c r="E1814" s="6" t="s">
        <v>30</v>
      </c>
      <c r="F1814" s="6" t="s">
        <v>18</v>
      </c>
      <c r="G1814" s="7">
        <v>0.05</v>
      </c>
      <c r="H1814" s="6" t="s">
        <v>645</v>
      </c>
      <c r="I1814" s="6" t="s">
        <v>20</v>
      </c>
      <c r="J1814" s="6">
        <v>2024.0</v>
      </c>
      <c r="K1814" s="10">
        <v>46084.0</v>
      </c>
      <c r="L1814" s="6">
        <v>1.0</v>
      </c>
      <c r="M1814" s="8">
        <f t="shared" si="2"/>
        <v>0.05</v>
      </c>
      <c r="P1814" s="9"/>
    </row>
    <row r="1815">
      <c r="A1815" s="6" t="s">
        <v>4225</v>
      </c>
      <c r="B1815" s="6" t="s">
        <v>372</v>
      </c>
      <c r="C1815" s="6" t="s">
        <v>23</v>
      </c>
      <c r="D1815" s="6" t="s">
        <v>4226</v>
      </c>
      <c r="E1815" s="6" t="s">
        <v>149</v>
      </c>
      <c r="F1815" s="6" t="s">
        <v>18</v>
      </c>
      <c r="G1815" s="7">
        <v>0.06</v>
      </c>
      <c r="H1815" s="6" t="s">
        <v>93</v>
      </c>
      <c r="I1815" s="6" t="s">
        <v>20</v>
      </c>
      <c r="J1815" s="6">
        <v>2016.0</v>
      </c>
      <c r="L1815" s="6">
        <v>1.0</v>
      </c>
      <c r="M1815" s="8">
        <f t="shared" si="2"/>
        <v>0.06</v>
      </c>
      <c r="P1815" s="9"/>
    </row>
    <row r="1816">
      <c r="A1816" s="6" t="s">
        <v>4227</v>
      </c>
      <c r="B1816" s="6" t="s">
        <v>1808</v>
      </c>
      <c r="C1816" s="6" t="s">
        <v>23</v>
      </c>
      <c r="E1816" s="6" t="s">
        <v>153</v>
      </c>
      <c r="F1816" s="6" t="s">
        <v>103</v>
      </c>
      <c r="G1816" s="7">
        <v>0.09</v>
      </c>
      <c r="H1816" s="6" t="s">
        <v>3856</v>
      </c>
      <c r="I1816" s="6" t="s">
        <v>20</v>
      </c>
      <c r="J1816" s="6">
        <v>2003.0</v>
      </c>
      <c r="K1816" s="10">
        <v>46057.0</v>
      </c>
      <c r="L1816" s="6">
        <v>1.0</v>
      </c>
      <c r="M1816" s="8">
        <f t="shared" si="2"/>
        <v>0.09</v>
      </c>
      <c r="P1816" s="9"/>
    </row>
    <row r="1817">
      <c r="A1817" s="6" t="s">
        <v>4227</v>
      </c>
      <c r="B1817" s="6" t="s">
        <v>1808</v>
      </c>
      <c r="C1817" s="6" t="s">
        <v>23</v>
      </c>
      <c r="E1817" s="6" t="s">
        <v>153</v>
      </c>
      <c r="F1817" s="6" t="s">
        <v>103</v>
      </c>
      <c r="G1817" s="7">
        <v>14.99</v>
      </c>
      <c r="H1817" s="6" t="s">
        <v>4228</v>
      </c>
      <c r="I1817" s="6" t="s">
        <v>55</v>
      </c>
      <c r="J1817" s="6">
        <v>1999.0</v>
      </c>
      <c r="K1817" s="10">
        <v>46057.0</v>
      </c>
      <c r="L1817" s="6">
        <v>1.0</v>
      </c>
      <c r="M1817" s="8">
        <f t="shared" si="2"/>
        <v>14.99</v>
      </c>
      <c r="P1817" s="9"/>
    </row>
    <row r="1818">
      <c r="A1818" s="6" t="s">
        <v>4229</v>
      </c>
      <c r="B1818" s="6" t="s">
        <v>62</v>
      </c>
      <c r="C1818" s="6" t="s">
        <v>23</v>
      </c>
      <c r="D1818" s="6" t="s">
        <v>4230</v>
      </c>
      <c r="E1818" s="6" t="s">
        <v>238</v>
      </c>
      <c r="F1818" s="6" t="s">
        <v>159</v>
      </c>
      <c r="G1818" s="7">
        <v>0.39</v>
      </c>
      <c r="H1818" s="6" t="s">
        <v>113</v>
      </c>
      <c r="I1818" s="6" t="s">
        <v>55</v>
      </c>
      <c r="J1818" s="6">
        <v>2024.0</v>
      </c>
      <c r="L1818" s="6">
        <v>1.0</v>
      </c>
      <c r="M1818" s="8">
        <f t="shared" si="2"/>
        <v>0.39</v>
      </c>
      <c r="P1818" s="9"/>
    </row>
    <row r="1819">
      <c r="A1819" s="6" t="s">
        <v>4231</v>
      </c>
      <c r="B1819" s="6" t="s">
        <v>4232</v>
      </c>
      <c r="C1819" s="6" t="s">
        <v>23</v>
      </c>
      <c r="D1819" s="6" t="s">
        <v>4233</v>
      </c>
      <c r="E1819" s="6" t="s">
        <v>345</v>
      </c>
      <c r="F1819" s="6" t="s">
        <v>18</v>
      </c>
      <c r="G1819" s="7">
        <v>0.05</v>
      </c>
      <c r="H1819" s="6" t="s">
        <v>45</v>
      </c>
      <c r="I1819" s="6" t="s">
        <v>20</v>
      </c>
      <c r="J1819" s="6">
        <v>2025.0</v>
      </c>
      <c r="K1819" s="10">
        <v>46208.0</v>
      </c>
      <c r="L1819" s="6">
        <v>3.0</v>
      </c>
      <c r="M1819" s="8">
        <f t="shared" si="2"/>
        <v>0.15</v>
      </c>
      <c r="P1819" s="9"/>
    </row>
    <row r="1820">
      <c r="A1820" s="6" t="s">
        <v>4234</v>
      </c>
      <c r="B1820" s="6" t="s">
        <v>4235</v>
      </c>
      <c r="C1820" s="6" t="s">
        <v>23</v>
      </c>
      <c r="D1820" s="6" t="s">
        <v>4236</v>
      </c>
      <c r="E1820" s="6" t="s">
        <v>102</v>
      </c>
      <c r="F1820" s="6" t="s">
        <v>103</v>
      </c>
      <c r="G1820" s="7">
        <v>0.5</v>
      </c>
      <c r="H1820" s="6" t="s">
        <v>4237</v>
      </c>
      <c r="I1820" s="6" t="s">
        <v>20</v>
      </c>
      <c r="J1820" s="6">
        <v>1994.0</v>
      </c>
      <c r="K1820" s="10">
        <v>46023.0</v>
      </c>
      <c r="L1820" s="6">
        <v>1.0</v>
      </c>
      <c r="M1820" s="8">
        <f t="shared" si="2"/>
        <v>0.5</v>
      </c>
      <c r="P1820" s="9"/>
    </row>
    <row r="1821">
      <c r="A1821" s="6" t="s">
        <v>4238</v>
      </c>
      <c r="B1821" s="6" t="s">
        <v>156</v>
      </c>
      <c r="C1821" s="6" t="s">
        <v>23</v>
      </c>
      <c r="D1821" s="6" t="s">
        <v>4239</v>
      </c>
      <c r="E1821" s="6" t="s">
        <v>298</v>
      </c>
      <c r="F1821" s="6" t="s">
        <v>159</v>
      </c>
      <c r="G1821" s="7">
        <v>0.03</v>
      </c>
      <c r="H1821" s="6" t="s">
        <v>562</v>
      </c>
      <c r="I1821" s="6" t="s">
        <v>20</v>
      </c>
      <c r="J1821" s="6">
        <v>2017.0</v>
      </c>
      <c r="K1821" s="10">
        <v>46114.0</v>
      </c>
      <c r="L1821" s="6">
        <v>1.0</v>
      </c>
      <c r="M1821" s="8">
        <f t="shared" si="2"/>
        <v>0.03</v>
      </c>
      <c r="P1821" s="9"/>
    </row>
    <row r="1822">
      <c r="A1822" s="6" t="s">
        <v>4238</v>
      </c>
      <c r="B1822" s="6" t="s">
        <v>156</v>
      </c>
      <c r="C1822" s="6" t="s">
        <v>23</v>
      </c>
      <c r="D1822" s="6" t="s">
        <v>4239</v>
      </c>
      <c r="E1822" s="6" t="s">
        <v>298</v>
      </c>
      <c r="F1822" s="6" t="s">
        <v>159</v>
      </c>
      <c r="G1822" s="7">
        <v>0.05</v>
      </c>
      <c r="H1822" s="6" t="s">
        <v>154</v>
      </c>
      <c r="I1822" s="6" t="s">
        <v>20</v>
      </c>
      <c r="J1822" s="6">
        <v>2013.0</v>
      </c>
      <c r="K1822" s="10">
        <v>46114.0</v>
      </c>
      <c r="L1822" s="6">
        <v>1.0</v>
      </c>
      <c r="M1822" s="8">
        <f t="shared" si="2"/>
        <v>0.05</v>
      </c>
      <c r="P1822" s="9"/>
    </row>
    <row r="1823">
      <c r="A1823" s="6" t="s">
        <v>4238</v>
      </c>
      <c r="B1823" s="6" t="s">
        <v>156</v>
      </c>
      <c r="C1823" s="6" t="s">
        <v>23</v>
      </c>
      <c r="D1823" s="6" t="s">
        <v>4239</v>
      </c>
      <c r="E1823" s="6" t="s">
        <v>298</v>
      </c>
      <c r="F1823" s="6" t="s">
        <v>159</v>
      </c>
      <c r="G1823" s="7">
        <v>0.05</v>
      </c>
      <c r="H1823" s="6" t="s">
        <v>154</v>
      </c>
      <c r="I1823" s="6" t="s">
        <v>20</v>
      </c>
      <c r="J1823" s="6">
        <v>2013.0</v>
      </c>
      <c r="K1823" s="10">
        <v>46114.0</v>
      </c>
      <c r="L1823" s="6">
        <v>1.0</v>
      </c>
      <c r="M1823" s="8">
        <f t="shared" si="2"/>
        <v>0.05</v>
      </c>
      <c r="P1823" s="9"/>
    </row>
    <row r="1824">
      <c r="A1824" s="6" t="s">
        <v>4240</v>
      </c>
      <c r="B1824" s="6" t="s">
        <v>366</v>
      </c>
      <c r="C1824" s="6" t="s">
        <v>23</v>
      </c>
      <c r="D1824" s="6" t="s">
        <v>4241</v>
      </c>
      <c r="E1824" s="6" t="s">
        <v>3170</v>
      </c>
      <c r="F1824" s="6" t="s">
        <v>65</v>
      </c>
      <c r="G1824" s="7">
        <v>0.08</v>
      </c>
      <c r="H1824" s="6" t="s">
        <v>109</v>
      </c>
      <c r="I1824" s="6" t="s">
        <v>20</v>
      </c>
      <c r="J1824" s="6">
        <v>1995.0</v>
      </c>
      <c r="L1824" s="6">
        <v>4.0</v>
      </c>
      <c r="M1824" s="8">
        <f t="shared" si="2"/>
        <v>0.32</v>
      </c>
      <c r="P1824" s="9"/>
    </row>
    <row r="1825">
      <c r="A1825" s="6" t="s">
        <v>4240</v>
      </c>
      <c r="B1825" s="6" t="s">
        <v>366</v>
      </c>
      <c r="C1825" s="6" t="s">
        <v>23</v>
      </c>
      <c r="D1825" s="6" t="s">
        <v>4241</v>
      </c>
      <c r="E1825" s="6" t="s">
        <v>3170</v>
      </c>
      <c r="F1825" s="6" t="s">
        <v>65</v>
      </c>
      <c r="G1825" s="7">
        <v>0.09</v>
      </c>
      <c r="H1825" s="6" t="s">
        <v>1382</v>
      </c>
      <c r="I1825" s="6" t="s">
        <v>20</v>
      </c>
      <c r="J1825" s="6">
        <v>1995.0</v>
      </c>
      <c r="L1825" s="6">
        <v>2.0</v>
      </c>
      <c r="M1825" s="8">
        <f t="shared" si="2"/>
        <v>0.18</v>
      </c>
      <c r="P1825" s="9"/>
    </row>
    <row r="1826">
      <c r="A1826" s="6" t="s">
        <v>4242</v>
      </c>
      <c r="B1826" s="6" t="s">
        <v>131</v>
      </c>
      <c r="C1826" s="6" t="s">
        <v>23</v>
      </c>
      <c r="D1826" s="6" t="s">
        <v>435</v>
      </c>
      <c r="E1826" s="6" t="s">
        <v>175</v>
      </c>
      <c r="F1826" s="6" t="s">
        <v>51</v>
      </c>
      <c r="G1826" s="7">
        <v>0.32</v>
      </c>
      <c r="H1826" s="6" t="s">
        <v>4243</v>
      </c>
      <c r="I1826" s="6" t="s">
        <v>55</v>
      </c>
      <c r="J1826" s="6">
        <v>2017.0</v>
      </c>
      <c r="K1826" s="10">
        <v>46023.0</v>
      </c>
      <c r="L1826" s="6">
        <v>1.0</v>
      </c>
      <c r="M1826" s="8">
        <f t="shared" si="2"/>
        <v>0.32</v>
      </c>
      <c r="P1826" s="9"/>
    </row>
    <row r="1827">
      <c r="A1827" s="6" t="s">
        <v>4242</v>
      </c>
      <c r="B1827" s="6" t="s">
        <v>131</v>
      </c>
      <c r="C1827" s="6" t="s">
        <v>23</v>
      </c>
      <c r="D1827" s="6" t="s">
        <v>435</v>
      </c>
      <c r="E1827" s="6" t="s">
        <v>175</v>
      </c>
      <c r="F1827" s="6" t="s">
        <v>51</v>
      </c>
      <c r="G1827" s="7">
        <v>0.13</v>
      </c>
      <c r="H1827" s="6" t="s">
        <v>4243</v>
      </c>
      <c r="I1827" s="6" t="s">
        <v>20</v>
      </c>
      <c r="J1827" s="6">
        <v>2017.0</v>
      </c>
      <c r="K1827" s="10">
        <v>46023.0</v>
      </c>
      <c r="L1827" s="6">
        <v>1.0</v>
      </c>
      <c r="M1827" s="8">
        <f t="shared" si="2"/>
        <v>0.13</v>
      </c>
      <c r="P1827" s="9"/>
    </row>
    <row r="1828">
      <c r="A1828" s="6" t="s">
        <v>4244</v>
      </c>
      <c r="B1828" s="6" t="s">
        <v>62</v>
      </c>
      <c r="C1828" s="6" t="s">
        <v>48</v>
      </c>
      <c r="D1828" s="6" t="s">
        <v>4245</v>
      </c>
      <c r="E1828" s="6" t="s">
        <v>118</v>
      </c>
      <c r="F1828" s="6" t="s">
        <v>51</v>
      </c>
      <c r="G1828" s="7">
        <v>0.06</v>
      </c>
      <c r="H1828" s="6" t="s">
        <v>406</v>
      </c>
      <c r="I1828" s="6" t="s">
        <v>20</v>
      </c>
      <c r="J1828" s="6">
        <v>2019.0</v>
      </c>
      <c r="L1828" s="6">
        <v>1.0</v>
      </c>
      <c r="M1828" s="8">
        <f t="shared" si="2"/>
        <v>0.06</v>
      </c>
      <c r="P1828" s="9"/>
    </row>
    <row r="1829">
      <c r="A1829" s="6" t="s">
        <v>4246</v>
      </c>
      <c r="B1829" s="6" t="s">
        <v>62</v>
      </c>
      <c r="C1829" s="6" t="s">
        <v>23</v>
      </c>
      <c r="D1829" s="6" t="s">
        <v>4247</v>
      </c>
      <c r="E1829" s="6" t="s">
        <v>223</v>
      </c>
      <c r="F1829" s="6" t="s">
        <v>159</v>
      </c>
      <c r="G1829" s="7">
        <v>0.03</v>
      </c>
      <c r="H1829" s="6" t="s">
        <v>265</v>
      </c>
      <c r="I1829" s="6" t="s">
        <v>20</v>
      </c>
      <c r="J1829" s="6">
        <v>2017.0</v>
      </c>
      <c r="L1829" s="6">
        <v>4.0</v>
      </c>
      <c r="M1829" s="8">
        <f t="shared" si="2"/>
        <v>0.12</v>
      </c>
      <c r="P1829" s="9"/>
    </row>
    <row r="1830">
      <c r="A1830" s="6" t="s">
        <v>4246</v>
      </c>
      <c r="B1830" s="6" t="s">
        <v>62</v>
      </c>
      <c r="C1830" s="6" t="s">
        <v>23</v>
      </c>
      <c r="D1830" s="6" t="s">
        <v>4247</v>
      </c>
      <c r="E1830" s="6" t="s">
        <v>223</v>
      </c>
      <c r="F1830" s="6" t="s">
        <v>159</v>
      </c>
      <c r="G1830" s="7">
        <v>0.03</v>
      </c>
      <c r="H1830" s="6" t="s">
        <v>265</v>
      </c>
      <c r="I1830" s="6" t="s">
        <v>20</v>
      </c>
      <c r="J1830" s="6">
        <v>2017.0</v>
      </c>
      <c r="L1830" s="6">
        <v>1.0</v>
      </c>
      <c r="M1830" s="8">
        <f t="shared" si="2"/>
        <v>0.03</v>
      </c>
      <c r="P1830" s="9"/>
    </row>
    <row r="1831">
      <c r="A1831" s="6" t="s">
        <v>4246</v>
      </c>
      <c r="B1831" s="6" t="s">
        <v>62</v>
      </c>
      <c r="C1831" s="6" t="s">
        <v>23</v>
      </c>
      <c r="D1831" s="6" t="s">
        <v>4247</v>
      </c>
      <c r="E1831" s="6" t="s">
        <v>223</v>
      </c>
      <c r="F1831" s="6" t="s">
        <v>159</v>
      </c>
      <c r="G1831" s="7">
        <v>0.03</v>
      </c>
      <c r="H1831" s="6" t="s">
        <v>526</v>
      </c>
      <c r="I1831" s="6" t="s">
        <v>20</v>
      </c>
      <c r="J1831" s="6">
        <v>2020.0</v>
      </c>
      <c r="L1831" s="6">
        <v>2.0</v>
      </c>
      <c r="M1831" s="8">
        <f t="shared" si="2"/>
        <v>0.06</v>
      </c>
      <c r="P1831" s="9"/>
    </row>
    <row r="1832">
      <c r="A1832" s="6" t="s">
        <v>4248</v>
      </c>
      <c r="B1832" s="6" t="s">
        <v>62</v>
      </c>
      <c r="C1832" s="6" t="s">
        <v>23</v>
      </c>
      <c r="D1832" s="6" t="s">
        <v>4249</v>
      </c>
      <c r="E1832" s="6" t="s">
        <v>238</v>
      </c>
      <c r="F1832" s="6" t="s">
        <v>159</v>
      </c>
      <c r="G1832" s="7">
        <v>0.11</v>
      </c>
      <c r="H1832" s="6" t="s">
        <v>509</v>
      </c>
      <c r="I1832" s="6" t="s">
        <v>20</v>
      </c>
      <c r="J1832" s="6">
        <v>2024.0</v>
      </c>
      <c r="L1832" s="6">
        <v>1.0</v>
      </c>
      <c r="M1832" s="8">
        <f t="shared" si="2"/>
        <v>0.11</v>
      </c>
      <c r="P1832" s="9"/>
    </row>
    <row r="1833">
      <c r="A1833" s="6" t="s">
        <v>4250</v>
      </c>
      <c r="B1833" s="6" t="s">
        <v>372</v>
      </c>
      <c r="C1833" s="6" t="s">
        <v>23</v>
      </c>
      <c r="D1833" s="6" t="s">
        <v>4251</v>
      </c>
      <c r="E1833" s="6" t="s">
        <v>533</v>
      </c>
      <c r="F1833" s="6" t="s">
        <v>65</v>
      </c>
      <c r="G1833" s="7">
        <v>0.06</v>
      </c>
      <c r="H1833" s="6" t="s">
        <v>418</v>
      </c>
      <c r="I1833" s="6" t="s">
        <v>20</v>
      </c>
      <c r="J1833" s="6">
        <v>2022.0</v>
      </c>
      <c r="L1833" s="6">
        <v>1.0</v>
      </c>
      <c r="M1833" s="8">
        <f t="shared" si="2"/>
        <v>0.06</v>
      </c>
      <c r="P1833" s="9"/>
    </row>
    <row r="1834">
      <c r="A1834" s="6" t="s">
        <v>4252</v>
      </c>
      <c r="B1834" s="6" t="s">
        <v>4253</v>
      </c>
      <c r="C1834" s="6" t="s">
        <v>34</v>
      </c>
      <c r="D1834" s="6" t="s">
        <v>4254</v>
      </c>
      <c r="E1834" s="6" t="s">
        <v>4255</v>
      </c>
      <c r="F1834" s="6" t="s">
        <v>159</v>
      </c>
      <c r="G1834" s="7">
        <v>0.04</v>
      </c>
      <c r="H1834" s="6" t="s">
        <v>4256</v>
      </c>
      <c r="I1834" s="6" t="s">
        <v>20</v>
      </c>
      <c r="J1834" s="6">
        <v>2025.0</v>
      </c>
      <c r="K1834" s="10">
        <v>46116.0</v>
      </c>
      <c r="L1834" s="6">
        <v>4.0</v>
      </c>
      <c r="M1834" s="8">
        <f t="shared" si="2"/>
        <v>0.16</v>
      </c>
      <c r="P1834" s="9"/>
    </row>
    <row r="1835">
      <c r="A1835" s="6" t="s">
        <v>4257</v>
      </c>
      <c r="B1835" s="6" t="s">
        <v>1621</v>
      </c>
      <c r="C1835" s="6" t="s">
        <v>23</v>
      </c>
      <c r="D1835" s="6" t="s">
        <v>4258</v>
      </c>
      <c r="E1835" s="6" t="s">
        <v>112</v>
      </c>
      <c r="F1835" s="6" t="s">
        <v>65</v>
      </c>
      <c r="G1835" s="7">
        <v>0.1</v>
      </c>
      <c r="H1835" s="6" t="s">
        <v>324</v>
      </c>
      <c r="I1835" s="6" t="s">
        <v>20</v>
      </c>
      <c r="J1835" s="6">
        <v>2025.0</v>
      </c>
      <c r="K1835" s="10">
        <v>46055.0</v>
      </c>
      <c r="L1835" s="6">
        <v>2.0</v>
      </c>
      <c r="M1835" s="8">
        <f t="shared" si="2"/>
        <v>0.2</v>
      </c>
      <c r="P1835" s="9"/>
    </row>
    <row r="1836">
      <c r="A1836" s="6" t="s">
        <v>4259</v>
      </c>
      <c r="B1836" s="6" t="s">
        <v>4260</v>
      </c>
      <c r="C1836" s="6" t="s">
        <v>212</v>
      </c>
      <c r="D1836" s="6" t="s">
        <v>4261</v>
      </c>
      <c r="E1836" s="6" t="s">
        <v>4262</v>
      </c>
      <c r="F1836" s="6" t="s">
        <v>65</v>
      </c>
      <c r="G1836" s="7">
        <v>1.8</v>
      </c>
      <c r="H1836" s="6" t="s">
        <v>209</v>
      </c>
      <c r="I1836" s="6" t="s">
        <v>20</v>
      </c>
      <c r="J1836" s="6">
        <v>2025.0</v>
      </c>
      <c r="K1836" s="10">
        <v>46179.0</v>
      </c>
      <c r="L1836" s="6">
        <v>1.0</v>
      </c>
      <c r="M1836" s="8">
        <f t="shared" si="2"/>
        <v>1.8</v>
      </c>
      <c r="P1836" s="9"/>
    </row>
    <row r="1837">
      <c r="A1837" s="6" t="s">
        <v>4263</v>
      </c>
      <c r="B1837" s="6" t="s">
        <v>366</v>
      </c>
      <c r="C1837" s="6" t="s">
        <v>521</v>
      </c>
      <c r="D1837" s="6" t="s">
        <v>4264</v>
      </c>
      <c r="E1837" s="6" t="s">
        <v>270</v>
      </c>
      <c r="F1837" s="6" t="s">
        <v>159</v>
      </c>
      <c r="G1837" s="7">
        <v>0.08</v>
      </c>
      <c r="H1837" s="6" t="s">
        <v>641</v>
      </c>
      <c r="I1837" s="6" t="s">
        <v>20</v>
      </c>
      <c r="J1837" s="6">
        <v>2026.0</v>
      </c>
      <c r="L1837" s="6">
        <v>2.0</v>
      </c>
      <c r="M1837" s="8">
        <f t="shared" si="2"/>
        <v>0.16</v>
      </c>
      <c r="P1837" s="9"/>
    </row>
    <row r="1838">
      <c r="A1838" s="6" t="s">
        <v>4263</v>
      </c>
      <c r="B1838" s="6" t="s">
        <v>366</v>
      </c>
      <c r="C1838" s="6" t="s">
        <v>521</v>
      </c>
      <c r="D1838" s="6" t="s">
        <v>4264</v>
      </c>
      <c r="E1838" s="6" t="s">
        <v>270</v>
      </c>
      <c r="F1838" s="6" t="s">
        <v>159</v>
      </c>
      <c r="G1838" s="7">
        <v>0.35</v>
      </c>
      <c r="H1838" s="6" t="s">
        <v>641</v>
      </c>
      <c r="I1838" s="6" t="s">
        <v>55</v>
      </c>
      <c r="J1838" s="6">
        <v>2026.0</v>
      </c>
      <c r="L1838" s="6">
        <v>1.0</v>
      </c>
      <c r="M1838" s="8">
        <f t="shared" si="2"/>
        <v>0.35</v>
      </c>
      <c r="P1838" s="9"/>
    </row>
    <row r="1839">
      <c r="A1839" s="6" t="s">
        <v>4265</v>
      </c>
      <c r="B1839" s="6" t="s">
        <v>2741</v>
      </c>
      <c r="C1839" s="6" t="s">
        <v>23</v>
      </c>
      <c r="D1839" s="6" t="s">
        <v>4266</v>
      </c>
      <c r="E1839" s="6" t="s">
        <v>223</v>
      </c>
      <c r="F1839" s="6" t="s">
        <v>159</v>
      </c>
      <c r="G1839" s="7">
        <v>0.03</v>
      </c>
      <c r="H1839" s="6" t="s">
        <v>875</v>
      </c>
      <c r="I1839" s="6" t="s">
        <v>20</v>
      </c>
      <c r="J1839" s="6">
        <v>2018.0</v>
      </c>
      <c r="K1839" s="10">
        <v>46024.0</v>
      </c>
      <c r="L1839" s="6">
        <v>1.0</v>
      </c>
      <c r="M1839" s="8">
        <f t="shared" si="2"/>
        <v>0.03</v>
      </c>
      <c r="P1839" s="9"/>
    </row>
    <row r="1840">
      <c r="A1840" s="6" t="s">
        <v>4267</v>
      </c>
      <c r="B1840" s="6" t="s">
        <v>4268</v>
      </c>
      <c r="C1840" s="6" t="s">
        <v>15</v>
      </c>
      <c r="D1840" s="6" t="s">
        <v>4269</v>
      </c>
      <c r="E1840" s="6" t="s">
        <v>2469</v>
      </c>
      <c r="F1840" s="6" t="s">
        <v>65</v>
      </c>
      <c r="G1840" s="7">
        <v>0.23</v>
      </c>
      <c r="H1840" s="6" t="s">
        <v>19</v>
      </c>
      <c r="I1840" s="6" t="s">
        <v>20</v>
      </c>
      <c r="J1840" s="6">
        <v>2023.0</v>
      </c>
      <c r="K1840" s="10">
        <v>46085.0</v>
      </c>
      <c r="L1840" s="6">
        <v>2.0</v>
      </c>
      <c r="M1840" s="8">
        <f t="shared" si="2"/>
        <v>0.46</v>
      </c>
      <c r="P1840" s="9"/>
    </row>
    <row r="1841">
      <c r="A1841" s="6" t="s">
        <v>4270</v>
      </c>
      <c r="B1841" s="6" t="s">
        <v>4271</v>
      </c>
      <c r="C1841" s="6" t="s">
        <v>15</v>
      </c>
      <c r="D1841" s="6" t="s">
        <v>4272</v>
      </c>
      <c r="E1841" s="6" t="s">
        <v>4273</v>
      </c>
      <c r="F1841" s="6" t="s">
        <v>4274</v>
      </c>
      <c r="G1841" s="7">
        <v>0.19</v>
      </c>
      <c r="H1841" s="6" t="s">
        <v>3164</v>
      </c>
      <c r="I1841" s="6" t="s">
        <v>20</v>
      </c>
      <c r="J1841" s="6">
        <v>2025.0</v>
      </c>
      <c r="K1841" s="10">
        <v>46023.0</v>
      </c>
      <c r="L1841" s="6">
        <v>1.0</v>
      </c>
      <c r="M1841" s="8">
        <f t="shared" si="2"/>
        <v>0.19</v>
      </c>
      <c r="P1841" s="9"/>
    </row>
    <row r="1842">
      <c r="A1842" s="6" t="s">
        <v>4275</v>
      </c>
      <c r="B1842" s="6" t="s">
        <v>62</v>
      </c>
      <c r="C1842" s="6" t="s">
        <v>48</v>
      </c>
      <c r="D1842" s="6" t="s">
        <v>4276</v>
      </c>
      <c r="E1842" s="6" t="s">
        <v>50</v>
      </c>
      <c r="F1842" s="6" t="s">
        <v>51</v>
      </c>
      <c r="G1842" s="7">
        <v>0.08</v>
      </c>
      <c r="H1842" s="6" t="s">
        <v>66</v>
      </c>
      <c r="I1842" s="6" t="s">
        <v>20</v>
      </c>
      <c r="J1842" s="6">
        <v>2016.0</v>
      </c>
      <c r="L1842" s="6">
        <v>2.0</v>
      </c>
      <c r="M1842" s="8">
        <f t="shared" si="2"/>
        <v>0.16</v>
      </c>
      <c r="P1842" s="9"/>
    </row>
    <row r="1843">
      <c r="A1843" s="6" t="s">
        <v>4277</v>
      </c>
      <c r="B1843" s="6" t="s">
        <v>592</v>
      </c>
      <c r="C1843" s="6" t="s">
        <v>84</v>
      </c>
      <c r="D1843" s="6" t="s">
        <v>4278</v>
      </c>
      <c r="E1843" s="6" t="s">
        <v>260</v>
      </c>
      <c r="F1843" s="6" t="s">
        <v>949</v>
      </c>
      <c r="G1843" s="7">
        <v>1.5</v>
      </c>
      <c r="H1843" s="6" t="s">
        <v>245</v>
      </c>
      <c r="I1843" s="6" t="s">
        <v>20</v>
      </c>
      <c r="J1843" s="6">
        <v>1995.0</v>
      </c>
      <c r="L1843" s="6">
        <v>1.0</v>
      </c>
      <c r="M1843" s="8">
        <f t="shared" si="2"/>
        <v>1.5</v>
      </c>
      <c r="N1843" s="6" t="s">
        <v>172</v>
      </c>
      <c r="P1843" s="9"/>
    </row>
    <row r="1844">
      <c r="A1844" s="6" t="s">
        <v>4279</v>
      </c>
      <c r="B1844" s="6" t="s">
        <v>4280</v>
      </c>
      <c r="C1844" s="6" t="s">
        <v>48</v>
      </c>
      <c r="D1844" s="6" t="s">
        <v>4281</v>
      </c>
      <c r="E1844" s="6" t="s">
        <v>2074</v>
      </c>
      <c r="F1844" s="6" t="s">
        <v>826</v>
      </c>
      <c r="G1844" s="7">
        <v>1.4</v>
      </c>
      <c r="H1844" s="6" t="s">
        <v>4282</v>
      </c>
      <c r="I1844" s="6" t="s">
        <v>55</v>
      </c>
      <c r="J1844" s="6">
        <v>2025.0</v>
      </c>
      <c r="K1844" s="10">
        <v>46179.0</v>
      </c>
      <c r="L1844" s="6">
        <v>1.0</v>
      </c>
      <c r="M1844" s="8">
        <f t="shared" si="2"/>
        <v>1.4</v>
      </c>
      <c r="N1844" s="6" t="s">
        <v>172</v>
      </c>
      <c r="P1844" s="9"/>
    </row>
    <row r="1845">
      <c r="A1845" s="6" t="s">
        <v>4283</v>
      </c>
      <c r="B1845" s="6" t="s">
        <v>3605</v>
      </c>
      <c r="C1845" s="6" t="s">
        <v>15</v>
      </c>
      <c r="D1845" s="6" t="s">
        <v>4284</v>
      </c>
      <c r="E1845" s="6" t="s">
        <v>4285</v>
      </c>
      <c r="F1845" s="6" t="s">
        <v>4286</v>
      </c>
      <c r="G1845" s="7">
        <v>0.25</v>
      </c>
      <c r="H1845" s="6" t="s">
        <v>209</v>
      </c>
      <c r="I1845" s="6" t="s">
        <v>20</v>
      </c>
      <c r="J1845" s="6">
        <v>2025.0</v>
      </c>
      <c r="K1845" s="10">
        <v>46179.0</v>
      </c>
      <c r="L1845" s="6">
        <v>2.0</v>
      </c>
      <c r="M1845" s="8">
        <f t="shared" si="2"/>
        <v>0.5</v>
      </c>
      <c r="P1845" s="9"/>
    </row>
    <row r="1846">
      <c r="A1846" s="6" t="s">
        <v>4287</v>
      </c>
      <c r="B1846" s="6" t="s">
        <v>850</v>
      </c>
      <c r="C1846" s="6" t="s">
        <v>15</v>
      </c>
      <c r="D1846" s="6" t="s">
        <v>4288</v>
      </c>
      <c r="E1846" s="6" t="s">
        <v>36</v>
      </c>
      <c r="F1846" s="6" t="s">
        <v>37</v>
      </c>
      <c r="G1846" s="7">
        <v>0.03</v>
      </c>
      <c r="H1846" s="6" t="s">
        <v>1084</v>
      </c>
      <c r="I1846" s="6" t="s">
        <v>20</v>
      </c>
      <c r="J1846" s="6">
        <v>2018.0</v>
      </c>
      <c r="L1846" s="6">
        <v>1.0</v>
      </c>
      <c r="M1846" s="8">
        <f t="shared" si="2"/>
        <v>0.03</v>
      </c>
      <c r="P1846" s="9"/>
    </row>
    <row r="1847">
      <c r="A1847" s="6" t="s">
        <v>4289</v>
      </c>
      <c r="B1847" s="6" t="s">
        <v>4290</v>
      </c>
      <c r="C1847" s="6" t="s">
        <v>571</v>
      </c>
      <c r="D1847" s="6" t="s">
        <v>4291</v>
      </c>
      <c r="E1847" s="6" t="s">
        <v>149</v>
      </c>
      <c r="F1847" s="6" t="s">
        <v>18</v>
      </c>
      <c r="G1847" s="7">
        <v>0.06</v>
      </c>
      <c r="H1847" s="6" t="s">
        <v>641</v>
      </c>
      <c r="I1847" s="6" t="s">
        <v>20</v>
      </c>
      <c r="J1847" s="6">
        <v>2026.0</v>
      </c>
      <c r="K1847" s="10">
        <v>46054.0</v>
      </c>
      <c r="L1847" s="6">
        <v>1.0</v>
      </c>
      <c r="M1847" s="8">
        <f t="shared" si="2"/>
        <v>0.06</v>
      </c>
      <c r="P1847" s="9"/>
    </row>
    <row r="1848">
      <c r="A1848" s="6" t="s">
        <v>4289</v>
      </c>
      <c r="B1848" s="6" t="s">
        <v>4290</v>
      </c>
      <c r="C1848" s="6" t="s">
        <v>571</v>
      </c>
      <c r="D1848" s="6" t="s">
        <v>4291</v>
      </c>
      <c r="E1848" s="6" t="s">
        <v>149</v>
      </c>
      <c r="F1848" s="6" t="s">
        <v>18</v>
      </c>
      <c r="G1848" s="7">
        <v>0.27</v>
      </c>
      <c r="H1848" s="6" t="s">
        <v>641</v>
      </c>
      <c r="I1848" s="6" t="s">
        <v>55</v>
      </c>
      <c r="J1848" s="6">
        <v>2026.0</v>
      </c>
      <c r="K1848" s="10">
        <v>46054.0</v>
      </c>
      <c r="L1848" s="6">
        <v>1.0</v>
      </c>
      <c r="M1848" s="8">
        <f t="shared" si="2"/>
        <v>0.27</v>
      </c>
      <c r="P1848" s="9"/>
    </row>
    <row r="1849">
      <c r="A1849" s="6" t="s">
        <v>4292</v>
      </c>
      <c r="B1849" s="6" t="s">
        <v>3080</v>
      </c>
      <c r="C1849" s="6" t="s">
        <v>521</v>
      </c>
      <c r="D1849" s="6" t="s">
        <v>4293</v>
      </c>
      <c r="E1849" s="6" t="s">
        <v>25</v>
      </c>
      <c r="F1849" s="6" t="s">
        <v>18</v>
      </c>
      <c r="G1849" s="7">
        <v>0.05</v>
      </c>
      <c r="H1849" s="6" t="s">
        <v>641</v>
      </c>
      <c r="I1849" s="6" t="s">
        <v>20</v>
      </c>
      <c r="J1849" s="6">
        <v>2026.0</v>
      </c>
      <c r="K1849" s="10">
        <v>46055.0</v>
      </c>
      <c r="L1849" s="6">
        <v>1.0</v>
      </c>
      <c r="M1849" s="8">
        <f t="shared" si="2"/>
        <v>0.05</v>
      </c>
      <c r="P1849" s="9"/>
    </row>
    <row r="1850">
      <c r="A1850" s="6" t="s">
        <v>4294</v>
      </c>
      <c r="B1850" s="6" t="s">
        <v>4295</v>
      </c>
      <c r="C1850" s="6" t="s">
        <v>23</v>
      </c>
      <c r="D1850" s="6" t="s">
        <v>4296</v>
      </c>
      <c r="E1850" s="6" t="s">
        <v>153</v>
      </c>
      <c r="F1850" s="6" t="s">
        <v>103</v>
      </c>
      <c r="G1850" s="7">
        <v>4.75</v>
      </c>
      <c r="H1850" s="6" t="s">
        <v>26</v>
      </c>
      <c r="I1850" s="6" t="s">
        <v>20</v>
      </c>
      <c r="J1850" s="6">
        <v>2026.0</v>
      </c>
      <c r="K1850" s="10">
        <v>46084.0</v>
      </c>
      <c r="L1850" s="6">
        <v>1.0</v>
      </c>
      <c r="M1850" s="8">
        <f t="shared" si="2"/>
        <v>4.75</v>
      </c>
      <c r="P1850" s="9"/>
    </row>
    <row r="1851">
      <c r="A1851" s="6" t="s">
        <v>4297</v>
      </c>
      <c r="B1851" s="6" t="s">
        <v>250</v>
      </c>
      <c r="C1851" s="6" t="s">
        <v>571</v>
      </c>
      <c r="D1851" s="6" t="s">
        <v>4298</v>
      </c>
      <c r="E1851" s="6" t="s">
        <v>303</v>
      </c>
      <c r="F1851" s="6" t="s">
        <v>452</v>
      </c>
      <c r="G1851" s="7">
        <v>0.39</v>
      </c>
      <c r="H1851" s="6" t="s">
        <v>2927</v>
      </c>
      <c r="I1851" s="6" t="s">
        <v>20</v>
      </c>
      <c r="J1851" s="6">
        <v>1999.0</v>
      </c>
      <c r="L1851" s="6">
        <v>1.0</v>
      </c>
      <c r="M1851" s="8">
        <f t="shared" si="2"/>
        <v>0.39</v>
      </c>
      <c r="P1851" s="9"/>
    </row>
    <row r="1852">
      <c r="A1852" s="6" t="s">
        <v>4297</v>
      </c>
      <c r="B1852" s="6" t="s">
        <v>250</v>
      </c>
      <c r="C1852" s="6" t="s">
        <v>287</v>
      </c>
      <c r="D1852" s="6" t="s">
        <v>4299</v>
      </c>
      <c r="E1852" s="6" t="s">
        <v>303</v>
      </c>
      <c r="F1852" s="6" t="s">
        <v>37</v>
      </c>
      <c r="G1852" s="7">
        <v>0.65</v>
      </c>
      <c r="H1852" s="6" t="s">
        <v>119</v>
      </c>
      <c r="I1852" s="6" t="s">
        <v>20</v>
      </c>
      <c r="J1852" s="6">
        <v>1995.0</v>
      </c>
      <c r="L1852" s="6">
        <v>1.0</v>
      </c>
      <c r="M1852" s="8">
        <f t="shared" si="2"/>
        <v>0.65</v>
      </c>
      <c r="P1852" s="9"/>
    </row>
    <row r="1853">
      <c r="A1853" s="6" t="s">
        <v>4300</v>
      </c>
      <c r="B1853" s="6" t="s">
        <v>3459</v>
      </c>
      <c r="C1853" s="6" t="s">
        <v>23</v>
      </c>
      <c r="D1853" s="6" t="s">
        <v>4301</v>
      </c>
      <c r="E1853" s="6" t="s">
        <v>36</v>
      </c>
      <c r="F1853" s="6" t="s">
        <v>37</v>
      </c>
      <c r="G1853" s="7">
        <v>0.05</v>
      </c>
      <c r="H1853" s="6" t="s">
        <v>113</v>
      </c>
      <c r="I1853" s="6" t="s">
        <v>20</v>
      </c>
      <c r="J1853" s="6">
        <v>2024.0</v>
      </c>
      <c r="K1853" s="6" t="s">
        <v>597</v>
      </c>
      <c r="L1853" s="6">
        <v>1.0</v>
      </c>
      <c r="M1853" s="8">
        <f t="shared" si="2"/>
        <v>0.05</v>
      </c>
      <c r="P1853" s="9"/>
    </row>
    <row r="1854">
      <c r="A1854" s="6" t="s">
        <v>4302</v>
      </c>
      <c r="B1854" s="6" t="s">
        <v>3459</v>
      </c>
      <c r="C1854" s="6" t="s">
        <v>23</v>
      </c>
      <c r="D1854" s="6" t="s">
        <v>4303</v>
      </c>
      <c r="E1854" s="6" t="s">
        <v>36</v>
      </c>
      <c r="F1854" s="6" t="s">
        <v>37</v>
      </c>
      <c r="G1854" s="7">
        <v>0.05</v>
      </c>
      <c r="H1854" s="6" t="s">
        <v>113</v>
      </c>
      <c r="I1854" s="6" t="s">
        <v>20</v>
      </c>
      <c r="J1854" s="6">
        <v>2024.0</v>
      </c>
      <c r="K1854" s="6" t="s">
        <v>597</v>
      </c>
      <c r="L1854" s="6">
        <v>1.0</v>
      </c>
      <c r="M1854" s="8">
        <f t="shared" si="2"/>
        <v>0.05</v>
      </c>
      <c r="P1854" s="9"/>
    </row>
    <row r="1855">
      <c r="A1855" s="6" t="s">
        <v>4304</v>
      </c>
      <c r="B1855" s="6" t="s">
        <v>4305</v>
      </c>
      <c r="C1855" s="6" t="s">
        <v>48</v>
      </c>
      <c r="D1855" s="6" t="s">
        <v>4306</v>
      </c>
      <c r="E1855" s="6" t="s">
        <v>4307</v>
      </c>
      <c r="F1855" s="6" t="s">
        <v>60</v>
      </c>
      <c r="G1855" s="7">
        <v>0.14</v>
      </c>
      <c r="H1855" s="6" t="s">
        <v>346</v>
      </c>
      <c r="I1855" s="6" t="s">
        <v>20</v>
      </c>
      <c r="J1855" s="6">
        <v>2024.0</v>
      </c>
      <c r="K1855" s="10">
        <v>46023.0</v>
      </c>
      <c r="L1855" s="6">
        <v>1.0</v>
      </c>
      <c r="M1855" s="8">
        <f t="shared" si="2"/>
        <v>0.14</v>
      </c>
      <c r="P1855" s="9"/>
    </row>
    <row r="1856">
      <c r="A1856" s="6" t="s">
        <v>4308</v>
      </c>
      <c r="B1856" s="6" t="s">
        <v>3812</v>
      </c>
      <c r="C1856" s="6" t="s">
        <v>23</v>
      </c>
      <c r="D1856" s="6" t="s">
        <v>4309</v>
      </c>
      <c r="E1856" s="6" t="s">
        <v>79</v>
      </c>
      <c r="F1856" s="6" t="s">
        <v>51</v>
      </c>
      <c r="G1856" s="7">
        <v>0.05</v>
      </c>
      <c r="H1856" s="6" t="s">
        <v>45</v>
      </c>
      <c r="I1856" s="6" t="s">
        <v>20</v>
      </c>
      <c r="J1856" s="6">
        <v>2025.0</v>
      </c>
      <c r="K1856" s="10">
        <v>46083.0</v>
      </c>
      <c r="L1856" s="6">
        <v>5.0</v>
      </c>
      <c r="M1856" s="8">
        <f t="shared" si="2"/>
        <v>0.25</v>
      </c>
      <c r="P1856" s="9"/>
    </row>
    <row r="1857">
      <c r="A1857" s="6" t="s">
        <v>4310</v>
      </c>
      <c r="B1857" s="6" t="s">
        <v>1052</v>
      </c>
      <c r="C1857" s="6" t="s">
        <v>48</v>
      </c>
      <c r="D1857" s="6" t="s">
        <v>4311</v>
      </c>
      <c r="E1857" s="6" t="s">
        <v>79</v>
      </c>
      <c r="F1857" s="6" t="s">
        <v>51</v>
      </c>
      <c r="G1857" s="7">
        <v>0.15</v>
      </c>
      <c r="H1857" s="6" t="s">
        <v>45</v>
      </c>
      <c r="I1857" s="6" t="s">
        <v>20</v>
      </c>
      <c r="J1857" s="6">
        <v>2025.0</v>
      </c>
      <c r="L1857" s="6">
        <v>1.0</v>
      </c>
      <c r="M1857" s="8">
        <f t="shared" si="2"/>
        <v>0.15</v>
      </c>
      <c r="P1857" s="9"/>
    </row>
    <row r="1858">
      <c r="A1858" s="6" t="s">
        <v>4312</v>
      </c>
      <c r="B1858" s="6" t="s">
        <v>62</v>
      </c>
      <c r="C1858" s="6" t="s">
        <v>48</v>
      </c>
      <c r="D1858" s="6" t="s">
        <v>4313</v>
      </c>
      <c r="E1858" s="6" t="s">
        <v>30</v>
      </c>
      <c r="F1858" s="6" t="s">
        <v>18</v>
      </c>
      <c r="G1858" s="7">
        <v>0.02</v>
      </c>
      <c r="H1858" s="6" t="s">
        <v>316</v>
      </c>
      <c r="I1858" s="6" t="s">
        <v>20</v>
      </c>
      <c r="J1858" s="6">
        <v>2016.0</v>
      </c>
      <c r="L1858" s="6">
        <v>1.0</v>
      </c>
      <c r="M1858" s="8">
        <f t="shared" si="2"/>
        <v>0.02</v>
      </c>
      <c r="P1858" s="9"/>
    </row>
    <row r="1859">
      <c r="A1859" s="6" t="s">
        <v>4314</v>
      </c>
      <c r="B1859" s="6" t="s">
        <v>194</v>
      </c>
      <c r="C1859" s="6" t="s">
        <v>23</v>
      </c>
      <c r="D1859" s="6" t="s">
        <v>4315</v>
      </c>
      <c r="E1859" s="6" t="s">
        <v>30</v>
      </c>
      <c r="F1859" s="6" t="s">
        <v>18</v>
      </c>
      <c r="G1859" s="7">
        <v>0.05</v>
      </c>
      <c r="H1859" s="6" t="s">
        <v>645</v>
      </c>
      <c r="I1859" s="6" t="s">
        <v>20</v>
      </c>
      <c r="J1859" s="6">
        <v>2024.0</v>
      </c>
      <c r="L1859" s="6">
        <v>4.0</v>
      </c>
      <c r="M1859" s="8">
        <f t="shared" si="2"/>
        <v>0.2</v>
      </c>
      <c r="P1859" s="9"/>
    </row>
    <row r="1860">
      <c r="A1860" s="6" t="s">
        <v>4316</v>
      </c>
      <c r="B1860" s="6" t="s">
        <v>1052</v>
      </c>
      <c r="C1860" s="6" t="s">
        <v>521</v>
      </c>
      <c r="D1860" s="6" t="s">
        <v>4317</v>
      </c>
      <c r="E1860" s="6" t="s">
        <v>36</v>
      </c>
      <c r="F1860" s="6" t="s">
        <v>452</v>
      </c>
      <c r="G1860" s="7">
        <v>0.05</v>
      </c>
      <c r="H1860" s="6" t="s">
        <v>645</v>
      </c>
      <c r="I1860" s="6" t="s">
        <v>20</v>
      </c>
      <c r="J1860" s="6">
        <v>2024.0</v>
      </c>
      <c r="L1860" s="6">
        <v>1.0</v>
      </c>
      <c r="M1860" s="8">
        <f t="shared" si="2"/>
        <v>0.05</v>
      </c>
      <c r="P1860" s="9"/>
    </row>
    <row r="1861">
      <c r="A1861" s="6" t="s">
        <v>4316</v>
      </c>
      <c r="B1861" s="6" t="s">
        <v>1052</v>
      </c>
      <c r="C1861" s="6" t="s">
        <v>23</v>
      </c>
      <c r="D1861" s="6" t="s">
        <v>4318</v>
      </c>
      <c r="E1861" s="6" t="s">
        <v>36</v>
      </c>
      <c r="F1861" s="6" t="s">
        <v>37</v>
      </c>
      <c r="G1861" s="7">
        <v>0.05</v>
      </c>
      <c r="H1861" s="6" t="s">
        <v>645</v>
      </c>
      <c r="I1861" s="6" t="s">
        <v>20</v>
      </c>
      <c r="J1861" s="6">
        <v>2024.0</v>
      </c>
      <c r="L1861" s="6">
        <v>2.0</v>
      </c>
      <c r="M1861" s="8">
        <f t="shared" si="2"/>
        <v>0.1</v>
      </c>
      <c r="P1861" s="9"/>
    </row>
    <row r="1862">
      <c r="A1862" s="6" t="s">
        <v>4319</v>
      </c>
      <c r="B1862" s="6" t="s">
        <v>62</v>
      </c>
      <c r="C1862" s="6" t="s">
        <v>23</v>
      </c>
      <c r="D1862" s="6" t="s">
        <v>2958</v>
      </c>
      <c r="E1862" s="6" t="s">
        <v>149</v>
      </c>
      <c r="F1862" s="6" t="s">
        <v>18</v>
      </c>
      <c r="G1862" s="7">
        <v>0.2</v>
      </c>
      <c r="H1862" s="6" t="s">
        <v>559</v>
      </c>
      <c r="I1862" s="6" t="s">
        <v>20</v>
      </c>
      <c r="J1862" s="6">
        <v>2015.0</v>
      </c>
      <c r="L1862" s="6">
        <v>1.0</v>
      </c>
      <c r="M1862" s="8">
        <f t="shared" si="2"/>
        <v>0.2</v>
      </c>
      <c r="P1862" s="9"/>
    </row>
    <row r="1863">
      <c r="A1863" s="6" t="s">
        <v>4319</v>
      </c>
      <c r="B1863" s="6" t="s">
        <v>62</v>
      </c>
      <c r="C1863" s="6" t="s">
        <v>23</v>
      </c>
      <c r="D1863" s="6" t="s">
        <v>2958</v>
      </c>
      <c r="E1863" s="6" t="s">
        <v>149</v>
      </c>
      <c r="F1863" s="6" t="s">
        <v>18</v>
      </c>
      <c r="G1863" s="7">
        <v>0.09</v>
      </c>
      <c r="H1863" s="6" t="s">
        <v>559</v>
      </c>
      <c r="I1863" s="6" t="s">
        <v>20</v>
      </c>
      <c r="J1863" s="6">
        <v>2015.0</v>
      </c>
      <c r="L1863" s="6">
        <v>1.0</v>
      </c>
      <c r="M1863" s="8">
        <f t="shared" si="2"/>
        <v>0.09</v>
      </c>
      <c r="P1863" s="9"/>
    </row>
    <row r="1864">
      <c r="A1864" s="6" t="s">
        <v>4320</v>
      </c>
      <c r="B1864" s="6" t="s">
        <v>307</v>
      </c>
      <c r="C1864" s="6" t="s">
        <v>23</v>
      </c>
      <c r="D1864" s="6" t="s">
        <v>4321</v>
      </c>
      <c r="E1864" s="6" t="s">
        <v>36</v>
      </c>
      <c r="F1864" s="6" t="s">
        <v>37</v>
      </c>
      <c r="G1864" s="7">
        <v>0.08</v>
      </c>
      <c r="H1864" s="6" t="s">
        <v>146</v>
      </c>
      <c r="I1864" s="6" t="s">
        <v>20</v>
      </c>
      <c r="J1864" s="6">
        <v>2010.0</v>
      </c>
      <c r="L1864" s="6">
        <v>1.0</v>
      </c>
      <c r="M1864" s="8">
        <f t="shared" si="2"/>
        <v>0.08</v>
      </c>
      <c r="P1864" s="9"/>
    </row>
    <row r="1865">
      <c r="A1865" s="6" t="s">
        <v>4322</v>
      </c>
      <c r="B1865" s="6" t="s">
        <v>628</v>
      </c>
      <c r="C1865" s="6" t="s">
        <v>48</v>
      </c>
      <c r="D1865" s="6" t="s">
        <v>4323</v>
      </c>
      <c r="E1865" s="6" t="s">
        <v>149</v>
      </c>
      <c r="F1865" s="6" t="s">
        <v>18</v>
      </c>
      <c r="G1865" s="7">
        <v>0.07</v>
      </c>
      <c r="H1865" s="6" t="s">
        <v>316</v>
      </c>
      <c r="I1865" s="6" t="s">
        <v>20</v>
      </c>
      <c r="J1865" s="6">
        <v>2016.0</v>
      </c>
      <c r="K1865" s="10">
        <v>46082.0</v>
      </c>
      <c r="L1865" s="6">
        <v>1.0</v>
      </c>
      <c r="M1865" s="8">
        <f t="shared" si="2"/>
        <v>0.07</v>
      </c>
      <c r="P1865" s="9"/>
    </row>
    <row r="1866">
      <c r="A1866" s="6" t="s">
        <v>4324</v>
      </c>
      <c r="B1866" s="6" t="s">
        <v>1032</v>
      </c>
      <c r="C1866" s="6" t="s">
        <v>41</v>
      </c>
      <c r="D1866" s="6" t="s">
        <v>4325</v>
      </c>
      <c r="E1866" s="6" t="s">
        <v>102</v>
      </c>
      <c r="F1866" s="6" t="s">
        <v>103</v>
      </c>
      <c r="G1866" s="7">
        <v>0.16</v>
      </c>
      <c r="H1866" s="6" t="s">
        <v>299</v>
      </c>
      <c r="I1866" s="6" t="s">
        <v>20</v>
      </c>
      <c r="J1866" s="6">
        <v>2017.0</v>
      </c>
      <c r="K1866" s="10">
        <v>46024.0</v>
      </c>
      <c r="L1866" s="6">
        <v>3.0</v>
      </c>
      <c r="M1866" s="8">
        <f t="shared" si="2"/>
        <v>0.48</v>
      </c>
      <c r="P1866" s="9"/>
    </row>
    <row r="1867">
      <c r="A1867" s="6" t="s">
        <v>4326</v>
      </c>
      <c r="B1867" s="6" t="s">
        <v>62</v>
      </c>
      <c r="C1867" s="6" t="s">
        <v>23</v>
      </c>
      <c r="D1867" s="6" t="s">
        <v>4327</v>
      </c>
      <c r="E1867" s="6" t="s">
        <v>223</v>
      </c>
      <c r="F1867" s="6" t="s">
        <v>159</v>
      </c>
      <c r="G1867" s="7">
        <v>0.06</v>
      </c>
      <c r="H1867" s="6" t="s">
        <v>1327</v>
      </c>
      <c r="I1867" s="6" t="s">
        <v>20</v>
      </c>
      <c r="J1867" s="6">
        <v>2011.0</v>
      </c>
      <c r="L1867" s="6">
        <v>1.0</v>
      </c>
      <c r="M1867" s="8">
        <f t="shared" si="2"/>
        <v>0.06</v>
      </c>
      <c r="P1867" s="9"/>
    </row>
    <row r="1868">
      <c r="A1868" s="6" t="s">
        <v>4328</v>
      </c>
      <c r="B1868" s="6" t="s">
        <v>4329</v>
      </c>
      <c r="C1868" s="6" t="s">
        <v>521</v>
      </c>
      <c r="D1868" s="6" t="s">
        <v>4330</v>
      </c>
      <c r="E1868" s="6" t="s">
        <v>175</v>
      </c>
      <c r="F1868" s="6" t="s">
        <v>904</v>
      </c>
      <c r="G1868" s="7">
        <v>0.05</v>
      </c>
      <c r="H1868" s="6" t="s">
        <v>586</v>
      </c>
      <c r="I1868" s="6" t="s">
        <v>20</v>
      </c>
      <c r="J1868" s="6">
        <v>2000.0</v>
      </c>
      <c r="K1868" s="10">
        <v>46023.0</v>
      </c>
      <c r="L1868" s="6">
        <v>2.0</v>
      </c>
      <c r="M1868" s="8">
        <f t="shared" si="2"/>
        <v>0.1</v>
      </c>
      <c r="P1868" s="9"/>
    </row>
    <row r="1869">
      <c r="A1869" s="6" t="s">
        <v>4331</v>
      </c>
      <c r="B1869" s="6" t="s">
        <v>182</v>
      </c>
      <c r="C1869" s="6" t="s">
        <v>23</v>
      </c>
      <c r="D1869" s="6" t="s">
        <v>4332</v>
      </c>
      <c r="E1869" s="6" t="s">
        <v>108</v>
      </c>
      <c r="F1869" s="6" t="s">
        <v>103</v>
      </c>
      <c r="G1869" s="7">
        <v>0.05</v>
      </c>
      <c r="H1869" s="6" t="s">
        <v>1361</v>
      </c>
      <c r="I1869" s="6" t="s">
        <v>20</v>
      </c>
      <c r="J1869" s="6">
        <v>2008.0</v>
      </c>
      <c r="L1869" s="6">
        <v>1.0</v>
      </c>
      <c r="M1869" s="8">
        <f t="shared" si="2"/>
        <v>0.05</v>
      </c>
      <c r="P1869" s="9"/>
    </row>
    <row r="1870">
      <c r="A1870" s="6" t="s">
        <v>4333</v>
      </c>
      <c r="B1870" s="6" t="s">
        <v>1890</v>
      </c>
      <c r="C1870" s="6" t="s">
        <v>15</v>
      </c>
      <c r="D1870" s="6" t="s">
        <v>4334</v>
      </c>
      <c r="E1870" s="6" t="s">
        <v>618</v>
      </c>
      <c r="F1870" s="6" t="s">
        <v>159</v>
      </c>
      <c r="G1870" s="7">
        <v>0.09</v>
      </c>
      <c r="H1870" s="6" t="s">
        <v>19</v>
      </c>
      <c r="I1870" s="6" t="s">
        <v>20</v>
      </c>
      <c r="J1870" s="6">
        <v>2023.0</v>
      </c>
      <c r="K1870" s="10">
        <v>46056.0</v>
      </c>
      <c r="L1870" s="6">
        <v>1.0</v>
      </c>
      <c r="M1870" s="8">
        <f t="shared" si="2"/>
        <v>0.09</v>
      </c>
      <c r="P1870" s="9"/>
    </row>
    <row r="1871">
      <c r="A1871" s="6" t="s">
        <v>4335</v>
      </c>
      <c r="B1871" s="6" t="s">
        <v>202</v>
      </c>
      <c r="C1871" s="6" t="s">
        <v>4336</v>
      </c>
      <c r="D1871" s="6" t="s">
        <v>4337</v>
      </c>
      <c r="E1871" s="6" t="s">
        <v>158</v>
      </c>
      <c r="F1871" s="6" t="s">
        <v>159</v>
      </c>
      <c r="G1871" s="7">
        <v>1.0</v>
      </c>
      <c r="H1871" s="6" t="s">
        <v>114</v>
      </c>
      <c r="I1871" s="6" t="s">
        <v>20</v>
      </c>
      <c r="J1871" s="6">
        <v>2021.0</v>
      </c>
      <c r="L1871" s="6">
        <v>1.0</v>
      </c>
      <c r="M1871" s="8">
        <f t="shared" si="2"/>
        <v>1</v>
      </c>
      <c r="P1871" s="9"/>
    </row>
    <row r="1872">
      <c r="A1872" s="6" t="s">
        <v>4338</v>
      </c>
      <c r="B1872" s="6" t="s">
        <v>2673</v>
      </c>
      <c r="C1872" s="6" t="s">
        <v>23</v>
      </c>
      <c r="D1872" s="6" t="s">
        <v>4339</v>
      </c>
      <c r="E1872" s="6" t="s">
        <v>214</v>
      </c>
      <c r="F1872" s="6" t="s">
        <v>215</v>
      </c>
      <c r="G1872" s="7">
        <v>0.12</v>
      </c>
      <c r="H1872" s="6" t="s">
        <v>786</v>
      </c>
      <c r="I1872" s="6" t="s">
        <v>20</v>
      </c>
      <c r="J1872" s="6">
        <v>2024.0</v>
      </c>
      <c r="K1872" s="10">
        <v>46025.0</v>
      </c>
      <c r="L1872" s="6">
        <v>1.0</v>
      </c>
      <c r="M1872" s="8">
        <f t="shared" si="2"/>
        <v>0.12</v>
      </c>
      <c r="P1872" s="9"/>
    </row>
    <row r="1873">
      <c r="A1873" s="6" t="s">
        <v>4340</v>
      </c>
      <c r="B1873" s="6" t="s">
        <v>4341</v>
      </c>
      <c r="C1873" s="6" t="s">
        <v>48</v>
      </c>
      <c r="D1873" s="6" t="s">
        <v>4342</v>
      </c>
      <c r="E1873" s="6" t="s">
        <v>118</v>
      </c>
      <c r="F1873" s="6" t="s">
        <v>51</v>
      </c>
      <c r="G1873" s="7">
        <v>0.15</v>
      </c>
      <c r="H1873" s="6" t="s">
        <v>509</v>
      </c>
      <c r="I1873" s="6" t="s">
        <v>20</v>
      </c>
      <c r="J1873" s="6">
        <v>2024.0</v>
      </c>
      <c r="K1873" s="10">
        <v>46055.0</v>
      </c>
      <c r="L1873" s="6">
        <v>1.0</v>
      </c>
      <c r="M1873" s="8">
        <f t="shared" si="2"/>
        <v>0.15</v>
      </c>
      <c r="P1873" s="9"/>
    </row>
    <row r="1874">
      <c r="A1874" s="6" t="s">
        <v>4343</v>
      </c>
      <c r="B1874" s="6" t="s">
        <v>1329</v>
      </c>
      <c r="C1874" s="6" t="s">
        <v>571</v>
      </c>
      <c r="D1874" s="6" t="s">
        <v>4344</v>
      </c>
      <c r="E1874" s="6" t="s">
        <v>235</v>
      </c>
      <c r="F1874" s="6" t="s">
        <v>103</v>
      </c>
      <c r="G1874" s="7">
        <v>0.06</v>
      </c>
      <c r="H1874" s="6" t="s">
        <v>641</v>
      </c>
      <c r="I1874" s="6" t="s">
        <v>20</v>
      </c>
      <c r="J1874" s="6">
        <v>2026.0</v>
      </c>
      <c r="K1874" s="10">
        <v>46115.0</v>
      </c>
      <c r="L1874" s="6">
        <v>1.0</v>
      </c>
      <c r="M1874" s="8">
        <f t="shared" si="2"/>
        <v>0.06</v>
      </c>
      <c r="P1874" s="9"/>
    </row>
    <row r="1875">
      <c r="A1875" s="6" t="s">
        <v>4345</v>
      </c>
      <c r="B1875" s="6" t="s">
        <v>4346</v>
      </c>
      <c r="C1875" s="6" t="s">
        <v>48</v>
      </c>
      <c r="D1875" s="6" t="s">
        <v>4347</v>
      </c>
      <c r="E1875" s="6" t="s">
        <v>167</v>
      </c>
      <c r="F1875" s="6" t="s">
        <v>103</v>
      </c>
      <c r="G1875" s="7">
        <v>0.15</v>
      </c>
      <c r="H1875" s="6" t="s">
        <v>359</v>
      </c>
      <c r="I1875" s="6" t="s">
        <v>20</v>
      </c>
      <c r="J1875" s="6">
        <v>2014.0</v>
      </c>
      <c r="K1875" s="10">
        <v>46024.0</v>
      </c>
      <c r="L1875" s="6">
        <v>1.0</v>
      </c>
      <c r="M1875" s="8">
        <f t="shared" si="2"/>
        <v>0.15</v>
      </c>
      <c r="P1875" s="9"/>
    </row>
    <row r="1876">
      <c r="A1876" s="6" t="s">
        <v>4348</v>
      </c>
      <c r="B1876" s="6" t="s">
        <v>677</v>
      </c>
      <c r="C1876" s="6" t="s">
        <v>23</v>
      </c>
      <c r="D1876" s="6" t="s">
        <v>4349</v>
      </c>
      <c r="E1876" s="6" t="s">
        <v>223</v>
      </c>
      <c r="F1876" s="6" t="s">
        <v>159</v>
      </c>
      <c r="G1876" s="7">
        <v>0.05</v>
      </c>
      <c r="H1876" s="6" t="s">
        <v>113</v>
      </c>
      <c r="I1876" s="6" t="s">
        <v>20</v>
      </c>
      <c r="J1876" s="6">
        <v>2024.0</v>
      </c>
      <c r="K1876" s="10">
        <v>46055.0</v>
      </c>
      <c r="L1876" s="6">
        <v>1.0</v>
      </c>
      <c r="M1876" s="8">
        <f t="shared" si="2"/>
        <v>0.05</v>
      </c>
      <c r="P1876" s="9"/>
    </row>
    <row r="1877">
      <c r="A1877" s="6" t="s">
        <v>4350</v>
      </c>
      <c r="B1877" s="6" t="s">
        <v>1420</v>
      </c>
      <c r="C1877" s="6" t="s">
        <v>48</v>
      </c>
      <c r="D1877" s="6" t="s">
        <v>4351</v>
      </c>
      <c r="E1877" s="6" t="s">
        <v>167</v>
      </c>
      <c r="F1877" s="6" t="s">
        <v>103</v>
      </c>
      <c r="G1877" s="7">
        <v>2.98</v>
      </c>
      <c r="H1877" s="6" t="s">
        <v>184</v>
      </c>
      <c r="I1877" s="6" t="s">
        <v>55</v>
      </c>
      <c r="J1877" s="6">
        <v>2015.0</v>
      </c>
      <c r="K1877" s="10">
        <v>46023.0</v>
      </c>
      <c r="L1877" s="6">
        <v>1.0</v>
      </c>
      <c r="M1877" s="8">
        <f t="shared" si="2"/>
        <v>2.98</v>
      </c>
      <c r="N1877" s="6" t="s">
        <v>172</v>
      </c>
      <c r="P1877" s="9"/>
    </row>
    <row r="1878">
      <c r="A1878" s="6" t="s">
        <v>4350</v>
      </c>
      <c r="B1878" s="6" t="s">
        <v>1420</v>
      </c>
      <c r="C1878" s="6" t="s">
        <v>48</v>
      </c>
      <c r="D1878" s="6" t="s">
        <v>4351</v>
      </c>
      <c r="E1878" s="6" t="s">
        <v>167</v>
      </c>
      <c r="F1878" s="6" t="s">
        <v>103</v>
      </c>
      <c r="G1878" s="7">
        <v>0.15</v>
      </c>
      <c r="H1878" s="6" t="s">
        <v>184</v>
      </c>
      <c r="I1878" s="6" t="s">
        <v>20</v>
      </c>
      <c r="J1878" s="6">
        <v>2015.0</v>
      </c>
      <c r="K1878" s="10">
        <v>46023.0</v>
      </c>
      <c r="L1878" s="6">
        <v>1.0</v>
      </c>
      <c r="M1878" s="8">
        <f t="shared" si="2"/>
        <v>0.15</v>
      </c>
      <c r="P1878" s="9"/>
    </row>
    <row r="1879">
      <c r="A1879" s="6" t="s">
        <v>4352</v>
      </c>
      <c r="B1879" s="6" t="s">
        <v>815</v>
      </c>
      <c r="C1879" s="6" t="s">
        <v>521</v>
      </c>
      <c r="D1879" s="6" t="s">
        <v>4353</v>
      </c>
      <c r="E1879" s="6" t="s">
        <v>102</v>
      </c>
      <c r="F1879" s="6" t="s">
        <v>2954</v>
      </c>
      <c r="G1879" s="7">
        <v>0.05</v>
      </c>
      <c r="H1879" s="6" t="s">
        <v>154</v>
      </c>
      <c r="I1879" s="6" t="s">
        <v>20</v>
      </c>
      <c r="J1879" s="6">
        <v>2013.0</v>
      </c>
      <c r="K1879" s="10">
        <v>46082.0</v>
      </c>
      <c r="L1879" s="6">
        <v>4.0</v>
      </c>
      <c r="M1879" s="8">
        <f t="shared" si="2"/>
        <v>0.2</v>
      </c>
      <c r="P1879" s="9"/>
    </row>
    <row r="1880">
      <c r="A1880" s="6" t="s">
        <v>4354</v>
      </c>
      <c r="B1880" s="6" t="s">
        <v>4355</v>
      </c>
      <c r="C1880" s="6" t="s">
        <v>23</v>
      </c>
      <c r="D1880" s="6" t="s">
        <v>4356</v>
      </c>
      <c r="E1880" s="6" t="s">
        <v>223</v>
      </c>
      <c r="F1880" s="6" t="s">
        <v>159</v>
      </c>
      <c r="G1880" s="7">
        <v>0.04</v>
      </c>
      <c r="H1880" s="6" t="s">
        <v>1675</v>
      </c>
      <c r="I1880" s="6" t="s">
        <v>20</v>
      </c>
      <c r="J1880" s="6">
        <v>2021.0</v>
      </c>
      <c r="K1880" s="10">
        <v>46055.0</v>
      </c>
      <c r="L1880" s="6">
        <v>1.0</v>
      </c>
      <c r="M1880" s="8">
        <f t="shared" si="2"/>
        <v>0.04</v>
      </c>
      <c r="P1880" s="9"/>
    </row>
    <row r="1881">
      <c r="A1881" s="6" t="s">
        <v>4357</v>
      </c>
      <c r="B1881" s="6" t="s">
        <v>1536</v>
      </c>
      <c r="C1881" s="6" t="s">
        <v>23</v>
      </c>
      <c r="D1881" s="6" t="s">
        <v>4358</v>
      </c>
      <c r="E1881" s="6" t="s">
        <v>36</v>
      </c>
      <c r="F1881" s="6" t="s">
        <v>37</v>
      </c>
      <c r="G1881" s="7">
        <v>0.05</v>
      </c>
      <c r="H1881" s="6" t="s">
        <v>769</v>
      </c>
      <c r="I1881" s="6" t="s">
        <v>20</v>
      </c>
      <c r="J1881" s="6">
        <v>2023.0</v>
      </c>
      <c r="K1881" s="10">
        <v>46024.0</v>
      </c>
      <c r="L1881" s="6">
        <v>1.0</v>
      </c>
      <c r="M1881" s="8">
        <f t="shared" si="2"/>
        <v>0.05</v>
      </c>
      <c r="P1881" s="9"/>
    </row>
    <row r="1882">
      <c r="A1882" s="6" t="s">
        <v>4359</v>
      </c>
      <c r="B1882" s="6" t="s">
        <v>543</v>
      </c>
      <c r="C1882" s="6" t="s">
        <v>48</v>
      </c>
      <c r="D1882" s="6" t="s">
        <v>4360</v>
      </c>
      <c r="E1882" s="6" t="s">
        <v>985</v>
      </c>
      <c r="F1882" s="6" t="s">
        <v>986</v>
      </c>
      <c r="G1882" s="7">
        <v>0.16</v>
      </c>
      <c r="H1882" s="6" t="s">
        <v>192</v>
      </c>
      <c r="I1882" s="6" t="s">
        <v>20</v>
      </c>
      <c r="J1882" s="6">
        <v>2026.0</v>
      </c>
      <c r="L1882" s="6">
        <v>1.0</v>
      </c>
      <c r="M1882" s="8">
        <f t="shared" si="2"/>
        <v>0.16</v>
      </c>
      <c r="P1882" s="9"/>
    </row>
    <row r="1883">
      <c r="A1883" s="6" t="s">
        <v>4361</v>
      </c>
      <c r="B1883" s="6" t="s">
        <v>4362</v>
      </c>
      <c r="C1883" s="6" t="s">
        <v>48</v>
      </c>
      <c r="D1883" s="6" t="s">
        <v>4363</v>
      </c>
      <c r="E1883" s="6" t="s">
        <v>153</v>
      </c>
      <c r="F1883" s="6" t="s">
        <v>103</v>
      </c>
      <c r="G1883" s="7">
        <v>0.2</v>
      </c>
      <c r="H1883" s="6" t="s">
        <v>418</v>
      </c>
      <c r="I1883" s="6" t="s">
        <v>20</v>
      </c>
      <c r="J1883" s="6">
        <v>2022.0</v>
      </c>
      <c r="K1883" s="10">
        <v>46055.0</v>
      </c>
      <c r="L1883" s="6">
        <v>1.0</v>
      </c>
      <c r="M1883" s="8">
        <f t="shared" si="2"/>
        <v>0.2</v>
      </c>
      <c r="P1883" s="9"/>
    </row>
    <row r="1884">
      <c r="A1884" s="6" t="s">
        <v>4364</v>
      </c>
      <c r="B1884" s="6" t="s">
        <v>1900</v>
      </c>
      <c r="C1884" s="6" t="s">
        <v>1900</v>
      </c>
      <c r="E1884" s="6" t="s">
        <v>196</v>
      </c>
      <c r="F1884" s="6" t="s">
        <v>65</v>
      </c>
      <c r="G1884" s="7">
        <v>0.43</v>
      </c>
      <c r="H1884" s="6" t="s">
        <v>184</v>
      </c>
      <c r="I1884" s="6" t="s">
        <v>20</v>
      </c>
      <c r="J1884" s="6">
        <v>2015.0</v>
      </c>
      <c r="K1884" s="10">
        <v>46023.0</v>
      </c>
      <c r="L1884" s="6">
        <v>1.0</v>
      </c>
      <c r="M1884" s="8">
        <f t="shared" si="2"/>
        <v>0.43</v>
      </c>
      <c r="P1884" s="9"/>
    </row>
    <row r="1885">
      <c r="A1885" s="6" t="s">
        <v>4365</v>
      </c>
      <c r="B1885" s="6" t="s">
        <v>4366</v>
      </c>
      <c r="C1885" s="6" t="s">
        <v>48</v>
      </c>
      <c r="D1885" s="6" t="s">
        <v>4367</v>
      </c>
      <c r="E1885" s="6" t="s">
        <v>112</v>
      </c>
      <c r="F1885" s="6" t="s">
        <v>65</v>
      </c>
      <c r="G1885" s="7">
        <v>0.33</v>
      </c>
      <c r="H1885" s="6" t="s">
        <v>2441</v>
      </c>
      <c r="I1885" s="6" t="s">
        <v>20</v>
      </c>
      <c r="J1885" s="6">
        <v>2004.0</v>
      </c>
      <c r="K1885" s="10">
        <v>46054.0</v>
      </c>
      <c r="L1885" s="6">
        <v>1.0</v>
      </c>
      <c r="M1885" s="8">
        <f t="shared" si="2"/>
        <v>0.33</v>
      </c>
      <c r="P1885" s="9"/>
    </row>
    <row r="1886">
      <c r="A1886" s="6" t="s">
        <v>4368</v>
      </c>
      <c r="B1886" s="6" t="s">
        <v>1449</v>
      </c>
      <c r="C1886" s="6" t="s">
        <v>48</v>
      </c>
      <c r="D1886" s="6" t="s">
        <v>4369</v>
      </c>
      <c r="E1886" s="6" t="s">
        <v>196</v>
      </c>
      <c r="F1886" s="6" t="s">
        <v>65</v>
      </c>
      <c r="G1886" s="7">
        <v>0.25</v>
      </c>
      <c r="H1886" s="6" t="s">
        <v>606</v>
      </c>
      <c r="I1886" s="6" t="s">
        <v>20</v>
      </c>
      <c r="J1886" s="6">
        <v>1995.0</v>
      </c>
      <c r="K1886" s="10">
        <v>46023.0</v>
      </c>
      <c r="L1886" s="6">
        <v>1.0</v>
      </c>
      <c r="M1886" s="8">
        <f t="shared" si="2"/>
        <v>0.25</v>
      </c>
      <c r="P1886" s="9"/>
    </row>
    <row r="1887">
      <c r="A1887" s="6" t="s">
        <v>4370</v>
      </c>
      <c r="B1887" s="6" t="s">
        <v>4371</v>
      </c>
      <c r="C1887" s="6" t="s">
        <v>23</v>
      </c>
      <c r="D1887" s="6" t="s">
        <v>4372</v>
      </c>
      <c r="E1887" s="6" t="s">
        <v>64</v>
      </c>
      <c r="F1887" s="6" t="s">
        <v>65</v>
      </c>
      <c r="G1887" s="7">
        <v>0.09</v>
      </c>
      <c r="H1887" s="6" t="s">
        <v>113</v>
      </c>
      <c r="I1887" s="6" t="s">
        <v>20</v>
      </c>
      <c r="J1887" s="6">
        <v>2024.0</v>
      </c>
      <c r="K1887" s="10">
        <v>46056.0</v>
      </c>
      <c r="L1887" s="6">
        <v>1.0</v>
      </c>
      <c r="M1887" s="8">
        <f t="shared" si="2"/>
        <v>0.09</v>
      </c>
      <c r="P1887" s="9"/>
    </row>
    <row r="1888">
      <c r="A1888" s="6" t="s">
        <v>4373</v>
      </c>
      <c r="B1888" s="6" t="s">
        <v>1041</v>
      </c>
      <c r="C1888" s="6" t="s">
        <v>15</v>
      </c>
      <c r="D1888" s="6" t="s">
        <v>4374</v>
      </c>
      <c r="E1888" s="6" t="s">
        <v>681</v>
      </c>
      <c r="F1888" s="6" t="s">
        <v>65</v>
      </c>
      <c r="G1888" s="7">
        <v>14.99</v>
      </c>
      <c r="H1888" s="6" t="s">
        <v>180</v>
      </c>
      <c r="I1888" s="6" t="s">
        <v>20</v>
      </c>
      <c r="J1888" s="6">
        <v>2014.0</v>
      </c>
      <c r="L1888" s="6">
        <v>1.0</v>
      </c>
      <c r="M1888" s="8">
        <f t="shared" si="2"/>
        <v>14.99</v>
      </c>
      <c r="P1888" s="9"/>
    </row>
    <row r="1889">
      <c r="A1889" s="6" t="s">
        <v>4375</v>
      </c>
      <c r="B1889" s="6" t="s">
        <v>1449</v>
      </c>
      <c r="C1889" s="6" t="s">
        <v>23</v>
      </c>
      <c r="D1889" s="6" t="s">
        <v>4376</v>
      </c>
      <c r="E1889" s="6" t="s">
        <v>64</v>
      </c>
      <c r="F1889" s="6" t="s">
        <v>65</v>
      </c>
      <c r="G1889" s="7">
        <v>0.06</v>
      </c>
      <c r="H1889" s="6" t="s">
        <v>4377</v>
      </c>
      <c r="I1889" s="6" t="s">
        <v>20</v>
      </c>
      <c r="J1889" s="6">
        <v>2004.0</v>
      </c>
      <c r="K1889" s="10">
        <v>46055.0</v>
      </c>
      <c r="L1889" s="6">
        <v>1.0</v>
      </c>
      <c r="M1889" s="8">
        <f t="shared" si="2"/>
        <v>0.06</v>
      </c>
      <c r="P1889" s="9"/>
    </row>
    <row r="1890">
      <c r="A1890" s="6" t="s">
        <v>4378</v>
      </c>
      <c r="B1890" s="6" t="s">
        <v>2439</v>
      </c>
      <c r="C1890" s="6" t="s">
        <v>23</v>
      </c>
      <c r="D1890" s="6" t="s">
        <v>4379</v>
      </c>
      <c r="E1890" s="6" t="s">
        <v>112</v>
      </c>
      <c r="F1890" s="6" t="s">
        <v>65</v>
      </c>
      <c r="G1890" s="7">
        <v>0.08</v>
      </c>
      <c r="H1890" s="6" t="s">
        <v>2701</v>
      </c>
      <c r="I1890" s="6" t="s">
        <v>20</v>
      </c>
      <c r="J1890" s="6">
        <v>2003.0</v>
      </c>
      <c r="K1890" s="10">
        <v>46055.0</v>
      </c>
      <c r="L1890" s="6">
        <v>1.0</v>
      </c>
      <c r="M1890" s="8">
        <f t="shared" si="2"/>
        <v>0.08</v>
      </c>
      <c r="P1890" s="9"/>
    </row>
    <row r="1891">
      <c r="A1891" s="6" t="s">
        <v>4380</v>
      </c>
      <c r="B1891" s="6" t="s">
        <v>1113</v>
      </c>
      <c r="C1891" s="6" t="s">
        <v>48</v>
      </c>
      <c r="D1891" s="6" t="s">
        <v>4381</v>
      </c>
      <c r="E1891" s="6" t="s">
        <v>533</v>
      </c>
      <c r="F1891" s="6" t="s">
        <v>65</v>
      </c>
      <c r="G1891" s="7">
        <v>0.27</v>
      </c>
      <c r="H1891" s="6" t="s">
        <v>4382</v>
      </c>
      <c r="I1891" s="6" t="s">
        <v>20</v>
      </c>
      <c r="J1891" s="6">
        <v>2003.0</v>
      </c>
      <c r="K1891" s="10">
        <v>46084.0</v>
      </c>
      <c r="L1891" s="6">
        <v>1.0</v>
      </c>
      <c r="M1891" s="8">
        <f t="shared" si="2"/>
        <v>0.27</v>
      </c>
      <c r="P1891" s="9"/>
    </row>
    <row r="1892">
      <c r="A1892" s="6" t="s">
        <v>4383</v>
      </c>
      <c r="B1892" s="6" t="s">
        <v>4384</v>
      </c>
      <c r="C1892" s="6" t="s">
        <v>15</v>
      </c>
      <c r="D1892" s="6" t="s">
        <v>4385</v>
      </c>
      <c r="E1892" s="6" t="s">
        <v>1307</v>
      </c>
      <c r="F1892" s="6" t="s">
        <v>65</v>
      </c>
      <c r="G1892" s="7">
        <v>0.19</v>
      </c>
      <c r="H1892" s="6" t="s">
        <v>3523</v>
      </c>
      <c r="I1892" s="6" t="s">
        <v>20</v>
      </c>
      <c r="J1892" s="6">
        <v>2018.0</v>
      </c>
      <c r="K1892" s="10">
        <v>46055.0</v>
      </c>
      <c r="L1892" s="6">
        <v>1.0</v>
      </c>
      <c r="M1892" s="8">
        <f t="shared" si="2"/>
        <v>0.19</v>
      </c>
      <c r="P1892" s="9"/>
    </row>
    <row r="1893">
      <c r="A1893" s="6" t="s">
        <v>4386</v>
      </c>
      <c r="B1893" s="6" t="s">
        <v>1113</v>
      </c>
      <c r="C1893" s="6" t="s">
        <v>41</v>
      </c>
      <c r="D1893" s="6" t="s">
        <v>4387</v>
      </c>
      <c r="E1893" s="6" t="s">
        <v>2129</v>
      </c>
      <c r="F1893" s="6" t="s">
        <v>65</v>
      </c>
      <c r="G1893" s="7">
        <v>0.98</v>
      </c>
      <c r="H1893" s="6" t="s">
        <v>336</v>
      </c>
      <c r="I1893" s="6" t="s">
        <v>55</v>
      </c>
      <c r="J1893" s="6">
        <v>2016.0</v>
      </c>
      <c r="K1893" s="10">
        <v>46116.0</v>
      </c>
      <c r="L1893" s="6">
        <v>1.0</v>
      </c>
      <c r="M1893" s="8">
        <f t="shared" si="2"/>
        <v>0.98</v>
      </c>
      <c r="P1893" s="9"/>
    </row>
    <row r="1894">
      <c r="A1894" s="6" t="s">
        <v>4388</v>
      </c>
      <c r="B1894" s="6" t="s">
        <v>1183</v>
      </c>
      <c r="C1894" s="6" t="s">
        <v>34</v>
      </c>
      <c r="D1894" s="6" t="s">
        <v>4389</v>
      </c>
      <c r="E1894" s="6" t="s">
        <v>4390</v>
      </c>
      <c r="F1894" s="6" t="s">
        <v>858</v>
      </c>
      <c r="G1894" s="7">
        <v>0.09</v>
      </c>
      <c r="H1894" s="6" t="s">
        <v>180</v>
      </c>
      <c r="I1894" s="6" t="s">
        <v>20</v>
      </c>
      <c r="J1894" s="6">
        <v>2014.0</v>
      </c>
      <c r="K1894" s="10">
        <v>46025.0</v>
      </c>
      <c r="L1894" s="6">
        <v>1.0</v>
      </c>
      <c r="M1894" s="8">
        <f t="shared" si="2"/>
        <v>0.09</v>
      </c>
      <c r="P1894" s="9"/>
    </row>
    <row r="1895">
      <c r="A1895" s="6" t="s">
        <v>4391</v>
      </c>
      <c r="B1895" s="6" t="s">
        <v>4392</v>
      </c>
      <c r="C1895" s="6" t="s">
        <v>23</v>
      </c>
      <c r="D1895" s="6" t="s">
        <v>4393</v>
      </c>
      <c r="E1895" s="6" t="s">
        <v>196</v>
      </c>
      <c r="F1895" s="6" t="s">
        <v>65</v>
      </c>
      <c r="G1895" s="7">
        <v>0.09</v>
      </c>
      <c r="H1895" s="6" t="s">
        <v>4394</v>
      </c>
      <c r="I1895" s="6" t="s">
        <v>20</v>
      </c>
      <c r="J1895" s="6">
        <v>1995.0</v>
      </c>
      <c r="K1895" s="10">
        <v>46023.0</v>
      </c>
      <c r="L1895" s="6">
        <v>2.0</v>
      </c>
      <c r="M1895" s="8">
        <f t="shared" si="2"/>
        <v>0.18</v>
      </c>
      <c r="P1895" s="9"/>
    </row>
    <row r="1896">
      <c r="A1896" s="6" t="s">
        <v>4395</v>
      </c>
      <c r="B1896" s="6" t="s">
        <v>3842</v>
      </c>
      <c r="C1896" s="6" t="s">
        <v>48</v>
      </c>
      <c r="D1896" s="6" t="s">
        <v>4396</v>
      </c>
      <c r="E1896" s="6" t="s">
        <v>2070</v>
      </c>
      <c r="F1896" s="6" t="s">
        <v>65</v>
      </c>
      <c r="G1896" s="7">
        <v>0.45</v>
      </c>
      <c r="H1896" s="6" t="s">
        <v>4382</v>
      </c>
      <c r="I1896" s="6" t="s">
        <v>20</v>
      </c>
      <c r="J1896" s="6">
        <v>2003.0</v>
      </c>
      <c r="K1896" s="10">
        <v>46116.0</v>
      </c>
      <c r="L1896" s="6">
        <v>1.0</v>
      </c>
      <c r="M1896" s="8">
        <f t="shared" si="2"/>
        <v>0.45</v>
      </c>
      <c r="P1896" s="9"/>
    </row>
    <row r="1897">
      <c r="A1897" s="6" t="s">
        <v>4397</v>
      </c>
      <c r="B1897" s="6" t="s">
        <v>1113</v>
      </c>
      <c r="C1897" s="6" t="s">
        <v>23</v>
      </c>
      <c r="D1897" s="6" t="s">
        <v>4398</v>
      </c>
      <c r="E1897" s="6" t="s">
        <v>112</v>
      </c>
      <c r="F1897" s="6" t="s">
        <v>65</v>
      </c>
      <c r="G1897" s="7">
        <v>0.08</v>
      </c>
      <c r="H1897" s="6" t="s">
        <v>4382</v>
      </c>
      <c r="I1897" s="6" t="s">
        <v>20</v>
      </c>
      <c r="J1897" s="6">
        <v>2003.0</v>
      </c>
      <c r="K1897" s="10">
        <v>46055.0</v>
      </c>
      <c r="L1897" s="6">
        <v>1.0</v>
      </c>
      <c r="M1897" s="8">
        <f t="shared" si="2"/>
        <v>0.08</v>
      </c>
      <c r="P1897" s="9"/>
    </row>
    <row r="1898">
      <c r="A1898" s="6" t="s">
        <v>4399</v>
      </c>
      <c r="B1898" s="6" t="s">
        <v>182</v>
      </c>
      <c r="C1898" s="6" t="s">
        <v>23</v>
      </c>
      <c r="D1898" s="6" t="s">
        <v>4400</v>
      </c>
      <c r="E1898" s="6" t="s">
        <v>64</v>
      </c>
      <c r="F1898" s="6" t="s">
        <v>65</v>
      </c>
      <c r="G1898" s="7">
        <v>0.06</v>
      </c>
      <c r="H1898" s="6" t="s">
        <v>185</v>
      </c>
      <c r="I1898" s="6" t="s">
        <v>20</v>
      </c>
      <c r="J1898" s="6">
        <v>2019.0</v>
      </c>
      <c r="L1898" s="6">
        <v>1.0</v>
      </c>
      <c r="M1898" s="8">
        <f t="shared" si="2"/>
        <v>0.06</v>
      </c>
      <c r="P1898" s="9"/>
    </row>
    <row r="1899">
      <c r="A1899" s="6" t="s">
        <v>4401</v>
      </c>
      <c r="B1899" s="6" t="s">
        <v>4402</v>
      </c>
      <c r="C1899" s="6" t="s">
        <v>23</v>
      </c>
      <c r="D1899" s="6" t="s">
        <v>4403</v>
      </c>
      <c r="E1899" s="6" t="s">
        <v>112</v>
      </c>
      <c r="F1899" s="6" t="s">
        <v>65</v>
      </c>
      <c r="G1899" s="7">
        <v>0.38</v>
      </c>
      <c r="H1899" s="6" t="s">
        <v>204</v>
      </c>
      <c r="I1899" s="6" t="s">
        <v>55</v>
      </c>
      <c r="J1899" s="6">
        <v>2026.0</v>
      </c>
      <c r="K1899" s="10">
        <v>46055.0</v>
      </c>
      <c r="L1899" s="6">
        <v>1.0</v>
      </c>
      <c r="M1899" s="8">
        <f t="shared" si="2"/>
        <v>0.38</v>
      </c>
      <c r="P1899" s="9"/>
    </row>
    <row r="1900">
      <c r="A1900" s="6" t="s">
        <v>4404</v>
      </c>
      <c r="B1900" s="6" t="s">
        <v>1113</v>
      </c>
      <c r="C1900" s="6" t="s">
        <v>23</v>
      </c>
      <c r="D1900" s="6" t="s">
        <v>4405</v>
      </c>
      <c r="E1900" s="6" t="s">
        <v>196</v>
      </c>
      <c r="F1900" s="6" t="s">
        <v>65</v>
      </c>
      <c r="G1900" s="7">
        <v>0.12</v>
      </c>
      <c r="H1900" s="6" t="s">
        <v>4382</v>
      </c>
      <c r="I1900" s="6" t="s">
        <v>20</v>
      </c>
      <c r="J1900" s="6">
        <v>2003.0</v>
      </c>
      <c r="K1900" s="10">
        <v>46023.0</v>
      </c>
      <c r="L1900" s="6">
        <v>1.0</v>
      </c>
      <c r="M1900" s="8">
        <f t="shared" si="2"/>
        <v>0.12</v>
      </c>
      <c r="P1900" s="9"/>
    </row>
    <row r="1901">
      <c r="A1901" s="6" t="s">
        <v>4406</v>
      </c>
      <c r="B1901" s="6" t="s">
        <v>4407</v>
      </c>
      <c r="C1901" s="6" t="s">
        <v>23</v>
      </c>
      <c r="D1901" s="6" t="s">
        <v>4408</v>
      </c>
      <c r="E1901" s="6" t="s">
        <v>533</v>
      </c>
      <c r="F1901" s="6" t="s">
        <v>65</v>
      </c>
      <c r="G1901" s="7">
        <v>0.08</v>
      </c>
      <c r="H1901" s="6" t="s">
        <v>705</v>
      </c>
      <c r="I1901" s="6" t="s">
        <v>20</v>
      </c>
      <c r="J1901" s="6">
        <v>2015.0</v>
      </c>
      <c r="K1901" s="10">
        <v>46056.0</v>
      </c>
      <c r="L1901" s="6">
        <v>1.0</v>
      </c>
      <c r="M1901" s="8">
        <f t="shared" si="2"/>
        <v>0.08</v>
      </c>
      <c r="P1901" s="9"/>
    </row>
    <row r="1902">
      <c r="A1902" s="6" t="s">
        <v>4409</v>
      </c>
      <c r="B1902" s="6" t="s">
        <v>1449</v>
      </c>
      <c r="C1902" s="6" t="s">
        <v>41</v>
      </c>
      <c r="D1902" s="6" t="s">
        <v>4410</v>
      </c>
      <c r="E1902" s="6" t="s">
        <v>112</v>
      </c>
      <c r="F1902" s="6" t="s">
        <v>65</v>
      </c>
      <c r="G1902" s="7">
        <v>0.25</v>
      </c>
      <c r="H1902" s="6" t="s">
        <v>188</v>
      </c>
      <c r="I1902" s="6" t="s">
        <v>20</v>
      </c>
      <c r="J1902" s="6">
        <v>2014.0</v>
      </c>
      <c r="K1902" s="10">
        <v>46054.0</v>
      </c>
      <c r="L1902" s="6">
        <v>1.0</v>
      </c>
      <c r="M1902" s="8">
        <f t="shared" si="2"/>
        <v>0.25</v>
      </c>
      <c r="P1902" s="9"/>
    </row>
    <row r="1903">
      <c r="A1903" s="6" t="s">
        <v>4411</v>
      </c>
      <c r="B1903" s="6" t="s">
        <v>1113</v>
      </c>
      <c r="C1903" s="6" t="s">
        <v>48</v>
      </c>
      <c r="D1903" s="6" t="s">
        <v>4412</v>
      </c>
      <c r="E1903" s="6" t="s">
        <v>502</v>
      </c>
      <c r="F1903" s="6" t="s">
        <v>65</v>
      </c>
      <c r="G1903" s="7">
        <v>0.08</v>
      </c>
      <c r="H1903" s="6" t="s">
        <v>632</v>
      </c>
      <c r="I1903" s="6" t="s">
        <v>20</v>
      </c>
      <c r="J1903" s="6">
        <v>2002.0</v>
      </c>
      <c r="K1903" s="6" t="s">
        <v>137</v>
      </c>
      <c r="L1903" s="6">
        <v>1.0</v>
      </c>
      <c r="M1903" s="8">
        <f t="shared" si="2"/>
        <v>0.08</v>
      </c>
      <c r="P1903" s="9"/>
    </row>
    <row r="1904">
      <c r="A1904" s="6" t="s">
        <v>4413</v>
      </c>
      <c r="B1904" s="6" t="s">
        <v>1449</v>
      </c>
      <c r="C1904" s="6" t="s">
        <v>41</v>
      </c>
      <c r="D1904" s="6" t="s">
        <v>4414</v>
      </c>
      <c r="E1904" s="6" t="s">
        <v>1005</v>
      </c>
      <c r="F1904" s="6" t="s">
        <v>65</v>
      </c>
      <c r="G1904" s="7">
        <v>0.25</v>
      </c>
      <c r="H1904" s="6" t="s">
        <v>3844</v>
      </c>
      <c r="I1904" s="6" t="s">
        <v>20</v>
      </c>
      <c r="J1904" s="6">
        <v>2018.0</v>
      </c>
      <c r="K1904" s="10">
        <v>46115.0</v>
      </c>
      <c r="L1904" s="6">
        <v>1.0</v>
      </c>
      <c r="M1904" s="8">
        <f t="shared" si="2"/>
        <v>0.25</v>
      </c>
      <c r="P1904" s="9"/>
    </row>
    <row r="1905">
      <c r="A1905" s="6" t="s">
        <v>4415</v>
      </c>
      <c r="B1905" s="6" t="s">
        <v>4416</v>
      </c>
      <c r="C1905" s="6" t="s">
        <v>23</v>
      </c>
      <c r="D1905" s="6" t="s">
        <v>4417</v>
      </c>
      <c r="E1905" s="6" t="s">
        <v>243</v>
      </c>
      <c r="F1905" s="6" t="s">
        <v>37</v>
      </c>
      <c r="G1905" s="7">
        <v>0.05</v>
      </c>
      <c r="H1905" s="6" t="s">
        <v>305</v>
      </c>
      <c r="I1905" s="6" t="s">
        <v>20</v>
      </c>
      <c r="J1905" s="6">
        <v>2003.0</v>
      </c>
      <c r="K1905" s="10">
        <v>46055.0</v>
      </c>
      <c r="L1905" s="6">
        <v>1.0</v>
      </c>
      <c r="M1905" s="8">
        <f t="shared" si="2"/>
        <v>0.05</v>
      </c>
      <c r="P1905" s="9"/>
    </row>
    <row r="1906">
      <c r="A1906" s="6" t="s">
        <v>4418</v>
      </c>
      <c r="B1906" s="6" t="s">
        <v>1113</v>
      </c>
      <c r="C1906" s="6" t="s">
        <v>48</v>
      </c>
      <c r="D1906" s="6" t="s">
        <v>4419</v>
      </c>
      <c r="E1906" s="6" t="s">
        <v>533</v>
      </c>
      <c r="F1906" s="6" t="s">
        <v>65</v>
      </c>
      <c r="G1906" s="7">
        <v>0.45</v>
      </c>
      <c r="H1906" s="6" t="s">
        <v>4420</v>
      </c>
      <c r="I1906" s="6" t="s">
        <v>20</v>
      </c>
      <c r="J1906" s="6">
        <v>2019.0</v>
      </c>
      <c r="K1906" s="10">
        <v>46055.0</v>
      </c>
      <c r="L1906" s="6">
        <v>1.0</v>
      </c>
      <c r="M1906" s="8">
        <f t="shared" si="2"/>
        <v>0.45</v>
      </c>
      <c r="P1906" s="9"/>
    </row>
    <row r="1907">
      <c r="A1907" s="6" t="s">
        <v>4421</v>
      </c>
      <c r="B1907" s="6" t="s">
        <v>4392</v>
      </c>
      <c r="C1907" s="6" t="s">
        <v>23</v>
      </c>
      <c r="D1907" s="6" t="s">
        <v>4422</v>
      </c>
      <c r="E1907" s="6" t="s">
        <v>112</v>
      </c>
      <c r="F1907" s="6" t="s">
        <v>65</v>
      </c>
      <c r="G1907" s="7">
        <v>0.08</v>
      </c>
      <c r="H1907" s="6" t="s">
        <v>119</v>
      </c>
      <c r="I1907" s="6" t="s">
        <v>20</v>
      </c>
      <c r="J1907" s="6">
        <v>1995.0</v>
      </c>
      <c r="K1907" s="10">
        <v>46025.0</v>
      </c>
      <c r="L1907" s="6">
        <v>3.0</v>
      </c>
      <c r="M1907" s="8">
        <f t="shared" si="2"/>
        <v>0.24</v>
      </c>
      <c r="P1907" s="9"/>
    </row>
    <row r="1908">
      <c r="A1908" s="6" t="s">
        <v>4421</v>
      </c>
      <c r="B1908" s="6" t="s">
        <v>4392</v>
      </c>
      <c r="C1908" s="6" t="s">
        <v>23</v>
      </c>
      <c r="D1908" s="6" t="s">
        <v>4422</v>
      </c>
      <c r="E1908" s="6" t="s">
        <v>112</v>
      </c>
      <c r="F1908" s="6" t="s">
        <v>65</v>
      </c>
      <c r="G1908" s="7">
        <v>0.17</v>
      </c>
      <c r="H1908" s="6" t="s">
        <v>120</v>
      </c>
      <c r="I1908" s="6" t="s">
        <v>20</v>
      </c>
      <c r="J1908" s="6">
        <v>1995.0</v>
      </c>
      <c r="K1908" s="10">
        <v>46025.0</v>
      </c>
      <c r="L1908" s="6">
        <v>6.0</v>
      </c>
      <c r="M1908" s="8">
        <f t="shared" si="2"/>
        <v>1.02</v>
      </c>
      <c r="P1908" s="9"/>
    </row>
    <row r="1909">
      <c r="A1909" s="6" t="s">
        <v>4423</v>
      </c>
      <c r="B1909" s="6" t="s">
        <v>4424</v>
      </c>
      <c r="C1909" s="6" t="s">
        <v>23</v>
      </c>
      <c r="E1909" s="6" t="s">
        <v>64</v>
      </c>
      <c r="F1909" s="6" t="s">
        <v>65</v>
      </c>
      <c r="G1909" s="7">
        <v>0.05</v>
      </c>
      <c r="H1909" s="6" t="s">
        <v>340</v>
      </c>
      <c r="I1909" s="6" t="s">
        <v>20</v>
      </c>
      <c r="J1909" s="6">
        <v>2010.0</v>
      </c>
      <c r="K1909" s="10">
        <v>46056.0</v>
      </c>
      <c r="L1909" s="6">
        <v>1.0</v>
      </c>
      <c r="M1909" s="8">
        <f t="shared" si="2"/>
        <v>0.05</v>
      </c>
      <c r="P1909" s="9"/>
    </row>
    <row r="1910">
      <c r="A1910" s="6" t="s">
        <v>4425</v>
      </c>
      <c r="B1910" s="6" t="s">
        <v>1449</v>
      </c>
      <c r="C1910" s="6" t="s">
        <v>23</v>
      </c>
      <c r="D1910" s="6" t="s">
        <v>4426</v>
      </c>
      <c r="E1910" s="6" t="s">
        <v>64</v>
      </c>
      <c r="F1910" s="6" t="s">
        <v>65</v>
      </c>
      <c r="G1910" s="7">
        <v>0.05</v>
      </c>
      <c r="H1910" s="6" t="s">
        <v>632</v>
      </c>
      <c r="I1910" s="6" t="s">
        <v>20</v>
      </c>
      <c r="J1910" s="6">
        <v>2002.0</v>
      </c>
      <c r="K1910" s="10">
        <v>46054.0</v>
      </c>
      <c r="L1910" s="6">
        <v>1.0</v>
      </c>
      <c r="M1910" s="8">
        <f t="shared" si="2"/>
        <v>0.05</v>
      </c>
      <c r="P1910" s="9"/>
    </row>
    <row r="1911">
      <c r="A1911" s="6" t="s">
        <v>4427</v>
      </c>
      <c r="B1911" s="6" t="s">
        <v>4407</v>
      </c>
      <c r="C1911" s="6" t="s">
        <v>23</v>
      </c>
      <c r="D1911" s="6" t="s">
        <v>4428</v>
      </c>
      <c r="E1911" s="6" t="s">
        <v>112</v>
      </c>
      <c r="F1911" s="6" t="s">
        <v>65</v>
      </c>
      <c r="G1911" s="7">
        <v>0.05</v>
      </c>
      <c r="H1911" s="6" t="s">
        <v>305</v>
      </c>
      <c r="I1911" s="6" t="s">
        <v>20</v>
      </c>
      <c r="J1911" s="6">
        <v>2003.0</v>
      </c>
      <c r="K1911" s="10">
        <v>46023.0</v>
      </c>
      <c r="L1911" s="6">
        <v>1.0</v>
      </c>
      <c r="M1911" s="8">
        <f t="shared" si="2"/>
        <v>0.05</v>
      </c>
      <c r="P1911" s="9"/>
    </row>
    <row r="1912">
      <c r="A1912" s="6" t="s">
        <v>4429</v>
      </c>
      <c r="B1912" s="6" t="s">
        <v>1113</v>
      </c>
      <c r="C1912" s="6" t="s">
        <v>23</v>
      </c>
      <c r="D1912" s="6" t="s">
        <v>4430</v>
      </c>
      <c r="E1912" s="6" t="s">
        <v>196</v>
      </c>
      <c r="F1912" s="6" t="s">
        <v>65</v>
      </c>
      <c r="G1912" s="7">
        <v>0.08</v>
      </c>
      <c r="H1912" s="6" t="s">
        <v>632</v>
      </c>
      <c r="I1912" s="6" t="s">
        <v>20</v>
      </c>
      <c r="J1912" s="6">
        <v>2002.0</v>
      </c>
      <c r="K1912" s="10">
        <v>46023.0</v>
      </c>
      <c r="L1912" s="6">
        <v>1.0</v>
      </c>
      <c r="M1912" s="8">
        <f t="shared" si="2"/>
        <v>0.08</v>
      </c>
      <c r="P1912" s="9"/>
    </row>
    <row r="1913">
      <c r="A1913" s="6" t="s">
        <v>4431</v>
      </c>
      <c r="B1913" s="6" t="s">
        <v>4432</v>
      </c>
      <c r="C1913" s="6" t="s">
        <v>23</v>
      </c>
      <c r="D1913" s="6" t="s">
        <v>4433</v>
      </c>
      <c r="E1913" s="6" t="s">
        <v>112</v>
      </c>
      <c r="F1913" s="6" t="s">
        <v>65</v>
      </c>
      <c r="G1913" s="7">
        <v>0.22</v>
      </c>
      <c r="H1913" s="6" t="s">
        <v>370</v>
      </c>
      <c r="I1913" s="6" t="s">
        <v>20</v>
      </c>
      <c r="J1913" s="6">
        <v>1996.0</v>
      </c>
      <c r="K1913" s="10">
        <v>46054.0</v>
      </c>
      <c r="L1913" s="6">
        <v>1.0</v>
      </c>
      <c r="M1913" s="8">
        <f t="shared" si="2"/>
        <v>0.22</v>
      </c>
      <c r="P1913" s="9"/>
    </row>
    <row r="1914">
      <c r="A1914" s="6" t="s">
        <v>4434</v>
      </c>
      <c r="B1914" s="6" t="s">
        <v>3597</v>
      </c>
      <c r="C1914" s="6" t="s">
        <v>23</v>
      </c>
      <c r="D1914" s="6" t="s">
        <v>4435</v>
      </c>
      <c r="E1914" s="6" t="s">
        <v>196</v>
      </c>
      <c r="F1914" s="6" t="s">
        <v>65</v>
      </c>
      <c r="G1914" s="7">
        <v>0.69</v>
      </c>
      <c r="H1914" s="6" t="s">
        <v>769</v>
      </c>
      <c r="I1914" s="6" t="s">
        <v>20</v>
      </c>
      <c r="J1914" s="6">
        <v>2023.0</v>
      </c>
      <c r="K1914" s="10">
        <v>46054.0</v>
      </c>
      <c r="L1914" s="6">
        <v>1.0</v>
      </c>
      <c r="M1914" s="8">
        <f t="shared" si="2"/>
        <v>0.69</v>
      </c>
      <c r="P1914" s="9"/>
    </row>
    <row r="1915">
      <c r="A1915" s="6" t="s">
        <v>4436</v>
      </c>
      <c r="B1915" s="6" t="s">
        <v>3597</v>
      </c>
      <c r="C1915" s="6" t="s">
        <v>23</v>
      </c>
      <c r="D1915" s="6" t="s">
        <v>4437</v>
      </c>
      <c r="E1915" s="6" t="s">
        <v>112</v>
      </c>
      <c r="F1915" s="6" t="s">
        <v>65</v>
      </c>
      <c r="G1915" s="7">
        <v>0.04</v>
      </c>
      <c r="H1915" s="6" t="s">
        <v>875</v>
      </c>
      <c r="I1915" s="6" t="s">
        <v>20</v>
      </c>
      <c r="J1915" s="6">
        <v>2018.0</v>
      </c>
      <c r="K1915" s="10">
        <v>46024.0</v>
      </c>
      <c r="L1915" s="6">
        <v>1.0</v>
      </c>
      <c r="M1915" s="8">
        <f t="shared" si="2"/>
        <v>0.04</v>
      </c>
      <c r="P1915" s="9"/>
    </row>
    <row r="1916">
      <c r="A1916" s="6" t="s">
        <v>4438</v>
      </c>
      <c r="B1916" s="6" t="s">
        <v>1183</v>
      </c>
      <c r="C1916" s="6" t="s">
        <v>15</v>
      </c>
      <c r="D1916" s="6" t="s">
        <v>4439</v>
      </c>
      <c r="E1916" s="6" t="s">
        <v>4440</v>
      </c>
      <c r="F1916" s="6" t="s">
        <v>65</v>
      </c>
      <c r="G1916" s="7">
        <v>1.99</v>
      </c>
      <c r="H1916" s="6" t="s">
        <v>180</v>
      </c>
      <c r="I1916" s="6" t="s">
        <v>20</v>
      </c>
      <c r="J1916" s="6">
        <v>2014.0</v>
      </c>
      <c r="K1916" s="10">
        <v>46055.0</v>
      </c>
      <c r="L1916" s="6">
        <v>1.0</v>
      </c>
      <c r="M1916" s="8">
        <f t="shared" si="2"/>
        <v>1.99</v>
      </c>
      <c r="P1916" s="9"/>
    </row>
    <row r="1917">
      <c r="A1917" s="6" t="s">
        <v>4441</v>
      </c>
      <c r="B1917" s="6" t="s">
        <v>1459</v>
      </c>
      <c r="C1917" s="6" t="s">
        <v>23</v>
      </c>
      <c r="D1917" s="6" t="s">
        <v>4442</v>
      </c>
      <c r="E1917" s="6" t="s">
        <v>196</v>
      </c>
      <c r="F1917" s="6" t="s">
        <v>65</v>
      </c>
      <c r="G1917" s="7">
        <v>0.08</v>
      </c>
      <c r="H1917" s="6" t="s">
        <v>197</v>
      </c>
      <c r="I1917" s="6" t="s">
        <v>20</v>
      </c>
      <c r="J1917" s="6">
        <v>1995.0</v>
      </c>
      <c r="K1917" s="10">
        <v>46023.0</v>
      </c>
      <c r="L1917" s="6">
        <v>1.0</v>
      </c>
      <c r="M1917" s="8">
        <f t="shared" si="2"/>
        <v>0.08</v>
      </c>
      <c r="P1917" s="9"/>
    </row>
    <row r="1918">
      <c r="A1918" s="6" t="s">
        <v>4443</v>
      </c>
      <c r="B1918" s="6" t="s">
        <v>62</v>
      </c>
      <c r="C1918" s="6" t="s">
        <v>23</v>
      </c>
      <c r="D1918" s="6" t="s">
        <v>4444</v>
      </c>
      <c r="E1918" s="6" t="s">
        <v>175</v>
      </c>
      <c r="F1918" s="6" t="s">
        <v>51</v>
      </c>
      <c r="G1918" s="7">
        <v>0.18</v>
      </c>
      <c r="H1918" s="6" t="s">
        <v>2401</v>
      </c>
      <c r="I1918" s="6" t="s">
        <v>20</v>
      </c>
      <c r="J1918" s="6">
        <v>2018.0</v>
      </c>
      <c r="L1918" s="6">
        <v>1.0</v>
      </c>
      <c r="M1918" s="8">
        <f t="shared" si="2"/>
        <v>0.18</v>
      </c>
      <c r="P1918" s="9"/>
    </row>
    <row r="1919">
      <c r="A1919" s="6" t="s">
        <v>4445</v>
      </c>
      <c r="B1919" s="6" t="s">
        <v>4446</v>
      </c>
      <c r="C1919" s="6" t="s">
        <v>855</v>
      </c>
      <c r="D1919" s="6" t="s">
        <v>4447</v>
      </c>
      <c r="E1919" s="6" t="s">
        <v>4448</v>
      </c>
      <c r="F1919" s="6" t="s">
        <v>51</v>
      </c>
      <c r="G1919" s="7">
        <v>5.44</v>
      </c>
      <c r="H1919" s="6" t="s">
        <v>483</v>
      </c>
      <c r="I1919" s="6" t="s">
        <v>20</v>
      </c>
      <c r="J1919" s="6">
        <v>2014.0</v>
      </c>
      <c r="L1919" s="6">
        <v>1.0</v>
      </c>
      <c r="M1919" s="8">
        <f t="shared" si="2"/>
        <v>5.44</v>
      </c>
      <c r="P1919" s="9"/>
    </row>
    <row r="1920">
      <c r="A1920" s="6" t="s">
        <v>4449</v>
      </c>
      <c r="B1920" s="6" t="s">
        <v>229</v>
      </c>
      <c r="C1920" s="6" t="s">
        <v>212</v>
      </c>
      <c r="D1920" s="6" t="s">
        <v>4450</v>
      </c>
      <c r="E1920" s="6" t="s">
        <v>231</v>
      </c>
      <c r="F1920" s="6" t="s">
        <v>37</v>
      </c>
      <c r="G1920" s="7">
        <v>0.19</v>
      </c>
      <c r="H1920" s="6" t="s">
        <v>209</v>
      </c>
      <c r="I1920" s="6" t="s">
        <v>20</v>
      </c>
      <c r="J1920" s="6">
        <v>2025.0</v>
      </c>
      <c r="L1920" s="6">
        <v>2.0</v>
      </c>
      <c r="M1920" s="8">
        <f t="shared" si="2"/>
        <v>0.38</v>
      </c>
      <c r="P1920" s="9"/>
    </row>
    <row r="1921">
      <c r="A1921" s="6" t="s">
        <v>4451</v>
      </c>
      <c r="B1921" s="6" t="s">
        <v>206</v>
      </c>
      <c r="C1921" s="6" t="s">
        <v>15</v>
      </c>
      <c r="D1921" s="6" t="s">
        <v>4452</v>
      </c>
      <c r="E1921" s="6" t="s">
        <v>4453</v>
      </c>
      <c r="F1921" s="6" t="s">
        <v>103</v>
      </c>
      <c r="G1921" s="7">
        <v>3.24</v>
      </c>
      <c r="H1921" s="6" t="s">
        <v>209</v>
      </c>
      <c r="I1921" s="6" t="s">
        <v>20</v>
      </c>
      <c r="J1921" s="6">
        <v>2025.0</v>
      </c>
      <c r="K1921" s="10">
        <v>46117.0</v>
      </c>
      <c r="L1921" s="6">
        <v>1.0</v>
      </c>
      <c r="M1921" s="8">
        <f t="shared" si="2"/>
        <v>3.24</v>
      </c>
      <c r="P1921" s="9"/>
    </row>
    <row r="1922">
      <c r="A1922" s="6" t="s">
        <v>4454</v>
      </c>
      <c r="B1922" s="6" t="s">
        <v>4455</v>
      </c>
      <c r="C1922" s="6" t="s">
        <v>48</v>
      </c>
      <c r="D1922" s="6" t="s">
        <v>4456</v>
      </c>
      <c r="E1922" s="6" t="s">
        <v>1134</v>
      </c>
      <c r="F1922" s="6" t="s">
        <v>261</v>
      </c>
      <c r="G1922" s="7">
        <v>0.59</v>
      </c>
      <c r="H1922" s="6" t="s">
        <v>2696</v>
      </c>
      <c r="I1922" s="6" t="s">
        <v>55</v>
      </c>
      <c r="J1922" s="6">
        <v>2023.0</v>
      </c>
      <c r="K1922" s="10">
        <v>46082.0</v>
      </c>
      <c r="L1922" s="6">
        <v>1.0</v>
      </c>
      <c r="M1922" s="8">
        <f t="shared" si="2"/>
        <v>0.59</v>
      </c>
      <c r="P1922" s="9"/>
    </row>
    <row r="1923">
      <c r="A1923" s="6" t="s">
        <v>4457</v>
      </c>
      <c r="B1923" s="6" t="s">
        <v>940</v>
      </c>
      <c r="C1923" s="6" t="s">
        <v>23</v>
      </c>
      <c r="D1923" s="6" t="s">
        <v>2343</v>
      </c>
      <c r="E1923" s="6" t="s">
        <v>223</v>
      </c>
      <c r="F1923" s="6" t="s">
        <v>159</v>
      </c>
      <c r="G1923" s="7">
        <v>0.03</v>
      </c>
      <c r="H1923" s="6" t="s">
        <v>359</v>
      </c>
      <c r="I1923" s="6" t="s">
        <v>20</v>
      </c>
      <c r="J1923" s="6">
        <v>2014.0</v>
      </c>
      <c r="K1923" s="10">
        <v>46024.0</v>
      </c>
      <c r="L1923" s="6">
        <v>1.0</v>
      </c>
      <c r="M1923" s="8">
        <f t="shared" si="2"/>
        <v>0.03</v>
      </c>
      <c r="P1923" s="9"/>
    </row>
    <row r="1924">
      <c r="A1924" s="6" t="s">
        <v>4458</v>
      </c>
      <c r="B1924" s="6" t="s">
        <v>1808</v>
      </c>
      <c r="C1924" s="6" t="s">
        <v>23</v>
      </c>
      <c r="D1924" s="6" t="s">
        <v>4459</v>
      </c>
      <c r="E1924" s="6" t="s">
        <v>175</v>
      </c>
      <c r="F1924" s="6" t="s">
        <v>51</v>
      </c>
      <c r="G1924" s="7">
        <v>0.08</v>
      </c>
      <c r="H1924" s="6" t="s">
        <v>1361</v>
      </c>
      <c r="I1924" s="6" t="s">
        <v>20</v>
      </c>
      <c r="J1924" s="6">
        <v>2008.0</v>
      </c>
      <c r="K1924" s="6" t="s">
        <v>422</v>
      </c>
      <c r="L1924" s="6">
        <v>1.0</v>
      </c>
      <c r="M1924" s="8">
        <f t="shared" si="2"/>
        <v>0.08</v>
      </c>
      <c r="P1924" s="9"/>
    </row>
    <row r="1925">
      <c r="A1925" s="6" t="s">
        <v>4460</v>
      </c>
      <c r="B1925" s="6" t="s">
        <v>4461</v>
      </c>
      <c r="C1925" s="6" t="s">
        <v>48</v>
      </c>
      <c r="D1925" s="6" t="s">
        <v>4462</v>
      </c>
      <c r="E1925" s="6" t="s">
        <v>1685</v>
      </c>
      <c r="F1925" s="6" t="s">
        <v>159</v>
      </c>
      <c r="G1925" s="7">
        <v>0.05</v>
      </c>
      <c r="H1925" s="6" t="s">
        <v>359</v>
      </c>
      <c r="I1925" s="6" t="s">
        <v>20</v>
      </c>
      <c r="J1925" s="6">
        <v>2014.0</v>
      </c>
      <c r="K1925" s="10">
        <v>46117.0</v>
      </c>
      <c r="L1925" s="6">
        <v>2.0</v>
      </c>
      <c r="M1925" s="8">
        <f t="shared" si="2"/>
        <v>0.1</v>
      </c>
      <c r="P1925" s="9"/>
    </row>
    <row r="1926">
      <c r="A1926" s="6" t="s">
        <v>4463</v>
      </c>
      <c r="B1926" s="6" t="s">
        <v>567</v>
      </c>
      <c r="C1926" s="6" t="s">
        <v>48</v>
      </c>
      <c r="D1926" s="6" t="s">
        <v>4464</v>
      </c>
      <c r="E1926" s="6" t="s">
        <v>2288</v>
      </c>
      <c r="F1926" s="6" t="s">
        <v>51</v>
      </c>
      <c r="G1926" s="7">
        <v>0.09</v>
      </c>
      <c r="H1926" s="6" t="s">
        <v>596</v>
      </c>
      <c r="I1926" s="6" t="s">
        <v>20</v>
      </c>
      <c r="J1926" s="6">
        <v>2012.0</v>
      </c>
      <c r="K1926" s="10">
        <v>46116.0</v>
      </c>
      <c r="L1926" s="6">
        <v>4.0</v>
      </c>
      <c r="M1926" s="8">
        <f t="shared" si="2"/>
        <v>0.36</v>
      </c>
      <c r="P1926" s="9"/>
    </row>
    <row r="1927">
      <c r="A1927" s="6" t="s">
        <v>4465</v>
      </c>
      <c r="B1927" s="6" t="s">
        <v>143</v>
      </c>
      <c r="C1927" s="6" t="s">
        <v>23</v>
      </c>
      <c r="D1927" s="6" t="s">
        <v>4466</v>
      </c>
      <c r="E1927" s="6" t="s">
        <v>36</v>
      </c>
      <c r="F1927" s="6" t="s">
        <v>37</v>
      </c>
      <c r="G1927" s="7">
        <v>0.17</v>
      </c>
      <c r="H1927" s="6" t="s">
        <v>881</v>
      </c>
      <c r="I1927" s="6" t="s">
        <v>20</v>
      </c>
      <c r="J1927" s="6">
        <v>2021.0</v>
      </c>
      <c r="L1927" s="6">
        <v>1.0</v>
      </c>
      <c r="M1927" s="8">
        <f t="shared" si="2"/>
        <v>0.17</v>
      </c>
      <c r="P1927" s="9"/>
    </row>
    <row r="1928">
      <c r="A1928" s="6" t="s">
        <v>4467</v>
      </c>
      <c r="B1928" s="6" t="s">
        <v>307</v>
      </c>
      <c r="C1928" s="6" t="s">
        <v>23</v>
      </c>
      <c r="D1928" s="6" t="s">
        <v>4468</v>
      </c>
      <c r="E1928" s="6" t="s">
        <v>243</v>
      </c>
      <c r="F1928" s="6" t="s">
        <v>37</v>
      </c>
      <c r="G1928" s="7">
        <v>2.6</v>
      </c>
      <c r="H1928" s="6" t="s">
        <v>146</v>
      </c>
      <c r="I1928" s="6" t="s">
        <v>20</v>
      </c>
      <c r="J1928" s="6">
        <v>2010.0</v>
      </c>
      <c r="L1928" s="6">
        <v>1.0</v>
      </c>
      <c r="M1928" s="8">
        <f t="shared" si="2"/>
        <v>2.6</v>
      </c>
      <c r="N1928" s="6" t="s">
        <v>172</v>
      </c>
      <c r="P1928" s="9"/>
    </row>
    <row r="1929">
      <c r="A1929" s="6" t="s">
        <v>4469</v>
      </c>
      <c r="B1929" s="6" t="s">
        <v>694</v>
      </c>
      <c r="C1929" s="6" t="s">
        <v>23</v>
      </c>
      <c r="D1929" s="6" t="s">
        <v>4470</v>
      </c>
      <c r="E1929" s="6" t="s">
        <v>696</v>
      </c>
      <c r="F1929" s="6" t="s">
        <v>37</v>
      </c>
      <c r="G1929" s="7">
        <v>0.05</v>
      </c>
      <c r="H1929" s="6" t="s">
        <v>188</v>
      </c>
      <c r="I1929" s="6" t="s">
        <v>20</v>
      </c>
      <c r="J1929" s="6">
        <v>2014.0</v>
      </c>
      <c r="K1929" s="10">
        <v>46116.0</v>
      </c>
      <c r="L1929" s="6">
        <v>1.0</v>
      </c>
      <c r="M1929" s="8">
        <f t="shared" si="2"/>
        <v>0.05</v>
      </c>
      <c r="P1929" s="9"/>
    </row>
    <row r="1930">
      <c r="A1930" s="6" t="s">
        <v>4471</v>
      </c>
      <c r="B1930" s="6" t="s">
        <v>694</v>
      </c>
      <c r="C1930" s="6" t="s">
        <v>23</v>
      </c>
      <c r="D1930" s="6" t="s">
        <v>4472</v>
      </c>
      <c r="E1930" s="6" t="s">
        <v>625</v>
      </c>
      <c r="F1930" s="6" t="s">
        <v>37</v>
      </c>
      <c r="G1930" s="7">
        <v>0.04</v>
      </c>
      <c r="H1930" s="6" t="s">
        <v>171</v>
      </c>
      <c r="I1930" s="6" t="s">
        <v>20</v>
      </c>
      <c r="J1930" s="6">
        <v>2021.0</v>
      </c>
      <c r="K1930" s="10">
        <v>46084.0</v>
      </c>
      <c r="L1930" s="6">
        <v>1.0</v>
      </c>
      <c r="M1930" s="8">
        <f t="shared" si="2"/>
        <v>0.04</v>
      </c>
      <c r="P1930" s="9"/>
    </row>
    <row r="1931">
      <c r="A1931" s="6" t="s">
        <v>4473</v>
      </c>
      <c r="B1931" s="6" t="s">
        <v>307</v>
      </c>
      <c r="C1931" s="6" t="s">
        <v>23</v>
      </c>
      <c r="D1931" s="6" t="s">
        <v>4474</v>
      </c>
      <c r="E1931" s="6" t="s">
        <v>36</v>
      </c>
      <c r="F1931" s="6" t="s">
        <v>37</v>
      </c>
      <c r="G1931" s="7">
        <v>2.64</v>
      </c>
      <c r="H1931" s="6" t="s">
        <v>2401</v>
      </c>
      <c r="I1931" s="6" t="s">
        <v>20</v>
      </c>
      <c r="J1931" s="6">
        <v>2018.0</v>
      </c>
      <c r="L1931" s="6">
        <v>1.0</v>
      </c>
      <c r="M1931" s="8">
        <f t="shared" si="2"/>
        <v>2.64</v>
      </c>
      <c r="P1931" s="9"/>
    </row>
    <row r="1932">
      <c r="A1932" s="6" t="s">
        <v>4475</v>
      </c>
      <c r="B1932" s="6" t="s">
        <v>4476</v>
      </c>
      <c r="C1932" s="6" t="s">
        <v>15</v>
      </c>
      <c r="D1932" s="6" t="s">
        <v>4477</v>
      </c>
      <c r="E1932" s="6" t="s">
        <v>2621</v>
      </c>
      <c r="F1932" s="6" t="s">
        <v>103</v>
      </c>
      <c r="G1932" s="7">
        <v>0.38</v>
      </c>
      <c r="H1932" s="6" t="s">
        <v>19</v>
      </c>
      <c r="I1932" s="6" t="s">
        <v>20</v>
      </c>
      <c r="J1932" s="6">
        <v>2023.0</v>
      </c>
      <c r="K1932" s="10">
        <v>46025.0</v>
      </c>
      <c r="L1932" s="6">
        <v>2.0</v>
      </c>
      <c r="M1932" s="8">
        <f t="shared" si="2"/>
        <v>0.76</v>
      </c>
      <c r="P1932" s="9"/>
    </row>
    <row r="1933">
      <c r="A1933" s="6" t="s">
        <v>4478</v>
      </c>
      <c r="B1933" s="6" t="s">
        <v>229</v>
      </c>
      <c r="C1933" s="6" t="s">
        <v>212</v>
      </c>
      <c r="D1933" s="6" t="s">
        <v>4479</v>
      </c>
      <c r="E1933" s="6" t="s">
        <v>231</v>
      </c>
      <c r="F1933" s="6" t="s">
        <v>37</v>
      </c>
      <c r="G1933" s="7">
        <v>0.18</v>
      </c>
      <c r="H1933" s="6" t="s">
        <v>209</v>
      </c>
      <c r="I1933" s="6" t="s">
        <v>20</v>
      </c>
      <c r="J1933" s="6">
        <v>2025.0</v>
      </c>
      <c r="L1933" s="6">
        <v>3.0</v>
      </c>
      <c r="M1933" s="8">
        <f t="shared" si="2"/>
        <v>0.54</v>
      </c>
      <c r="P1933" s="9"/>
    </row>
    <row r="1934">
      <c r="A1934" s="6" t="s">
        <v>4480</v>
      </c>
      <c r="B1934" s="6" t="s">
        <v>4481</v>
      </c>
      <c r="C1934" s="6" t="s">
        <v>41</v>
      </c>
      <c r="D1934" s="6" t="s">
        <v>4482</v>
      </c>
      <c r="E1934" s="6" t="s">
        <v>124</v>
      </c>
      <c r="F1934" s="6" t="s">
        <v>103</v>
      </c>
      <c r="G1934" s="7">
        <v>0.25</v>
      </c>
      <c r="H1934" s="6" t="s">
        <v>316</v>
      </c>
      <c r="I1934" s="6" t="s">
        <v>20</v>
      </c>
      <c r="J1934" s="6">
        <v>2016.0</v>
      </c>
      <c r="K1934" s="10">
        <v>46083.0</v>
      </c>
      <c r="L1934" s="6">
        <v>2.0</v>
      </c>
      <c r="M1934" s="8">
        <f t="shared" si="2"/>
        <v>0.5</v>
      </c>
      <c r="P1934" s="9"/>
    </row>
    <row r="1935">
      <c r="A1935" s="6" t="s">
        <v>4483</v>
      </c>
      <c r="B1935" s="6" t="s">
        <v>4484</v>
      </c>
      <c r="C1935" s="6" t="s">
        <v>84</v>
      </c>
      <c r="D1935" s="6" t="s">
        <v>4485</v>
      </c>
      <c r="E1935" s="6" t="s">
        <v>124</v>
      </c>
      <c r="F1935" s="6" t="s">
        <v>103</v>
      </c>
      <c r="G1935" s="7">
        <v>0.38</v>
      </c>
      <c r="H1935" s="6" t="s">
        <v>4486</v>
      </c>
      <c r="I1935" s="6" t="s">
        <v>20</v>
      </c>
      <c r="J1935" s="6">
        <v>2021.0</v>
      </c>
      <c r="K1935" s="10">
        <v>46083.0</v>
      </c>
      <c r="L1935" s="6">
        <v>1.0</v>
      </c>
      <c r="M1935" s="8">
        <f t="shared" si="2"/>
        <v>0.38</v>
      </c>
      <c r="P1935" s="9"/>
    </row>
    <row r="1936">
      <c r="A1936" s="6" t="s">
        <v>4487</v>
      </c>
      <c r="B1936" s="6" t="s">
        <v>4488</v>
      </c>
      <c r="C1936" s="6" t="s">
        <v>34</v>
      </c>
      <c r="D1936" s="6" t="s">
        <v>4489</v>
      </c>
      <c r="E1936" s="6" t="s">
        <v>1265</v>
      </c>
      <c r="F1936" s="6" t="s">
        <v>159</v>
      </c>
      <c r="G1936" s="7">
        <v>0.05</v>
      </c>
      <c r="H1936" s="6" t="s">
        <v>209</v>
      </c>
      <c r="I1936" s="6" t="s">
        <v>20</v>
      </c>
      <c r="J1936" s="6">
        <v>2025.0</v>
      </c>
      <c r="K1936" s="10">
        <v>46082.0</v>
      </c>
      <c r="L1936" s="6">
        <v>7.0</v>
      </c>
      <c r="M1936" s="8">
        <f t="shared" si="2"/>
        <v>0.35</v>
      </c>
      <c r="P1936" s="9"/>
    </row>
    <row r="1937">
      <c r="A1937" s="6" t="s">
        <v>4490</v>
      </c>
      <c r="B1937" s="6" t="s">
        <v>4491</v>
      </c>
      <c r="C1937" s="6" t="s">
        <v>15</v>
      </c>
      <c r="D1937" s="6" t="s">
        <v>4492</v>
      </c>
      <c r="E1937" s="6" t="s">
        <v>2621</v>
      </c>
      <c r="F1937" s="6" t="s">
        <v>103</v>
      </c>
      <c r="G1937" s="7">
        <v>0.17</v>
      </c>
      <c r="H1937" s="6" t="s">
        <v>19</v>
      </c>
      <c r="I1937" s="6" t="s">
        <v>20</v>
      </c>
      <c r="J1937" s="6">
        <v>2023.0</v>
      </c>
      <c r="K1937" s="10">
        <v>46055.0</v>
      </c>
      <c r="L1937" s="6">
        <v>2.0</v>
      </c>
      <c r="M1937" s="8">
        <f t="shared" si="2"/>
        <v>0.34</v>
      </c>
      <c r="P1937" s="9"/>
    </row>
    <row r="1938">
      <c r="A1938" s="6" t="s">
        <v>4493</v>
      </c>
      <c r="B1938" s="6" t="s">
        <v>709</v>
      </c>
      <c r="C1938" s="6" t="s">
        <v>48</v>
      </c>
      <c r="D1938" s="6" t="s">
        <v>4494</v>
      </c>
      <c r="E1938" s="6" t="s">
        <v>1321</v>
      </c>
      <c r="F1938" s="6" t="s">
        <v>103</v>
      </c>
      <c r="G1938" s="7">
        <v>0.17</v>
      </c>
      <c r="H1938" s="6" t="s">
        <v>163</v>
      </c>
      <c r="I1938" s="6" t="s">
        <v>20</v>
      </c>
      <c r="J1938" s="6">
        <v>2023.0</v>
      </c>
      <c r="K1938" s="10">
        <v>46147.0</v>
      </c>
      <c r="L1938" s="6">
        <v>1.0</v>
      </c>
      <c r="M1938" s="8">
        <f t="shared" si="2"/>
        <v>0.17</v>
      </c>
      <c r="P1938" s="9"/>
    </row>
    <row r="1939">
      <c r="A1939" s="6" t="s">
        <v>4495</v>
      </c>
      <c r="B1939" s="6" t="s">
        <v>4496</v>
      </c>
      <c r="C1939" s="6" t="s">
        <v>48</v>
      </c>
      <c r="D1939" s="6" t="s">
        <v>4497</v>
      </c>
      <c r="E1939" s="6" t="s">
        <v>754</v>
      </c>
      <c r="F1939" s="6" t="s">
        <v>103</v>
      </c>
      <c r="G1939" s="7">
        <v>0.38</v>
      </c>
      <c r="H1939" s="6" t="s">
        <v>163</v>
      </c>
      <c r="I1939" s="6" t="s">
        <v>20</v>
      </c>
      <c r="J1939" s="6">
        <v>2023.0</v>
      </c>
      <c r="K1939" s="10">
        <v>46116.0</v>
      </c>
      <c r="L1939" s="6">
        <v>1.0</v>
      </c>
      <c r="M1939" s="8">
        <f t="shared" si="2"/>
        <v>0.38</v>
      </c>
      <c r="P1939" s="9"/>
    </row>
    <row r="1940">
      <c r="A1940" s="6" t="s">
        <v>4498</v>
      </c>
      <c r="B1940" s="6" t="s">
        <v>4499</v>
      </c>
      <c r="C1940" s="6" t="s">
        <v>23</v>
      </c>
      <c r="D1940" s="6" t="s">
        <v>4500</v>
      </c>
      <c r="E1940" s="6" t="s">
        <v>196</v>
      </c>
      <c r="F1940" s="6" t="s">
        <v>65</v>
      </c>
      <c r="G1940" s="7">
        <v>1.64</v>
      </c>
      <c r="H1940" s="6" t="s">
        <v>289</v>
      </c>
      <c r="I1940" s="6" t="s">
        <v>20</v>
      </c>
      <c r="J1940" s="6">
        <v>1996.0</v>
      </c>
      <c r="K1940" s="10">
        <v>46023.0</v>
      </c>
      <c r="L1940" s="6">
        <v>2.0</v>
      </c>
      <c r="M1940" s="8">
        <f t="shared" si="2"/>
        <v>3.28</v>
      </c>
      <c r="P1940" s="9"/>
    </row>
    <row r="1941">
      <c r="A1941" s="6" t="s">
        <v>4498</v>
      </c>
      <c r="B1941" s="6" t="s">
        <v>4499</v>
      </c>
      <c r="C1941" s="6" t="s">
        <v>23</v>
      </c>
      <c r="D1941" s="6" t="s">
        <v>4500</v>
      </c>
      <c r="E1941" s="6" t="s">
        <v>196</v>
      </c>
      <c r="F1941" s="6" t="s">
        <v>65</v>
      </c>
      <c r="G1941" s="7">
        <v>1.49</v>
      </c>
      <c r="H1941" s="6" t="s">
        <v>289</v>
      </c>
      <c r="I1941" s="6" t="s">
        <v>20</v>
      </c>
      <c r="J1941" s="6">
        <v>1996.0</v>
      </c>
      <c r="K1941" s="10">
        <v>46023.0</v>
      </c>
      <c r="L1941" s="6">
        <v>2.0</v>
      </c>
      <c r="M1941" s="8">
        <f t="shared" si="2"/>
        <v>2.98</v>
      </c>
      <c r="P1941" s="9"/>
    </row>
    <row r="1942">
      <c r="A1942" s="6" t="s">
        <v>4501</v>
      </c>
      <c r="B1942" s="6" t="s">
        <v>4502</v>
      </c>
      <c r="C1942" s="6" t="s">
        <v>15</v>
      </c>
      <c r="D1942" s="6" t="s">
        <v>4503</v>
      </c>
      <c r="E1942" s="6" t="s">
        <v>2028</v>
      </c>
      <c r="F1942" s="6" t="s">
        <v>103</v>
      </c>
      <c r="G1942" s="7">
        <v>0.25</v>
      </c>
      <c r="H1942" s="6" t="s">
        <v>19</v>
      </c>
      <c r="I1942" s="6" t="s">
        <v>20</v>
      </c>
      <c r="J1942" s="6">
        <v>2023.0</v>
      </c>
      <c r="K1942" s="10">
        <v>46084.0</v>
      </c>
      <c r="L1942" s="6">
        <v>2.0</v>
      </c>
      <c r="M1942" s="8">
        <f t="shared" si="2"/>
        <v>0.5</v>
      </c>
      <c r="P1942" s="9"/>
    </row>
    <row r="1943">
      <c r="A1943" s="6" t="s">
        <v>4504</v>
      </c>
      <c r="B1943" s="6" t="s">
        <v>543</v>
      </c>
      <c r="C1943" s="6" t="s">
        <v>23</v>
      </c>
      <c r="D1943" s="6" t="s">
        <v>4505</v>
      </c>
      <c r="E1943" s="6" t="s">
        <v>112</v>
      </c>
      <c r="F1943" s="6" t="s">
        <v>65</v>
      </c>
      <c r="G1943" s="7">
        <v>3.7</v>
      </c>
      <c r="H1943" s="6" t="s">
        <v>645</v>
      </c>
      <c r="I1943" s="6" t="s">
        <v>20</v>
      </c>
      <c r="J1943" s="6">
        <v>2024.0</v>
      </c>
      <c r="L1943" s="6">
        <v>1.0</v>
      </c>
      <c r="M1943" s="8">
        <f t="shared" si="2"/>
        <v>3.7</v>
      </c>
      <c r="N1943" s="6" t="s">
        <v>172</v>
      </c>
      <c r="P1943" s="9"/>
    </row>
    <row r="1944">
      <c r="A1944" s="6" t="s">
        <v>4504</v>
      </c>
      <c r="B1944" s="6" t="s">
        <v>543</v>
      </c>
      <c r="C1944" s="6" t="s">
        <v>23</v>
      </c>
      <c r="D1944" s="6" t="s">
        <v>4505</v>
      </c>
      <c r="E1944" s="6" t="s">
        <v>112</v>
      </c>
      <c r="F1944" s="6" t="s">
        <v>65</v>
      </c>
      <c r="G1944" s="7">
        <v>9.49</v>
      </c>
      <c r="H1944" s="6" t="s">
        <v>645</v>
      </c>
      <c r="I1944" s="6" t="s">
        <v>55</v>
      </c>
      <c r="J1944" s="6">
        <v>2024.0</v>
      </c>
      <c r="L1944" s="6">
        <v>1.0</v>
      </c>
      <c r="M1944" s="8">
        <f t="shared" si="2"/>
        <v>9.49</v>
      </c>
      <c r="N1944" s="6" t="s">
        <v>172</v>
      </c>
      <c r="P1944" s="9"/>
    </row>
    <row r="1945">
      <c r="A1945" s="6" t="s">
        <v>4506</v>
      </c>
      <c r="B1945" s="6" t="s">
        <v>3294</v>
      </c>
      <c r="C1945" s="6" t="s">
        <v>48</v>
      </c>
      <c r="D1945" s="6" t="s">
        <v>4507</v>
      </c>
      <c r="E1945" s="6" t="s">
        <v>79</v>
      </c>
      <c r="F1945" s="6" t="s">
        <v>51</v>
      </c>
      <c r="G1945" s="7">
        <v>0.09</v>
      </c>
      <c r="H1945" s="6" t="s">
        <v>559</v>
      </c>
      <c r="I1945" s="6" t="s">
        <v>20</v>
      </c>
      <c r="J1945" s="6">
        <v>2015.0</v>
      </c>
      <c r="K1945" s="10">
        <v>46083.0</v>
      </c>
      <c r="L1945" s="6">
        <v>1.0</v>
      </c>
      <c r="M1945" s="8">
        <f t="shared" si="2"/>
        <v>0.09</v>
      </c>
      <c r="P1945" s="9"/>
    </row>
    <row r="1946">
      <c r="A1946" s="6" t="s">
        <v>4508</v>
      </c>
      <c r="B1946" s="6" t="s">
        <v>1041</v>
      </c>
      <c r="C1946" s="6" t="s">
        <v>15</v>
      </c>
      <c r="D1946" s="6" t="s">
        <v>4509</v>
      </c>
      <c r="E1946" s="6" t="s">
        <v>175</v>
      </c>
      <c r="F1946" s="6" t="s">
        <v>51</v>
      </c>
      <c r="G1946" s="7">
        <v>0.33</v>
      </c>
      <c r="H1946" s="6" t="s">
        <v>807</v>
      </c>
      <c r="I1946" s="6" t="s">
        <v>20</v>
      </c>
      <c r="J1946" s="6">
        <v>2026.0</v>
      </c>
      <c r="L1946" s="6">
        <v>1.0</v>
      </c>
      <c r="M1946" s="8">
        <f t="shared" si="2"/>
        <v>0.33</v>
      </c>
      <c r="P1946" s="9"/>
    </row>
    <row r="1947">
      <c r="A1947" s="6" t="s">
        <v>4510</v>
      </c>
      <c r="B1947" s="6" t="s">
        <v>372</v>
      </c>
      <c r="C1947" s="6" t="s">
        <v>23</v>
      </c>
      <c r="D1947" s="6" t="s">
        <v>4511</v>
      </c>
      <c r="E1947" s="6" t="s">
        <v>270</v>
      </c>
      <c r="F1947" s="6" t="s">
        <v>159</v>
      </c>
      <c r="G1947" s="7">
        <v>0.06</v>
      </c>
      <c r="H1947" s="6" t="s">
        <v>418</v>
      </c>
      <c r="I1947" s="6" t="s">
        <v>20</v>
      </c>
      <c r="J1947" s="6">
        <v>2022.0</v>
      </c>
      <c r="L1947" s="6">
        <v>1.0</v>
      </c>
      <c r="M1947" s="8">
        <f t="shared" si="2"/>
        <v>0.06</v>
      </c>
      <c r="P1947" s="9"/>
    </row>
    <row r="1948">
      <c r="A1948" s="6" t="s">
        <v>4512</v>
      </c>
      <c r="B1948" s="6" t="s">
        <v>4488</v>
      </c>
      <c r="C1948" s="6" t="s">
        <v>34</v>
      </c>
      <c r="D1948" s="6" t="s">
        <v>4513</v>
      </c>
      <c r="E1948" s="6" t="s">
        <v>238</v>
      </c>
      <c r="F1948" s="6" t="s">
        <v>159</v>
      </c>
      <c r="G1948" s="7">
        <v>0.05</v>
      </c>
      <c r="H1948" s="6" t="s">
        <v>209</v>
      </c>
      <c r="I1948" s="6" t="s">
        <v>20</v>
      </c>
      <c r="J1948" s="6">
        <v>2025.0</v>
      </c>
      <c r="K1948" s="10">
        <v>46023.0</v>
      </c>
      <c r="L1948" s="6">
        <v>11.0</v>
      </c>
      <c r="M1948" s="8">
        <f t="shared" si="2"/>
        <v>0.55</v>
      </c>
      <c r="P1948" s="9"/>
    </row>
    <row r="1949">
      <c r="A1949" s="6" t="s">
        <v>4514</v>
      </c>
      <c r="B1949" s="6" t="s">
        <v>4515</v>
      </c>
      <c r="C1949" s="6" t="s">
        <v>41</v>
      </c>
      <c r="D1949" s="6" t="s">
        <v>4516</v>
      </c>
      <c r="E1949" s="6" t="s">
        <v>64</v>
      </c>
      <c r="F1949" s="6" t="s">
        <v>65</v>
      </c>
      <c r="G1949" s="7">
        <v>9.75</v>
      </c>
      <c r="H1949" s="6" t="s">
        <v>607</v>
      </c>
      <c r="I1949" s="6" t="s">
        <v>20</v>
      </c>
      <c r="J1949" s="6">
        <v>1994.0</v>
      </c>
      <c r="K1949" s="10">
        <v>46055.0</v>
      </c>
      <c r="L1949" s="6">
        <v>1.0</v>
      </c>
      <c r="M1949" s="8">
        <f t="shared" si="2"/>
        <v>9.75</v>
      </c>
      <c r="P1949" s="9"/>
    </row>
    <row r="1950">
      <c r="A1950" s="6" t="s">
        <v>4517</v>
      </c>
      <c r="B1950" s="6" t="s">
        <v>326</v>
      </c>
      <c r="C1950" s="6" t="s">
        <v>23</v>
      </c>
      <c r="D1950" s="6" t="s">
        <v>4518</v>
      </c>
      <c r="E1950" s="6" t="s">
        <v>3669</v>
      </c>
      <c r="F1950" s="6" t="s">
        <v>65</v>
      </c>
      <c r="G1950" s="7">
        <v>0.03</v>
      </c>
      <c r="H1950" s="6" t="s">
        <v>265</v>
      </c>
      <c r="I1950" s="6" t="s">
        <v>20</v>
      </c>
      <c r="J1950" s="6">
        <v>2017.0</v>
      </c>
      <c r="K1950" s="10">
        <v>46117.0</v>
      </c>
      <c r="L1950" s="6">
        <v>2.0</v>
      </c>
      <c r="M1950" s="8">
        <f t="shared" si="2"/>
        <v>0.06</v>
      </c>
      <c r="P1950" s="9"/>
    </row>
    <row r="1951">
      <c r="A1951" s="6" t="s">
        <v>4519</v>
      </c>
      <c r="B1951" s="6" t="s">
        <v>1577</v>
      </c>
      <c r="C1951" s="6" t="s">
        <v>23</v>
      </c>
      <c r="D1951" s="6" t="s">
        <v>4520</v>
      </c>
      <c r="E1951" s="6" t="s">
        <v>625</v>
      </c>
      <c r="F1951" s="6" t="s">
        <v>37</v>
      </c>
      <c r="G1951" s="7">
        <v>0.05</v>
      </c>
      <c r="H1951" s="6" t="s">
        <v>119</v>
      </c>
      <c r="I1951" s="6" t="s">
        <v>20</v>
      </c>
      <c r="J1951" s="6">
        <v>1995.0</v>
      </c>
      <c r="K1951" s="10">
        <v>46083.0</v>
      </c>
      <c r="L1951" s="6">
        <v>3.0</v>
      </c>
      <c r="M1951" s="8">
        <f t="shared" si="2"/>
        <v>0.15</v>
      </c>
      <c r="P1951" s="9"/>
    </row>
    <row r="1952">
      <c r="A1952" s="6" t="s">
        <v>4519</v>
      </c>
      <c r="B1952" s="6" t="s">
        <v>1577</v>
      </c>
      <c r="C1952" s="6" t="s">
        <v>23</v>
      </c>
      <c r="D1952" s="6" t="s">
        <v>4520</v>
      </c>
      <c r="E1952" s="6" t="s">
        <v>625</v>
      </c>
      <c r="F1952" s="6" t="s">
        <v>37</v>
      </c>
      <c r="G1952" s="7">
        <v>0.1</v>
      </c>
      <c r="H1952" s="6" t="s">
        <v>120</v>
      </c>
      <c r="I1952" s="6" t="s">
        <v>20</v>
      </c>
      <c r="J1952" s="6">
        <v>1995.0</v>
      </c>
      <c r="K1952" s="10">
        <v>46083.0</v>
      </c>
      <c r="L1952" s="6">
        <v>6.0</v>
      </c>
      <c r="M1952" s="8">
        <f t="shared" si="2"/>
        <v>0.6</v>
      </c>
      <c r="P1952" s="9"/>
    </row>
    <row r="1953">
      <c r="A1953" s="6" t="s">
        <v>4521</v>
      </c>
      <c r="B1953" s="6" t="s">
        <v>372</v>
      </c>
      <c r="C1953" s="6" t="s">
        <v>23</v>
      </c>
      <c r="D1953" s="6" t="s">
        <v>4522</v>
      </c>
      <c r="E1953" s="6" t="s">
        <v>118</v>
      </c>
      <c r="F1953" s="6" t="s">
        <v>51</v>
      </c>
      <c r="G1953" s="7">
        <v>0.05</v>
      </c>
      <c r="H1953" s="6" t="s">
        <v>184</v>
      </c>
      <c r="I1953" s="6" t="s">
        <v>20</v>
      </c>
      <c r="J1953" s="6">
        <v>2015.0</v>
      </c>
      <c r="L1953" s="6">
        <v>6.0</v>
      </c>
      <c r="M1953" s="8">
        <f t="shared" si="2"/>
        <v>0.3</v>
      </c>
      <c r="P1953" s="9"/>
    </row>
    <row r="1954">
      <c r="A1954" s="6" t="s">
        <v>4521</v>
      </c>
      <c r="B1954" s="6" t="s">
        <v>372</v>
      </c>
      <c r="C1954" s="6" t="s">
        <v>23</v>
      </c>
      <c r="D1954" s="6" t="s">
        <v>4522</v>
      </c>
      <c r="E1954" s="6" t="s">
        <v>118</v>
      </c>
      <c r="F1954" s="6" t="s">
        <v>51</v>
      </c>
      <c r="G1954" s="7">
        <v>0.05</v>
      </c>
      <c r="H1954" s="6" t="s">
        <v>184</v>
      </c>
      <c r="I1954" s="6" t="s">
        <v>20</v>
      </c>
      <c r="J1954" s="6">
        <v>2015.0</v>
      </c>
      <c r="L1954" s="6">
        <v>1.0</v>
      </c>
      <c r="M1954" s="8">
        <f t="shared" si="2"/>
        <v>0.05</v>
      </c>
      <c r="P1954" s="9"/>
    </row>
    <row r="1955">
      <c r="A1955" s="6" t="s">
        <v>4523</v>
      </c>
      <c r="B1955" s="6" t="s">
        <v>2713</v>
      </c>
      <c r="C1955" s="6" t="s">
        <v>23</v>
      </c>
      <c r="D1955" s="6" t="s">
        <v>4524</v>
      </c>
      <c r="E1955" s="6" t="s">
        <v>4525</v>
      </c>
      <c r="F1955" s="6" t="s">
        <v>98</v>
      </c>
      <c r="G1955" s="7">
        <v>0.03</v>
      </c>
      <c r="H1955" s="6" t="s">
        <v>185</v>
      </c>
      <c r="I1955" s="6" t="s">
        <v>20</v>
      </c>
      <c r="J1955" s="6">
        <v>2019.0</v>
      </c>
      <c r="K1955" s="10">
        <v>46084.0</v>
      </c>
      <c r="L1955" s="6">
        <v>1.0</v>
      </c>
      <c r="M1955" s="8">
        <f t="shared" si="2"/>
        <v>0.03</v>
      </c>
      <c r="P1955" s="9"/>
    </row>
    <row r="1956">
      <c r="A1956" s="6" t="s">
        <v>4523</v>
      </c>
      <c r="B1956" s="6" t="s">
        <v>2713</v>
      </c>
      <c r="C1956" s="6" t="s">
        <v>23</v>
      </c>
      <c r="D1956" s="6" t="s">
        <v>4524</v>
      </c>
      <c r="E1956" s="6" t="s">
        <v>4525</v>
      </c>
      <c r="F1956" s="6" t="s">
        <v>98</v>
      </c>
      <c r="G1956" s="7">
        <v>0.03</v>
      </c>
      <c r="H1956" s="6" t="s">
        <v>185</v>
      </c>
      <c r="I1956" s="6" t="s">
        <v>20</v>
      </c>
      <c r="J1956" s="6">
        <v>2019.0</v>
      </c>
      <c r="K1956" s="10">
        <v>46084.0</v>
      </c>
      <c r="L1956" s="6">
        <v>1.0</v>
      </c>
      <c r="M1956" s="8">
        <f t="shared" si="2"/>
        <v>0.03</v>
      </c>
      <c r="P1956" s="9"/>
    </row>
    <row r="1957">
      <c r="A1957" s="6" t="s">
        <v>4526</v>
      </c>
      <c r="B1957" s="6" t="s">
        <v>3893</v>
      </c>
      <c r="C1957" s="6" t="s">
        <v>34</v>
      </c>
      <c r="D1957" s="6" t="s">
        <v>4527</v>
      </c>
      <c r="E1957" s="6" t="s">
        <v>2028</v>
      </c>
      <c r="F1957" s="6" t="s">
        <v>103</v>
      </c>
      <c r="G1957" s="7">
        <v>0.05</v>
      </c>
      <c r="H1957" s="6" t="s">
        <v>1043</v>
      </c>
      <c r="I1957" s="6" t="s">
        <v>20</v>
      </c>
      <c r="J1957" s="6">
        <v>2025.0</v>
      </c>
      <c r="K1957" s="10">
        <v>46115.0</v>
      </c>
      <c r="L1957" s="6">
        <v>1.0</v>
      </c>
      <c r="M1957" s="8">
        <f t="shared" si="2"/>
        <v>0.05</v>
      </c>
      <c r="P1957" s="9"/>
    </row>
    <row r="1958">
      <c r="A1958" s="6" t="s">
        <v>4528</v>
      </c>
      <c r="B1958" s="6" t="s">
        <v>62</v>
      </c>
      <c r="C1958" s="6" t="s">
        <v>23</v>
      </c>
      <c r="D1958" s="6" t="s">
        <v>4529</v>
      </c>
      <c r="E1958" s="6" t="s">
        <v>235</v>
      </c>
      <c r="F1958" s="6" t="s">
        <v>103</v>
      </c>
      <c r="G1958" s="7">
        <v>0.05</v>
      </c>
      <c r="H1958" s="6" t="s">
        <v>621</v>
      </c>
      <c r="I1958" s="6" t="s">
        <v>20</v>
      </c>
      <c r="J1958" s="6">
        <v>2015.0</v>
      </c>
      <c r="L1958" s="6">
        <v>1.0</v>
      </c>
      <c r="M1958" s="8">
        <f t="shared" si="2"/>
        <v>0.05</v>
      </c>
      <c r="P1958" s="9"/>
    </row>
    <row r="1959">
      <c r="A1959" s="6" t="s">
        <v>4530</v>
      </c>
      <c r="B1959" s="6" t="s">
        <v>4531</v>
      </c>
      <c r="C1959" s="6" t="s">
        <v>23</v>
      </c>
      <c r="D1959" s="6" t="s">
        <v>4532</v>
      </c>
      <c r="E1959" s="6" t="s">
        <v>3477</v>
      </c>
      <c r="F1959" s="6" t="s">
        <v>159</v>
      </c>
      <c r="G1959" s="7">
        <v>0.04</v>
      </c>
      <c r="H1959" s="6" t="s">
        <v>491</v>
      </c>
      <c r="I1959" s="6" t="s">
        <v>20</v>
      </c>
      <c r="J1959" s="6">
        <v>2011.0</v>
      </c>
      <c r="K1959" s="10">
        <v>46115.0</v>
      </c>
      <c r="L1959" s="6">
        <v>1.0</v>
      </c>
      <c r="M1959" s="8">
        <f t="shared" si="2"/>
        <v>0.04</v>
      </c>
      <c r="P1959" s="9"/>
    </row>
    <row r="1960">
      <c r="A1960" s="6" t="s">
        <v>4533</v>
      </c>
      <c r="B1960" s="6" t="s">
        <v>194</v>
      </c>
      <c r="C1960" s="6" t="s">
        <v>41</v>
      </c>
      <c r="D1960" s="6" t="s">
        <v>4534</v>
      </c>
      <c r="E1960" s="6" t="s">
        <v>167</v>
      </c>
      <c r="F1960" s="6" t="s">
        <v>103</v>
      </c>
      <c r="G1960" s="7">
        <v>2.66</v>
      </c>
      <c r="H1960" s="6" t="s">
        <v>245</v>
      </c>
      <c r="I1960" s="6" t="s">
        <v>20</v>
      </c>
      <c r="J1960" s="6">
        <v>1995.0</v>
      </c>
      <c r="L1960" s="6">
        <v>1.0</v>
      </c>
      <c r="M1960" s="8">
        <f t="shared" si="2"/>
        <v>2.66</v>
      </c>
      <c r="P1960" s="9"/>
    </row>
    <row r="1961">
      <c r="A1961" s="6" t="s">
        <v>4535</v>
      </c>
      <c r="B1961" s="6" t="s">
        <v>1509</v>
      </c>
      <c r="C1961" s="6" t="s">
        <v>41</v>
      </c>
      <c r="D1961" s="6" t="s">
        <v>4536</v>
      </c>
      <c r="E1961" s="6" t="s">
        <v>235</v>
      </c>
      <c r="F1961" s="6" t="s">
        <v>103</v>
      </c>
      <c r="G1961" s="7">
        <v>0.3</v>
      </c>
      <c r="H1961" s="6" t="s">
        <v>184</v>
      </c>
      <c r="I1961" s="6" t="s">
        <v>20</v>
      </c>
      <c r="J1961" s="6">
        <v>2015.0</v>
      </c>
      <c r="K1961" s="10">
        <v>46113.0</v>
      </c>
      <c r="L1961" s="6">
        <v>1.0</v>
      </c>
      <c r="M1961" s="8">
        <f t="shared" si="2"/>
        <v>0.3</v>
      </c>
      <c r="P1961" s="9"/>
    </row>
    <row r="1962">
      <c r="A1962" s="6" t="s">
        <v>4537</v>
      </c>
      <c r="B1962" s="6" t="s">
        <v>182</v>
      </c>
      <c r="C1962" s="6" t="s">
        <v>23</v>
      </c>
      <c r="D1962" s="6" t="s">
        <v>4538</v>
      </c>
      <c r="E1962" s="6" t="s">
        <v>102</v>
      </c>
      <c r="F1962" s="6" t="s">
        <v>103</v>
      </c>
      <c r="G1962" s="7">
        <v>0.05</v>
      </c>
      <c r="H1962" s="6" t="s">
        <v>509</v>
      </c>
      <c r="I1962" s="6" t="s">
        <v>20</v>
      </c>
      <c r="J1962" s="6">
        <v>2024.0</v>
      </c>
      <c r="L1962" s="6">
        <v>1.0</v>
      </c>
      <c r="M1962" s="8">
        <f t="shared" si="2"/>
        <v>0.05</v>
      </c>
      <c r="P1962" s="9"/>
    </row>
    <row r="1963">
      <c r="A1963" s="6" t="s">
        <v>4539</v>
      </c>
      <c r="B1963" s="6" t="s">
        <v>2898</v>
      </c>
      <c r="C1963" s="6" t="s">
        <v>23</v>
      </c>
      <c r="D1963" s="6" t="s">
        <v>4540</v>
      </c>
      <c r="E1963" s="6" t="s">
        <v>153</v>
      </c>
      <c r="F1963" s="6" t="s">
        <v>103</v>
      </c>
      <c r="G1963" s="7">
        <v>0.05</v>
      </c>
      <c r="H1963" s="6" t="s">
        <v>294</v>
      </c>
      <c r="I1963" s="6" t="s">
        <v>20</v>
      </c>
      <c r="J1963" s="6">
        <v>2010.0</v>
      </c>
      <c r="K1963" s="10">
        <v>46055.0</v>
      </c>
      <c r="L1963" s="6">
        <v>1.0</v>
      </c>
      <c r="M1963" s="8">
        <f t="shared" si="2"/>
        <v>0.05</v>
      </c>
      <c r="P1963" s="9"/>
    </row>
    <row r="1964">
      <c r="A1964" s="6" t="s">
        <v>4539</v>
      </c>
      <c r="B1964" s="6" t="s">
        <v>2898</v>
      </c>
      <c r="C1964" s="6" t="s">
        <v>23</v>
      </c>
      <c r="D1964" s="6" t="s">
        <v>4540</v>
      </c>
      <c r="E1964" s="6" t="s">
        <v>153</v>
      </c>
      <c r="F1964" s="6" t="s">
        <v>103</v>
      </c>
      <c r="G1964" s="7">
        <v>0.08</v>
      </c>
      <c r="H1964" s="6" t="s">
        <v>546</v>
      </c>
      <c r="I1964" s="6" t="s">
        <v>55</v>
      </c>
      <c r="J1964" s="6">
        <v>2001.0</v>
      </c>
      <c r="K1964" s="10">
        <v>46055.0</v>
      </c>
      <c r="L1964" s="6">
        <v>1.0</v>
      </c>
      <c r="M1964" s="8">
        <f t="shared" si="2"/>
        <v>0.08</v>
      </c>
      <c r="P1964" s="9"/>
    </row>
    <row r="1965">
      <c r="A1965" s="6" t="s">
        <v>4541</v>
      </c>
      <c r="B1965" s="6" t="s">
        <v>4542</v>
      </c>
      <c r="C1965" s="6" t="s">
        <v>34</v>
      </c>
      <c r="D1965" s="6" t="s">
        <v>4543</v>
      </c>
      <c r="E1965" s="6" t="s">
        <v>1307</v>
      </c>
      <c r="F1965" s="6" t="s">
        <v>65</v>
      </c>
      <c r="G1965" s="7">
        <v>0.03</v>
      </c>
      <c r="H1965" s="6" t="s">
        <v>515</v>
      </c>
      <c r="I1965" s="6" t="s">
        <v>20</v>
      </c>
      <c r="J1965" s="6">
        <v>2019.0</v>
      </c>
      <c r="K1965" s="10">
        <v>46024.0</v>
      </c>
      <c r="L1965" s="6">
        <v>1.0</v>
      </c>
      <c r="M1965" s="8">
        <f t="shared" si="2"/>
        <v>0.03</v>
      </c>
      <c r="P1965" s="9"/>
    </row>
    <row r="1966">
      <c r="A1966" s="6" t="s">
        <v>4544</v>
      </c>
      <c r="B1966" s="6" t="s">
        <v>4545</v>
      </c>
      <c r="C1966" s="6" t="s">
        <v>23</v>
      </c>
      <c r="D1966" s="6" t="s">
        <v>4546</v>
      </c>
      <c r="E1966" s="6" t="s">
        <v>4547</v>
      </c>
      <c r="F1966" s="6" t="s">
        <v>717</v>
      </c>
      <c r="G1966" s="7">
        <v>0.05</v>
      </c>
      <c r="H1966" s="6" t="s">
        <v>1361</v>
      </c>
      <c r="I1966" s="6" t="s">
        <v>20</v>
      </c>
      <c r="J1966" s="6">
        <v>2008.0</v>
      </c>
      <c r="K1966" s="10">
        <v>46084.0</v>
      </c>
      <c r="L1966" s="6">
        <v>2.0</v>
      </c>
      <c r="M1966" s="8">
        <f t="shared" si="2"/>
        <v>0.1</v>
      </c>
      <c r="P1966" s="9"/>
    </row>
    <row r="1967">
      <c r="A1967" s="6" t="s">
        <v>4548</v>
      </c>
      <c r="B1967" s="6" t="s">
        <v>62</v>
      </c>
      <c r="C1967" s="6" t="s">
        <v>23</v>
      </c>
      <c r="D1967" s="6" t="s">
        <v>4549</v>
      </c>
      <c r="E1967" s="6" t="s">
        <v>235</v>
      </c>
      <c r="F1967" s="6" t="s">
        <v>103</v>
      </c>
      <c r="G1967" s="7">
        <v>0.05</v>
      </c>
      <c r="H1967" s="6" t="s">
        <v>1494</v>
      </c>
      <c r="I1967" s="6" t="s">
        <v>20</v>
      </c>
      <c r="J1967" s="6">
        <v>2012.0</v>
      </c>
      <c r="L1967" s="6">
        <v>1.0</v>
      </c>
      <c r="M1967" s="8">
        <f t="shared" si="2"/>
        <v>0.05</v>
      </c>
      <c r="P1967" s="9"/>
    </row>
    <row r="1968">
      <c r="A1968" s="6" t="s">
        <v>4550</v>
      </c>
      <c r="B1968" s="6" t="s">
        <v>2011</v>
      </c>
      <c r="C1968" s="6" t="s">
        <v>571</v>
      </c>
      <c r="D1968" s="6" t="s">
        <v>4551</v>
      </c>
      <c r="E1968" s="6" t="s">
        <v>153</v>
      </c>
      <c r="F1968" s="6" t="s">
        <v>103</v>
      </c>
      <c r="G1968" s="7">
        <v>0.12</v>
      </c>
      <c r="H1968" s="6" t="s">
        <v>641</v>
      </c>
      <c r="I1968" s="6" t="s">
        <v>20</v>
      </c>
      <c r="J1968" s="6">
        <v>2026.0</v>
      </c>
      <c r="K1968" s="10">
        <v>46055.0</v>
      </c>
      <c r="L1968" s="6">
        <v>1.0</v>
      </c>
      <c r="M1968" s="8">
        <f t="shared" si="2"/>
        <v>0.12</v>
      </c>
      <c r="P1968" s="9"/>
    </row>
    <row r="1969">
      <c r="A1969" s="6" t="s">
        <v>4552</v>
      </c>
      <c r="B1969" s="6" t="s">
        <v>928</v>
      </c>
      <c r="C1969" s="6" t="s">
        <v>48</v>
      </c>
      <c r="D1969" s="6" t="s">
        <v>4553</v>
      </c>
      <c r="E1969" s="6" t="s">
        <v>153</v>
      </c>
      <c r="F1969" s="6" t="s">
        <v>103</v>
      </c>
      <c r="G1969" s="7">
        <v>0.13</v>
      </c>
      <c r="H1969" s="6" t="s">
        <v>2669</v>
      </c>
      <c r="I1969" s="6" t="s">
        <v>20</v>
      </c>
      <c r="J1969" s="6">
        <v>2019.0</v>
      </c>
      <c r="K1969" s="10">
        <v>46055.0</v>
      </c>
      <c r="L1969" s="6">
        <v>3.0</v>
      </c>
      <c r="M1969" s="8">
        <f t="shared" si="2"/>
        <v>0.39</v>
      </c>
      <c r="P1969" s="9"/>
    </row>
    <row r="1970">
      <c r="A1970" s="6" t="s">
        <v>4554</v>
      </c>
      <c r="B1970" s="6" t="s">
        <v>1063</v>
      </c>
      <c r="C1970" s="6" t="s">
        <v>48</v>
      </c>
      <c r="D1970" s="6" t="s">
        <v>4555</v>
      </c>
      <c r="E1970" s="6" t="s">
        <v>25</v>
      </c>
      <c r="F1970" s="6" t="s">
        <v>18</v>
      </c>
      <c r="G1970" s="7">
        <v>1.87</v>
      </c>
      <c r="H1970" s="6" t="s">
        <v>26</v>
      </c>
      <c r="I1970" s="6" t="s">
        <v>20</v>
      </c>
      <c r="J1970" s="6">
        <v>2026.0</v>
      </c>
      <c r="K1970" s="10">
        <v>46084.0</v>
      </c>
      <c r="L1970" s="6">
        <v>1.0</v>
      </c>
      <c r="M1970" s="8">
        <f t="shared" si="2"/>
        <v>1.87</v>
      </c>
      <c r="P1970" s="9"/>
    </row>
    <row r="1971">
      <c r="A1971" s="6" t="s">
        <v>4556</v>
      </c>
      <c r="B1971" s="6" t="s">
        <v>1234</v>
      </c>
      <c r="C1971" s="6" t="s">
        <v>23</v>
      </c>
      <c r="D1971" s="6" t="s">
        <v>4557</v>
      </c>
      <c r="E1971" s="6" t="s">
        <v>30</v>
      </c>
      <c r="F1971" s="6" t="s">
        <v>18</v>
      </c>
      <c r="G1971" s="7">
        <v>0.04</v>
      </c>
      <c r="H1971" s="6" t="s">
        <v>336</v>
      </c>
      <c r="I1971" s="6" t="s">
        <v>20</v>
      </c>
      <c r="J1971" s="6">
        <v>2016.0</v>
      </c>
      <c r="K1971" s="10">
        <v>46083.0</v>
      </c>
      <c r="L1971" s="6">
        <v>1.0</v>
      </c>
      <c r="M1971" s="8">
        <f t="shared" si="2"/>
        <v>0.04</v>
      </c>
      <c r="P1971" s="9"/>
    </row>
    <row r="1972">
      <c r="A1972" s="6" t="s">
        <v>4558</v>
      </c>
      <c r="B1972" s="6" t="s">
        <v>4559</v>
      </c>
      <c r="C1972" s="6" t="s">
        <v>34</v>
      </c>
      <c r="D1972" s="6" t="s">
        <v>4560</v>
      </c>
      <c r="E1972" s="6" t="s">
        <v>377</v>
      </c>
      <c r="F1972" s="6" t="s">
        <v>103</v>
      </c>
      <c r="G1972" s="7">
        <v>0.2</v>
      </c>
      <c r="H1972" s="6" t="s">
        <v>1043</v>
      </c>
      <c r="I1972" s="6" t="s">
        <v>55</v>
      </c>
      <c r="J1972" s="6">
        <v>2025.0</v>
      </c>
      <c r="K1972" s="10">
        <v>46024.0</v>
      </c>
      <c r="L1972" s="6">
        <v>1.0</v>
      </c>
      <c r="M1972" s="8">
        <f t="shared" si="2"/>
        <v>0.2</v>
      </c>
      <c r="P1972" s="9"/>
    </row>
    <row r="1973">
      <c r="A1973" s="6" t="s">
        <v>4561</v>
      </c>
      <c r="B1973" s="6" t="s">
        <v>4562</v>
      </c>
      <c r="C1973" s="6" t="s">
        <v>23</v>
      </c>
      <c r="E1973" s="6" t="s">
        <v>64</v>
      </c>
      <c r="F1973" s="6" t="s">
        <v>65</v>
      </c>
      <c r="G1973" s="7">
        <v>0.04</v>
      </c>
      <c r="H1973" s="6" t="s">
        <v>119</v>
      </c>
      <c r="I1973" s="6" t="s">
        <v>20</v>
      </c>
      <c r="J1973" s="6">
        <v>1995.0</v>
      </c>
      <c r="K1973" s="10">
        <v>46055.0</v>
      </c>
      <c r="L1973" s="6">
        <v>3.0</v>
      </c>
      <c r="M1973" s="8">
        <f t="shared" si="2"/>
        <v>0.12</v>
      </c>
      <c r="P1973" s="9"/>
    </row>
    <row r="1974">
      <c r="A1974" s="6" t="s">
        <v>4561</v>
      </c>
      <c r="B1974" s="6" t="s">
        <v>4562</v>
      </c>
      <c r="C1974" s="6" t="s">
        <v>23</v>
      </c>
      <c r="E1974" s="6" t="s">
        <v>64</v>
      </c>
      <c r="F1974" s="6" t="s">
        <v>65</v>
      </c>
      <c r="G1974" s="7">
        <v>0.06</v>
      </c>
      <c r="H1974" s="6" t="s">
        <v>120</v>
      </c>
      <c r="I1974" s="6" t="s">
        <v>20</v>
      </c>
      <c r="J1974" s="6">
        <v>1995.0</v>
      </c>
      <c r="K1974" s="10">
        <v>46055.0</v>
      </c>
      <c r="L1974" s="6">
        <v>5.0</v>
      </c>
      <c r="M1974" s="8">
        <f t="shared" si="2"/>
        <v>0.3</v>
      </c>
      <c r="P1974" s="9"/>
    </row>
    <row r="1975">
      <c r="A1975" s="6" t="s">
        <v>4563</v>
      </c>
      <c r="B1975" s="6" t="s">
        <v>4564</v>
      </c>
      <c r="C1975" s="6" t="s">
        <v>23</v>
      </c>
      <c r="D1975" s="6" t="s">
        <v>4565</v>
      </c>
      <c r="E1975" s="6" t="s">
        <v>298</v>
      </c>
      <c r="F1975" s="6" t="s">
        <v>159</v>
      </c>
      <c r="G1975" s="7">
        <v>0.06</v>
      </c>
      <c r="H1975" s="6" t="s">
        <v>340</v>
      </c>
      <c r="I1975" s="6" t="s">
        <v>20</v>
      </c>
      <c r="J1975" s="6">
        <v>2010.0</v>
      </c>
      <c r="K1975" s="10">
        <v>46055.0</v>
      </c>
      <c r="L1975" s="6">
        <v>1.0</v>
      </c>
      <c r="M1975" s="8">
        <f t="shared" si="2"/>
        <v>0.06</v>
      </c>
      <c r="P1975" s="9"/>
    </row>
    <row r="1976">
      <c r="A1976" s="6" t="s">
        <v>4566</v>
      </c>
      <c r="B1976" s="6" t="s">
        <v>424</v>
      </c>
      <c r="C1976" s="6" t="s">
        <v>48</v>
      </c>
      <c r="D1976" s="6" t="s">
        <v>4567</v>
      </c>
      <c r="F1976" s="6" t="s">
        <v>37</v>
      </c>
      <c r="G1976" s="7">
        <v>0.25</v>
      </c>
      <c r="H1976" s="6" t="s">
        <v>329</v>
      </c>
      <c r="I1976" s="6" t="s">
        <v>20</v>
      </c>
      <c r="J1976" s="6">
        <v>2011.0</v>
      </c>
      <c r="L1976" s="6">
        <v>4.0</v>
      </c>
      <c r="M1976" s="8">
        <f t="shared" si="2"/>
        <v>1</v>
      </c>
      <c r="P1976" s="9"/>
    </row>
    <row r="1977">
      <c r="A1977" s="6" t="s">
        <v>4568</v>
      </c>
      <c r="B1977" s="6" t="s">
        <v>4569</v>
      </c>
      <c r="C1977" s="6" t="s">
        <v>23</v>
      </c>
      <c r="D1977" s="6" t="s">
        <v>4570</v>
      </c>
      <c r="E1977" s="6" t="s">
        <v>270</v>
      </c>
      <c r="F1977" s="6" t="s">
        <v>159</v>
      </c>
      <c r="G1977" s="7">
        <v>0.15</v>
      </c>
      <c r="H1977" s="6" t="s">
        <v>3500</v>
      </c>
      <c r="I1977" s="6" t="s">
        <v>20</v>
      </c>
      <c r="J1977" s="6">
        <v>2015.0</v>
      </c>
      <c r="K1977" s="10">
        <v>46055.0</v>
      </c>
      <c r="L1977" s="6">
        <v>1.0</v>
      </c>
      <c r="M1977" s="8">
        <f t="shared" si="2"/>
        <v>0.15</v>
      </c>
      <c r="P1977" s="9"/>
    </row>
    <row r="1978">
      <c r="A1978" s="6" t="s">
        <v>4571</v>
      </c>
      <c r="B1978" s="6" t="s">
        <v>4432</v>
      </c>
      <c r="C1978" s="6" t="s">
        <v>48</v>
      </c>
      <c r="D1978" s="6" t="s">
        <v>4572</v>
      </c>
      <c r="E1978" s="6" t="s">
        <v>196</v>
      </c>
      <c r="F1978" s="6" t="s">
        <v>65</v>
      </c>
      <c r="G1978" s="7">
        <v>0.22</v>
      </c>
      <c r="H1978" s="6" t="s">
        <v>324</v>
      </c>
      <c r="I1978" s="6" t="s">
        <v>20</v>
      </c>
      <c r="J1978" s="6">
        <v>2025.0</v>
      </c>
      <c r="K1978" s="10">
        <v>46024.0</v>
      </c>
      <c r="L1978" s="6">
        <v>1.0</v>
      </c>
      <c r="M1978" s="8">
        <f t="shared" si="2"/>
        <v>0.22</v>
      </c>
      <c r="P1978" s="9"/>
    </row>
    <row r="1979">
      <c r="A1979" s="6" t="s">
        <v>4573</v>
      </c>
      <c r="B1979" s="6" t="s">
        <v>424</v>
      </c>
      <c r="C1979" s="6" t="s">
        <v>23</v>
      </c>
      <c r="D1979" s="6" t="s">
        <v>4574</v>
      </c>
      <c r="F1979" s="6" t="s">
        <v>37</v>
      </c>
      <c r="G1979" s="7">
        <v>0.25</v>
      </c>
      <c r="H1979" s="6" t="s">
        <v>19</v>
      </c>
      <c r="I1979" s="6" t="s">
        <v>20</v>
      </c>
      <c r="J1979" s="6">
        <v>2023.0</v>
      </c>
      <c r="L1979" s="6">
        <v>1.0</v>
      </c>
      <c r="M1979" s="8">
        <f t="shared" si="2"/>
        <v>0.25</v>
      </c>
      <c r="P1979" s="9"/>
    </row>
    <row r="1980">
      <c r="A1980" s="6" t="s">
        <v>4575</v>
      </c>
      <c r="B1980" s="6" t="s">
        <v>182</v>
      </c>
      <c r="C1980" s="6" t="s">
        <v>48</v>
      </c>
      <c r="D1980" s="6" t="s">
        <v>4576</v>
      </c>
      <c r="E1980" s="6" t="s">
        <v>50</v>
      </c>
      <c r="F1980" s="6" t="s">
        <v>51</v>
      </c>
      <c r="G1980" s="7">
        <v>0.08</v>
      </c>
      <c r="H1980" s="6" t="s">
        <v>559</v>
      </c>
      <c r="I1980" s="6" t="s">
        <v>20</v>
      </c>
      <c r="J1980" s="6">
        <v>2015.0</v>
      </c>
      <c r="L1980" s="6">
        <v>1.0</v>
      </c>
      <c r="M1980" s="8">
        <f t="shared" si="2"/>
        <v>0.08</v>
      </c>
      <c r="P1980" s="9"/>
    </row>
    <row r="1981">
      <c r="A1981" s="6" t="s">
        <v>4577</v>
      </c>
      <c r="B1981" s="6" t="s">
        <v>2413</v>
      </c>
      <c r="C1981" s="6" t="s">
        <v>23</v>
      </c>
      <c r="D1981" s="6" t="s">
        <v>4578</v>
      </c>
      <c r="E1981" s="6" t="s">
        <v>724</v>
      </c>
      <c r="F1981" s="6" t="s">
        <v>159</v>
      </c>
      <c r="G1981" s="7">
        <v>0.03</v>
      </c>
      <c r="H1981" s="6" t="s">
        <v>562</v>
      </c>
      <c r="I1981" s="6" t="s">
        <v>20</v>
      </c>
      <c r="J1981" s="6">
        <v>2017.0</v>
      </c>
      <c r="K1981" s="10">
        <v>46210.0</v>
      </c>
      <c r="L1981" s="6">
        <v>2.0</v>
      </c>
      <c r="M1981" s="8">
        <f t="shared" si="2"/>
        <v>0.06</v>
      </c>
      <c r="P1981" s="9"/>
    </row>
    <row r="1982">
      <c r="A1982" s="6" t="s">
        <v>4579</v>
      </c>
      <c r="B1982" s="6" t="s">
        <v>4580</v>
      </c>
      <c r="C1982" s="6" t="s">
        <v>23</v>
      </c>
      <c r="D1982" s="6" t="s">
        <v>4581</v>
      </c>
      <c r="E1982" s="6" t="s">
        <v>1570</v>
      </c>
      <c r="F1982" s="6" t="s">
        <v>159</v>
      </c>
      <c r="G1982" s="7">
        <v>0.1</v>
      </c>
      <c r="H1982" s="6" t="s">
        <v>418</v>
      </c>
      <c r="I1982" s="6" t="s">
        <v>20</v>
      </c>
      <c r="J1982" s="6">
        <v>2022.0</v>
      </c>
      <c r="K1982" s="10">
        <v>46148.0</v>
      </c>
      <c r="L1982" s="6">
        <v>1.0</v>
      </c>
      <c r="M1982" s="8">
        <f t="shared" si="2"/>
        <v>0.1</v>
      </c>
      <c r="P1982" s="9"/>
    </row>
    <row r="1983">
      <c r="A1983" s="6" t="s">
        <v>4582</v>
      </c>
      <c r="B1983" s="6" t="s">
        <v>4583</v>
      </c>
      <c r="C1983" s="6" t="s">
        <v>23</v>
      </c>
      <c r="D1983" s="6" t="s">
        <v>4584</v>
      </c>
      <c r="E1983" s="6" t="s">
        <v>611</v>
      </c>
      <c r="F1983" s="6" t="s">
        <v>103</v>
      </c>
      <c r="G1983" s="7">
        <v>0.2</v>
      </c>
      <c r="H1983" s="6" t="s">
        <v>75</v>
      </c>
      <c r="I1983" s="6" t="s">
        <v>20</v>
      </c>
      <c r="J1983" s="6">
        <v>1995.0</v>
      </c>
      <c r="K1983" s="10">
        <v>46114.0</v>
      </c>
      <c r="L1983" s="6">
        <v>1.0</v>
      </c>
      <c r="M1983" s="8">
        <f t="shared" si="2"/>
        <v>0.2</v>
      </c>
      <c r="P1983" s="9"/>
    </row>
    <row r="1984">
      <c r="A1984" s="6" t="s">
        <v>4585</v>
      </c>
      <c r="B1984" s="6" t="s">
        <v>250</v>
      </c>
      <c r="C1984" s="6" t="s">
        <v>41</v>
      </c>
      <c r="D1984" s="6" t="s">
        <v>4586</v>
      </c>
      <c r="E1984" s="6" t="s">
        <v>625</v>
      </c>
      <c r="F1984" s="6" t="s">
        <v>159</v>
      </c>
      <c r="G1984" s="7">
        <v>0.75</v>
      </c>
      <c r="H1984" s="6" t="s">
        <v>119</v>
      </c>
      <c r="I1984" s="6" t="s">
        <v>20</v>
      </c>
      <c r="J1984" s="6">
        <v>1995.0</v>
      </c>
      <c r="L1984" s="6">
        <v>1.0</v>
      </c>
      <c r="M1984" s="8">
        <f t="shared" si="2"/>
        <v>0.75</v>
      </c>
      <c r="P1984" s="9"/>
    </row>
    <row r="1985">
      <c r="A1985" s="6" t="s">
        <v>4587</v>
      </c>
      <c r="B1985" s="6" t="s">
        <v>366</v>
      </c>
      <c r="C1985" s="6" t="s">
        <v>48</v>
      </c>
      <c r="D1985" s="6" t="s">
        <v>4588</v>
      </c>
      <c r="E1985" s="6" t="s">
        <v>175</v>
      </c>
      <c r="F1985" s="6" t="s">
        <v>51</v>
      </c>
      <c r="G1985" s="7">
        <v>0.25</v>
      </c>
      <c r="H1985" s="6" t="s">
        <v>119</v>
      </c>
      <c r="I1985" s="6" t="s">
        <v>20</v>
      </c>
      <c r="J1985" s="6">
        <v>1995.0</v>
      </c>
      <c r="L1985" s="6">
        <v>1.0</v>
      </c>
      <c r="M1985" s="8">
        <f t="shared" si="2"/>
        <v>0.25</v>
      </c>
      <c r="P1985" s="9"/>
    </row>
    <row r="1986">
      <c r="A1986" s="6" t="s">
        <v>4587</v>
      </c>
      <c r="B1986" s="6" t="s">
        <v>366</v>
      </c>
      <c r="C1986" s="6" t="s">
        <v>48</v>
      </c>
      <c r="D1986" s="6" t="s">
        <v>4588</v>
      </c>
      <c r="E1986" s="6" t="s">
        <v>175</v>
      </c>
      <c r="F1986" s="6" t="s">
        <v>51</v>
      </c>
      <c r="G1986" s="7">
        <v>0.68</v>
      </c>
      <c r="H1986" s="6" t="s">
        <v>120</v>
      </c>
      <c r="I1986" s="6" t="s">
        <v>20</v>
      </c>
      <c r="J1986" s="6">
        <v>1995.0</v>
      </c>
      <c r="L1986" s="6">
        <v>2.0</v>
      </c>
      <c r="M1986" s="8">
        <f t="shared" si="2"/>
        <v>1.36</v>
      </c>
      <c r="P1986" s="9"/>
    </row>
    <row r="1987">
      <c r="A1987" s="6" t="s">
        <v>4589</v>
      </c>
      <c r="B1987" s="6" t="s">
        <v>1420</v>
      </c>
      <c r="C1987" s="6" t="s">
        <v>23</v>
      </c>
      <c r="D1987" s="6" t="s">
        <v>4590</v>
      </c>
      <c r="E1987" s="6" t="s">
        <v>223</v>
      </c>
      <c r="F1987" s="6" t="s">
        <v>159</v>
      </c>
      <c r="G1987" s="7">
        <v>0.05</v>
      </c>
      <c r="H1987" s="6" t="s">
        <v>88</v>
      </c>
      <c r="I1987" s="6" t="s">
        <v>20</v>
      </c>
      <c r="J1987" s="6">
        <v>2013.0</v>
      </c>
      <c r="K1987" s="10">
        <v>46024.0</v>
      </c>
      <c r="L1987" s="6">
        <v>1.0</v>
      </c>
      <c r="M1987" s="8">
        <f t="shared" si="2"/>
        <v>0.05</v>
      </c>
      <c r="P1987" s="9"/>
    </row>
    <row r="1988">
      <c r="A1988" s="6" t="s">
        <v>4591</v>
      </c>
      <c r="B1988" s="6" t="s">
        <v>372</v>
      </c>
      <c r="C1988" s="6" t="s">
        <v>48</v>
      </c>
      <c r="D1988" s="6" t="s">
        <v>4592</v>
      </c>
      <c r="E1988" s="6" t="s">
        <v>533</v>
      </c>
      <c r="F1988" s="6" t="s">
        <v>65</v>
      </c>
      <c r="G1988" s="7">
        <v>0.03</v>
      </c>
      <c r="H1988" s="6" t="s">
        <v>299</v>
      </c>
      <c r="I1988" s="6" t="s">
        <v>20</v>
      </c>
      <c r="J1988" s="6">
        <v>2017.0</v>
      </c>
      <c r="L1988" s="6">
        <v>1.0</v>
      </c>
      <c r="M1988" s="8">
        <f t="shared" si="2"/>
        <v>0.03</v>
      </c>
      <c r="N1988" s="6" t="s">
        <v>518</v>
      </c>
      <c r="P1988" s="9"/>
    </row>
    <row r="1989">
      <c r="A1989" s="6" t="s">
        <v>4593</v>
      </c>
      <c r="B1989" s="6" t="s">
        <v>4594</v>
      </c>
      <c r="C1989" s="6" t="s">
        <v>48</v>
      </c>
      <c r="D1989" s="6" t="s">
        <v>4595</v>
      </c>
      <c r="E1989" s="6" t="s">
        <v>1134</v>
      </c>
      <c r="F1989" s="6" t="s">
        <v>261</v>
      </c>
      <c r="G1989" s="7">
        <v>0.1</v>
      </c>
      <c r="H1989" s="6" t="s">
        <v>645</v>
      </c>
      <c r="I1989" s="6" t="s">
        <v>20</v>
      </c>
      <c r="J1989" s="6">
        <v>2024.0</v>
      </c>
      <c r="K1989" s="10">
        <v>46055.0</v>
      </c>
      <c r="L1989" s="6">
        <v>3.0</v>
      </c>
      <c r="M1989" s="8">
        <f t="shared" si="2"/>
        <v>0.3</v>
      </c>
      <c r="P1989" s="9"/>
    </row>
    <row r="1990">
      <c r="A1990" s="6" t="s">
        <v>4596</v>
      </c>
      <c r="B1990" s="6" t="s">
        <v>1978</v>
      </c>
      <c r="C1990" s="6" t="s">
        <v>23</v>
      </c>
      <c r="D1990" s="6" t="s">
        <v>4597</v>
      </c>
      <c r="E1990" s="6" t="s">
        <v>1771</v>
      </c>
      <c r="F1990" s="6" t="s">
        <v>51</v>
      </c>
      <c r="G1990" s="7">
        <v>0.03</v>
      </c>
      <c r="H1990" s="6" t="s">
        <v>276</v>
      </c>
      <c r="I1990" s="6" t="s">
        <v>20</v>
      </c>
      <c r="J1990" s="6">
        <v>2014.0</v>
      </c>
      <c r="K1990" s="10">
        <v>46113.0</v>
      </c>
      <c r="L1990" s="6">
        <v>1.0</v>
      </c>
      <c r="M1990" s="8">
        <f t="shared" si="2"/>
        <v>0.03</v>
      </c>
      <c r="P1990" s="9"/>
    </row>
    <row r="1991">
      <c r="A1991" s="6" t="s">
        <v>4598</v>
      </c>
      <c r="B1991" s="6" t="s">
        <v>357</v>
      </c>
      <c r="C1991" s="6" t="s">
        <v>23</v>
      </c>
      <c r="D1991" s="6" t="s">
        <v>4599</v>
      </c>
      <c r="E1991" s="6" t="s">
        <v>235</v>
      </c>
      <c r="F1991" s="6" t="s">
        <v>103</v>
      </c>
      <c r="G1991" s="7">
        <v>0.2</v>
      </c>
      <c r="H1991" s="6" t="s">
        <v>359</v>
      </c>
      <c r="I1991" s="6" t="s">
        <v>20</v>
      </c>
      <c r="J1991" s="6">
        <v>2014.0</v>
      </c>
      <c r="K1991" s="10">
        <v>46113.0</v>
      </c>
      <c r="L1991" s="6">
        <v>5.0</v>
      </c>
      <c r="M1991" s="8">
        <f t="shared" si="2"/>
        <v>1</v>
      </c>
      <c r="P1991" s="9"/>
    </row>
    <row r="1992">
      <c r="A1992" s="6" t="s">
        <v>4598</v>
      </c>
      <c r="B1992" s="6" t="s">
        <v>357</v>
      </c>
      <c r="C1992" s="6" t="s">
        <v>23</v>
      </c>
      <c r="D1992" s="6" t="s">
        <v>4599</v>
      </c>
      <c r="E1992" s="6" t="s">
        <v>235</v>
      </c>
      <c r="F1992" s="6" t="s">
        <v>103</v>
      </c>
      <c r="G1992" s="7">
        <v>12.96</v>
      </c>
      <c r="H1992" s="6" t="s">
        <v>359</v>
      </c>
      <c r="I1992" s="6" t="s">
        <v>55</v>
      </c>
      <c r="J1992" s="6">
        <v>2014.0</v>
      </c>
      <c r="K1992" s="10">
        <v>46113.0</v>
      </c>
      <c r="L1992" s="6">
        <v>1.0</v>
      </c>
      <c r="M1992" s="8">
        <f t="shared" si="2"/>
        <v>12.96</v>
      </c>
      <c r="P1992" s="9"/>
    </row>
    <row r="1993">
      <c r="A1993" s="6" t="s">
        <v>4600</v>
      </c>
      <c r="B1993" s="6" t="s">
        <v>673</v>
      </c>
      <c r="C1993" s="6" t="s">
        <v>23</v>
      </c>
      <c r="D1993" s="6" t="s">
        <v>4601</v>
      </c>
      <c r="E1993" s="6" t="s">
        <v>235</v>
      </c>
      <c r="F1993" s="6" t="s">
        <v>103</v>
      </c>
      <c r="G1993" s="7">
        <v>0.05</v>
      </c>
      <c r="H1993" s="6" t="s">
        <v>324</v>
      </c>
      <c r="I1993" s="6" t="s">
        <v>20</v>
      </c>
      <c r="J1993" s="6">
        <v>2025.0</v>
      </c>
      <c r="K1993" s="10">
        <v>46056.0</v>
      </c>
      <c r="L1993" s="6">
        <v>1.0</v>
      </c>
      <c r="M1993" s="8">
        <f t="shared" si="2"/>
        <v>0.05</v>
      </c>
      <c r="P1993" s="9"/>
    </row>
    <row r="1994">
      <c r="A1994" s="6" t="s">
        <v>4602</v>
      </c>
      <c r="B1994" s="6" t="s">
        <v>2898</v>
      </c>
      <c r="C1994" s="6" t="s">
        <v>23</v>
      </c>
      <c r="D1994" s="6" t="s">
        <v>4603</v>
      </c>
      <c r="E1994" s="6" t="s">
        <v>167</v>
      </c>
      <c r="F1994" s="6" t="s">
        <v>103</v>
      </c>
      <c r="G1994" s="7">
        <v>0.03</v>
      </c>
      <c r="H1994" s="6" t="s">
        <v>526</v>
      </c>
      <c r="I1994" s="6" t="s">
        <v>20</v>
      </c>
      <c r="J1994" s="6">
        <v>2020.0</v>
      </c>
      <c r="K1994" s="10">
        <v>46023.0</v>
      </c>
      <c r="L1994" s="6">
        <v>1.0</v>
      </c>
      <c r="M1994" s="8">
        <f t="shared" si="2"/>
        <v>0.03</v>
      </c>
      <c r="P1994" s="9"/>
    </row>
    <row r="1995">
      <c r="A1995" s="6" t="s">
        <v>4604</v>
      </c>
      <c r="B1995" s="6" t="s">
        <v>1782</v>
      </c>
      <c r="C1995" s="6" t="s">
        <v>23</v>
      </c>
      <c r="D1995" s="6" t="s">
        <v>4605</v>
      </c>
      <c r="E1995" s="6" t="s">
        <v>102</v>
      </c>
      <c r="F1995" s="6" t="s">
        <v>103</v>
      </c>
      <c r="G1995" s="7">
        <v>0.05</v>
      </c>
      <c r="H1995" s="6" t="s">
        <v>271</v>
      </c>
      <c r="I1995" s="6" t="s">
        <v>20</v>
      </c>
      <c r="J1995" s="6">
        <v>2012.0</v>
      </c>
      <c r="K1995" s="10">
        <v>46023.0</v>
      </c>
      <c r="L1995" s="6">
        <v>1.0</v>
      </c>
      <c r="M1995" s="8">
        <f t="shared" si="2"/>
        <v>0.05</v>
      </c>
      <c r="P1995" s="9"/>
    </row>
    <row r="1996">
      <c r="A1996" s="6" t="s">
        <v>4606</v>
      </c>
      <c r="B1996" s="6" t="s">
        <v>4607</v>
      </c>
      <c r="C1996" s="6" t="s">
        <v>15</v>
      </c>
      <c r="D1996" s="6" t="s">
        <v>4608</v>
      </c>
      <c r="E1996" s="6" t="s">
        <v>377</v>
      </c>
      <c r="F1996" s="6" t="s">
        <v>103</v>
      </c>
      <c r="G1996" s="7">
        <v>0.28</v>
      </c>
      <c r="H1996" s="6" t="s">
        <v>19</v>
      </c>
      <c r="I1996" s="6" t="s">
        <v>20</v>
      </c>
      <c r="J1996" s="6">
        <v>2023.0</v>
      </c>
      <c r="K1996" s="10">
        <v>46113.0</v>
      </c>
      <c r="L1996" s="6">
        <v>1.0</v>
      </c>
      <c r="M1996" s="8">
        <f t="shared" si="2"/>
        <v>0.28</v>
      </c>
      <c r="P1996" s="9"/>
    </row>
    <row r="1997">
      <c r="A1997" s="6" t="s">
        <v>4609</v>
      </c>
      <c r="B1997" s="6" t="s">
        <v>62</v>
      </c>
      <c r="C1997" s="6" t="s">
        <v>23</v>
      </c>
      <c r="D1997" s="6" t="s">
        <v>3511</v>
      </c>
      <c r="E1997" s="6" t="s">
        <v>30</v>
      </c>
      <c r="F1997" s="6" t="s">
        <v>18</v>
      </c>
      <c r="G1997" s="7">
        <v>0.05</v>
      </c>
      <c r="H1997" s="6" t="s">
        <v>1494</v>
      </c>
      <c r="I1997" s="6" t="s">
        <v>20</v>
      </c>
      <c r="J1997" s="6">
        <v>2012.0</v>
      </c>
      <c r="L1997" s="6">
        <v>1.0</v>
      </c>
      <c r="M1997" s="8">
        <f t="shared" si="2"/>
        <v>0.05</v>
      </c>
      <c r="P1997" s="9"/>
    </row>
    <row r="1998">
      <c r="A1998" s="6" t="s">
        <v>4609</v>
      </c>
      <c r="B1998" s="6" t="s">
        <v>62</v>
      </c>
      <c r="C1998" s="6" t="s">
        <v>23</v>
      </c>
      <c r="D1998" s="6" t="s">
        <v>3511</v>
      </c>
      <c r="E1998" s="6" t="s">
        <v>30</v>
      </c>
      <c r="F1998" s="6" t="s">
        <v>18</v>
      </c>
      <c r="G1998" s="7">
        <v>0.05</v>
      </c>
      <c r="H1998" s="6" t="s">
        <v>4610</v>
      </c>
      <c r="I1998" s="6" t="s">
        <v>20</v>
      </c>
      <c r="J1998" s="6">
        <v>2014.0</v>
      </c>
      <c r="L1998" s="6">
        <v>1.0</v>
      </c>
      <c r="M1998" s="8">
        <f t="shared" si="2"/>
        <v>0.05</v>
      </c>
      <c r="P1998" s="9"/>
    </row>
    <row r="1999">
      <c r="A1999" s="6" t="s">
        <v>4611</v>
      </c>
      <c r="B1999" s="6" t="s">
        <v>4612</v>
      </c>
      <c r="C1999" s="6" t="s">
        <v>15</v>
      </c>
      <c r="D1999" s="6" t="s">
        <v>4613</v>
      </c>
      <c r="E1999" s="6" t="s">
        <v>1475</v>
      </c>
      <c r="F1999" s="6" t="s">
        <v>65</v>
      </c>
      <c r="G1999" s="7">
        <v>0.2</v>
      </c>
      <c r="H1999" s="6" t="s">
        <v>19</v>
      </c>
      <c r="I1999" s="6" t="s">
        <v>20</v>
      </c>
      <c r="J1999" s="6">
        <v>2023.0</v>
      </c>
      <c r="K1999" s="10">
        <v>46023.0</v>
      </c>
      <c r="L1999" s="6">
        <v>3.0</v>
      </c>
      <c r="M1999" s="8">
        <f t="shared" si="2"/>
        <v>0.6</v>
      </c>
      <c r="P1999" s="9"/>
    </row>
    <row r="2000">
      <c r="A2000" s="6" t="s">
        <v>4614</v>
      </c>
      <c r="B2000" s="6" t="s">
        <v>3362</v>
      </c>
      <c r="C2000" s="6" t="s">
        <v>23</v>
      </c>
      <c r="D2000" s="6" t="s">
        <v>4615</v>
      </c>
      <c r="E2000" s="6" t="s">
        <v>112</v>
      </c>
      <c r="F2000" s="6" t="s">
        <v>65</v>
      </c>
      <c r="G2000" s="7">
        <v>0.1</v>
      </c>
      <c r="H2000" s="6" t="s">
        <v>641</v>
      </c>
      <c r="I2000" s="6" t="s">
        <v>20</v>
      </c>
      <c r="J2000" s="6">
        <v>2026.0</v>
      </c>
      <c r="K2000" s="10">
        <v>46082.0</v>
      </c>
      <c r="L2000" s="6">
        <v>2.0</v>
      </c>
      <c r="M2000" s="8">
        <f t="shared" si="2"/>
        <v>0.2</v>
      </c>
      <c r="P2000" s="9"/>
    </row>
    <row r="2001">
      <c r="A2001" s="6" t="s">
        <v>4616</v>
      </c>
      <c r="B2001" s="6" t="s">
        <v>169</v>
      </c>
      <c r="C2001" s="6" t="s">
        <v>72</v>
      </c>
      <c r="D2001" s="6" t="s">
        <v>4617</v>
      </c>
      <c r="E2001" s="6" t="s">
        <v>1336</v>
      </c>
      <c r="F2001" s="6" t="s">
        <v>103</v>
      </c>
      <c r="G2001" s="7">
        <v>0.09</v>
      </c>
      <c r="H2001" s="6" t="s">
        <v>185</v>
      </c>
      <c r="I2001" s="6" t="s">
        <v>20</v>
      </c>
      <c r="J2001" s="6">
        <v>2019.0</v>
      </c>
      <c r="L2001" s="6">
        <v>3.0</v>
      </c>
      <c r="M2001" s="8">
        <f t="shared" si="2"/>
        <v>0.27</v>
      </c>
      <c r="P2001" s="9"/>
    </row>
    <row r="2002">
      <c r="A2002" s="6" t="s">
        <v>4618</v>
      </c>
      <c r="B2002" s="6" t="s">
        <v>4619</v>
      </c>
      <c r="C2002" s="6" t="s">
        <v>48</v>
      </c>
      <c r="D2002" s="6" t="s">
        <v>4620</v>
      </c>
      <c r="E2002" s="6" t="s">
        <v>25</v>
      </c>
      <c r="F2002" s="6" t="s">
        <v>18</v>
      </c>
      <c r="G2002" s="7">
        <v>0.09</v>
      </c>
      <c r="H2002" s="6" t="s">
        <v>66</v>
      </c>
      <c r="I2002" s="6" t="s">
        <v>20</v>
      </c>
      <c r="J2002" s="6">
        <v>2016.0</v>
      </c>
      <c r="K2002" s="10">
        <v>46083.0</v>
      </c>
      <c r="L2002" s="6">
        <v>2.0</v>
      </c>
      <c r="M2002" s="8">
        <f t="shared" si="2"/>
        <v>0.18</v>
      </c>
      <c r="P2002" s="9"/>
    </row>
    <row r="2003">
      <c r="A2003" s="6" t="s">
        <v>4621</v>
      </c>
      <c r="B2003" s="6" t="s">
        <v>4622</v>
      </c>
      <c r="C2003" s="6" t="s">
        <v>23</v>
      </c>
      <c r="D2003" s="6" t="s">
        <v>4623</v>
      </c>
      <c r="E2003" s="6" t="s">
        <v>1001</v>
      </c>
      <c r="F2003" s="6" t="s">
        <v>65</v>
      </c>
      <c r="G2003" s="7">
        <v>0.05</v>
      </c>
      <c r="H2003" s="6" t="s">
        <v>245</v>
      </c>
      <c r="I2003" s="6" t="s">
        <v>20</v>
      </c>
      <c r="J2003" s="6">
        <v>1995.0</v>
      </c>
      <c r="K2003" s="10">
        <v>46055.0</v>
      </c>
      <c r="L2003" s="6">
        <v>1.0</v>
      </c>
      <c r="M2003" s="8">
        <f t="shared" si="2"/>
        <v>0.05</v>
      </c>
      <c r="P2003" s="9"/>
    </row>
    <row r="2004">
      <c r="A2004" s="6" t="s">
        <v>4624</v>
      </c>
      <c r="B2004" s="6" t="s">
        <v>4625</v>
      </c>
      <c r="C2004" s="6" t="s">
        <v>23</v>
      </c>
      <c r="E2004" s="6" t="s">
        <v>223</v>
      </c>
      <c r="F2004" s="6" t="s">
        <v>159</v>
      </c>
      <c r="G2004" s="7">
        <v>0.09</v>
      </c>
      <c r="H2004" s="6" t="s">
        <v>3190</v>
      </c>
      <c r="I2004" s="6" t="s">
        <v>20</v>
      </c>
      <c r="J2004" s="6">
        <v>2007.0</v>
      </c>
      <c r="K2004" s="10">
        <v>46055.0</v>
      </c>
      <c r="L2004" s="6">
        <v>2.0</v>
      </c>
      <c r="M2004" s="8">
        <f t="shared" si="2"/>
        <v>0.18</v>
      </c>
      <c r="P2004" s="9"/>
    </row>
    <row r="2005">
      <c r="A2005" s="6" t="s">
        <v>4626</v>
      </c>
      <c r="B2005" s="6" t="s">
        <v>4627</v>
      </c>
      <c r="C2005" s="6" t="s">
        <v>15</v>
      </c>
      <c r="D2005" s="6" t="s">
        <v>4628</v>
      </c>
      <c r="E2005" s="6" t="s">
        <v>2028</v>
      </c>
      <c r="F2005" s="6" t="s">
        <v>103</v>
      </c>
      <c r="G2005" s="7">
        <v>0.16</v>
      </c>
      <c r="H2005" s="6" t="s">
        <v>19</v>
      </c>
      <c r="I2005" s="6" t="s">
        <v>20</v>
      </c>
      <c r="J2005" s="6">
        <v>2023.0</v>
      </c>
      <c r="K2005" s="10">
        <v>46147.0</v>
      </c>
      <c r="L2005" s="6">
        <v>3.0</v>
      </c>
      <c r="M2005" s="8">
        <f t="shared" si="2"/>
        <v>0.48</v>
      </c>
      <c r="P2005" s="9"/>
    </row>
    <row r="2006">
      <c r="A2006" s="6" t="s">
        <v>4629</v>
      </c>
      <c r="B2006" s="6" t="s">
        <v>1449</v>
      </c>
      <c r="C2006" s="6" t="s">
        <v>23</v>
      </c>
      <c r="D2006" s="6" t="s">
        <v>4630</v>
      </c>
      <c r="E2006" s="6" t="s">
        <v>112</v>
      </c>
      <c r="F2006" s="6" t="s">
        <v>65</v>
      </c>
      <c r="G2006" s="7">
        <v>0.05</v>
      </c>
      <c r="H2006" s="6" t="s">
        <v>224</v>
      </c>
      <c r="I2006" s="6" t="s">
        <v>20</v>
      </c>
      <c r="J2006" s="6">
        <v>2020.0</v>
      </c>
      <c r="K2006" s="10">
        <v>46054.0</v>
      </c>
      <c r="L2006" s="6">
        <v>1.0</v>
      </c>
      <c r="M2006" s="8">
        <f t="shared" si="2"/>
        <v>0.05</v>
      </c>
      <c r="P2006" s="9"/>
    </row>
    <row r="2007">
      <c r="A2007" s="6" t="s">
        <v>4631</v>
      </c>
      <c r="B2007" s="6" t="s">
        <v>1456</v>
      </c>
      <c r="C2007" s="6" t="s">
        <v>48</v>
      </c>
      <c r="D2007" s="6" t="s">
        <v>4632</v>
      </c>
      <c r="E2007" s="6" t="s">
        <v>64</v>
      </c>
      <c r="F2007" s="6" t="s">
        <v>65</v>
      </c>
      <c r="G2007" s="7">
        <v>0.09</v>
      </c>
      <c r="H2007" s="6" t="s">
        <v>224</v>
      </c>
      <c r="I2007" s="6" t="s">
        <v>20</v>
      </c>
      <c r="J2007" s="6">
        <v>2020.0</v>
      </c>
      <c r="K2007" s="10">
        <v>46083.0</v>
      </c>
      <c r="L2007" s="6">
        <v>1.0</v>
      </c>
      <c r="M2007" s="8">
        <f t="shared" si="2"/>
        <v>0.09</v>
      </c>
      <c r="P2007" s="9"/>
    </row>
    <row r="2008">
      <c r="A2008" s="6" t="s">
        <v>4633</v>
      </c>
      <c r="B2008" s="6" t="s">
        <v>62</v>
      </c>
      <c r="C2008" s="6" t="s">
        <v>23</v>
      </c>
      <c r="D2008" s="6" t="s">
        <v>4634</v>
      </c>
      <c r="E2008" s="6" t="s">
        <v>235</v>
      </c>
      <c r="F2008" s="6" t="s">
        <v>103</v>
      </c>
      <c r="G2008" s="7">
        <v>0.03</v>
      </c>
      <c r="H2008" s="6" t="s">
        <v>185</v>
      </c>
      <c r="I2008" s="6" t="s">
        <v>20</v>
      </c>
      <c r="J2008" s="6">
        <v>2019.0</v>
      </c>
      <c r="L2008" s="6">
        <v>1.0</v>
      </c>
      <c r="M2008" s="8">
        <f t="shared" si="2"/>
        <v>0.03</v>
      </c>
      <c r="P2008" s="9"/>
    </row>
    <row r="2009">
      <c r="A2009" s="6" t="s">
        <v>4635</v>
      </c>
      <c r="B2009" s="6" t="s">
        <v>62</v>
      </c>
      <c r="C2009" s="6" t="s">
        <v>23</v>
      </c>
      <c r="D2009" s="6" t="s">
        <v>4636</v>
      </c>
      <c r="E2009" s="6" t="s">
        <v>102</v>
      </c>
      <c r="F2009" s="6" t="s">
        <v>103</v>
      </c>
      <c r="G2009" s="7">
        <v>0.04</v>
      </c>
      <c r="H2009" s="6" t="s">
        <v>93</v>
      </c>
      <c r="I2009" s="6" t="s">
        <v>20</v>
      </c>
      <c r="J2009" s="6">
        <v>2016.0</v>
      </c>
      <c r="L2009" s="6">
        <v>1.0</v>
      </c>
      <c r="M2009" s="8">
        <f t="shared" si="2"/>
        <v>0.04</v>
      </c>
      <c r="P2009" s="9"/>
    </row>
    <row r="2010">
      <c r="A2010" s="6" t="s">
        <v>4637</v>
      </c>
      <c r="B2010" s="6" t="s">
        <v>194</v>
      </c>
      <c r="C2010" s="6" t="s">
        <v>23</v>
      </c>
      <c r="D2010" s="6" t="s">
        <v>4638</v>
      </c>
      <c r="E2010" s="6" t="s">
        <v>573</v>
      </c>
      <c r="F2010" s="6" t="s">
        <v>51</v>
      </c>
      <c r="G2010" s="7">
        <v>0.1</v>
      </c>
      <c r="H2010" s="6" t="s">
        <v>192</v>
      </c>
      <c r="I2010" s="6" t="s">
        <v>20</v>
      </c>
      <c r="J2010" s="6">
        <v>2026.0</v>
      </c>
      <c r="L2010" s="6">
        <v>4.0</v>
      </c>
      <c r="M2010" s="8">
        <f t="shared" si="2"/>
        <v>0.4</v>
      </c>
      <c r="P2010" s="9"/>
    </row>
    <row r="2011">
      <c r="A2011" s="6" t="s">
        <v>4637</v>
      </c>
      <c r="B2011" s="6" t="s">
        <v>194</v>
      </c>
      <c r="C2011" s="6" t="s">
        <v>23</v>
      </c>
      <c r="D2011" s="6" t="s">
        <v>4638</v>
      </c>
      <c r="E2011" s="6" t="s">
        <v>573</v>
      </c>
      <c r="F2011" s="6" t="s">
        <v>51</v>
      </c>
      <c r="G2011" s="7">
        <v>0.1</v>
      </c>
      <c r="H2011" s="6" t="s">
        <v>192</v>
      </c>
      <c r="I2011" s="6" t="s">
        <v>20</v>
      </c>
      <c r="J2011" s="6">
        <v>2026.0</v>
      </c>
      <c r="L2011" s="6">
        <v>2.0</v>
      </c>
      <c r="M2011" s="8">
        <f t="shared" si="2"/>
        <v>0.2</v>
      </c>
      <c r="P2011" s="9"/>
    </row>
    <row r="2012">
      <c r="A2012" s="6" t="s">
        <v>4639</v>
      </c>
      <c r="B2012" s="6" t="s">
        <v>165</v>
      </c>
      <c r="C2012" s="6" t="s">
        <v>15</v>
      </c>
      <c r="D2012" s="6" t="s">
        <v>4640</v>
      </c>
      <c r="E2012" s="6" t="s">
        <v>208</v>
      </c>
      <c r="F2012" s="6" t="s">
        <v>51</v>
      </c>
      <c r="G2012" s="7">
        <v>0.25</v>
      </c>
      <c r="H2012" s="6" t="s">
        <v>807</v>
      </c>
      <c r="I2012" s="6" t="s">
        <v>20</v>
      </c>
      <c r="J2012" s="6">
        <v>2026.0</v>
      </c>
      <c r="L2012" s="6">
        <v>1.0</v>
      </c>
      <c r="M2012" s="8">
        <f t="shared" si="2"/>
        <v>0.25</v>
      </c>
      <c r="P2012" s="9"/>
    </row>
    <row r="2013">
      <c r="A2013" s="6" t="s">
        <v>4641</v>
      </c>
      <c r="B2013" s="6" t="s">
        <v>182</v>
      </c>
      <c r="C2013" s="6" t="s">
        <v>23</v>
      </c>
      <c r="D2013" s="6" t="s">
        <v>4642</v>
      </c>
      <c r="E2013" s="6" t="s">
        <v>235</v>
      </c>
      <c r="F2013" s="6" t="s">
        <v>103</v>
      </c>
      <c r="G2013" s="7">
        <v>0.03</v>
      </c>
      <c r="H2013" s="6" t="s">
        <v>875</v>
      </c>
      <c r="I2013" s="6" t="s">
        <v>20</v>
      </c>
      <c r="J2013" s="6">
        <v>2018.0</v>
      </c>
      <c r="L2013" s="6">
        <v>2.0</v>
      </c>
      <c r="M2013" s="8">
        <f t="shared" si="2"/>
        <v>0.06</v>
      </c>
      <c r="P2013" s="9"/>
    </row>
    <row r="2014">
      <c r="A2014" s="6" t="s">
        <v>4643</v>
      </c>
      <c r="B2014" s="6" t="s">
        <v>960</v>
      </c>
      <c r="C2014" s="6" t="s">
        <v>23</v>
      </c>
      <c r="D2014" s="6" t="s">
        <v>4644</v>
      </c>
      <c r="F2014" s="6" t="s">
        <v>826</v>
      </c>
      <c r="G2014" s="7">
        <v>0.1</v>
      </c>
      <c r="H2014" s="6" t="s">
        <v>88</v>
      </c>
      <c r="I2014" s="6" t="s">
        <v>20</v>
      </c>
      <c r="J2014" s="6">
        <v>2013.0</v>
      </c>
      <c r="L2014" s="6">
        <v>4.0</v>
      </c>
      <c r="M2014" s="8">
        <f t="shared" si="2"/>
        <v>0.4</v>
      </c>
      <c r="P2014" s="9"/>
    </row>
    <row r="2015">
      <c r="A2015" s="6" t="s">
        <v>4643</v>
      </c>
      <c r="B2015" s="6" t="s">
        <v>960</v>
      </c>
      <c r="C2015" s="6" t="s">
        <v>23</v>
      </c>
      <c r="D2015" s="6" t="s">
        <v>4644</v>
      </c>
      <c r="F2015" s="6" t="s">
        <v>826</v>
      </c>
      <c r="G2015" s="7">
        <v>0.14</v>
      </c>
      <c r="H2015" s="6" t="s">
        <v>185</v>
      </c>
      <c r="I2015" s="6" t="s">
        <v>20</v>
      </c>
      <c r="J2015" s="6">
        <v>2019.0</v>
      </c>
      <c r="L2015" s="6">
        <v>2.0</v>
      </c>
      <c r="M2015" s="8">
        <f t="shared" si="2"/>
        <v>0.28</v>
      </c>
      <c r="P2015" s="9"/>
    </row>
    <row r="2016">
      <c r="A2016" s="6" t="s">
        <v>4645</v>
      </c>
      <c r="B2016" s="6" t="s">
        <v>307</v>
      </c>
      <c r="C2016" s="6" t="s">
        <v>48</v>
      </c>
      <c r="D2016" s="6" t="s">
        <v>4646</v>
      </c>
      <c r="E2016" s="6" t="s">
        <v>243</v>
      </c>
      <c r="F2016" s="6" t="s">
        <v>37</v>
      </c>
      <c r="G2016" s="7">
        <v>0.15</v>
      </c>
      <c r="H2016" s="6" t="s">
        <v>88</v>
      </c>
      <c r="I2016" s="6" t="s">
        <v>20</v>
      </c>
      <c r="J2016" s="6">
        <v>2013.0</v>
      </c>
      <c r="L2016" s="6">
        <v>1.0</v>
      </c>
      <c r="M2016" s="8">
        <f t="shared" si="2"/>
        <v>0.15</v>
      </c>
      <c r="P2016" s="9"/>
    </row>
    <row r="2017">
      <c r="A2017" s="6" t="s">
        <v>4647</v>
      </c>
      <c r="B2017" s="6" t="s">
        <v>1192</v>
      </c>
      <c r="C2017" s="6" t="s">
        <v>41</v>
      </c>
      <c r="D2017" s="6" t="s">
        <v>4648</v>
      </c>
      <c r="E2017" s="6" t="s">
        <v>3595</v>
      </c>
      <c r="F2017" s="6" t="s">
        <v>826</v>
      </c>
      <c r="G2017" s="7">
        <v>0.36</v>
      </c>
      <c r="H2017" s="6" t="s">
        <v>185</v>
      </c>
      <c r="I2017" s="6" t="s">
        <v>20</v>
      </c>
      <c r="J2017" s="6">
        <v>2019.0</v>
      </c>
      <c r="K2017" s="10">
        <v>46084.0</v>
      </c>
      <c r="L2017" s="6">
        <v>1.0</v>
      </c>
      <c r="M2017" s="8">
        <f t="shared" si="2"/>
        <v>0.36</v>
      </c>
      <c r="P2017" s="9"/>
    </row>
    <row r="2018">
      <c r="A2018" s="6" t="s">
        <v>4649</v>
      </c>
      <c r="B2018" s="6" t="s">
        <v>548</v>
      </c>
      <c r="C2018" s="6" t="s">
        <v>23</v>
      </c>
      <c r="D2018" s="6" t="s">
        <v>4650</v>
      </c>
      <c r="E2018" s="6" t="s">
        <v>238</v>
      </c>
      <c r="F2018" s="6" t="s">
        <v>159</v>
      </c>
      <c r="G2018" s="7">
        <v>0.1</v>
      </c>
      <c r="H2018" s="6" t="s">
        <v>192</v>
      </c>
      <c r="I2018" s="6" t="s">
        <v>20</v>
      </c>
      <c r="J2018" s="6">
        <v>2026.0</v>
      </c>
      <c r="L2018" s="6">
        <v>1.0</v>
      </c>
      <c r="M2018" s="8">
        <f t="shared" si="2"/>
        <v>0.1</v>
      </c>
      <c r="P2018" s="9"/>
    </row>
    <row r="2019">
      <c r="A2019" s="6" t="s">
        <v>4651</v>
      </c>
      <c r="B2019" s="6" t="s">
        <v>229</v>
      </c>
      <c r="C2019" s="6" t="s">
        <v>212</v>
      </c>
      <c r="D2019" s="6" t="s">
        <v>4652</v>
      </c>
      <c r="E2019" s="6" t="s">
        <v>231</v>
      </c>
      <c r="F2019" s="6" t="s">
        <v>37</v>
      </c>
      <c r="G2019" s="7">
        <v>0.15</v>
      </c>
      <c r="H2019" s="6" t="s">
        <v>209</v>
      </c>
      <c r="I2019" s="6" t="s">
        <v>20</v>
      </c>
      <c r="J2019" s="6">
        <v>2025.0</v>
      </c>
      <c r="L2019" s="6">
        <v>3.0</v>
      </c>
      <c r="M2019" s="8">
        <f t="shared" si="2"/>
        <v>0.45</v>
      </c>
      <c r="P2019" s="9"/>
    </row>
    <row r="2020">
      <c r="A2020" s="6" t="s">
        <v>4653</v>
      </c>
      <c r="B2020" s="6" t="s">
        <v>194</v>
      </c>
      <c r="C2020" s="6" t="s">
        <v>23</v>
      </c>
      <c r="D2020" s="6" t="s">
        <v>4654</v>
      </c>
      <c r="E2020" s="6" t="s">
        <v>4655</v>
      </c>
      <c r="F2020" s="6" t="s">
        <v>51</v>
      </c>
      <c r="G2020" s="7">
        <v>0.15</v>
      </c>
      <c r="H2020" s="6" t="s">
        <v>607</v>
      </c>
      <c r="I2020" s="6" t="s">
        <v>20</v>
      </c>
      <c r="J2020" s="6">
        <v>1994.0</v>
      </c>
      <c r="L2020" s="6">
        <v>2.0</v>
      </c>
      <c r="M2020" s="8">
        <f t="shared" si="2"/>
        <v>0.3</v>
      </c>
      <c r="P2020" s="9"/>
    </row>
    <row r="2021">
      <c r="A2021" s="6" t="s">
        <v>4656</v>
      </c>
      <c r="B2021" s="6" t="s">
        <v>841</v>
      </c>
      <c r="C2021" s="6" t="s">
        <v>23</v>
      </c>
      <c r="D2021" s="6" t="s">
        <v>4657</v>
      </c>
      <c r="E2021" s="6" t="s">
        <v>625</v>
      </c>
      <c r="F2021" s="6" t="s">
        <v>37</v>
      </c>
      <c r="G2021" s="7">
        <v>0.06</v>
      </c>
      <c r="H2021" s="6" t="s">
        <v>184</v>
      </c>
      <c r="I2021" s="6" t="s">
        <v>20</v>
      </c>
      <c r="J2021" s="6">
        <v>2015.0</v>
      </c>
      <c r="K2021" s="10">
        <v>46084.0</v>
      </c>
      <c r="L2021" s="6">
        <v>2.0</v>
      </c>
      <c r="M2021" s="8">
        <f t="shared" si="2"/>
        <v>0.12</v>
      </c>
      <c r="P2021" s="9"/>
    </row>
    <row r="2022">
      <c r="A2022" s="6" t="s">
        <v>4658</v>
      </c>
      <c r="B2022" s="6" t="s">
        <v>307</v>
      </c>
      <c r="C2022" s="6" t="s">
        <v>23</v>
      </c>
      <c r="D2022" s="6" t="s">
        <v>4659</v>
      </c>
      <c r="E2022" s="6" t="s">
        <v>36</v>
      </c>
      <c r="F2022" s="6" t="s">
        <v>37</v>
      </c>
      <c r="G2022" s="7">
        <v>0.49</v>
      </c>
      <c r="H2022" s="6" t="s">
        <v>577</v>
      </c>
      <c r="I2022" s="6" t="s">
        <v>20</v>
      </c>
      <c r="J2022" s="6">
        <v>2017.0</v>
      </c>
      <c r="L2022" s="6">
        <v>1.0</v>
      </c>
      <c r="M2022" s="8">
        <f t="shared" si="2"/>
        <v>0.49</v>
      </c>
      <c r="P2022" s="9"/>
    </row>
    <row r="2023">
      <c r="A2023" s="6" t="s">
        <v>4660</v>
      </c>
      <c r="B2023" s="6" t="s">
        <v>4661</v>
      </c>
      <c r="C2023" s="6" t="s">
        <v>48</v>
      </c>
      <c r="D2023" s="6" t="s">
        <v>4662</v>
      </c>
      <c r="E2023" s="6" t="s">
        <v>50</v>
      </c>
      <c r="F2023" s="6" t="s">
        <v>51</v>
      </c>
      <c r="G2023" s="7">
        <v>0.04</v>
      </c>
      <c r="H2023" s="6" t="s">
        <v>509</v>
      </c>
      <c r="I2023" s="6" t="s">
        <v>20</v>
      </c>
      <c r="J2023" s="6">
        <v>2024.0</v>
      </c>
      <c r="K2023" s="10">
        <v>46116.0</v>
      </c>
      <c r="L2023" s="6">
        <v>1.0</v>
      </c>
      <c r="M2023" s="8">
        <f t="shared" si="2"/>
        <v>0.04</v>
      </c>
      <c r="P2023" s="9"/>
    </row>
    <row r="2024">
      <c r="A2024" s="6" t="s">
        <v>4663</v>
      </c>
      <c r="B2024" s="6" t="s">
        <v>372</v>
      </c>
      <c r="C2024" s="6" t="s">
        <v>23</v>
      </c>
      <c r="D2024" s="6" t="s">
        <v>4664</v>
      </c>
      <c r="E2024" s="6" t="s">
        <v>79</v>
      </c>
      <c r="F2024" s="6" t="s">
        <v>51</v>
      </c>
      <c r="G2024" s="7">
        <v>0.05</v>
      </c>
      <c r="H2024" s="6" t="s">
        <v>340</v>
      </c>
      <c r="I2024" s="6" t="s">
        <v>20</v>
      </c>
      <c r="J2024" s="6">
        <v>2010.0</v>
      </c>
      <c r="L2024" s="6">
        <v>1.0</v>
      </c>
      <c r="M2024" s="8">
        <f t="shared" si="2"/>
        <v>0.05</v>
      </c>
      <c r="P2024" s="9"/>
    </row>
    <row r="2025">
      <c r="A2025" s="6" t="s">
        <v>4665</v>
      </c>
      <c r="B2025" s="6" t="s">
        <v>143</v>
      </c>
      <c r="C2025" s="6" t="s">
        <v>23</v>
      </c>
      <c r="D2025" s="6" t="s">
        <v>4666</v>
      </c>
      <c r="E2025" s="6" t="s">
        <v>223</v>
      </c>
      <c r="F2025" s="6" t="s">
        <v>159</v>
      </c>
      <c r="G2025" s="7">
        <v>0.06</v>
      </c>
      <c r="H2025" s="6" t="s">
        <v>1675</v>
      </c>
      <c r="I2025" s="6" t="s">
        <v>20</v>
      </c>
      <c r="J2025" s="6">
        <v>2021.0</v>
      </c>
      <c r="L2025" s="6">
        <v>1.0</v>
      </c>
      <c r="M2025" s="8">
        <f t="shared" si="2"/>
        <v>0.06</v>
      </c>
      <c r="P2025" s="9"/>
    </row>
    <row r="2026">
      <c r="A2026" s="6" t="s">
        <v>4667</v>
      </c>
      <c r="B2026" s="6" t="s">
        <v>841</v>
      </c>
      <c r="C2026" s="6" t="s">
        <v>48</v>
      </c>
      <c r="D2026" s="6" t="s">
        <v>4668</v>
      </c>
      <c r="F2026" s="6" t="s">
        <v>37</v>
      </c>
      <c r="G2026" s="7">
        <v>0.06</v>
      </c>
      <c r="H2026" s="6" t="s">
        <v>845</v>
      </c>
      <c r="I2026" s="6" t="s">
        <v>20</v>
      </c>
      <c r="J2026" s="6">
        <v>2022.0</v>
      </c>
      <c r="K2026" s="10">
        <v>46084.0</v>
      </c>
      <c r="L2026" s="6">
        <v>1.0</v>
      </c>
      <c r="M2026" s="8">
        <f t="shared" si="2"/>
        <v>0.06</v>
      </c>
      <c r="P2026" s="9"/>
    </row>
    <row r="2027">
      <c r="A2027" s="6" t="s">
        <v>4669</v>
      </c>
      <c r="B2027" s="6" t="s">
        <v>4670</v>
      </c>
      <c r="C2027" s="6" t="s">
        <v>287</v>
      </c>
      <c r="D2027" s="6" t="s">
        <v>4671</v>
      </c>
      <c r="E2027" s="6" t="s">
        <v>25</v>
      </c>
      <c r="F2027" s="6" t="s">
        <v>18</v>
      </c>
      <c r="G2027" s="7">
        <v>0.05</v>
      </c>
      <c r="H2027" s="6" t="s">
        <v>418</v>
      </c>
      <c r="I2027" s="6" t="s">
        <v>20</v>
      </c>
      <c r="J2027" s="6">
        <v>2022.0</v>
      </c>
      <c r="K2027" s="10">
        <v>46115.0</v>
      </c>
      <c r="L2027" s="6">
        <v>1.0</v>
      </c>
      <c r="M2027" s="8">
        <f t="shared" si="2"/>
        <v>0.05</v>
      </c>
      <c r="P2027" s="9"/>
    </row>
    <row r="2028">
      <c r="A2028" s="6" t="s">
        <v>4669</v>
      </c>
      <c r="B2028" s="6" t="s">
        <v>4670</v>
      </c>
      <c r="C2028" s="6" t="s">
        <v>287</v>
      </c>
      <c r="D2028" s="6" t="s">
        <v>4671</v>
      </c>
      <c r="E2028" s="6" t="s">
        <v>25</v>
      </c>
      <c r="F2028" s="6" t="s">
        <v>18</v>
      </c>
      <c r="G2028" s="7">
        <v>0.12</v>
      </c>
      <c r="H2028" s="6" t="s">
        <v>4672</v>
      </c>
      <c r="I2028" s="6" t="s">
        <v>20</v>
      </c>
      <c r="J2028" s="6">
        <v>2022.0</v>
      </c>
      <c r="K2028" s="10">
        <v>46115.0</v>
      </c>
      <c r="L2028" s="6">
        <v>1.0</v>
      </c>
      <c r="M2028" s="8">
        <f t="shared" si="2"/>
        <v>0.12</v>
      </c>
      <c r="P2028" s="9"/>
    </row>
    <row r="2029">
      <c r="A2029" s="6" t="s">
        <v>4673</v>
      </c>
      <c r="B2029" s="6" t="s">
        <v>4674</v>
      </c>
      <c r="C2029" s="6" t="s">
        <v>72</v>
      </c>
      <c r="D2029" s="6" t="s">
        <v>4675</v>
      </c>
      <c r="E2029" s="6" t="s">
        <v>1950</v>
      </c>
      <c r="F2029" s="6" t="s">
        <v>65</v>
      </c>
      <c r="G2029" s="7">
        <v>0.09</v>
      </c>
      <c r="H2029" s="6" t="s">
        <v>224</v>
      </c>
      <c r="I2029" s="6" t="s">
        <v>20</v>
      </c>
      <c r="J2029" s="6">
        <v>2020.0</v>
      </c>
      <c r="K2029" s="10">
        <v>46146.0</v>
      </c>
      <c r="L2029" s="6">
        <v>1.0</v>
      </c>
      <c r="M2029" s="8">
        <f t="shared" si="2"/>
        <v>0.09</v>
      </c>
      <c r="P2029" s="9"/>
    </row>
    <row r="2030">
      <c r="A2030" s="6" t="s">
        <v>4676</v>
      </c>
      <c r="B2030" s="6" t="s">
        <v>4677</v>
      </c>
      <c r="C2030" s="6" t="s">
        <v>23</v>
      </c>
      <c r="D2030" s="6" t="s">
        <v>4678</v>
      </c>
      <c r="E2030" s="6" t="s">
        <v>223</v>
      </c>
      <c r="F2030" s="6" t="s">
        <v>159</v>
      </c>
      <c r="G2030" s="7">
        <v>0.12</v>
      </c>
      <c r="H2030" s="6" t="s">
        <v>31</v>
      </c>
      <c r="I2030" s="6" t="s">
        <v>20</v>
      </c>
      <c r="J2030" s="6">
        <v>2026.0</v>
      </c>
      <c r="K2030" s="10">
        <v>46055.0</v>
      </c>
      <c r="L2030" s="6">
        <v>1.0</v>
      </c>
      <c r="M2030" s="8">
        <f t="shared" si="2"/>
        <v>0.12</v>
      </c>
      <c r="P2030" s="9"/>
    </row>
    <row r="2031">
      <c r="A2031" s="6" t="s">
        <v>4679</v>
      </c>
      <c r="B2031" s="6" t="s">
        <v>4680</v>
      </c>
      <c r="C2031" s="6" t="s">
        <v>34</v>
      </c>
      <c r="D2031" s="6" t="s">
        <v>4681</v>
      </c>
      <c r="E2031" s="6" t="s">
        <v>1265</v>
      </c>
      <c r="F2031" s="6" t="s">
        <v>159</v>
      </c>
      <c r="G2031" s="7">
        <v>0.35</v>
      </c>
      <c r="H2031" s="6" t="s">
        <v>38</v>
      </c>
      <c r="I2031" s="6" t="s">
        <v>55</v>
      </c>
      <c r="J2031" s="6">
        <v>2026.0</v>
      </c>
      <c r="K2031" s="10">
        <v>46055.0</v>
      </c>
      <c r="L2031" s="6">
        <v>1.0</v>
      </c>
      <c r="M2031" s="8">
        <f t="shared" si="2"/>
        <v>0.35</v>
      </c>
      <c r="P2031" s="9"/>
    </row>
    <row r="2032">
      <c r="A2032" s="6" t="s">
        <v>4679</v>
      </c>
      <c r="B2032" s="6" t="s">
        <v>4680</v>
      </c>
      <c r="C2032" s="6" t="s">
        <v>34</v>
      </c>
      <c r="D2032" s="6" t="s">
        <v>4681</v>
      </c>
      <c r="E2032" s="6" t="s">
        <v>1265</v>
      </c>
      <c r="F2032" s="6" t="s">
        <v>159</v>
      </c>
      <c r="G2032" s="7">
        <v>0.13</v>
      </c>
      <c r="H2032" s="6" t="s">
        <v>38</v>
      </c>
      <c r="I2032" s="6" t="s">
        <v>20</v>
      </c>
      <c r="J2032" s="6">
        <v>2026.0</v>
      </c>
      <c r="K2032" s="10">
        <v>46055.0</v>
      </c>
      <c r="L2032" s="6">
        <v>1.0</v>
      </c>
      <c r="M2032" s="8">
        <f t="shared" si="2"/>
        <v>0.13</v>
      </c>
      <c r="P2032" s="9"/>
    </row>
    <row r="2033">
      <c r="A2033" s="6" t="s">
        <v>4682</v>
      </c>
      <c r="B2033" s="6" t="s">
        <v>2850</v>
      </c>
      <c r="C2033" s="6" t="s">
        <v>23</v>
      </c>
      <c r="D2033" s="6" t="s">
        <v>4683</v>
      </c>
      <c r="E2033" s="6" t="s">
        <v>30</v>
      </c>
      <c r="F2033" s="6" t="s">
        <v>18</v>
      </c>
      <c r="G2033" s="7">
        <v>0.03</v>
      </c>
      <c r="H2033" s="6" t="s">
        <v>559</v>
      </c>
      <c r="I2033" s="6" t="s">
        <v>20</v>
      </c>
      <c r="J2033" s="6">
        <v>2015.0</v>
      </c>
      <c r="K2033" s="10">
        <v>46114.0</v>
      </c>
      <c r="L2033" s="6">
        <v>1.0</v>
      </c>
      <c r="M2033" s="8">
        <f t="shared" si="2"/>
        <v>0.03</v>
      </c>
      <c r="P2033" s="9"/>
    </row>
    <row r="2034">
      <c r="A2034" s="6" t="s">
        <v>4684</v>
      </c>
      <c r="B2034" s="6" t="s">
        <v>1094</v>
      </c>
      <c r="C2034" s="6" t="s">
        <v>48</v>
      </c>
      <c r="D2034" s="6" t="s">
        <v>4685</v>
      </c>
      <c r="E2034" s="6" t="s">
        <v>102</v>
      </c>
      <c r="F2034" s="6" t="s">
        <v>103</v>
      </c>
      <c r="G2034" s="7">
        <v>0.15</v>
      </c>
      <c r="H2034" s="6" t="s">
        <v>129</v>
      </c>
      <c r="I2034" s="6" t="s">
        <v>20</v>
      </c>
      <c r="J2034" s="6">
        <v>2014.0</v>
      </c>
      <c r="K2034" s="10">
        <v>46054.0</v>
      </c>
      <c r="L2034" s="6">
        <v>2.0</v>
      </c>
      <c r="M2034" s="8">
        <f t="shared" si="2"/>
        <v>0.3</v>
      </c>
      <c r="P2034" s="9"/>
    </row>
    <row r="2035">
      <c r="A2035" s="6" t="s">
        <v>4686</v>
      </c>
      <c r="B2035" s="6" t="s">
        <v>1498</v>
      </c>
      <c r="C2035" s="6" t="s">
        <v>571</v>
      </c>
      <c r="D2035" s="6" t="s">
        <v>4687</v>
      </c>
      <c r="E2035" s="6" t="s">
        <v>153</v>
      </c>
      <c r="F2035" s="6" t="s">
        <v>103</v>
      </c>
      <c r="G2035" s="7">
        <v>0.15</v>
      </c>
      <c r="H2035" s="6" t="s">
        <v>641</v>
      </c>
      <c r="I2035" s="6" t="s">
        <v>20</v>
      </c>
      <c r="J2035" s="6">
        <v>2026.0</v>
      </c>
      <c r="K2035" s="10">
        <v>46179.0</v>
      </c>
      <c r="L2035" s="6">
        <v>1.0</v>
      </c>
      <c r="M2035" s="8">
        <f t="shared" si="2"/>
        <v>0.15</v>
      </c>
      <c r="P2035" s="9"/>
    </row>
    <row r="2036">
      <c r="A2036" s="6" t="s">
        <v>4688</v>
      </c>
      <c r="B2036" s="6" t="s">
        <v>4689</v>
      </c>
      <c r="C2036" s="6" t="s">
        <v>15</v>
      </c>
      <c r="D2036" s="6" t="s">
        <v>4690</v>
      </c>
      <c r="E2036" s="6" t="s">
        <v>4691</v>
      </c>
      <c r="F2036" s="6" t="s">
        <v>949</v>
      </c>
      <c r="G2036" s="7">
        <v>0.21</v>
      </c>
      <c r="H2036" s="6" t="s">
        <v>19</v>
      </c>
      <c r="I2036" s="6" t="s">
        <v>20</v>
      </c>
      <c r="J2036" s="6">
        <v>2023.0</v>
      </c>
      <c r="K2036" s="10">
        <v>46116.0</v>
      </c>
      <c r="L2036" s="6">
        <v>1.0</v>
      </c>
      <c r="M2036" s="8">
        <f t="shared" si="2"/>
        <v>0.21</v>
      </c>
      <c r="P2036" s="9"/>
    </row>
    <row r="2037">
      <c r="A2037" s="6" t="s">
        <v>4692</v>
      </c>
      <c r="B2037" s="6" t="s">
        <v>4693</v>
      </c>
      <c r="C2037" s="6" t="s">
        <v>48</v>
      </c>
      <c r="D2037" s="6" t="s">
        <v>4694</v>
      </c>
      <c r="E2037" s="6" t="s">
        <v>283</v>
      </c>
      <c r="F2037" s="6" t="s">
        <v>284</v>
      </c>
      <c r="G2037" s="7">
        <v>0.06</v>
      </c>
      <c r="H2037" s="6" t="s">
        <v>185</v>
      </c>
      <c r="I2037" s="6" t="s">
        <v>20</v>
      </c>
      <c r="J2037" s="6">
        <v>2019.0</v>
      </c>
      <c r="K2037" s="10">
        <v>46023.0</v>
      </c>
      <c r="L2037" s="6">
        <v>3.0</v>
      </c>
      <c r="M2037" s="8">
        <f t="shared" si="2"/>
        <v>0.18</v>
      </c>
      <c r="P2037" s="9"/>
    </row>
    <row r="2038">
      <c r="A2038" s="6" t="s">
        <v>4692</v>
      </c>
      <c r="B2038" s="6" t="s">
        <v>4693</v>
      </c>
      <c r="C2038" s="6" t="s">
        <v>48</v>
      </c>
      <c r="D2038" s="6" t="s">
        <v>4694</v>
      </c>
      <c r="E2038" s="6" t="s">
        <v>283</v>
      </c>
      <c r="F2038" s="6" t="s">
        <v>284</v>
      </c>
      <c r="G2038" s="7">
        <v>0.05</v>
      </c>
      <c r="H2038" s="6" t="s">
        <v>185</v>
      </c>
      <c r="I2038" s="6" t="s">
        <v>20</v>
      </c>
      <c r="J2038" s="6">
        <v>2019.0</v>
      </c>
      <c r="K2038" s="10">
        <v>46023.0</v>
      </c>
      <c r="L2038" s="6">
        <v>1.0</v>
      </c>
      <c r="M2038" s="8">
        <f t="shared" si="2"/>
        <v>0.05</v>
      </c>
      <c r="P2038" s="9"/>
    </row>
    <row r="2039">
      <c r="A2039" s="6" t="s">
        <v>4695</v>
      </c>
      <c r="B2039" s="6" t="s">
        <v>4696</v>
      </c>
      <c r="C2039" s="6" t="s">
        <v>41</v>
      </c>
      <c r="D2039" s="6" t="s">
        <v>4697</v>
      </c>
      <c r="E2039" s="6" t="s">
        <v>4698</v>
      </c>
      <c r="F2039" s="6" t="s">
        <v>717</v>
      </c>
      <c r="G2039" s="7">
        <v>0.95</v>
      </c>
      <c r="H2039" s="6" t="s">
        <v>477</v>
      </c>
      <c r="I2039" s="6" t="s">
        <v>20</v>
      </c>
      <c r="J2039" s="6">
        <v>2020.0</v>
      </c>
      <c r="K2039" s="10">
        <v>46179.0</v>
      </c>
      <c r="L2039" s="6">
        <v>1.0</v>
      </c>
      <c r="M2039" s="8">
        <f t="shared" si="2"/>
        <v>0.95</v>
      </c>
      <c r="N2039" s="6" t="s">
        <v>172</v>
      </c>
      <c r="P2039" s="9"/>
    </row>
    <row r="2040">
      <c r="A2040" s="6" t="s">
        <v>4699</v>
      </c>
      <c r="B2040" s="6" t="s">
        <v>165</v>
      </c>
      <c r="C2040" s="6" t="s">
        <v>34</v>
      </c>
      <c r="D2040" s="6" t="s">
        <v>4700</v>
      </c>
      <c r="E2040" s="6" t="s">
        <v>1265</v>
      </c>
      <c r="F2040" s="6" t="s">
        <v>159</v>
      </c>
      <c r="G2040" s="7">
        <v>0.05</v>
      </c>
      <c r="H2040" s="6" t="s">
        <v>209</v>
      </c>
      <c r="I2040" s="6" t="s">
        <v>20</v>
      </c>
      <c r="J2040" s="6">
        <v>2025.0</v>
      </c>
      <c r="L2040" s="6">
        <v>6.0</v>
      </c>
      <c r="M2040" s="8">
        <f t="shared" si="2"/>
        <v>0.3</v>
      </c>
      <c r="P2040" s="9"/>
    </row>
    <row r="2041">
      <c r="A2041" s="6" t="s">
        <v>4701</v>
      </c>
      <c r="B2041" s="6" t="s">
        <v>4702</v>
      </c>
      <c r="C2041" s="6" t="s">
        <v>23</v>
      </c>
      <c r="D2041" s="6" t="s">
        <v>4703</v>
      </c>
      <c r="E2041" s="6" t="s">
        <v>625</v>
      </c>
      <c r="F2041" s="6" t="s">
        <v>37</v>
      </c>
      <c r="G2041" s="7">
        <v>0.12</v>
      </c>
      <c r="H2041" s="6" t="s">
        <v>31</v>
      </c>
      <c r="I2041" s="6" t="s">
        <v>20</v>
      </c>
      <c r="J2041" s="6">
        <v>2026.0</v>
      </c>
      <c r="K2041" s="10">
        <v>46024.0</v>
      </c>
      <c r="L2041" s="6">
        <v>1.0</v>
      </c>
      <c r="M2041" s="8">
        <f t="shared" si="2"/>
        <v>0.12</v>
      </c>
      <c r="P2041" s="9"/>
    </row>
    <row r="2042">
      <c r="A2042" s="6" t="s">
        <v>4704</v>
      </c>
      <c r="B2042" s="6" t="s">
        <v>131</v>
      </c>
      <c r="C2042" s="6" t="s">
        <v>48</v>
      </c>
      <c r="D2042" s="6" t="s">
        <v>4705</v>
      </c>
      <c r="E2042" s="6" t="s">
        <v>175</v>
      </c>
      <c r="F2042" s="6" t="s">
        <v>51</v>
      </c>
      <c r="G2042" s="7">
        <v>1.6</v>
      </c>
      <c r="H2042" s="6" t="s">
        <v>1084</v>
      </c>
      <c r="I2042" s="6" t="s">
        <v>55</v>
      </c>
      <c r="J2042" s="6">
        <v>2018.0</v>
      </c>
      <c r="K2042" s="10">
        <v>46023.0</v>
      </c>
      <c r="L2042" s="6">
        <v>1.0</v>
      </c>
      <c r="M2042" s="8">
        <f t="shared" si="2"/>
        <v>1.6</v>
      </c>
      <c r="P2042" s="9"/>
    </row>
    <row r="2043">
      <c r="A2043" s="6" t="s">
        <v>4706</v>
      </c>
      <c r="B2043" s="6" t="s">
        <v>131</v>
      </c>
      <c r="C2043" s="6" t="s">
        <v>23</v>
      </c>
      <c r="D2043" s="6" t="s">
        <v>4707</v>
      </c>
      <c r="E2043" s="6" t="s">
        <v>79</v>
      </c>
      <c r="F2043" s="6" t="s">
        <v>51</v>
      </c>
      <c r="G2043" s="7">
        <v>0.03</v>
      </c>
      <c r="H2043" s="6" t="s">
        <v>185</v>
      </c>
      <c r="I2043" s="6" t="s">
        <v>20</v>
      </c>
      <c r="J2043" s="6">
        <v>2019.0</v>
      </c>
      <c r="K2043" s="10">
        <v>46056.0</v>
      </c>
      <c r="L2043" s="6">
        <v>2.0</v>
      </c>
      <c r="M2043" s="8">
        <f t="shared" si="2"/>
        <v>0.06</v>
      </c>
      <c r="P2043" s="9"/>
    </row>
    <row r="2044">
      <c r="A2044" s="6" t="s">
        <v>4708</v>
      </c>
      <c r="B2044" s="6" t="s">
        <v>4709</v>
      </c>
      <c r="C2044" s="6" t="s">
        <v>84</v>
      </c>
      <c r="D2044" s="6" t="s">
        <v>4710</v>
      </c>
      <c r="E2044" s="6" t="s">
        <v>1092</v>
      </c>
      <c r="F2044" s="6" t="s">
        <v>103</v>
      </c>
      <c r="G2044" s="7">
        <v>0.45</v>
      </c>
      <c r="H2044" s="6" t="s">
        <v>1494</v>
      </c>
      <c r="I2044" s="6" t="s">
        <v>20</v>
      </c>
      <c r="J2044" s="6">
        <v>2012.0</v>
      </c>
      <c r="K2044" s="10">
        <v>46085.0</v>
      </c>
      <c r="L2044" s="6">
        <v>1.0</v>
      </c>
      <c r="M2044" s="8">
        <f t="shared" si="2"/>
        <v>0.45</v>
      </c>
      <c r="P2044" s="9"/>
    </row>
    <row r="2045">
      <c r="A2045" s="6" t="s">
        <v>4711</v>
      </c>
      <c r="B2045" s="6" t="s">
        <v>334</v>
      </c>
      <c r="C2045" s="6" t="s">
        <v>48</v>
      </c>
      <c r="D2045" s="6" t="s">
        <v>4712</v>
      </c>
      <c r="E2045" s="6" t="s">
        <v>175</v>
      </c>
      <c r="F2045" s="6" t="s">
        <v>51</v>
      </c>
      <c r="G2045" s="7">
        <v>0.3</v>
      </c>
      <c r="H2045" s="6" t="s">
        <v>340</v>
      </c>
      <c r="I2045" s="6" t="s">
        <v>20</v>
      </c>
      <c r="J2045" s="6">
        <v>2010.0</v>
      </c>
      <c r="K2045" s="6" t="s">
        <v>422</v>
      </c>
      <c r="L2045" s="6">
        <v>3.0</v>
      </c>
      <c r="M2045" s="8">
        <f t="shared" si="2"/>
        <v>0.9</v>
      </c>
      <c r="P2045" s="9"/>
    </row>
    <row r="2046">
      <c r="A2046" s="6" t="s">
        <v>4713</v>
      </c>
      <c r="B2046" s="6" t="s">
        <v>4714</v>
      </c>
      <c r="C2046" s="6" t="s">
        <v>23</v>
      </c>
      <c r="D2046" s="6" t="s">
        <v>4715</v>
      </c>
      <c r="E2046" s="6" t="s">
        <v>502</v>
      </c>
      <c r="F2046" s="6" t="s">
        <v>65</v>
      </c>
      <c r="G2046" s="7">
        <v>0.06</v>
      </c>
      <c r="H2046" s="6" t="s">
        <v>881</v>
      </c>
      <c r="I2046" s="6" t="s">
        <v>20</v>
      </c>
      <c r="J2046" s="6">
        <v>2021.0</v>
      </c>
      <c r="K2046" s="10">
        <v>46117.0</v>
      </c>
      <c r="L2046" s="6">
        <v>1.0</v>
      </c>
      <c r="M2046" s="8">
        <f t="shared" si="2"/>
        <v>0.06</v>
      </c>
      <c r="P2046" s="9"/>
    </row>
    <row r="2047">
      <c r="A2047" s="6" t="s">
        <v>4716</v>
      </c>
      <c r="B2047" s="6" t="s">
        <v>424</v>
      </c>
      <c r="C2047" s="6" t="s">
        <v>23</v>
      </c>
      <c r="D2047" s="6" t="s">
        <v>4717</v>
      </c>
      <c r="F2047" s="6" t="s">
        <v>18</v>
      </c>
      <c r="G2047" s="7">
        <v>0.48</v>
      </c>
      <c r="H2047" s="6" t="s">
        <v>340</v>
      </c>
      <c r="I2047" s="6" t="s">
        <v>20</v>
      </c>
      <c r="J2047" s="6">
        <v>2010.0</v>
      </c>
      <c r="L2047" s="6">
        <v>1.0</v>
      </c>
      <c r="M2047" s="8">
        <f t="shared" si="2"/>
        <v>0.48</v>
      </c>
      <c r="P2047" s="9"/>
    </row>
    <row r="2048">
      <c r="A2048" s="6" t="s">
        <v>4718</v>
      </c>
      <c r="B2048" s="6" t="s">
        <v>4719</v>
      </c>
      <c r="C2048" s="6" t="s">
        <v>48</v>
      </c>
      <c r="D2048" s="6" t="s">
        <v>4720</v>
      </c>
      <c r="E2048" s="6" t="s">
        <v>25</v>
      </c>
      <c r="F2048" s="6" t="s">
        <v>18</v>
      </c>
      <c r="G2048" s="7">
        <v>0.06</v>
      </c>
      <c r="H2048" s="6" t="s">
        <v>621</v>
      </c>
      <c r="I2048" s="6" t="s">
        <v>20</v>
      </c>
      <c r="J2048" s="6">
        <v>2015.0</v>
      </c>
      <c r="K2048" s="10">
        <v>46083.0</v>
      </c>
      <c r="L2048" s="6">
        <v>1.0</v>
      </c>
      <c r="M2048" s="8">
        <f t="shared" si="2"/>
        <v>0.06</v>
      </c>
      <c r="P2048" s="9"/>
    </row>
    <row r="2049">
      <c r="A2049" s="6" t="s">
        <v>4721</v>
      </c>
      <c r="B2049" s="6" t="s">
        <v>4722</v>
      </c>
      <c r="C2049" s="6" t="s">
        <v>48</v>
      </c>
      <c r="D2049" s="6" t="s">
        <v>4723</v>
      </c>
      <c r="E2049" s="6" t="s">
        <v>4724</v>
      </c>
      <c r="F2049" s="6" t="s">
        <v>717</v>
      </c>
      <c r="G2049" s="7">
        <v>0.25</v>
      </c>
      <c r="H2049" s="6" t="s">
        <v>45</v>
      </c>
      <c r="I2049" s="6" t="s">
        <v>55</v>
      </c>
      <c r="J2049" s="6">
        <v>2025.0</v>
      </c>
      <c r="K2049" s="10">
        <v>46084.0</v>
      </c>
      <c r="L2049" s="6">
        <v>1.0</v>
      </c>
      <c r="M2049" s="8">
        <f t="shared" si="2"/>
        <v>0.25</v>
      </c>
      <c r="P2049" s="9"/>
    </row>
    <row r="2050">
      <c r="A2050" s="6" t="s">
        <v>4725</v>
      </c>
      <c r="B2050" s="6" t="s">
        <v>194</v>
      </c>
      <c r="C2050" s="6" t="s">
        <v>23</v>
      </c>
      <c r="D2050" s="6" t="s">
        <v>4726</v>
      </c>
      <c r="E2050" s="6" t="s">
        <v>175</v>
      </c>
      <c r="F2050" s="6" t="s">
        <v>51</v>
      </c>
      <c r="G2050" s="7">
        <v>0.05</v>
      </c>
      <c r="H2050" s="6" t="s">
        <v>192</v>
      </c>
      <c r="I2050" s="6" t="s">
        <v>20</v>
      </c>
      <c r="J2050" s="6">
        <v>2026.0</v>
      </c>
      <c r="L2050" s="6">
        <v>5.0</v>
      </c>
      <c r="M2050" s="8">
        <f t="shared" si="2"/>
        <v>0.25</v>
      </c>
      <c r="P2050" s="9"/>
    </row>
    <row r="2051">
      <c r="A2051" s="6" t="s">
        <v>4727</v>
      </c>
      <c r="B2051" s="6" t="s">
        <v>796</v>
      </c>
      <c r="C2051" s="6" t="s">
        <v>34</v>
      </c>
      <c r="D2051" s="6" t="s">
        <v>4728</v>
      </c>
      <c r="E2051" s="6" t="s">
        <v>208</v>
      </c>
      <c r="F2051" s="6" t="s">
        <v>51</v>
      </c>
      <c r="G2051" s="7">
        <v>0.2</v>
      </c>
      <c r="H2051" s="6" t="s">
        <v>2326</v>
      </c>
      <c r="I2051" s="6" t="s">
        <v>20</v>
      </c>
      <c r="J2051" s="6">
        <v>2026.0</v>
      </c>
      <c r="L2051" s="6">
        <v>3.0</v>
      </c>
      <c r="M2051" s="8">
        <f t="shared" si="2"/>
        <v>0.6</v>
      </c>
      <c r="P2051" s="9"/>
    </row>
    <row r="2052">
      <c r="A2052" s="6" t="s">
        <v>4729</v>
      </c>
      <c r="B2052" s="6" t="s">
        <v>2744</v>
      </c>
      <c r="C2052" s="6" t="s">
        <v>41</v>
      </c>
      <c r="D2052" s="6" t="s">
        <v>4730</v>
      </c>
      <c r="E2052" s="6" t="s">
        <v>1505</v>
      </c>
      <c r="F2052" s="6" t="s">
        <v>18</v>
      </c>
      <c r="G2052" s="7">
        <v>0.5</v>
      </c>
      <c r="H2052" s="6" t="s">
        <v>184</v>
      </c>
      <c r="I2052" s="6" t="s">
        <v>20</v>
      </c>
      <c r="J2052" s="6">
        <v>2015.0</v>
      </c>
      <c r="K2052" s="10">
        <v>46055.0</v>
      </c>
      <c r="L2052" s="6">
        <v>1.0</v>
      </c>
      <c r="M2052" s="8">
        <f t="shared" si="2"/>
        <v>0.5</v>
      </c>
      <c r="P2052" s="9"/>
    </row>
    <row r="2053">
      <c r="A2053" s="6" t="s">
        <v>4731</v>
      </c>
      <c r="B2053" s="6" t="s">
        <v>1052</v>
      </c>
      <c r="C2053" s="6" t="s">
        <v>48</v>
      </c>
      <c r="D2053" s="6" t="s">
        <v>4732</v>
      </c>
      <c r="E2053" s="6" t="s">
        <v>112</v>
      </c>
      <c r="F2053" s="6" t="s">
        <v>65</v>
      </c>
      <c r="G2053" s="7">
        <v>0.15</v>
      </c>
      <c r="H2053" s="6" t="s">
        <v>192</v>
      </c>
      <c r="I2053" s="6" t="s">
        <v>20</v>
      </c>
      <c r="J2053" s="6">
        <v>2026.0</v>
      </c>
      <c r="L2053" s="6">
        <v>1.0</v>
      </c>
      <c r="M2053" s="8">
        <f t="shared" si="2"/>
        <v>0.15</v>
      </c>
      <c r="P2053" s="9"/>
    </row>
    <row r="2054">
      <c r="A2054" s="6" t="s">
        <v>4733</v>
      </c>
      <c r="B2054" s="6" t="s">
        <v>729</v>
      </c>
      <c r="C2054" s="6" t="s">
        <v>23</v>
      </c>
      <c r="D2054" s="6" t="s">
        <v>3950</v>
      </c>
      <c r="E2054" s="6" t="s">
        <v>79</v>
      </c>
      <c r="F2054" s="6" t="s">
        <v>51</v>
      </c>
      <c r="G2054" s="7">
        <v>0.05</v>
      </c>
      <c r="H2054" s="6" t="s">
        <v>645</v>
      </c>
      <c r="I2054" s="6" t="s">
        <v>20</v>
      </c>
      <c r="J2054" s="6">
        <v>2024.0</v>
      </c>
      <c r="K2054" s="10">
        <v>46114.0</v>
      </c>
      <c r="L2054" s="6">
        <v>1.0</v>
      </c>
      <c r="M2054" s="8">
        <f t="shared" si="2"/>
        <v>0.05</v>
      </c>
      <c r="P2054" s="9"/>
    </row>
    <row r="2055">
      <c r="A2055" s="6" t="s">
        <v>4734</v>
      </c>
      <c r="B2055" s="6" t="s">
        <v>1509</v>
      </c>
      <c r="C2055" s="6" t="s">
        <v>23</v>
      </c>
      <c r="D2055" s="6" t="s">
        <v>4735</v>
      </c>
      <c r="E2055" s="6" t="s">
        <v>223</v>
      </c>
      <c r="F2055" s="6" t="s">
        <v>159</v>
      </c>
      <c r="G2055" s="7">
        <v>0.03</v>
      </c>
      <c r="H2055" s="6" t="s">
        <v>875</v>
      </c>
      <c r="I2055" s="6" t="s">
        <v>20</v>
      </c>
      <c r="J2055" s="6">
        <v>2018.0</v>
      </c>
      <c r="K2055" s="10">
        <v>46055.0</v>
      </c>
      <c r="L2055" s="6">
        <v>1.0</v>
      </c>
      <c r="M2055" s="8">
        <f t="shared" si="2"/>
        <v>0.03</v>
      </c>
      <c r="P2055" s="9"/>
    </row>
    <row r="2056">
      <c r="A2056" s="6" t="s">
        <v>4736</v>
      </c>
      <c r="B2056" s="6" t="s">
        <v>628</v>
      </c>
      <c r="C2056" s="6" t="s">
        <v>23</v>
      </c>
      <c r="D2056" s="6" t="s">
        <v>4737</v>
      </c>
      <c r="E2056" s="6" t="s">
        <v>248</v>
      </c>
      <c r="F2056" s="6" t="s">
        <v>18</v>
      </c>
      <c r="G2056" s="7">
        <v>0.17</v>
      </c>
      <c r="H2056" s="6" t="s">
        <v>216</v>
      </c>
      <c r="I2056" s="6" t="s">
        <v>20</v>
      </c>
      <c r="J2056" s="6">
        <v>2024.0</v>
      </c>
      <c r="K2056" s="10">
        <v>46023.0</v>
      </c>
      <c r="L2056" s="6">
        <v>2.0</v>
      </c>
      <c r="M2056" s="8">
        <f t="shared" si="2"/>
        <v>0.34</v>
      </c>
      <c r="P2056" s="9"/>
    </row>
    <row r="2057">
      <c r="A2057" s="6" t="s">
        <v>4738</v>
      </c>
      <c r="B2057" s="6" t="s">
        <v>182</v>
      </c>
      <c r="C2057" s="6" t="s">
        <v>48</v>
      </c>
      <c r="D2057" s="6" t="s">
        <v>4739</v>
      </c>
      <c r="E2057" s="6" t="s">
        <v>611</v>
      </c>
      <c r="F2057" s="6" t="s">
        <v>103</v>
      </c>
      <c r="G2057" s="7">
        <v>0.06</v>
      </c>
      <c r="H2057" s="6" t="s">
        <v>1494</v>
      </c>
      <c r="I2057" s="6" t="s">
        <v>20</v>
      </c>
      <c r="J2057" s="6">
        <v>2012.0</v>
      </c>
      <c r="L2057" s="6">
        <v>1.0</v>
      </c>
      <c r="M2057" s="8">
        <f t="shared" si="2"/>
        <v>0.06</v>
      </c>
      <c r="P2057" s="9"/>
    </row>
    <row r="2058">
      <c r="A2058" s="6" t="s">
        <v>4740</v>
      </c>
      <c r="B2058" s="6" t="s">
        <v>796</v>
      </c>
      <c r="C2058" s="6" t="s">
        <v>15</v>
      </c>
      <c r="D2058" s="6" t="s">
        <v>4741</v>
      </c>
      <c r="E2058" s="6" t="s">
        <v>208</v>
      </c>
      <c r="F2058" s="6" t="s">
        <v>51</v>
      </c>
      <c r="G2058" s="7">
        <v>0.28</v>
      </c>
      <c r="H2058" s="6" t="s">
        <v>807</v>
      </c>
      <c r="I2058" s="6" t="s">
        <v>20</v>
      </c>
      <c r="J2058" s="6">
        <v>2026.0</v>
      </c>
      <c r="L2058" s="6">
        <v>1.0</v>
      </c>
      <c r="M2058" s="8">
        <f t="shared" si="2"/>
        <v>0.28</v>
      </c>
      <c r="P2058" s="9"/>
    </row>
    <row r="2059">
      <c r="A2059" s="6" t="s">
        <v>4742</v>
      </c>
      <c r="B2059" s="6" t="s">
        <v>62</v>
      </c>
      <c r="C2059" s="6" t="s">
        <v>23</v>
      </c>
      <c r="D2059" s="6" t="s">
        <v>4743</v>
      </c>
      <c r="E2059" s="6" t="s">
        <v>3063</v>
      </c>
      <c r="F2059" s="6" t="s">
        <v>98</v>
      </c>
      <c r="G2059" s="7">
        <v>0.09</v>
      </c>
      <c r="H2059" s="6" t="s">
        <v>705</v>
      </c>
      <c r="I2059" s="6" t="s">
        <v>20</v>
      </c>
      <c r="J2059" s="6">
        <v>2015.0</v>
      </c>
      <c r="L2059" s="6">
        <v>2.0</v>
      </c>
      <c r="M2059" s="8">
        <f t="shared" si="2"/>
        <v>0.18</v>
      </c>
      <c r="P2059" s="9"/>
    </row>
    <row r="2060">
      <c r="A2060" s="6" t="s">
        <v>4744</v>
      </c>
      <c r="B2060" s="6" t="s">
        <v>4745</v>
      </c>
      <c r="C2060" s="6" t="s">
        <v>48</v>
      </c>
      <c r="D2060" s="6" t="s">
        <v>4746</v>
      </c>
      <c r="E2060" s="6" t="s">
        <v>223</v>
      </c>
      <c r="F2060" s="6" t="s">
        <v>159</v>
      </c>
      <c r="G2060" s="7">
        <v>0.15</v>
      </c>
      <c r="H2060" s="6" t="s">
        <v>45</v>
      </c>
      <c r="I2060" s="6" t="s">
        <v>20</v>
      </c>
      <c r="J2060" s="6">
        <v>2025.0</v>
      </c>
      <c r="K2060" s="10">
        <v>46023.0</v>
      </c>
      <c r="L2060" s="6">
        <v>1.0</v>
      </c>
      <c r="M2060" s="8">
        <f t="shared" si="2"/>
        <v>0.15</v>
      </c>
      <c r="P2060" s="9"/>
    </row>
    <row r="2061">
      <c r="A2061" s="6" t="s">
        <v>4747</v>
      </c>
      <c r="B2061" s="6" t="s">
        <v>1926</v>
      </c>
      <c r="C2061" s="6" t="s">
        <v>48</v>
      </c>
      <c r="D2061" s="6" t="s">
        <v>4748</v>
      </c>
      <c r="E2061" s="6" t="s">
        <v>243</v>
      </c>
      <c r="F2061" s="6" t="s">
        <v>37</v>
      </c>
      <c r="G2061" s="7">
        <v>0.05</v>
      </c>
      <c r="H2061" s="6" t="s">
        <v>93</v>
      </c>
      <c r="I2061" s="6" t="s">
        <v>20</v>
      </c>
      <c r="J2061" s="6">
        <v>2016.0</v>
      </c>
      <c r="K2061" s="10">
        <v>46055.0</v>
      </c>
      <c r="L2061" s="6">
        <v>2.0</v>
      </c>
      <c r="M2061" s="8">
        <f t="shared" si="2"/>
        <v>0.1</v>
      </c>
      <c r="P2061" s="9"/>
    </row>
    <row r="2062">
      <c r="A2062" s="6" t="s">
        <v>4749</v>
      </c>
      <c r="B2062" s="6" t="s">
        <v>1885</v>
      </c>
      <c r="C2062" s="6" t="s">
        <v>23</v>
      </c>
      <c r="D2062" s="6" t="s">
        <v>4750</v>
      </c>
      <c r="E2062" s="6" t="s">
        <v>79</v>
      </c>
      <c r="F2062" s="6" t="s">
        <v>51</v>
      </c>
      <c r="G2062" s="7">
        <v>0.03</v>
      </c>
      <c r="H2062" s="6" t="s">
        <v>359</v>
      </c>
      <c r="I2062" s="6" t="s">
        <v>20</v>
      </c>
      <c r="J2062" s="6">
        <v>2014.0</v>
      </c>
      <c r="K2062" s="10">
        <v>46083.0</v>
      </c>
      <c r="L2062" s="6">
        <v>2.0</v>
      </c>
      <c r="M2062" s="8">
        <f t="shared" si="2"/>
        <v>0.06</v>
      </c>
      <c r="P2062" s="9"/>
    </row>
    <row r="2063">
      <c r="A2063" s="6" t="s">
        <v>4751</v>
      </c>
      <c r="B2063" s="6" t="s">
        <v>4562</v>
      </c>
      <c r="C2063" s="6" t="s">
        <v>23</v>
      </c>
      <c r="D2063" s="6" t="s">
        <v>4752</v>
      </c>
      <c r="E2063" s="6" t="s">
        <v>1092</v>
      </c>
      <c r="F2063" s="6" t="s">
        <v>103</v>
      </c>
      <c r="G2063" s="7">
        <v>0.05</v>
      </c>
      <c r="H2063" s="6" t="s">
        <v>4753</v>
      </c>
      <c r="I2063" s="6" t="s">
        <v>20</v>
      </c>
      <c r="J2063" s="6">
        <v>1995.0</v>
      </c>
      <c r="K2063" s="10">
        <v>46056.0</v>
      </c>
      <c r="L2063" s="6">
        <v>4.0</v>
      </c>
      <c r="M2063" s="8">
        <f t="shared" si="2"/>
        <v>0.2</v>
      </c>
      <c r="P2063" s="9"/>
    </row>
    <row r="2064">
      <c r="A2064" s="6" t="s">
        <v>4754</v>
      </c>
      <c r="B2064" s="6" t="s">
        <v>796</v>
      </c>
      <c r="C2064" s="6" t="s">
        <v>34</v>
      </c>
      <c r="D2064" s="6" t="s">
        <v>4755</v>
      </c>
      <c r="E2064" s="6" t="s">
        <v>681</v>
      </c>
      <c r="F2064" s="6" t="s">
        <v>65</v>
      </c>
      <c r="G2064" s="7">
        <v>0.14</v>
      </c>
      <c r="H2064" s="6" t="s">
        <v>209</v>
      </c>
      <c r="I2064" s="6" t="s">
        <v>20</v>
      </c>
      <c r="J2064" s="6">
        <v>2025.0</v>
      </c>
      <c r="L2064" s="6">
        <v>6.0</v>
      </c>
      <c r="M2064" s="8">
        <f t="shared" si="2"/>
        <v>0.84</v>
      </c>
      <c r="P2064" s="9"/>
    </row>
    <row r="2065">
      <c r="A2065" s="6" t="s">
        <v>4756</v>
      </c>
      <c r="B2065" s="6" t="s">
        <v>567</v>
      </c>
      <c r="C2065" s="6" t="s">
        <v>41</v>
      </c>
      <c r="D2065" s="6" t="s">
        <v>4757</v>
      </c>
      <c r="E2065" s="6" t="s">
        <v>79</v>
      </c>
      <c r="F2065" s="6" t="s">
        <v>51</v>
      </c>
      <c r="G2065" s="7">
        <v>0.35</v>
      </c>
      <c r="H2065" s="6" t="s">
        <v>2203</v>
      </c>
      <c r="I2065" s="6" t="s">
        <v>20</v>
      </c>
      <c r="J2065" s="6">
        <v>2001.0</v>
      </c>
      <c r="K2065" s="10">
        <v>46084.0</v>
      </c>
      <c r="L2065" s="6">
        <v>1.0</v>
      </c>
      <c r="M2065" s="8">
        <f t="shared" si="2"/>
        <v>0.35</v>
      </c>
      <c r="P2065" s="9"/>
    </row>
    <row r="2066">
      <c r="A2066" s="6" t="s">
        <v>4758</v>
      </c>
      <c r="B2066" s="6" t="s">
        <v>424</v>
      </c>
      <c r="C2066" s="6" t="s">
        <v>23</v>
      </c>
      <c r="D2066" s="6" t="s">
        <v>4759</v>
      </c>
      <c r="F2066" s="6" t="s">
        <v>37</v>
      </c>
      <c r="G2066" s="7">
        <v>0.18</v>
      </c>
      <c r="H2066" s="6" t="s">
        <v>1494</v>
      </c>
      <c r="I2066" s="6" t="s">
        <v>20</v>
      </c>
      <c r="J2066" s="6">
        <v>2012.0</v>
      </c>
      <c r="L2066" s="6">
        <v>2.0</v>
      </c>
      <c r="M2066" s="8">
        <f t="shared" si="2"/>
        <v>0.36</v>
      </c>
      <c r="P2066" s="9"/>
    </row>
    <row r="2067">
      <c r="A2067" s="6" t="s">
        <v>4760</v>
      </c>
      <c r="B2067" s="6" t="s">
        <v>3412</v>
      </c>
      <c r="C2067" s="6" t="s">
        <v>48</v>
      </c>
      <c r="D2067" s="6" t="s">
        <v>4761</v>
      </c>
      <c r="E2067" s="6" t="s">
        <v>1034</v>
      </c>
      <c r="F2067" s="6" t="s">
        <v>717</v>
      </c>
      <c r="G2067" s="7">
        <v>0.15</v>
      </c>
      <c r="H2067" s="6" t="s">
        <v>370</v>
      </c>
      <c r="I2067" s="6" t="s">
        <v>20</v>
      </c>
      <c r="J2067" s="6">
        <v>1996.0</v>
      </c>
      <c r="K2067" s="6" t="s">
        <v>4762</v>
      </c>
      <c r="L2067" s="6">
        <v>1.0</v>
      </c>
      <c r="M2067" s="8">
        <f t="shared" si="2"/>
        <v>0.15</v>
      </c>
      <c r="P2067" s="9"/>
    </row>
    <row r="2068">
      <c r="A2068" s="6" t="s">
        <v>4763</v>
      </c>
      <c r="B2068" s="6" t="s">
        <v>62</v>
      </c>
      <c r="C2068" s="6" t="s">
        <v>48</v>
      </c>
      <c r="D2068" s="6" t="s">
        <v>4764</v>
      </c>
      <c r="E2068" s="6" t="s">
        <v>1321</v>
      </c>
      <c r="F2068" s="6" t="s">
        <v>103</v>
      </c>
      <c r="G2068" s="7">
        <v>0.03</v>
      </c>
      <c r="H2068" s="6" t="s">
        <v>1246</v>
      </c>
      <c r="I2068" s="6" t="s">
        <v>20</v>
      </c>
      <c r="J2068" s="6">
        <v>2006.0</v>
      </c>
      <c r="L2068" s="6">
        <v>1.0</v>
      </c>
      <c r="M2068" s="8">
        <f t="shared" si="2"/>
        <v>0.03</v>
      </c>
      <c r="P2068" s="9"/>
    </row>
    <row r="2069">
      <c r="A2069" s="6" t="s">
        <v>4765</v>
      </c>
      <c r="B2069" s="6" t="s">
        <v>1929</v>
      </c>
      <c r="C2069" s="6" t="s">
        <v>48</v>
      </c>
      <c r="D2069" s="6" t="s">
        <v>4766</v>
      </c>
      <c r="E2069" s="6" t="s">
        <v>502</v>
      </c>
      <c r="F2069" s="6" t="s">
        <v>65</v>
      </c>
      <c r="G2069" s="7">
        <v>0.19</v>
      </c>
      <c r="H2069" s="6" t="s">
        <v>163</v>
      </c>
      <c r="I2069" s="6" t="s">
        <v>20</v>
      </c>
      <c r="J2069" s="6">
        <v>2023.0</v>
      </c>
      <c r="K2069" s="10">
        <v>46147.0</v>
      </c>
      <c r="L2069" s="6">
        <v>1.0</v>
      </c>
      <c r="M2069" s="8">
        <f t="shared" si="2"/>
        <v>0.19</v>
      </c>
      <c r="P2069" s="9"/>
    </row>
    <row r="2070">
      <c r="A2070" s="6" t="s">
        <v>4767</v>
      </c>
      <c r="B2070" s="6" t="s">
        <v>4768</v>
      </c>
      <c r="C2070" s="6" t="s">
        <v>48</v>
      </c>
      <c r="D2070" s="6" t="s">
        <v>4769</v>
      </c>
      <c r="E2070" s="6" t="s">
        <v>50</v>
      </c>
      <c r="F2070" s="6" t="s">
        <v>51</v>
      </c>
      <c r="G2070" s="7">
        <v>1.0</v>
      </c>
      <c r="H2070" s="6" t="s">
        <v>26</v>
      </c>
      <c r="I2070" s="6" t="s">
        <v>20</v>
      </c>
      <c r="J2070" s="6">
        <v>2026.0</v>
      </c>
      <c r="K2070" s="10">
        <v>46145.0</v>
      </c>
      <c r="L2070" s="6">
        <v>2.0</v>
      </c>
      <c r="M2070" s="8">
        <f t="shared" si="2"/>
        <v>2</v>
      </c>
      <c r="P2070" s="9"/>
    </row>
    <row r="2071">
      <c r="A2071" s="6" t="s">
        <v>4770</v>
      </c>
      <c r="B2071" s="6" t="s">
        <v>543</v>
      </c>
      <c r="C2071" s="6" t="s">
        <v>23</v>
      </c>
      <c r="D2071" s="6" t="s">
        <v>4771</v>
      </c>
      <c r="E2071" s="6" t="s">
        <v>573</v>
      </c>
      <c r="F2071" s="6" t="s">
        <v>51</v>
      </c>
      <c r="G2071" s="7">
        <v>0.9</v>
      </c>
      <c r="H2071" s="6" t="s">
        <v>26</v>
      </c>
      <c r="I2071" s="6" t="s">
        <v>20</v>
      </c>
      <c r="J2071" s="6">
        <v>2026.0</v>
      </c>
      <c r="L2071" s="6">
        <v>1.0</v>
      </c>
      <c r="M2071" s="8">
        <f t="shared" si="2"/>
        <v>0.9</v>
      </c>
      <c r="P2071" s="9"/>
    </row>
    <row r="2072">
      <c r="A2072" s="6" t="s">
        <v>4772</v>
      </c>
      <c r="B2072" s="6" t="s">
        <v>4773</v>
      </c>
      <c r="C2072" s="6" t="s">
        <v>84</v>
      </c>
      <c r="D2072" s="6" t="s">
        <v>4774</v>
      </c>
      <c r="E2072" s="6" t="s">
        <v>1771</v>
      </c>
      <c r="F2072" s="6" t="s">
        <v>51</v>
      </c>
      <c r="G2072" s="7">
        <v>2.48</v>
      </c>
      <c r="H2072" s="6" t="s">
        <v>4237</v>
      </c>
      <c r="I2072" s="6" t="s">
        <v>20</v>
      </c>
      <c r="J2072" s="6">
        <v>1995.0</v>
      </c>
      <c r="K2072" s="10">
        <v>46144.0</v>
      </c>
      <c r="L2072" s="6">
        <v>1.0</v>
      </c>
      <c r="M2072" s="8">
        <f t="shared" si="2"/>
        <v>2.48</v>
      </c>
      <c r="N2072" s="6" t="s">
        <v>172</v>
      </c>
      <c r="P2072" s="9"/>
    </row>
    <row r="2073">
      <c r="A2073" s="6" t="s">
        <v>4775</v>
      </c>
      <c r="B2073" s="6" t="s">
        <v>62</v>
      </c>
      <c r="C2073" s="6" t="s">
        <v>23</v>
      </c>
      <c r="D2073" s="6" t="s">
        <v>4776</v>
      </c>
      <c r="E2073" s="6" t="s">
        <v>223</v>
      </c>
      <c r="F2073" s="6" t="s">
        <v>159</v>
      </c>
      <c r="G2073" s="7">
        <v>0.06</v>
      </c>
      <c r="H2073" s="6" t="s">
        <v>562</v>
      </c>
      <c r="I2073" s="6" t="s">
        <v>20</v>
      </c>
      <c r="J2073" s="6">
        <v>2017.0</v>
      </c>
      <c r="L2073" s="6">
        <v>1.0</v>
      </c>
      <c r="M2073" s="8">
        <f t="shared" si="2"/>
        <v>0.06</v>
      </c>
      <c r="P2073" s="9"/>
    </row>
    <row r="2074">
      <c r="A2074" s="6" t="s">
        <v>4777</v>
      </c>
      <c r="B2074" s="6" t="s">
        <v>4778</v>
      </c>
      <c r="C2074" s="6" t="s">
        <v>521</v>
      </c>
      <c r="D2074" s="6" t="s">
        <v>4779</v>
      </c>
      <c r="E2074" s="6" t="s">
        <v>4780</v>
      </c>
      <c r="F2074" s="6" t="s">
        <v>4159</v>
      </c>
      <c r="G2074" s="7">
        <v>0.1</v>
      </c>
      <c r="H2074" s="7" t="s">
        <v>994</v>
      </c>
      <c r="I2074" s="6" t="s">
        <v>20</v>
      </c>
      <c r="J2074" s="6">
        <v>2024.0</v>
      </c>
      <c r="K2074" s="10">
        <v>46056.0</v>
      </c>
      <c r="L2074" s="6">
        <v>1.0</v>
      </c>
      <c r="M2074" s="8">
        <f t="shared" si="2"/>
        <v>0.1</v>
      </c>
      <c r="P2074" s="9"/>
    </row>
    <row r="2075">
      <c r="A2075" s="6" t="s">
        <v>4781</v>
      </c>
      <c r="B2075" s="6" t="s">
        <v>771</v>
      </c>
      <c r="C2075" s="6" t="s">
        <v>23</v>
      </c>
      <c r="D2075" s="6" t="s">
        <v>4782</v>
      </c>
      <c r="E2075" s="6" t="s">
        <v>25</v>
      </c>
      <c r="F2075" s="6" t="s">
        <v>18</v>
      </c>
      <c r="G2075" s="7">
        <v>0.07</v>
      </c>
      <c r="H2075" s="6" t="s">
        <v>1494</v>
      </c>
      <c r="I2075" s="6" t="s">
        <v>20</v>
      </c>
      <c r="J2075" s="6">
        <v>2012.0</v>
      </c>
      <c r="K2075" s="10">
        <v>46176.0</v>
      </c>
      <c r="L2075" s="6">
        <v>2.0</v>
      </c>
      <c r="M2075" s="8">
        <f t="shared" si="2"/>
        <v>0.14</v>
      </c>
      <c r="P2075" s="9"/>
    </row>
    <row r="2076">
      <c r="A2076" s="6" t="s">
        <v>4783</v>
      </c>
      <c r="B2076" s="6" t="s">
        <v>122</v>
      </c>
      <c r="C2076" s="6" t="s">
        <v>23</v>
      </c>
      <c r="D2076" s="6" t="s">
        <v>4784</v>
      </c>
      <c r="E2076" s="6" t="s">
        <v>1336</v>
      </c>
      <c r="F2076" s="6" t="s">
        <v>103</v>
      </c>
      <c r="G2076" s="7">
        <v>0.04</v>
      </c>
      <c r="H2076" s="6" t="s">
        <v>2669</v>
      </c>
      <c r="I2076" s="6" t="s">
        <v>20</v>
      </c>
      <c r="J2076" s="6">
        <v>2019.0</v>
      </c>
      <c r="K2076" s="10">
        <v>46055.0</v>
      </c>
      <c r="L2076" s="6">
        <v>1.0</v>
      </c>
      <c r="M2076" s="8">
        <f t="shared" si="2"/>
        <v>0.04</v>
      </c>
      <c r="P2076" s="9"/>
    </row>
    <row r="2077">
      <c r="A2077" s="6" t="s">
        <v>4785</v>
      </c>
      <c r="B2077" s="6" t="s">
        <v>628</v>
      </c>
      <c r="C2077" s="6" t="s">
        <v>23</v>
      </c>
      <c r="D2077" s="6" t="s">
        <v>4786</v>
      </c>
      <c r="E2077" s="6" t="s">
        <v>175</v>
      </c>
      <c r="F2077" s="6" t="s">
        <v>51</v>
      </c>
      <c r="G2077" s="7">
        <v>0.13</v>
      </c>
      <c r="H2077" s="6" t="s">
        <v>113</v>
      </c>
      <c r="I2077" s="6" t="s">
        <v>20</v>
      </c>
      <c r="J2077" s="6">
        <v>2024.0</v>
      </c>
      <c r="K2077" s="10">
        <v>46023.0</v>
      </c>
      <c r="L2077" s="6">
        <v>3.0</v>
      </c>
      <c r="M2077" s="8">
        <f t="shared" si="2"/>
        <v>0.39</v>
      </c>
      <c r="P2077" s="9"/>
    </row>
    <row r="2078">
      <c r="A2078" s="6" t="s">
        <v>4787</v>
      </c>
      <c r="B2078" s="6" t="s">
        <v>182</v>
      </c>
      <c r="C2078" s="6" t="s">
        <v>23</v>
      </c>
      <c r="D2078" s="6" t="s">
        <v>4788</v>
      </c>
      <c r="E2078" s="6" t="s">
        <v>79</v>
      </c>
      <c r="F2078" s="6" t="s">
        <v>51</v>
      </c>
      <c r="G2078" s="7">
        <v>0.06</v>
      </c>
      <c r="H2078" s="6" t="s">
        <v>184</v>
      </c>
      <c r="I2078" s="6" t="s">
        <v>20</v>
      </c>
      <c r="J2078" s="6">
        <v>2015.0</v>
      </c>
      <c r="L2078" s="6">
        <v>6.0</v>
      </c>
      <c r="M2078" s="8">
        <f t="shared" si="2"/>
        <v>0.36</v>
      </c>
      <c r="P2078" s="9"/>
    </row>
    <row r="2079">
      <c r="A2079" s="6" t="s">
        <v>4789</v>
      </c>
      <c r="B2079" s="6" t="s">
        <v>413</v>
      </c>
      <c r="C2079" s="6" t="s">
        <v>287</v>
      </c>
      <c r="D2079" s="6" t="s">
        <v>4790</v>
      </c>
      <c r="E2079" s="6" t="s">
        <v>175</v>
      </c>
      <c r="F2079" s="6" t="s">
        <v>51</v>
      </c>
      <c r="G2079" s="7">
        <v>0.05</v>
      </c>
      <c r="H2079" s="6" t="s">
        <v>370</v>
      </c>
      <c r="I2079" s="6" t="s">
        <v>20</v>
      </c>
      <c r="J2079" s="6">
        <v>1996.0</v>
      </c>
      <c r="L2079" s="6">
        <v>1.0</v>
      </c>
      <c r="M2079" s="8">
        <f t="shared" si="2"/>
        <v>0.05</v>
      </c>
      <c r="P2079" s="9"/>
    </row>
    <row r="2080">
      <c r="A2080" s="6" t="s">
        <v>4791</v>
      </c>
      <c r="B2080" s="6" t="s">
        <v>62</v>
      </c>
      <c r="C2080" s="6" t="s">
        <v>23</v>
      </c>
      <c r="D2080" s="6" t="s">
        <v>4792</v>
      </c>
      <c r="E2080" s="6" t="s">
        <v>112</v>
      </c>
      <c r="F2080" s="6" t="s">
        <v>65</v>
      </c>
      <c r="G2080" s="7">
        <v>0.06</v>
      </c>
      <c r="H2080" s="6" t="s">
        <v>406</v>
      </c>
      <c r="I2080" s="6" t="s">
        <v>20</v>
      </c>
      <c r="J2080" s="6">
        <v>2019.0</v>
      </c>
      <c r="L2080" s="6">
        <v>1.0</v>
      </c>
      <c r="M2080" s="8">
        <f t="shared" si="2"/>
        <v>0.06</v>
      </c>
      <c r="P2080" s="9"/>
    </row>
    <row r="2081">
      <c r="A2081" s="6" t="s">
        <v>4793</v>
      </c>
      <c r="B2081" s="6" t="s">
        <v>131</v>
      </c>
      <c r="C2081" s="6" t="s">
        <v>23</v>
      </c>
      <c r="D2081" s="6" t="s">
        <v>4794</v>
      </c>
      <c r="E2081" s="6" t="s">
        <v>573</v>
      </c>
      <c r="F2081" s="6" t="s">
        <v>51</v>
      </c>
      <c r="G2081" s="7">
        <v>0.04</v>
      </c>
      <c r="H2081" s="6" t="s">
        <v>184</v>
      </c>
      <c r="I2081" s="6" t="s">
        <v>20</v>
      </c>
      <c r="J2081" s="6">
        <v>2015.0</v>
      </c>
      <c r="K2081" s="10">
        <v>46115.0</v>
      </c>
      <c r="L2081" s="6">
        <v>7.0</v>
      </c>
      <c r="M2081" s="8">
        <f t="shared" si="2"/>
        <v>0.28</v>
      </c>
      <c r="P2081" s="9"/>
    </row>
    <row r="2082">
      <c r="A2082" s="6" t="s">
        <v>4793</v>
      </c>
      <c r="B2082" s="6" t="s">
        <v>131</v>
      </c>
      <c r="C2082" s="6" t="s">
        <v>23</v>
      </c>
      <c r="D2082" s="6" t="s">
        <v>4794</v>
      </c>
      <c r="E2082" s="6" t="s">
        <v>573</v>
      </c>
      <c r="F2082" s="6" t="s">
        <v>51</v>
      </c>
      <c r="G2082" s="7">
        <v>0.04</v>
      </c>
      <c r="H2082" s="6" t="s">
        <v>184</v>
      </c>
      <c r="I2082" s="6" t="s">
        <v>20</v>
      </c>
      <c r="J2082" s="6">
        <v>2015.0</v>
      </c>
      <c r="K2082" s="10">
        <v>46115.0</v>
      </c>
      <c r="L2082" s="6">
        <v>1.0</v>
      </c>
      <c r="M2082" s="8">
        <f t="shared" si="2"/>
        <v>0.04</v>
      </c>
      <c r="P2082" s="9"/>
    </row>
    <row r="2083">
      <c r="A2083" s="6" t="s">
        <v>4795</v>
      </c>
      <c r="B2083" s="6" t="s">
        <v>4796</v>
      </c>
      <c r="C2083" s="6" t="s">
        <v>34</v>
      </c>
      <c r="D2083" s="6" t="s">
        <v>4797</v>
      </c>
      <c r="E2083" s="6" t="s">
        <v>4798</v>
      </c>
      <c r="F2083" s="6" t="s">
        <v>2365</v>
      </c>
      <c r="G2083" s="7">
        <v>0.1</v>
      </c>
      <c r="H2083" s="6" t="s">
        <v>4799</v>
      </c>
      <c r="I2083" s="6" t="s">
        <v>20</v>
      </c>
      <c r="J2083" s="6">
        <v>2025.0</v>
      </c>
      <c r="K2083" s="10">
        <v>46023.0</v>
      </c>
      <c r="L2083" s="6">
        <v>6.0</v>
      </c>
      <c r="M2083" s="8">
        <f t="shared" si="2"/>
        <v>0.6</v>
      </c>
      <c r="P2083" s="9"/>
    </row>
    <row r="2084">
      <c r="A2084" s="6" t="s">
        <v>4795</v>
      </c>
      <c r="B2084" s="6" t="s">
        <v>4796</v>
      </c>
      <c r="C2084" s="6" t="s">
        <v>34</v>
      </c>
      <c r="D2084" s="6" t="s">
        <v>4797</v>
      </c>
      <c r="E2084" s="6" t="s">
        <v>4798</v>
      </c>
      <c r="F2084" s="6" t="s">
        <v>2365</v>
      </c>
      <c r="G2084" s="7">
        <v>0.1</v>
      </c>
      <c r="H2084" s="6" t="s">
        <v>4799</v>
      </c>
      <c r="I2084" s="6" t="s">
        <v>55</v>
      </c>
      <c r="J2084" s="6">
        <v>2025.0</v>
      </c>
      <c r="K2084" s="10">
        <v>46023.0</v>
      </c>
      <c r="L2084" s="6">
        <v>11.0</v>
      </c>
      <c r="M2084" s="8">
        <f t="shared" si="2"/>
        <v>1.1</v>
      </c>
      <c r="P2084" s="9"/>
    </row>
    <row r="2085">
      <c r="A2085" s="6" t="s">
        <v>4800</v>
      </c>
      <c r="B2085" s="6" t="s">
        <v>143</v>
      </c>
      <c r="C2085" s="6" t="s">
        <v>23</v>
      </c>
      <c r="D2085" s="6" t="s">
        <v>4801</v>
      </c>
      <c r="E2085" s="6" t="s">
        <v>303</v>
      </c>
      <c r="F2085" s="6" t="s">
        <v>37</v>
      </c>
      <c r="G2085" s="7">
        <v>0.09</v>
      </c>
      <c r="H2085" s="6" t="s">
        <v>621</v>
      </c>
      <c r="I2085" s="6" t="s">
        <v>20</v>
      </c>
      <c r="J2085" s="6">
        <v>2015.0</v>
      </c>
      <c r="L2085" s="6">
        <v>1.0</v>
      </c>
      <c r="M2085" s="8">
        <f t="shared" si="2"/>
        <v>0.09</v>
      </c>
      <c r="P2085" s="9"/>
    </row>
    <row r="2086">
      <c r="A2086" s="6" t="s">
        <v>4802</v>
      </c>
      <c r="B2086" s="6" t="s">
        <v>4803</v>
      </c>
      <c r="C2086" s="6" t="s">
        <v>48</v>
      </c>
      <c r="D2086" s="6" t="s">
        <v>4804</v>
      </c>
      <c r="E2086" s="6" t="s">
        <v>4805</v>
      </c>
      <c r="F2086" s="6" t="s">
        <v>98</v>
      </c>
      <c r="G2086" s="7">
        <v>0.15</v>
      </c>
      <c r="H2086" s="6" t="s">
        <v>45</v>
      </c>
      <c r="I2086" s="6" t="s">
        <v>20</v>
      </c>
      <c r="J2086" s="6">
        <v>2025.0</v>
      </c>
      <c r="K2086" s="10">
        <v>46084.0</v>
      </c>
      <c r="L2086" s="6">
        <v>1.0</v>
      </c>
      <c r="M2086" s="8">
        <f t="shared" si="2"/>
        <v>0.15</v>
      </c>
      <c r="P2086" s="9"/>
    </row>
    <row r="2087">
      <c r="A2087" s="6" t="s">
        <v>4806</v>
      </c>
      <c r="B2087" s="6" t="s">
        <v>1509</v>
      </c>
      <c r="C2087" s="6" t="s">
        <v>48</v>
      </c>
      <c r="D2087" s="6" t="s">
        <v>4807</v>
      </c>
      <c r="E2087" s="6" t="s">
        <v>223</v>
      </c>
      <c r="F2087" s="6" t="s">
        <v>159</v>
      </c>
      <c r="G2087" s="7">
        <v>0.09</v>
      </c>
      <c r="H2087" s="6" t="s">
        <v>129</v>
      </c>
      <c r="I2087" s="6" t="s">
        <v>20</v>
      </c>
      <c r="J2087" s="6">
        <v>2014.0</v>
      </c>
      <c r="K2087" s="10">
        <v>46055.0</v>
      </c>
      <c r="L2087" s="6">
        <v>1.0</v>
      </c>
      <c r="M2087" s="8">
        <f t="shared" si="2"/>
        <v>0.09</v>
      </c>
      <c r="P2087" s="9"/>
    </row>
    <row r="2088">
      <c r="A2088" s="6" t="s">
        <v>4808</v>
      </c>
      <c r="B2088" s="6" t="s">
        <v>1452</v>
      </c>
      <c r="C2088" s="6" t="s">
        <v>521</v>
      </c>
      <c r="D2088" s="6" t="s">
        <v>4809</v>
      </c>
      <c r="E2088" s="6" t="s">
        <v>235</v>
      </c>
      <c r="F2088" s="6" t="s">
        <v>103</v>
      </c>
      <c r="G2088" s="7">
        <v>0.1</v>
      </c>
      <c r="H2088" s="6" t="s">
        <v>641</v>
      </c>
      <c r="I2088" s="6" t="s">
        <v>20</v>
      </c>
      <c r="J2088" s="6">
        <v>2026.0</v>
      </c>
      <c r="K2088" s="10">
        <v>46116.0</v>
      </c>
      <c r="L2088" s="6">
        <v>1.0</v>
      </c>
      <c r="M2088" s="8">
        <f t="shared" si="2"/>
        <v>0.1</v>
      </c>
      <c r="P2088" s="9"/>
    </row>
    <row r="2089">
      <c r="A2089" s="6" t="s">
        <v>4810</v>
      </c>
      <c r="B2089" s="6" t="s">
        <v>511</v>
      </c>
      <c r="C2089" s="6" t="s">
        <v>212</v>
      </c>
      <c r="D2089" s="6" t="s">
        <v>4811</v>
      </c>
      <c r="E2089" s="6" t="s">
        <v>4440</v>
      </c>
      <c r="F2089" s="6" t="s">
        <v>65</v>
      </c>
      <c r="G2089" s="7">
        <v>0.42</v>
      </c>
      <c r="H2089" s="6" t="s">
        <v>180</v>
      </c>
      <c r="I2089" s="6" t="s">
        <v>20</v>
      </c>
      <c r="J2089" s="6">
        <v>2014.0</v>
      </c>
      <c r="K2089" s="10">
        <v>46116.0</v>
      </c>
      <c r="L2089" s="6">
        <v>1.0</v>
      </c>
      <c r="M2089" s="8">
        <f t="shared" si="2"/>
        <v>0.42</v>
      </c>
      <c r="P2089" s="9"/>
    </row>
    <row r="2090">
      <c r="A2090" s="6" t="s">
        <v>4812</v>
      </c>
      <c r="B2090" s="6" t="s">
        <v>4020</v>
      </c>
      <c r="C2090" s="6" t="s">
        <v>15</v>
      </c>
      <c r="D2090" s="6" t="s">
        <v>4813</v>
      </c>
      <c r="E2090" s="6" t="s">
        <v>179</v>
      </c>
      <c r="F2090" s="6" t="s">
        <v>65</v>
      </c>
      <c r="G2090" s="7">
        <v>0.17</v>
      </c>
      <c r="H2090" s="6" t="s">
        <v>180</v>
      </c>
      <c r="I2090" s="6" t="s">
        <v>20</v>
      </c>
      <c r="J2090" s="6">
        <v>2014.0</v>
      </c>
      <c r="K2090" s="10">
        <v>46055.0</v>
      </c>
      <c r="L2090" s="6">
        <v>1.0</v>
      </c>
      <c r="M2090" s="8">
        <f t="shared" si="2"/>
        <v>0.17</v>
      </c>
      <c r="P2090" s="9"/>
    </row>
    <row r="2091">
      <c r="A2091" s="6" t="s">
        <v>4814</v>
      </c>
      <c r="B2091" s="6" t="s">
        <v>250</v>
      </c>
      <c r="C2091" s="6" t="s">
        <v>41</v>
      </c>
      <c r="D2091" s="6" t="s">
        <v>4815</v>
      </c>
      <c r="E2091" s="6" t="s">
        <v>303</v>
      </c>
      <c r="F2091" s="6" t="s">
        <v>37</v>
      </c>
      <c r="G2091" s="7">
        <v>0.63</v>
      </c>
      <c r="H2091" s="6" t="s">
        <v>119</v>
      </c>
      <c r="I2091" s="6" t="s">
        <v>20</v>
      </c>
      <c r="J2091" s="6">
        <v>1995.0</v>
      </c>
      <c r="L2091" s="6">
        <v>1.0</v>
      </c>
      <c r="M2091" s="8">
        <f t="shared" si="2"/>
        <v>0.63</v>
      </c>
      <c r="P2091" s="9"/>
    </row>
    <row r="2092">
      <c r="A2092" s="6" t="s">
        <v>4816</v>
      </c>
      <c r="B2092" s="6" t="s">
        <v>372</v>
      </c>
      <c r="C2092" s="6" t="s">
        <v>23</v>
      </c>
      <c r="D2092" s="6" t="s">
        <v>4817</v>
      </c>
      <c r="E2092" s="6" t="s">
        <v>4818</v>
      </c>
      <c r="F2092" s="6" t="s">
        <v>717</v>
      </c>
      <c r="G2092" s="7">
        <v>16.0</v>
      </c>
      <c r="H2092" s="6" t="s">
        <v>1361</v>
      </c>
      <c r="I2092" s="6" t="s">
        <v>20</v>
      </c>
      <c r="J2092" s="6">
        <v>2008.0</v>
      </c>
      <c r="L2092" s="6">
        <v>1.0</v>
      </c>
      <c r="M2092" s="8">
        <f t="shared" si="2"/>
        <v>16</v>
      </c>
      <c r="P2092" s="9"/>
    </row>
    <row r="2093">
      <c r="A2093" s="6" t="s">
        <v>4819</v>
      </c>
      <c r="B2093" s="6" t="s">
        <v>4329</v>
      </c>
      <c r="C2093" s="6" t="s">
        <v>23</v>
      </c>
      <c r="D2093" s="6" t="s">
        <v>4820</v>
      </c>
      <c r="E2093" s="6" t="s">
        <v>118</v>
      </c>
      <c r="F2093" s="6" t="s">
        <v>51</v>
      </c>
      <c r="G2093" s="7">
        <v>0.15</v>
      </c>
      <c r="H2093" s="6" t="s">
        <v>113</v>
      </c>
      <c r="I2093" s="6" t="s">
        <v>20</v>
      </c>
      <c r="J2093" s="6">
        <v>2024.0</v>
      </c>
      <c r="K2093" s="10">
        <v>46023.0</v>
      </c>
      <c r="L2093" s="6">
        <v>3.0</v>
      </c>
      <c r="M2093" s="8">
        <f t="shared" si="2"/>
        <v>0.45</v>
      </c>
      <c r="P2093" s="9"/>
    </row>
    <row r="2094">
      <c r="A2094" s="6" t="s">
        <v>4821</v>
      </c>
      <c r="B2094" s="6" t="s">
        <v>307</v>
      </c>
      <c r="C2094" s="6" t="s">
        <v>48</v>
      </c>
      <c r="D2094" s="6" t="s">
        <v>4822</v>
      </c>
      <c r="E2094" s="6" t="s">
        <v>36</v>
      </c>
      <c r="F2094" s="6" t="s">
        <v>37</v>
      </c>
      <c r="G2094" s="7">
        <v>0.2</v>
      </c>
      <c r="H2094" s="6" t="s">
        <v>245</v>
      </c>
      <c r="I2094" s="6" t="s">
        <v>20</v>
      </c>
      <c r="J2094" s="6">
        <v>1995.0</v>
      </c>
      <c r="L2094" s="6">
        <v>1.0</v>
      </c>
      <c r="M2094" s="8">
        <f t="shared" si="2"/>
        <v>0.2</v>
      </c>
      <c r="P2094" s="9"/>
    </row>
    <row r="2095">
      <c r="A2095" s="6" t="s">
        <v>4823</v>
      </c>
      <c r="B2095" s="6" t="s">
        <v>4824</v>
      </c>
      <c r="C2095" s="6" t="s">
        <v>48</v>
      </c>
      <c r="D2095" s="6" t="s">
        <v>4825</v>
      </c>
      <c r="E2095" s="6" t="s">
        <v>625</v>
      </c>
      <c r="F2095" s="6" t="s">
        <v>37</v>
      </c>
      <c r="G2095" s="7">
        <v>0.13</v>
      </c>
      <c r="H2095" s="6" t="s">
        <v>192</v>
      </c>
      <c r="I2095" s="6" t="s">
        <v>20</v>
      </c>
      <c r="J2095" s="6">
        <v>2026.0</v>
      </c>
      <c r="K2095" s="10">
        <v>46083.0</v>
      </c>
      <c r="L2095" s="6">
        <v>2.0</v>
      </c>
      <c r="M2095" s="8">
        <f t="shared" si="2"/>
        <v>0.26</v>
      </c>
      <c r="P2095" s="9"/>
    </row>
    <row r="2096">
      <c r="A2096" s="6" t="s">
        <v>4826</v>
      </c>
      <c r="B2096" s="6" t="s">
        <v>1234</v>
      </c>
      <c r="C2096" s="6" t="s">
        <v>48</v>
      </c>
      <c r="D2096" s="6" t="s">
        <v>4827</v>
      </c>
      <c r="E2096" s="6" t="s">
        <v>1250</v>
      </c>
      <c r="F2096" s="6" t="s">
        <v>60</v>
      </c>
      <c r="G2096" s="7">
        <v>0.2</v>
      </c>
      <c r="H2096" s="6" t="s">
        <v>621</v>
      </c>
      <c r="I2096" s="6" t="s">
        <v>20</v>
      </c>
      <c r="J2096" s="6">
        <v>2015.0</v>
      </c>
      <c r="K2096" s="10">
        <v>46114.0</v>
      </c>
      <c r="L2096" s="6">
        <v>1.0</v>
      </c>
      <c r="M2096" s="8">
        <f t="shared" si="2"/>
        <v>0.2</v>
      </c>
      <c r="P2096" s="9"/>
    </row>
    <row r="2097">
      <c r="A2097" s="6" t="s">
        <v>4826</v>
      </c>
      <c r="B2097" s="6" t="s">
        <v>1234</v>
      </c>
      <c r="C2097" s="6" t="s">
        <v>48</v>
      </c>
      <c r="D2097" s="6" t="s">
        <v>4827</v>
      </c>
      <c r="E2097" s="6" t="s">
        <v>1250</v>
      </c>
      <c r="F2097" s="6" t="s">
        <v>60</v>
      </c>
      <c r="G2097" s="7">
        <v>0.15</v>
      </c>
      <c r="H2097" s="6" t="s">
        <v>621</v>
      </c>
      <c r="I2097" s="6" t="s">
        <v>20</v>
      </c>
      <c r="J2097" s="6">
        <v>2015.0</v>
      </c>
      <c r="K2097" s="10">
        <v>46114.0</v>
      </c>
      <c r="L2097" s="6">
        <v>1.0</v>
      </c>
      <c r="M2097" s="8">
        <f t="shared" si="2"/>
        <v>0.15</v>
      </c>
      <c r="P2097" s="9"/>
    </row>
    <row r="2098">
      <c r="A2098" s="6" t="s">
        <v>4828</v>
      </c>
      <c r="B2098" s="6" t="s">
        <v>4619</v>
      </c>
      <c r="C2098" s="6" t="s">
        <v>23</v>
      </c>
      <c r="D2098" s="6" t="s">
        <v>4829</v>
      </c>
      <c r="E2098" s="6" t="s">
        <v>79</v>
      </c>
      <c r="F2098" s="6" t="s">
        <v>51</v>
      </c>
      <c r="G2098" s="7">
        <v>0.03</v>
      </c>
      <c r="H2098" s="6" t="s">
        <v>316</v>
      </c>
      <c r="I2098" s="6" t="s">
        <v>20</v>
      </c>
      <c r="J2098" s="6">
        <v>2016.0</v>
      </c>
      <c r="K2098" s="10">
        <v>46056.0</v>
      </c>
      <c r="L2098" s="6">
        <v>1.0</v>
      </c>
      <c r="M2098" s="8">
        <f t="shared" si="2"/>
        <v>0.03</v>
      </c>
      <c r="P2098" s="9"/>
    </row>
    <row r="2099">
      <c r="A2099" s="6" t="s">
        <v>4830</v>
      </c>
      <c r="B2099" s="6" t="s">
        <v>307</v>
      </c>
      <c r="C2099" s="6" t="s">
        <v>23</v>
      </c>
      <c r="D2099" s="6" t="s">
        <v>4831</v>
      </c>
      <c r="E2099" s="6" t="s">
        <v>145</v>
      </c>
      <c r="F2099" s="6" t="s">
        <v>37</v>
      </c>
      <c r="G2099" s="7">
        <v>0.25</v>
      </c>
      <c r="H2099" s="6" t="s">
        <v>396</v>
      </c>
      <c r="I2099" s="6" t="s">
        <v>20</v>
      </c>
      <c r="J2099" s="6">
        <v>2007.0</v>
      </c>
      <c r="L2099" s="6">
        <v>1.0</v>
      </c>
      <c r="M2099" s="8">
        <f t="shared" si="2"/>
        <v>0.25</v>
      </c>
      <c r="P2099" s="9"/>
    </row>
    <row r="2100">
      <c r="A2100" s="6" t="s">
        <v>4832</v>
      </c>
      <c r="B2100" s="6" t="s">
        <v>4833</v>
      </c>
      <c r="C2100" s="6" t="s">
        <v>48</v>
      </c>
      <c r="D2100" s="6" t="s">
        <v>4834</v>
      </c>
      <c r="E2100" s="6" t="s">
        <v>223</v>
      </c>
      <c r="F2100" s="6" t="s">
        <v>215</v>
      </c>
      <c r="G2100" s="7">
        <v>0.07</v>
      </c>
      <c r="H2100" s="6" t="s">
        <v>848</v>
      </c>
      <c r="I2100" s="6" t="s">
        <v>20</v>
      </c>
      <c r="J2100" s="6">
        <v>2023.0</v>
      </c>
      <c r="K2100" s="10">
        <v>46082.0</v>
      </c>
      <c r="L2100" s="6">
        <v>1.0</v>
      </c>
      <c r="M2100" s="8">
        <f t="shared" si="2"/>
        <v>0.07</v>
      </c>
      <c r="P2100" s="9"/>
    </row>
    <row r="2101">
      <c r="A2101" s="6" t="s">
        <v>4835</v>
      </c>
      <c r="B2101" s="6" t="s">
        <v>4836</v>
      </c>
      <c r="C2101" s="6" t="s">
        <v>48</v>
      </c>
      <c r="D2101" s="6" t="s">
        <v>4837</v>
      </c>
      <c r="E2101" s="6" t="s">
        <v>650</v>
      </c>
      <c r="F2101" s="6" t="s">
        <v>284</v>
      </c>
      <c r="G2101" s="7">
        <v>0.24</v>
      </c>
      <c r="H2101" s="6" t="s">
        <v>45</v>
      </c>
      <c r="I2101" s="6" t="s">
        <v>20</v>
      </c>
      <c r="J2101" s="6">
        <v>2025.0</v>
      </c>
      <c r="K2101" s="10">
        <v>46083.0</v>
      </c>
      <c r="L2101" s="6">
        <v>1.0</v>
      </c>
      <c r="M2101" s="8">
        <f t="shared" si="2"/>
        <v>0.24</v>
      </c>
      <c r="P2101" s="9"/>
    </row>
    <row r="2102">
      <c r="A2102" s="6" t="s">
        <v>4838</v>
      </c>
      <c r="B2102" s="6" t="s">
        <v>4839</v>
      </c>
      <c r="C2102" s="6" t="s">
        <v>23</v>
      </c>
      <c r="D2102" s="6" t="s">
        <v>4840</v>
      </c>
      <c r="E2102" s="6" t="s">
        <v>79</v>
      </c>
      <c r="F2102" s="6" t="s">
        <v>51</v>
      </c>
      <c r="G2102" s="7">
        <v>0.09</v>
      </c>
      <c r="H2102" s="6" t="s">
        <v>31</v>
      </c>
      <c r="I2102" s="6" t="s">
        <v>20</v>
      </c>
      <c r="J2102" s="6">
        <v>2026.0</v>
      </c>
      <c r="K2102" s="10">
        <v>46055.0</v>
      </c>
      <c r="L2102" s="6">
        <v>3.0</v>
      </c>
      <c r="M2102" s="8">
        <f t="shared" si="2"/>
        <v>0.27</v>
      </c>
      <c r="P2102" s="9"/>
    </row>
    <row r="2103">
      <c r="A2103" s="6" t="s">
        <v>4841</v>
      </c>
      <c r="B2103" s="6" t="s">
        <v>131</v>
      </c>
      <c r="C2103" s="6" t="s">
        <v>23</v>
      </c>
      <c r="D2103" s="6" t="s">
        <v>4842</v>
      </c>
      <c r="E2103" s="6" t="s">
        <v>64</v>
      </c>
      <c r="F2103" s="6" t="s">
        <v>65</v>
      </c>
      <c r="G2103" s="7">
        <v>0.06</v>
      </c>
      <c r="H2103" s="6" t="s">
        <v>384</v>
      </c>
      <c r="I2103" s="6" t="s">
        <v>20</v>
      </c>
      <c r="J2103" s="6">
        <v>2022.0</v>
      </c>
      <c r="K2103" s="10">
        <v>46056.0</v>
      </c>
      <c r="L2103" s="6">
        <v>1.0</v>
      </c>
      <c r="M2103" s="8">
        <f t="shared" si="2"/>
        <v>0.06</v>
      </c>
      <c r="P2103" s="9"/>
    </row>
    <row r="2104">
      <c r="A2104" s="6" t="s">
        <v>4843</v>
      </c>
      <c r="B2104" s="6" t="s">
        <v>4844</v>
      </c>
      <c r="C2104" s="6" t="s">
        <v>41</v>
      </c>
      <c r="D2104" s="6" t="s">
        <v>4845</v>
      </c>
      <c r="E2104" s="6" t="s">
        <v>158</v>
      </c>
      <c r="F2104" s="6" t="s">
        <v>159</v>
      </c>
      <c r="G2104" s="7">
        <v>0.38</v>
      </c>
      <c r="H2104" s="7" t="s">
        <v>359</v>
      </c>
      <c r="I2104" s="6" t="s">
        <v>20</v>
      </c>
      <c r="J2104" s="6">
        <v>2014.0</v>
      </c>
      <c r="K2104" s="6" t="s">
        <v>697</v>
      </c>
      <c r="L2104" s="6">
        <v>1.0</v>
      </c>
      <c r="M2104" s="8">
        <f t="shared" si="2"/>
        <v>0.38</v>
      </c>
      <c r="P2104" s="9"/>
    </row>
    <row r="2105">
      <c r="A2105" s="6" t="s">
        <v>4846</v>
      </c>
      <c r="B2105" s="6" t="s">
        <v>796</v>
      </c>
      <c r="C2105" s="6" t="s">
        <v>15</v>
      </c>
      <c r="D2105" s="6" t="s">
        <v>4847</v>
      </c>
      <c r="E2105" s="6" t="s">
        <v>391</v>
      </c>
      <c r="F2105" s="6" t="s">
        <v>159</v>
      </c>
      <c r="G2105" s="7">
        <v>0.02</v>
      </c>
      <c r="H2105" s="6" t="s">
        <v>483</v>
      </c>
      <c r="I2105" s="6" t="s">
        <v>20</v>
      </c>
      <c r="J2105" s="6">
        <v>2014.0</v>
      </c>
      <c r="L2105" s="6">
        <v>3.0</v>
      </c>
      <c r="M2105" s="8">
        <f t="shared" si="2"/>
        <v>0.06</v>
      </c>
      <c r="P2105" s="9"/>
    </row>
    <row r="2106">
      <c r="A2106" s="6" t="s">
        <v>4848</v>
      </c>
      <c r="B2106" s="6" t="s">
        <v>628</v>
      </c>
      <c r="C2106" s="6" t="s">
        <v>23</v>
      </c>
      <c r="D2106" s="6" t="s">
        <v>4849</v>
      </c>
      <c r="E2106" s="6" t="s">
        <v>50</v>
      </c>
      <c r="F2106" s="6" t="s">
        <v>51</v>
      </c>
      <c r="G2106" s="7">
        <v>0.09</v>
      </c>
      <c r="H2106" s="6" t="s">
        <v>114</v>
      </c>
      <c r="I2106" s="6" t="s">
        <v>20</v>
      </c>
      <c r="J2106" s="6">
        <v>2021.0</v>
      </c>
      <c r="K2106" s="10">
        <v>46083.0</v>
      </c>
      <c r="L2106" s="6">
        <v>1.0</v>
      </c>
      <c r="M2106" s="8">
        <f t="shared" si="2"/>
        <v>0.09</v>
      </c>
      <c r="P2106" s="9"/>
    </row>
    <row r="2107">
      <c r="A2107" s="6" t="s">
        <v>4850</v>
      </c>
      <c r="B2107" s="6" t="s">
        <v>165</v>
      </c>
      <c r="C2107" s="6" t="s">
        <v>212</v>
      </c>
      <c r="D2107" s="6" t="s">
        <v>4851</v>
      </c>
      <c r="E2107" s="6" t="s">
        <v>3719</v>
      </c>
      <c r="F2107" s="6" t="s">
        <v>103</v>
      </c>
      <c r="G2107" s="7">
        <v>4.0</v>
      </c>
      <c r="H2107" s="6" t="s">
        <v>4852</v>
      </c>
      <c r="I2107" s="6" t="s">
        <v>20</v>
      </c>
      <c r="J2107" s="6">
        <v>2025.0</v>
      </c>
      <c r="L2107" s="6">
        <v>1.0</v>
      </c>
      <c r="M2107" s="8">
        <f t="shared" si="2"/>
        <v>4</v>
      </c>
      <c r="P2107" s="9"/>
    </row>
    <row r="2108">
      <c r="A2108" s="6" t="s">
        <v>4853</v>
      </c>
      <c r="B2108" s="6" t="s">
        <v>143</v>
      </c>
      <c r="C2108" s="6" t="s">
        <v>48</v>
      </c>
      <c r="D2108" s="6" t="s">
        <v>4854</v>
      </c>
      <c r="E2108" s="6" t="s">
        <v>112</v>
      </c>
      <c r="F2108" s="6" t="s">
        <v>65</v>
      </c>
      <c r="G2108" s="7">
        <v>0.1</v>
      </c>
      <c r="H2108" s="6" t="s">
        <v>1050</v>
      </c>
      <c r="I2108" s="6" t="s">
        <v>20</v>
      </c>
      <c r="J2108" s="6">
        <v>2023.0</v>
      </c>
      <c r="L2108" s="6">
        <v>1.0</v>
      </c>
      <c r="M2108" s="8">
        <f t="shared" si="2"/>
        <v>0.1</v>
      </c>
      <c r="P2108" s="9"/>
    </row>
    <row r="2109">
      <c r="A2109" s="6" t="s">
        <v>4855</v>
      </c>
      <c r="B2109" s="6" t="s">
        <v>127</v>
      </c>
      <c r="C2109" s="6" t="s">
        <v>41</v>
      </c>
      <c r="D2109" s="6" t="s">
        <v>4856</v>
      </c>
      <c r="E2109" s="6" t="s">
        <v>1844</v>
      </c>
      <c r="F2109" s="6" t="s">
        <v>98</v>
      </c>
      <c r="G2109" s="7">
        <v>0.25</v>
      </c>
      <c r="H2109" s="6" t="s">
        <v>88</v>
      </c>
      <c r="I2109" s="6" t="s">
        <v>20</v>
      </c>
      <c r="J2109" s="6">
        <v>2013.0</v>
      </c>
      <c r="K2109" s="10">
        <v>46023.0</v>
      </c>
      <c r="L2109" s="6">
        <v>1.0</v>
      </c>
      <c r="M2109" s="8">
        <f t="shared" si="2"/>
        <v>0.25</v>
      </c>
      <c r="P2109" s="9"/>
    </row>
    <row r="2110">
      <c r="A2110" s="6" t="s">
        <v>4857</v>
      </c>
      <c r="B2110" s="6" t="s">
        <v>3693</v>
      </c>
      <c r="C2110" s="6" t="s">
        <v>23</v>
      </c>
      <c r="D2110" s="6" t="s">
        <v>4858</v>
      </c>
      <c r="E2110" s="6" t="s">
        <v>79</v>
      </c>
      <c r="F2110" s="6" t="s">
        <v>51</v>
      </c>
      <c r="G2110" s="7">
        <v>0.05</v>
      </c>
      <c r="H2110" s="6" t="s">
        <v>192</v>
      </c>
      <c r="I2110" s="6" t="s">
        <v>20</v>
      </c>
      <c r="J2110" s="6">
        <v>2026.0</v>
      </c>
      <c r="K2110" s="10">
        <v>46083.0</v>
      </c>
      <c r="L2110" s="6">
        <v>7.0</v>
      </c>
      <c r="M2110" s="8">
        <f t="shared" si="2"/>
        <v>0.35</v>
      </c>
      <c r="P2110" s="9"/>
    </row>
    <row r="2111">
      <c r="A2111" s="6" t="s">
        <v>4859</v>
      </c>
      <c r="B2111" s="6" t="s">
        <v>2898</v>
      </c>
      <c r="C2111" s="6" t="s">
        <v>23</v>
      </c>
      <c r="D2111" s="6" t="s">
        <v>152</v>
      </c>
      <c r="E2111" s="6" t="s">
        <v>1092</v>
      </c>
      <c r="F2111" s="6" t="s">
        <v>103</v>
      </c>
      <c r="G2111" s="7">
        <v>0.07</v>
      </c>
      <c r="H2111" s="6" t="s">
        <v>1494</v>
      </c>
      <c r="I2111" s="6" t="s">
        <v>20</v>
      </c>
      <c r="J2111" s="6">
        <v>2012.0</v>
      </c>
      <c r="K2111" s="10">
        <v>46024.0</v>
      </c>
      <c r="L2111" s="6">
        <v>1.0</v>
      </c>
      <c r="M2111" s="8">
        <f t="shared" si="2"/>
        <v>0.07</v>
      </c>
      <c r="P2111" s="9"/>
    </row>
    <row r="2112">
      <c r="A2112" s="6" t="s">
        <v>4860</v>
      </c>
      <c r="B2112" s="6" t="s">
        <v>940</v>
      </c>
      <c r="C2112" s="6" t="s">
        <v>23</v>
      </c>
      <c r="D2112" s="6" t="s">
        <v>4861</v>
      </c>
      <c r="E2112" s="6" t="s">
        <v>223</v>
      </c>
      <c r="F2112" s="6" t="s">
        <v>159</v>
      </c>
      <c r="G2112" s="7">
        <v>0.05</v>
      </c>
      <c r="H2112" s="6" t="s">
        <v>129</v>
      </c>
      <c r="I2112" s="6" t="s">
        <v>20</v>
      </c>
      <c r="J2112" s="6">
        <v>2014.0</v>
      </c>
      <c r="K2112" s="10">
        <v>46024.0</v>
      </c>
      <c r="L2112" s="6">
        <v>1.0</v>
      </c>
      <c r="M2112" s="8">
        <f t="shared" si="2"/>
        <v>0.05</v>
      </c>
      <c r="P2112" s="9"/>
    </row>
    <row r="2113">
      <c r="A2113" s="6" t="s">
        <v>4862</v>
      </c>
      <c r="B2113" s="6" t="s">
        <v>424</v>
      </c>
      <c r="C2113" s="6" t="s">
        <v>48</v>
      </c>
      <c r="D2113" s="6" t="s">
        <v>4863</v>
      </c>
      <c r="F2113" s="6" t="s">
        <v>60</v>
      </c>
      <c r="G2113" s="7">
        <v>0.18</v>
      </c>
      <c r="H2113" s="6" t="s">
        <v>93</v>
      </c>
      <c r="I2113" s="6" t="s">
        <v>20</v>
      </c>
      <c r="J2113" s="6">
        <v>2016.0</v>
      </c>
      <c r="L2113" s="6">
        <v>1.0</v>
      </c>
      <c r="M2113" s="8">
        <f t="shared" si="2"/>
        <v>0.18</v>
      </c>
      <c r="P2113" s="9"/>
    </row>
    <row r="2114">
      <c r="A2114" s="6" t="s">
        <v>4864</v>
      </c>
      <c r="B2114" s="6" t="s">
        <v>764</v>
      </c>
      <c r="C2114" s="6" t="s">
        <v>23</v>
      </c>
      <c r="D2114" s="6" t="s">
        <v>4865</v>
      </c>
      <c r="E2114" s="6" t="s">
        <v>270</v>
      </c>
      <c r="F2114" s="6" t="s">
        <v>159</v>
      </c>
      <c r="G2114" s="7">
        <v>0.03</v>
      </c>
      <c r="H2114" s="6" t="s">
        <v>316</v>
      </c>
      <c r="I2114" s="6" t="s">
        <v>20</v>
      </c>
      <c r="J2114" s="6">
        <v>2016.0</v>
      </c>
      <c r="K2114" s="6" t="s">
        <v>1035</v>
      </c>
      <c r="L2114" s="6">
        <v>3.0</v>
      </c>
      <c r="M2114" s="8">
        <f t="shared" si="2"/>
        <v>0.09</v>
      </c>
      <c r="P2114" s="9"/>
    </row>
    <row r="2115">
      <c r="A2115" s="6" t="s">
        <v>4866</v>
      </c>
      <c r="B2115" s="6" t="s">
        <v>62</v>
      </c>
      <c r="C2115" s="6" t="s">
        <v>23</v>
      </c>
      <c r="D2115" s="6" t="s">
        <v>4867</v>
      </c>
      <c r="E2115" s="6" t="s">
        <v>223</v>
      </c>
      <c r="F2115" s="6" t="s">
        <v>159</v>
      </c>
      <c r="G2115" s="7">
        <v>0.03</v>
      </c>
      <c r="H2115" s="6" t="s">
        <v>299</v>
      </c>
      <c r="I2115" s="6" t="s">
        <v>20</v>
      </c>
      <c r="J2115" s="6">
        <v>2017.0</v>
      </c>
      <c r="L2115" s="6">
        <v>1.0</v>
      </c>
      <c r="M2115" s="8">
        <f t="shared" si="2"/>
        <v>0.03</v>
      </c>
      <c r="P2115" s="9"/>
    </row>
    <row r="2116">
      <c r="A2116" s="6" t="s">
        <v>4868</v>
      </c>
      <c r="B2116" s="6" t="s">
        <v>561</v>
      </c>
      <c r="C2116" s="6" t="s">
        <v>23</v>
      </c>
      <c r="D2116" s="6" t="s">
        <v>4869</v>
      </c>
      <c r="E2116" s="6" t="s">
        <v>558</v>
      </c>
      <c r="F2116" s="6" t="s">
        <v>18</v>
      </c>
      <c r="G2116" s="7">
        <v>0.03</v>
      </c>
      <c r="H2116" s="6" t="s">
        <v>316</v>
      </c>
      <c r="I2116" s="6" t="s">
        <v>20</v>
      </c>
      <c r="J2116" s="6">
        <v>2016.0</v>
      </c>
      <c r="K2116" s="10">
        <v>46116.0</v>
      </c>
      <c r="L2116" s="6">
        <v>2.0</v>
      </c>
      <c r="M2116" s="8">
        <f t="shared" si="2"/>
        <v>0.06</v>
      </c>
      <c r="P2116" s="9"/>
    </row>
    <row r="2117">
      <c r="A2117" s="6" t="s">
        <v>4870</v>
      </c>
      <c r="B2117" s="6" t="s">
        <v>4871</v>
      </c>
      <c r="C2117" s="6" t="s">
        <v>23</v>
      </c>
      <c r="D2117" s="6" t="s">
        <v>4872</v>
      </c>
      <c r="E2117" s="6" t="s">
        <v>124</v>
      </c>
      <c r="F2117" s="6" t="s">
        <v>103</v>
      </c>
      <c r="G2117" s="7">
        <v>0.05</v>
      </c>
      <c r="H2117" s="6" t="s">
        <v>1018</v>
      </c>
      <c r="I2117" s="6" t="s">
        <v>20</v>
      </c>
      <c r="J2117" s="6">
        <v>1999.0</v>
      </c>
      <c r="K2117" s="10">
        <v>46055.0</v>
      </c>
      <c r="L2117" s="6">
        <v>1.0</v>
      </c>
      <c r="M2117" s="8">
        <f t="shared" si="2"/>
        <v>0.05</v>
      </c>
      <c r="P2117" s="9"/>
    </row>
    <row r="2118">
      <c r="A2118" s="6" t="s">
        <v>4873</v>
      </c>
      <c r="B2118" s="6" t="s">
        <v>1141</v>
      </c>
      <c r="C2118" s="6" t="s">
        <v>23</v>
      </c>
      <c r="E2118" s="6" t="s">
        <v>533</v>
      </c>
      <c r="F2118" s="6" t="s">
        <v>65</v>
      </c>
      <c r="G2118" s="7">
        <v>0.05</v>
      </c>
      <c r="H2118" s="6" t="s">
        <v>119</v>
      </c>
      <c r="I2118" s="6" t="s">
        <v>20</v>
      </c>
      <c r="J2118" s="6">
        <v>1995.0</v>
      </c>
      <c r="K2118" s="10">
        <v>46055.0</v>
      </c>
      <c r="L2118" s="6">
        <v>2.0</v>
      </c>
      <c r="M2118" s="8">
        <f t="shared" si="2"/>
        <v>0.1</v>
      </c>
      <c r="P2118" s="9"/>
    </row>
    <row r="2119">
      <c r="A2119" s="6" t="s">
        <v>4873</v>
      </c>
      <c r="B2119" s="6" t="s">
        <v>1141</v>
      </c>
      <c r="C2119" s="6" t="s">
        <v>23</v>
      </c>
      <c r="E2119" s="6" t="s">
        <v>533</v>
      </c>
      <c r="F2119" s="6" t="s">
        <v>65</v>
      </c>
      <c r="G2119" s="7">
        <v>0.08</v>
      </c>
      <c r="H2119" s="6" t="s">
        <v>120</v>
      </c>
      <c r="I2119" s="6" t="s">
        <v>20</v>
      </c>
      <c r="J2119" s="6">
        <v>1995.0</v>
      </c>
      <c r="K2119" s="10">
        <v>46055.0</v>
      </c>
      <c r="L2119" s="6">
        <v>3.0</v>
      </c>
      <c r="M2119" s="8">
        <f t="shared" si="2"/>
        <v>0.24</v>
      </c>
      <c r="P2119" s="9"/>
    </row>
    <row r="2120">
      <c r="A2120" s="6" t="s">
        <v>4873</v>
      </c>
      <c r="B2120" s="6" t="s">
        <v>1141</v>
      </c>
      <c r="C2120" s="6" t="s">
        <v>23</v>
      </c>
      <c r="E2120" s="6" t="s">
        <v>533</v>
      </c>
      <c r="F2120" s="6" t="s">
        <v>65</v>
      </c>
      <c r="G2120" s="7">
        <v>0.09</v>
      </c>
      <c r="H2120" s="6" t="s">
        <v>607</v>
      </c>
      <c r="I2120" s="6" t="s">
        <v>20</v>
      </c>
      <c r="J2120" s="6">
        <v>1995.0</v>
      </c>
      <c r="K2120" s="10">
        <v>46055.0</v>
      </c>
      <c r="L2120" s="6">
        <v>2.0</v>
      </c>
      <c r="M2120" s="8">
        <f t="shared" si="2"/>
        <v>0.18</v>
      </c>
      <c r="P2120" s="9"/>
    </row>
    <row r="2121">
      <c r="A2121" s="6" t="s">
        <v>4874</v>
      </c>
      <c r="B2121" s="6" t="s">
        <v>1151</v>
      </c>
      <c r="C2121" s="6" t="s">
        <v>34</v>
      </c>
      <c r="D2121" s="6" t="s">
        <v>4875</v>
      </c>
      <c r="E2121" s="6" t="s">
        <v>4262</v>
      </c>
      <c r="F2121" s="6" t="s">
        <v>65</v>
      </c>
      <c r="G2121" s="7">
        <v>0.05</v>
      </c>
      <c r="H2121" s="6" t="s">
        <v>209</v>
      </c>
      <c r="I2121" s="6" t="s">
        <v>20</v>
      </c>
      <c r="J2121" s="6">
        <v>2025.0</v>
      </c>
      <c r="K2121" s="10">
        <v>46117.0</v>
      </c>
      <c r="L2121" s="6">
        <v>4.0</v>
      </c>
      <c r="M2121" s="8">
        <f t="shared" si="2"/>
        <v>0.2</v>
      </c>
      <c r="P2121" s="9"/>
    </row>
    <row r="2122">
      <c r="A2122" s="6" t="s">
        <v>4874</v>
      </c>
      <c r="B2122" s="6" t="s">
        <v>1151</v>
      </c>
      <c r="C2122" s="6" t="s">
        <v>34</v>
      </c>
      <c r="D2122" s="6" t="s">
        <v>4875</v>
      </c>
      <c r="E2122" s="6" t="s">
        <v>4262</v>
      </c>
      <c r="F2122" s="6" t="s">
        <v>65</v>
      </c>
      <c r="G2122" s="7">
        <v>0.35</v>
      </c>
      <c r="H2122" s="6" t="s">
        <v>209</v>
      </c>
      <c r="I2122" s="6" t="s">
        <v>55</v>
      </c>
      <c r="J2122" s="6">
        <v>2025.0</v>
      </c>
      <c r="K2122" s="10">
        <v>46117.0</v>
      </c>
      <c r="L2122" s="6">
        <v>1.0</v>
      </c>
      <c r="M2122" s="8">
        <f t="shared" si="2"/>
        <v>0.35</v>
      </c>
      <c r="P2122" s="9"/>
    </row>
    <row r="2123">
      <c r="A2123" s="6" t="s">
        <v>4876</v>
      </c>
      <c r="B2123" s="6" t="s">
        <v>1199</v>
      </c>
      <c r="C2123" s="6" t="s">
        <v>23</v>
      </c>
      <c r="D2123" s="6" t="s">
        <v>4877</v>
      </c>
      <c r="E2123" s="6" t="s">
        <v>64</v>
      </c>
      <c r="F2123" s="6" t="s">
        <v>65</v>
      </c>
      <c r="G2123" s="7">
        <v>0.08</v>
      </c>
      <c r="H2123" s="6" t="s">
        <v>1748</v>
      </c>
      <c r="I2123" s="6" t="s">
        <v>20</v>
      </c>
      <c r="J2123" s="6">
        <v>2008.0</v>
      </c>
      <c r="K2123" s="10">
        <v>46025.0</v>
      </c>
      <c r="L2123" s="6">
        <v>2.0</v>
      </c>
      <c r="M2123" s="8">
        <f t="shared" si="2"/>
        <v>0.16</v>
      </c>
      <c r="P2123" s="9"/>
    </row>
    <row r="2124">
      <c r="A2124" s="6" t="s">
        <v>4878</v>
      </c>
      <c r="B2124" s="6" t="s">
        <v>182</v>
      </c>
      <c r="C2124" s="6" t="s">
        <v>23</v>
      </c>
      <c r="D2124" s="6" t="s">
        <v>4879</v>
      </c>
      <c r="E2124" s="6" t="s">
        <v>79</v>
      </c>
      <c r="F2124" s="6" t="s">
        <v>51</v>
      </c>
      <c r="G2124" s="7">
        <v>0.08</v>
      </c>
      <c r="H2124" s="6" t="s">
        <v>154</v>
      </c>
      <c r="I2124" s="6" t="s">
        <v>20</v>
      </c>
      <c r="J2124" s="6">
        <v>2013.0</v>
      </c>
      <c r="L2124" s="6">
        <v>1.0</v>
      </c>
      <c r="M2124" s="8">
        <f t="shared" si="2"/>
        <v>0.08</v>
      </c>
      <c r="P2124" s="9"/>
    </row>
    <row r="2125">
      <c r="A2125" s="6" t="s">
        <v>4880</v>
      </c>
      <c r="B2125" s="6" t="s">
        <v>4072</v>
      </c>
      <c r="C2125" s="6" t="s">
        <v>23</v>
      </c>
      <c r="D2125" s="6" t="s">
        <v>4073</v>
      </c>
      <c r="E2125" s="6" t="s">
        <v>153</v>
      </c>
      <c r="F2125" s="6" t="s">
        <v>103</v>
      </c>
      <c r="G2125" s="7">
        <v>0.07</v>
      </c>
      <c r="H2125" s="6" t="s">
        <v>245</v>
      </c>
      <c r="I2125" s="6" t="s">
        <v>20</v>
      </c>
      <c r="J2125" s="6">
        <v>1995.0</v>
      </c>
      <c r="K2125" s="10">
        <v>46054.0</v>
      </c>
      <c r="L2125" s="6">
        <v>2.0</v>
      </c>
      <c r="M2125" s="8">
        <f t="shared" si="2"/>
        <v>0.14</v>
      </c>
      <c r="P2125" s="9"/>
    </row>
    <row r="2126">
      <c r="A2126" s="6" t="s">
        <v>4880</v>
      </c>
      <c r="B2126" s="6" t="s">
        <v>4072</v>
      </c>
      <c r="C2126" s="6" t="s">
        <v>23</v>
      </c>
      <c r="D2126" s="6" t="s">
        <v>4073</v>
      </c>
      <c r="E2126" s="6" t="s">
        <v>153</v>
      </c>
      <c r="F2126" s="6" t="s">
        <v>103</v>
      </c>
      <c r="G2126" s="7">
        <v>0.07</v>
      </c>
      <c r="H2126" s="6" t="s">
        <v>245</v>
      </c>
      <c r="I2126" s="6" t="s">
        <v>20</v>
      </c>
      <c r="J2126" s="6">
        <v>1995.0</v>
      </c>
      <c r="K2126" s="10">
        <v>46054.0</v>
      </c>
      <c r="L2126" s="6">
        <v>1.0</v>
      </c>
      <c r="M2126" s="8">
        <f t="shared" si="2"/>
        <v>0.07</v>
      </c>
      <c r="P2126" s="9"/>
    </row>
    <row r="2127">
      <c r="A2127" s="6" t="s">
        <v>4881</v>
      </c>
      <c r="B2127" s="6" t="s">
        <v>4882</v>
      </c>
      <c r="C2127" s="6" t="s">
        <v>23</v>
      </c>
      <c r="D2127" s="6" t="s">
        <v>4883</v>
      </c>
      <c r="E2127" s="6" t="s">
        <v>533</v>
      </c>
      <c r="F2127" s="6" t="s">
        <v>65</v>
      </c>
      <c r="G2127" s="7">
        <v>0.06</v>
      </c>
      <c r="H2127" s="6" t="s">
        <v>845</v>
      </c>
      <c r="I2127" s="6" t="s">
        <v>20</v>
      </c>
      <c r="J2127" s="6">
        <v>2022.0</v>
      </c>
      <c r="K2127" s="10">
        <v>46084.0</v>
      </c>
      <c r="L2127" s="6">
        <v>1.0</v>
      </c>
      <c r="M2127" s="8">
        <f t="shared" si="2"/>
        <v>0.06</v>
      </c>
      <c r="P2127" s="9"/>
    </row>
    <row r="2128">
      <c r="A2128" s="6" t="s">
        <v>4884</v>
      </c>
      <c r="B2128" s="6" t="s">
        <v>4885</v>
      </c>
      <c r="C2128" s="6" t="s">
        <v>23</v>
      </c>
      <c r="D2128" s="6" t="s">
        <v>4886</v>
      </c>
      <c r="E2128" s="6" t="s">
        <v>235</v>
      </c>
      <c r="F2128" s="6" t="s">
        <v>103</v>
      </c>
      <c r="G2128" s="7">
        <v>0.05</v>
      </c>
      <c r="H2128" s="6" t="s">
        <v>45</v>
      </c>
      <c r="I2128" s="6" t="s">
        <v>20</v>
      </c>
      <c r="J2128" s="6">
        <v>2025.0</v>
      </c>
      <c r="K2128" s="10">
        <v>46056.0</v>
      </c>
      <c r="L2128" s="6">
        <v>3.0</v>
      </c>
      <c r="M2128" s="8">
        <f t="shared" si="2"/>
        <v>0.15</v>
      </c>
      <c r="P2128" s="9"/>
    </row>
    <row r="2129">
      <c r="A2129" s="6" t="s">
        <v>4887</v>
      </c>
      <c r="B2129" s="6" t="s">
        <v>796</v>
      </c>
      <c r="C2129" s="6" t="s">
        <v>212</v>
      </c>
      <c r="D2129" s="6" t="s">
        <v>4888</v>
      </c>
      <c r="E2129" s="6" t="s">
        <v>4448</v>
      </c>
      <c r="F2129" s="6" t="s">
        <v>51</v>
      </c>
      <c r="G2129" s="7">
        <v>0.45</v>
      </c>
      <c r="H2129" s="6" t="s">
        <v>180</v>
      </c>
      <c r="I2129" s="6" t="s">
        <v>20</v>
      </c>
      <c r="J2129" s="6">
        <v>2014.0</v>
      </c>
      <c r="L2129" s="6">
        <v>1.0</v>
      </c>
      <c r="M2129" s="8">
        <f t="shared" si="2"/>
        <v>0.45</v>
      </c>
      <c r="P2129" s="9"/>
    </row>
    <row r="2130">
      <c r="A2130" s="6" t="s">
        <v>4889</v>
      </c>
      <c r="B2130" s="6" t="s">
        <v>677</v>
      </c>
      <c r="C2130" s="6" t="s">
        <v>23</v>
      </c>
      <c r="E2130" s="6" t="s">
        <v>158</v>
      </c>
      <c r="F2130" s="6" t="s">
        <v>159</v>
      </c>
      <c r="G2130" s="7">
        <v>0.03</v>
      </c>
      <c r="H2130" s="6" t="s">
        <v>1494</v>
      </c>
      <c r="I2130" s="6" t="s">
        <v>20</v>
      </c>
      <c r="J2130" s="6">
        <v>2012.0</v>
      </c>
      <c r="K2130" s="10">
        <v>46147.0</v>
      </c>
      <c r="L2130" s="6">
        <v>1.0</v>
      </c>
      <c r="M2130" s="8">
        <f t="shared" si="2"/>
        <v>0.03</v>
      </c>
      <c r="P2130" s="9"/>
    </row>
    <row r="2131">
      <c r="A2131" s="6" t="s">
        <v>4890</v>
      </c>
      <c r="B2131" s="6" t="s">
        <v>3620</v>
      </c>
      <c r="C2131" s="6" t="s">
        <v>34</v>
      </c>
      <c r="D2131" s="6" t="s">
        <v>4891</v>
      </c>
      <c r="E2131" s="6" t="s">
        <v>175</v>
      </c>
      <c r="F2131" s="6" t="s">
        <v>51</v>
      </c>
      <c r="G2131" s="7">
        <v>0.15</v>
      </c>
      <c r="H2131" s="6" t="s">
        <v>1211</v>
      </c>
      <c r="I2131" s="6" t="s">
        <v>20</v>
      </c>
      <c r="J2131" s="6">
        <v>1993.0</v>
      </c>
      <c r="L2131" s="6">
        <v>1.0</v>
      </c>
      <c r="M2131" s="8">
        <f t="shared" si="2"/>
        <v>0.15</v>
      </c>
      <c r="P2131" s="9"/>
    </row>
    <row r="2132">
      <c r="A2132" s="6" t="s">
        <v>4890</v>
      </c>
      <c r="B2132" s="6" t="s">
        <v>366</v>
      </c>
      <c r="C2132" s="6" t="s">
        <v>23</v>
      </c>
      <c r="D2132" s="6" t="s">
        <v>4892</v>
      </c>
      <c r="E2132" s="6" t="s">
        <v>175</v>
      </c>
      <c r="F2132" s="6" t="s">
        <v>51</v>
      </c>
      <c r="G2132" s="7">
        <v>0.15</v>
      </c>
      <c r="H2132" s="6" t="s">
        <v>607</v>
      </c>
      <c r="I2132" s="6" t="s">
        <v>20</v>
      </c>
      <c r="J2132" s="6">
        <v>1994.0</v>
      </c>
      <c r="L2132" s="6">
        <v>1.0</v>
      </c>
      <c r="M2132" s="8">
        <f t="shared" si="2"/>
        <v>0.15</v>
      </c>
      <c r="P2132" s="9"/>
    </row>
    <row r="2133">
      <c r="A2133" s="6" t="s">
        <v>4893</v>
      </c>
      <c r="B2133" s="6" t="s">
        <v>372</v>
      </c>
      <c r="C2133" s="6" t="s">
        <v>23</v>
      </c>
      <c r="D2133" s="6" t="s">
        <v>4894</v>
      </c>
      <c r="E2133" s="6" t="s">
        <v>175</v>
      </c>
      <c r="F2133" s="6" t="s">
        <v>51</v>
      </c>
      <c r="G2133" s="7">
        <v>0.25</v>
      </c>
      <c r="H2133" s="6" t="s">
        <v>607</v>
      </c>
      <c r="I2133" s="6" t="s">
        <v>20</v>
      </c>
      <c r="J2133" s="6">
        <v>1994.0</v>
      </c>
      <c r="L2133" s="6">
        <v>1.0</v>
      </c>
      <c r="M2133" s="8">
        <f t="shared" si="2"/>
        <v>0.25</v>
      </c>
      <c r="P2133" s="9"/>
    </row>
    <row r="2134">
      <c r="A2134" s="6" t="s">
        <v>4895</v>
      </c>
      <c r="B2134" s="6" t="s">
        <v>3620</v>
      </c>
      <c r="C2134" s="6" t="s">
        <v>34</v>
      </c>
      <c r="D2134" s="6" t="s">
        <v>4896</v>
      </c>
      <c r="E2134" s="6" t="s">
        <v>175</v>
      </c>
      <c r="F2134" s="6" t="s">
        <v>51</v>
      </c>
      <c r="G2134" s="7">
        <v>0.25</v>
      </c>
      <c r="H2134" s="6" t="s">
        <v>1211</v>
      </c>
      <c r="I2134" s="6" t="s">
        <v>20</v>
      </c>
      <c r="J2134" s="6">
        <v>1993.0</v>
      </c>
      <c r="L2134" s="6">
        <v>1.0</v>
      </c>
      <c r="M2134" s="8">
        <f t="shared" si="2"/>
        <v>0.25</v>
      </c>
      <c r="P2134" s="9"/>
    </row>
    <row r="2135">
      <c r="A2135" s="6" t="s">
        <v>4897</v>
      </c>
      <c r="B2135" s="6" t="s">
        <v>366</v>
      </c>
      <c r="C2135" s="6" t="s">
        <v>48</v>
      </c>
      <c r="D2135" s="6" t="s">
        <v>4898</v>
      </c>
      <c r="E2135" s="6" t="s">
        <v>248</v>
      </c>
      <c r="F2135" s="6" t="s">
        <v>18</v>
      </c>
      <c r="G2135" s="7">
        <v>0.2</v>
      </c>
      <c r="H2135" s="6" t="s">
        <v>45</v>
      </c>
      <c r="I2135" s="6" t="s">
        <v>20</v>
      </c>
      <c r="J2135" s="6">
        <v>2025.0</v>
      </c>
      <c r="L2135" s="6">
        <v>1.0</v>
      </c>
      <c r="M2135" s="8">
        <f t="shared" si="2"/>
        <v>0.2</v>
      </c>
      <c r="P2135" s="9"/>
    </row>
    <row r="2136">
      <c r="A2136" s="6" t="s">
        <v>4897</v>
      </c>
      <c r="B2136" s="6" t="s">
        <v>366</v>
      </c>
      <c r="C2136" s="6" t="s">
        <v>48</v>
      </c>
      <c r="D2136" s="6" t="s">
        <v>4898</v>
      </c>
      <c r="E2136" s="6" t="s">
        <v>248</v>
      </c>
      <c r="F2136" s="6" t="s">
        <v>18</v>
      </c>
      <c r="G2136" s="7">
        <v>0.25</v>
      </c>
      <c r="H2136" s="6" t="s">
        <v>45</v>
      </c>
      <c r="I2136" s="6" t="s">
        <v>55</v>
      </c>
      <c r="J2136" s="6">
        <v>2025.0</v>
      </c>
      <c r="L2136" s="6">
        <v>1.0</v>
      </c>
      <c r="M2136" s="8">
        <f t="shared" si="2"/>
        <v>0.25</v>
      </c>
      <c r="P2136" s="9"/>
    </row>
    <row r="2137">
      <c r="A2137" s="6" t="s">
        <v>4899</v>
      </c>
      <c r="B2137" s="6" t="s">
        <v>4900</v>
      </c>
      <c r="C2137" s="6" t="s">
        <v>34</v>
      </c>
      <c r="D2137" s="6" t="s">
        <v>4901</v>
      </c>
      <c r="E2137" s="6" t="s">
        <v>4902</v>
      </c>
      <c r="F2137" s="6" t="s">
        <v>51</v>
      </c>
      <c r="G2137" s="7">
        <v>0.05</v>
      </c>
      <c r="H2137" s="6" t="s">
        <v>807</v>
      </c>
      <c r="I2137" s="6" t="s">
        <v>20</v>
      </c>
      <c r="J2137" s="6">
        <v>2026.0</v>
      </c>
      <c r="K2137" s="10">
        <v>46084.0</v>
      </c>
      <c r="L2137" s="6">
        <v>1.0</v>
      </c>
      <c r="M2137" s="8">
        <f t="shared" si="2"/>
        <v>0.05</v>
      </c>
      <c r="P2137" s="9"/>
    </row>
    <row r="2138">
      <c r="A2138" s="6" t="s">
        <v>4903</v>
      </c>
      <c r="B2138" s="6" t="s">
        <v>4904</v>
      </c>
      <c r="C2138" s="6" t="s">
        <v>23</v>
      </c>
      <c r="D2138" s="6" t="s">
        <v>4905</v>
      </c>
      <c r="E2138" s="6" t="s">
        <v>270</v>
      </c>
      <c r="F2138" s="6" t="s">
        <v>159</v>
      </c>
      <c r="G2138" s="7">
        <v>0.03</v>
      </c>
      <c r="H2138" s="6" t="s">
        <v>562</v>
      </c>
      <c r="I2138" s="6" t="s">
        <v>20</v>
      </c>
      <c r="J2138" s="6">
        <v>2017.0</v>
      </c>
      <c r="K2138" s="10">
        <v>46056.0</v>
      </c>
      <c r="L2138" s="6">
        <v>2.0</v>
      </c>
      <c r="M2138" s="8">
        <f t="shared" si="2"/>
        <v>0.06</v>
      </c>
      <c r="P2138" s="9"/>
    </row>
    <row r="2139">
      <c r="A2139" s="6" t="s">
        <v>4906</v>
      </c>
      <c r="B2139" s="6" t="s">
        <v>202</v>
      </c>
      <c r="C2139" s="6" t="s">
        <v>23</v>
      </c>
      <c r="D2139" s="6" t="s">
        <v>4907</v>
      </c>
      <c r="E2139" s="6" t="s">
        <v>118</v>
      </c>
      <c r="F2139" s="6" t="s">
        <v>51</v>
      </c>
      <c r="G2139" s="7">
        <v>0.09</v>
      </c>
      <c r="H2139" s="6" t="s">
        <v>1194</v>
      </c>
      <c r="I2139" s="6" t="s">
        <v>20</v>
      </c>
      <c r="J2139" s="6">
        <v>2023.0</v>
      </c>
      <c r="L2139" s="6">
        <v>1.0</v>
      </c>
      <c r="M2139" s="8">
        <f t="shared" si="2"/>
        <v>0.09</v>
      </c>
      <c r="P2139" s="9"/>
    </row>
    <row r="2140">
      <c r="A2140" s="6" t="s">
        <v>4908</v>
      </c>
      <c r="B2140" s="6" t="s">
        <v>4909</v>
      </c>
      <c r="C2140" s="6" t="s">
        <v>34</v>
      </c>
      <c r="D2140" s="6" t="s">
        <v>4910</v>
      </c>
      <c r="E2140" s="6" t="s">
        <v>1304</v>
      </c>
      <c r="F2140" s="6" t="s">
        <v>1732</v>
      </c>
      <c r="G2140" s="7">
        <v>0.03</v>
      </c>
      <c r="H2140" s="6" t="s">
        <v>483</v>
      </c>
      <c r="I2140" s="6" t="s">
        <v>20</v>
      </c>
      <c r="J2140" s="6">
        <v>2014.0</v>
      </c>
      <c r="K2140" s="10">
        <v>46023.0</v>
      </c>
      <c r="L2140" s="6">
        <v>5.0</v>
      </c>
      <c r="M2140" s="8">
        <f t="shared" si="2"/>
        <v>0.15</v>
      </c>
      <c r="P2140" s="9"/>
    </row>
    <row r="2141">
      <c r="A2141" s="6" t="s">
        <v>4911</v>
      </c>
      <c r="B2141" s="6" t="s">
        <v>182</v>
      </c>
      <c r="C2141" s="6" t="s">
        <v>23</v>
      </c>
      <c r="D2141" s="6" t="s">
        <v>4912</v>
      </c>
      <c r="E2141" s="6" t="s">
        <v>1001</v>
      </c>
      <c r="F2141" s="6" t="s">
        <v>65</v>
      </c>
      <c r="G2141" s="7">
        <v>1.31</v>
      </c>
      <c r="H2141" s="6" t="s">
        <v>2401</v>
      </c>
      <c r="I2141" s="6" t="s">
        <v>20</v>
      </c>
      <c r="J2141" s="6">
        <v>2018.0</v>
      </c>
      <c r="L2141" s="6">
        <v>1.0</v>
      </c>
      <c r="M2141" s="8">
        <f t="shared" si="2"/>
        <v>1.31</v>
      </c>
      <c r="P2141" s="9"/>
    </row>
    <row r="2142">
      <c r="A2142" s="6" t="s">
        <v>4913</v>
      </c>
      <c r="B2142" s="6" t="s">
        <v>2209</v>
      </c>
      <c r="C2142" s="6" t="s">
        <v>48</v>
      </c>
      <c r="D2142" s="6" t="s">
        <v>4914</v>
      </c>
      <c r="E2142" s="6" t="s">
        <v>4123</v>
      </c>
      <c r="F2142" s="6" t="s">
        <v>284</v>
      </c>
      <c r="G2142" s="7">
        <v>0.05</v>
      </c>
      <c r="H2142" s="6" t="s">
        <v>626</v>
      </c>
      <c r="I2142" s="6" t="s">
        <v>20</v>
      </c>
      <c r="J2142" s="6">
        <v>2013.0</v>
      </c>
      <c r="K2142" s="10">
        <v>46056.0</v>
      </c>
      <c r="L2142" s="6">
        <v>4.0</v>
      </c>
      <c r="M2142" s="8">
        <f t="shared" si="2"/>
        <v>0.2</v>
      </c>
      <c r="P2142" s="9"/>
    </row>
    <row r="2143">
      <c r="A2143" s="6" t="s">
        <v>4915</v>
      </c>
      <c r="B2143" s="6" t="s">
        <v>182</v>
      </c>
      <c r="C2143" s="6" t="s">
        <v>23</v>
      </c>
      <c r="D2143" s="6" t="s">
        <v>4916</v>
      </c>
      <c r="E2143" s="6" t="s">
        <v>238</v>
      </c>
      <c r="F2143" s="6" t="s">
        <v>159</v>
      </c>
      <c r="G2143" s="7">
        <v>0.1</v>
      </c>
      <c r="H2143" s="6" t="s">
        <v>509</v>
      </c>
      <c r="I2143" s="6" t="s">
        <v>20</v>
      </c>
      <c r="J2143" s="6">
        <v>2024.0</v>
      </c>
      <c r="L2143" s="6">
        <v>1.0</v>
      </c>
      <c r="M2143" s="8">
        <f t="shared" si="2"/>
        <v>0.1</v>
      </c>
      <c r="P2143" s="9"/>
    </row>
    <row r="2144">
      <c r="A2144" s="6" t="s">
        <v>4917</v>
      </c>
      <c r="B2144" s="6" t="s">
        <v>561</v>
      </c>
      <c r="C2144" s="6" t="s">
        <v>23</v>
      </c>
      <c r="D2144" s="6" t="s">
        <v>4918</v>
      </c>
      <c r="E2144" s="6" t="s">
        <v>25</v>
      </c>
      <c r="F2144" s="6" t="s">
        <v>18</v>
      </c>
      <c r="G2144" s="7">
        <v>0.09</v>
      </c>
      <c r="H2144" s="6" t="s">
        <v>663</v>
      </c>
      <c r="I2144" s="6" t="s">
        <v>20</v>
      </c>
      <c r="J2144" s="6">
        <v>2023.0</v>
      </c>
      <c r="K2144" s="10">
        <v>46082.0</v>
      </c>
      <c r="L2144" s="6">
        <v>1.0</v>
      </c>
      <c r="M2144" s="8">
        <f t="shared" si="2"/>
        <v>0.09</v>
      </c>
      <c r="P2144" s="9"/>
    </row>
    <row r="2145">
      <c r="A2145" s="6" t="s">
        <v>4919</v>
      </c>
      <c r="B2145" s="6" t="s">
        <v>62</v>
      </c>
      <c r="C2145" s="6" t="s">
        <v>41</v>
      </c>
      <c r="D2145" s="6" t="s">
        <v>4920</v>
      </c>
      <c r="E2145" s="6" t="s">
        <v>153</v>
      </c>
      <c r="F2145" s="6" t="s">
        <v>103</v>
      </c>
      <c r="G2145" s="7">
        <v>0.8</v>
      </c>
      <c r="H2145" s="6" t="s">
        <v>4921</v>
      </c>
      <c r="I2145" s="6" t="s">
        <v>20</v>
      </c>
      <c r="J2145" s="6">
        <v>2022.0</v>
      </c>
      <c r="L2145" s="6">
        <v>1.0</v>
      </c>
      <c r="M2145" s="8">
        <f t="shared" si="2"/>
        <v>0.8</v>
      </c>
      <c r="P2145" s="9"/>
    </row>
    <row r="2146">
      <c r="A2146" s="6" t="s">
        <v>4922</v>
      </c>
      <c r="B2146" s="6" t="s">
        <v>4923</v>
      </c>
      <c r="C2146" s="6" t="s">
        <v>23</v>
      </c>
      <c r="D2146" s="6" t="s">
        <v>4924</v>
      </c>
      <c r="E2146" s="6" t="s">
        <v>611</v>
      </c>
      <c r="F2146" s="6" t="s">
        <v>103</v>
      </c>
      <c r="G2146" s="7">
        <v>0.06</v>
      </c>
      <c r="H2146" s="6" t="s">
        <v>93</v>
      </c>
      <c r="I2146" s="6" t="s">
        <v>20</v>
      </c>
      <c r="J2146" s="6">
        <v>2016.0</v>
      </c>
      <c r="K2146" s="10">
        <v>46086.0</v>
      </c>
      <c r="L2146" s="6">
        <v>1.0</v>
      </c>
      <c r="M2146" s="8">
        <f t="shared" si="2"/>
        <v>0.06</v>
      </c>
      <c r="P2146" s="9"/>
    </row>
    <row r="2147">
      <c r="A2147" s="6" t="s">
        <v>4925</v>
      </c>
      <c r="B2147" s="6" t="s">
        <v>194</v>
      </c>
      <c r="C2147" s="6" t="s">
        <v>23</v>
      </c>
      <c r="D2147" s="6" t="s">
        <v>4926</v>
      </c>
      <c r="E2147" s="6" t="s">
        <v>153</v>
      </c>
      <c r="F2147" s="6" t="s">
        <v>103</v>
      </c>
      <c r="G2147" s="7">
        <v>0.02</v>
      </c>
      <c r="H2147" s="6" t="s">
        <v>31</v>
      </c>
      <c r="I2147" s="6" t="s">
        <v>20</v>
      </c>
      <c r="J2147" s="6">
        <v>2026.0</v>
      </c>
      <c r="L2147" s="6">
        <v>1.0</v>
      </c>
      <c r="M2147" s="8">
        <f t="shared" si="2"/>
        <v>0.02</v>
      </c>
      <c r="P2147" s="9"/>
    </row>
    <row r="2148">
      <c r="A2148" s="6" t="s">
        <v>4927</v>
      </c>
      <c r="B2148" s="6" t="s">
        <v>796</v>
      </c>
      <c r="C2148" s="6" t="s">
        <v>34</v>
      </c>
      <c r="D2148" s="6" t="s">
        <v>4928</v>
      </c>
      <c r="E2148" s="6" t="s">
        <v>2028</v>
      </c>
      <c r="F2148" s="6" t="s">
        <v>103</v>
      </c>
      <c r="G2148" s="7">
        <v>0.03</v>
      </c>
      <c r="H2148" s="6" t="s">
        <v>38</v>
      </c>
      <c r="I2148" s="6" t="s">
        <v>20</v>
      </c>
      <c r="J2148" s="6">
        <v>2026.0</v>
      </c>
      <c r="L2148" s="6">
        <v>1.0</v>
      </c>
      <c r="M2148" s="8">
        <f t="shared" si="2"/>
        <v>0.03</v>
      </c>
      <c r="P2148" s="9"/>
    </row>
    <row r="2149">
      <c r="A2149" s="6" t="s">
        <v>4929</v>
      </c>
      <c r="B2149" s="6" t="s">
        <v>796</v>
      </c>
      <c r="C2149" s="6" t="s">
        <v>15</v>
      </c>
      <c r="D2149" s="6" t="s">
        <v>4930</v>
      </c>
      <c r="E2149" s="6" t="s">
        <v>2535</v>
      </c>
      <c r="F2149" s="6" t="s">
        <v>18</v>
      </c>
      <c r="G2149" s="7">
        <v>0.08</v>
      </c>
      <c r="H2149" s="6" t="s">
        <v>483</v>
      </c>
      <c r="I2149" s="6" t="s">
        <v>20</v>
      </c>
      <c r="J2149" s="6">
        <v>2014.0</v>
      </c>
      <c r="L2149" s="6">
        <v>1.0</v>
      </c>
      <c r="M2149" s="8">
        <f t="shared" si="2"/>
        <v>0.08</v>
      </c>
      <c r="P2149" s="9"/>
    </row>
    <row r="2150">
      <c r="A2150" s="6" t="s">
        <v>4931</v>
      </c>
      <c r="B2150" s="6" t="s">
        <v>182</v>
      </c>
      <c r="C2150" s="6" t="s">
        <v>41</v>
      </c>
      <c r="D2150" s="6" t="s">
        <v>4932</v>
      </c>
      <c r="E2150" s="6" t="s">
        <v>602</v>
      </c>
      <c r="F2150" s="6" t="s">
        <v>159</v>
      </c>
      <c r="G2150" s="7">
        <v>0.5</v>
      </c>
      <c r="H2150" s="6" t="s">
        <v>265</v>
      </c>
      <c r="I2150" s="6" t="s">
        <v>20</v>
      </c>
      <c r="J2150" s="6">
        <v>2017.0</v>
      </c>
      <c r="L2150" s="6">
        <v>1.0</v>
      </c>
      <c r="M2150" s="8">
        <f t="shared" si="2"/>
        <v>0.5</v>
      </c>
      <c r="P2150" s="9"/>
    </row>
    <row r="2151">
      <c r="A2151" s="6" t="s">
        <v>4933</v>
      </c>
      <c r="B2151" s="6" t="s">
        <v>4934</v>
      </c>
      <c r="C2151" s="6" t="s">
        <v>48</v>
      </c>
      <c r="D2151" s="6" t="s">
        <v>4935</v>
      </c>
      <c r="E2151" s="6" t="s">
        <v>4936</v>
      </c>
      <c r="F2151" s="6" t="s">
        <v>986</v>
      </c>
      <c r="G2151" s="7">
        <v>0.11</v>
      </c>
      <c r="H2151" s="6" t="s">
        <v>641</v>
      </c>
      <c r="I2151" s="6" t="s">
        <v>20</v>
      </c>
      <c r="J2151" s="6">
        <v>2026.0</v>
      </c>
      <c r="K2151" s="10">
        <v>46209.0</v>
      </c>
      <c r="L2151" s="6">
        <v>1.0</v>
      </c>
      <c r="M2151" s="8">
        <f t="shared" si="2"/>
        <v>0.11</v>
      </c>
      <c r="P2151" s="9"/>
    </row>
    <row r="2152">
      <c r="A2152" s="6" t="s">
        <v>4937</v>
      </c>
      <c r="B2152" s="6" t="s">
        <v>57</v>
      </c>
      <c r="C2152" s="6" t="s">
        <v>23</v>
      </c>
      <c r="D2152" s="6" t="s">
        <v>4938</v>
      </c>
      <c r="E2152" s="6" t="s">
        <v>64</v>
      </c>
      <c r="F2152" s="6" t="s">
        <v>65</v>
      </c>
      <c r="G2152" s="7">
        <v>0.06</v>
      </c>
      <c r="H2152" s="6" t="s">
        <v>45</v>
      </c>
      <c r="I2152" s="6" t="s">
        <v>20</v>
      </c>
      <c r="J2152" s="6">
        <v>2025.0</v>
      </c>
      <c r="L2152" s="6">
        <v>3.0</v>
      </c>
      <c r="M2152" s="8">
        <f t="shared" si="2"/>
        <v>0.18</v>
      </c>
      <c r="P2152" s="9"/>
    </row>
    <row r="2153">
      <c r="A2153" s="6" t="s">
        <v>4939</v>
      </c>
      <c r="B2153" s="6" t="s">
        <v>62</v>
      </c>
      <c r="C2153" s="6" t="s">
        <v>23</v>
      </c>
      <c r="D2153" s="6" t="s">
        <v>4940</v>
      </c>
      <c r="E2153" s="6" t="s">
        <v>4941</v>
      </c>
      <c r="F2153" s="6" t="s">
        <v>103</v>
      </c>
      <c r="G2153" s="7">
        <v>0.09</v>
      </c>
      <c r="H2153" s="6" t="s">
        <v>245</v>
      </c>
      <c r="I2153" s="6" t="s">
        <v>20</v>
      </c>
      <c r="J2153" s="6">
        <v>1995.0</v>
      </c>
      <c r="L2153" s="6">
        <v>1.0</v>
      </c>
      <c r="M2153" s="8">
        <f t="shared" si="2"/>
        <v>0.09</v>
      </c>
      <c r="P2153" s="9"/>
    </row>
    <row r="2154">
      <c r="A2154" s="6" t="s">
        <v>4939</v>
      </c>
      <c r="B2154" s="6" t="s">
        <v>62</v>
      </c>
      <c r="C2154" s="6" t="s">
        <v>23</v>
      </c>
      <c r="D2154" s="6" t="s">
        <v>4940</v>
      </c>
      <c r="E2154" s="6" t="s">
        <v>4941</v>
      </c>
      <c r="F2154" s="6" t="s">
        <v>103</v>
      </c>
      <c r="G2154" s="7">
        <v>0.08</v>
      </c>
      <c r="H2154" s="6" t="s">
        <v>109</v>
      </c>
      <c r="I2154" s="6" t="s">
        <v>20</v>
      </c>
      <c r="J2154" s="6">
        <v>1994.0</v>
      </c>
      <c r="L2154" s="6">
        <v>2.0</v>
      </c>
      <c r="M2154" s="8">
        <f t="shared" si="2"/>
        <v>0.16</v>
      </c>
      <c r="P2154" s="9"/>
    </row>
    <row r="2155">
      <c r="A2155" s="6" t="s">
        <v>4939</v>
      </c>
      <c r="B2155" s="6" t="s">
        <v>62</v>
      </c>
      <c r="C2155" s="6" t="s">
        <v>23</v>
      </c>
      <c r="D2155" s="6" t="s">
        <v>4940</v>
      </c>
      <c r="E2155" s="6" t="s">
        <v>4941</v>
      </c>
      <c r="F2155" s="6" t="s">
        <v>103</v>
      </c>
      <c r="G2155" s="7">
        <v>0.2</v>
      </c>
      <c r="H2155" s="6" t="s">
        <v>1382</v>
      </c>
      <c r="I2155" s="6" t="s">
        <v>20</v>
      </c>
      <c r="J2155" s="6">
        <v>1993.0</v>
      </c>
      <c r="L2155" s="6">
        <v>2.0</v>
      </c>
      <c r="M2155" s="8">
        <f t="shared" si="2"/>
        <v>0.4</v>
      </c>
      <c r="P2155" s="9"/>
    </row>
    <row r="2156">
      <c r="A2156" s="6" t="s">
        <v>4939</v>
      </c>
      <c r="B2156" s="6" t="s">
        <v>62</v>
      </c>
      <c r="C2156" s="6" t="s">
        <v>23</v>
      </c>
      <c r="D2156" s="6" t="s">
        <v>4940</v>
      </c>
      <c r="E2156" s="6" t="s">
        <v>4941</v>
      </c>
      <c r="F2156" s="6" t="s">
        <v>103</v>
      </c>
      <c r="G2156" s="7">
        <v>0.17</v>
      </c>
      <c r="H2156" s="6" t="s">
        <v>607</v>
      </c>
      <c r="I2156" s="6" t="s">
        <v>20</v>
      </c>
      <c r="J2156" s="6">
        <v>1994.0</v>
      </c>
      <c r="L2156" s="6">
        <v>1.0</v>
      </c>
      <c r="M2156" s="8">
        <f t="shared" si="2"/>
        <v>0.17</v>
      </c>
      <c r="P2156" s="9"/>
    </row>
    <row r="2157">
      <c r="A2157" s="6" t="s">
        <v>4942</v>
      </c>
      <c r="B2157" s="6" t="s">
        <v>182</v>
      </c>
      <c r="C2157" s="6" t="s">
        <v>48</v>
      </c>
      <c r="D2157" s="6" t="s">
        <v>4943</v>
      </c>
      <c r="E2157" s="6" t="s">
        <v>941</v>
      </c>
      <c r="F2157" s="6" t="s">
        <v>159</v>
      </c>
      <c r="G2157" s="7">
        <v>0.09</v>
      </c>
      <c r="H2157" s="6" t="s">
        <v>154</v>
      </c>
      <c r="I2157" s="6" t="s">
        <v>20</v>
      </c>
      <c r="J2157" s="6">
        <v>2013.0</v>
      </c>
      <c r="L2157" s="6">
        <v>1.0</v>
      </c>
      <c r="M2157" s="8">
        <f t="shared" si="2"/>
        <v>0.09</v>
      </c>
      <c r="P2157" s="9"/>
    </row>
    <row r="2158">
      <c r="A2158" s="6" t="s">
        <v>4944</v>
      </c>
      <c r="B2158" s="6" t="s">
        <v>4945</v>
      </c>
      <c r="C2158" s="6" t="s">
        <v>23</v>
      </c>
      <c r="D2158" s="6" t="s">
        <v>4946</v>
      </c>
      <c r="E2158" s="6" t="s">
        <v>30</v>
      </c>
      <c r="F2158" s="6" t="s">
        <v>18</v>
      </c>
      <c r="G2158" s="7">
        <v>0.05</v>
      </c>
      <c r="H2158" s="6" t="s">
        <v>324</v>
      </c>
      <c r="I2158" s="6" t="s">
        <v>20</v>
      </c>
      <c r="J2158" s="6">
        <v>2025.0</v>
      </c>
      <c r="K2158" s="10">
        <v>46115.0</v>
      </c>
      <c r="L2158" s="6">
        <v>1.0</v>
      </c>
      <c r="M2158" s="8">
        <f t="shared" si="2"/>
        <v>0.05</v>
      </c>
      <c r="P2158" s="9"/>
    </row>
    <row r="2159">
      <c r="A2159" s="6" t="s">
        <v>4947</v>
      </c>
      <c r="B2159" s="6" t="s">
        <v>250</v>
      </c>
      <c r="C2159" s="6" t="s">
        <v>449</v>
      </c>
      <c r="D2159" s="6" t="s">
        <v>4948</v>
      </c>
      <c r="E2159" s="6" t="s">
        <v>36</v>
      </c>
      <c r="F2159" s="6" t="s">
        <v>452</v>
      </c>
      <c r="G2159" s="7">
        <v>11.99</v>
      </c>
      <c r="H2159" s="6" t="s">
        <v>3167</v>
      </c>
      <c r="I2159" s="6" t="s">
        <v>20</v>
      </c>
      <c r="J2159" s="6">
        <v>1997.0</v>
      </c>
      <c r="L2159" s="6">
        <v>1.0</v>
      </c>
      <c r="M2159" s="8">
        <f t="shared" si="2"/>
        <v>11.99</v>
      </c>
      <c r="P2159" s="9"/>
    </row>
    <row r="2160">
      <c r="A2160" s="6" t="s">
        <v>4949</v>
      </c>
      <c r="B2160" s="6" t="s">
        <v>796</v>
      </c>
      <c r="C2160" s="6" t="s">
        <v>34</v>
      </c>
      <c r="D2160" s="6" t="s">
        <v>4950</v>
      </c>
      <c r="E2160" s="6" t="s">
        <v>1129</v>
      </c>
      <c r="F2160" s="6" t="s">
        <v>18</v>
      </c>
      <c r="G2160" s="7">
        <v>0.03</v>
      </c>
      <c r="H2160" s="6" t="s">
        <v>483</v>
      </c>
      <c r="I2160" s="6" t="s">
        <v>20</v>
      </c>
      <c r="J2160" s="6">
        <v>2014.0</v>
      </c>
      <c r="L2160" s="6">
        <v>6.0</v>
      </c>
      <c r="M2160" s="8">
        <f t="shared" si="2"/>
        <v>0.18</v>
      </c>
      <c r="P2160" s="9"/>
    </row>
    <row r="2161">
      <c r="A2161" s="6" t="s">
        <v>4951</v>
      </c>
      <c r="B2161" s="6" t="s">
        <v>1929</v>
      </c>
      <c r="C2161" s="6" t="s">
        <v>23</v>
      </c>
      <c r="E2161" s="6" t="s">
        <v>533</v>
      </c>
      <c r="F2161" s="6" t="s">
        <v>65</v>
      </c>
      <c r="G2161" s="7">
        <v>0.05</v>
      </c>
      <c r="H2161" s="6" t="s">
        <v>93</v>
      </c>
      <c r="I2161" s="6" t="s">
        <v>20</v>
      </c>
      <c r="J2161" s="6">
        <v>2016.0</v>
      </c>
      <c r="K2161" s="10">
        <v>46058.0</v>
      </c>
      <c r="L2161" s="6">
        <v>1.0</v>
      </c>
      <c r="M2161" s="8">
        <f t="shared" si="2"/>
        <v>0.05</v>
      </c>
      <c r="P2161" s="9"/>
    </row>
    <row r="2162">
      <c r="A2162" s="6" t="s">
        <v>4951</v>
      </c>
      <c r="B2162" s="6" t="s">
        <v>1929</v>
      </c>
      <c r="C2162" s="6" t="s">
        <v>23</v>
      </c>
      <c r="E2162" s="6" t="s">
        <v>533</v>
      </c>
      <c r="F2162" s="6" t="s">
        <v>65</v>
      </c>
      <c r="G2162" s="7">
        <v>0.05</v>
      </c>
      <c r="H2162" s="6" t="s">
        <v>93</v>
      </c>
      <c r="I2162" s="6" t="s">
        <v>20</v>
      </c>
      <c r="J2162" s="6">
        <v>2016.0</v>
      </c>
      <c r="K2162" s="10">
        <v>46058.0</v>
      </c>
      <c r="L2162" s="6">
        <v>1.0</v>
      </c>
      <c r="M2162" s="8">
        <f t="shared" si="2"/>
        <v>0.05</v>
      </c>
      <c r="P2162" s="9"/>
    </row>
    <row r="2163">
      <c r="A2163" s="6" t="s">
        <v>4952</v>
      </c>
      <c r="B2163" s="6" t="s">
        <v>4953</v>
      </c>
      <c r="C2163" s="6" t="s">
        <v>41</v>
      </c>
      <c r="D2163" s="6" t="s">
        <v>4954</v>
      </c>
      <c r="E2163" s="6" t="s">
        <v>2520</v>
      </c>
      <c r="F2163" s="6" t="s">
        <v>18</v>
      </c>
      <c r="G2163" s="7">
        <v>28.8</v>
      </c>
      <c r="H2163" s="6" t="s">
        <v>114</v>
      </c>
      <c r="I2163" s="6" t="s">
        <v>20</v>
      </c>
      <c r="J2163" s="6">
        <v>2021.0</v>
      </c>
      <c r="K2163" s="10">
        <v>46241.0</v>
      </c>
      <c r="L2163" s="6">
        <v>1.0</v>
      </c>
      <c r="M2163" s="8">
        <f t="shared" si="2"/>
        <v>28.8</v>
      </c>
      <c r="P2163" s="9"/>
    </row>
    <row r="2164">
      <c r="A2164" s="6" t="s">
        <v>4955</v>
      </c>
      <c r="B2164" s="6" t="s">
        <v>4956</v>
      </c>
      <c r="C2164" s="6" t="s">
        <v>34</v>
      </c>
      <c r="D2164" s="6" t="s">
        <v>4957</v>
      </c>
      <c r="E2164" s="6" t="s">
        <v>167</v>
      </c>
      <c r="F2164" s="6" t="s">
        <v>103</v>
      </c>
      <c r="G2164" s="7">
        <v>0.05</v>
      </c>
      <c r="H2164" s="6" t="s">
        <v>1043</v>
      </c>
      <c r="I2164" s="6" t="s">
        <v>20</v>
      </c>
      <c r="J2164" s="6">
        <v>2025.0</v>
      </c>
      <c r="K2164" s="10">
        <v>46023.0</v>
      </c>
      <c r="L2164" s="6">
        <v>2.0</v>
      </c>
      <c r="M2164" s="8">
        <f t="shared" si="2"/>
        <v>0.1</v>
      </c>
      <c r="P2164" s="9"/>
    </row>
    <row r="2165">
      <c r="A2165" s="6" t="s">
        <v>4958</v>
      </c>
      <c r="B2165" s="6" t="s">
        <v>62</v>
      </c>
      <c r="C2165" s="6" t="s">
        <v>48</v>
      </c>
      <c r="D2165" s="6" t="s">
        <v>4959</v>
      </c>
      <c r="E2165" s="6" t="s">
        <v>573</v>
      </c>
      <c r="F2165" s="6" t="s">
        <v>51</v>
      </c>
      <c r="G2165" s="7">
        <v>0.06</v>
      </c>
      <c r="H2165" s="6" t="s">
        <v>93</v>
      </c>
      <c r="I2165" s="6" t="s">
        <v>20</v>
      </c>
      <c r="J2165" s="6">
        <v>2016.0</v>
      </c>
      <c r="L2165" s="6">
        <v>1.0</v>
      </c>
      <c r="M2165" s="8">
        <f t="shared" si="2"/>
        <v>0.06</v>
      </c>
      <c r="P2165" s="9"/>
    </row>
    <row r="2166">
      <c r="A2166" s="6" t="s">
        <v>4960</v>
      </c>
      <c r="B2166" s="6" t="s">
        <v>2846</v>
      </c>
      <c r="C2166" s="6" t="s">
        <v>15</v>
      </c>
      <c r="D2166" s="6" t="s">
        <v>4961</v>
      </c>
      <c r="E2166" s="6" t="s">
        <v>4962</v>
      </c>
      <c r="F2166" s="6" t="s">
        <v>159</v>
      </c>
      <c r="G2166" s="7">
        <v>0.03</v>
      </c>
      <c r="H2166" s="6" t="s">
        <v>483</v>
      </c>
      <c r="I2166" s="6" t="s">
        <v>55</v>
      </c>
      <c r="J2166" s="6">
        <v>2014.0</v>
      </c>
      <c r="K2166" s="10">
        <v>46147.0</v>
      </c>
      <c r="L2166" s="6">
        <v>3.0</v>
      </c>
      <c r="M2166" s="8">
        <f t="shared" si="2"/>
        <v>0.09</v>
      </c>
      <c r="P2166" s="9"/>
    </row>
    <row r="2167">
      <c r="A2167" s="6" t="s">
        <v>4963</v>
      </c>
      <c r="B2167" s="6" t="s">
        <v>1141</v>
      </c>
      <c r="C2167" s="6" t="s">
        <v>41</v>
      </c>
      <c r="D2167" s="6" t="s">
        <v>4964</v>
      </c>
      <c r="E2167" s="6" t="s">
        <v>395</v>
      </c>
      <c r="F2167" s="6" t="s">
        <v>51</v>
      </c>
      <c r="G2167" s="7">
        <v>0.1</v>
      </c>
      <c r="H2167" s="6" t="s">
        <v>626</v>
      </c>
      <c r="I2167" s="6" t="s">
        <v>20</v>
      </c>
      <c r="J2167" s="6">
        <v>2013.0</v>
      </c>
      <c r="K2167" s="10">
        <v>46145.0</v>
      </c>
      <c r="L2167" s="6">
        <v>1.0</v>
      </c>
      <c r="M2167" s="8">
        <f t="shared" si="2"/>
        <v>0.1</v>
      </c>
      <c r="P2167" s="9"/>
    </row>
    <row r="2168">
      <c r="A2168" s="6" t="s">
        <v>4965</v>
      </c>
      <c r="B2168" s="6" t="s">
        <v>4966</v>
      </c>
      <c r="C2168" s="6" t="s">
        <v>23</v>
      </c>
      <c r="D2168" s="6" t="s">
        <v>4967</v>
      </c>
      <c r="E2168" s="6" t="s">
        <v>298</v>
      </c>
      <c r="F2168" s="6" t="s">
        <v>159</v>
      </c>
      <c r="G2168" s="7">
        <v>0.06</v>
      </c>
      <c r="H2168" s="6" t="s">
        <v>204</v>
      </c>
      <c r="I2168" s="6" t="s">
        <v>20</v>
      </c>
      <c r="J2168" s="6">
        <v>2026.0</v>
      </c>
      <c r="K2168" s="10">
        <v>46115.0</v>
      </c>
      <c r="L2168" s="6">
        <v>2.0</v>
      </c>
      <c r="M2168" s="8">
        <f t="shared" si="2"/>
        <v>0.12</v>
      </c>
      <c r="P2168" s="9"/>
    </row>
    <row r="2169">
      <c r="A2169" s="6" t="s">
        <v>4968</v>
      </c>
      <c r="B2169" s="6" t="s">
        <v>1449</v>
      </c>
      <c r="C2169" s="6" t="s">
        <v>23</v>
      </c>
      <c r="D2169" s="6" t="s">
        <v>4969</v>
      </c>
      <c r="E2169" s="6" t="s">
        <v>270</v>
      </c>
      <c r="F2169" s="6" t="s">
        <v>159</v>
      </c>
      <c r="G2169" s="7">
        <v>0.06</v>
      </c>
      <c r="H2169" s="6" t="s">
        <v>1519</v>
      </c>
      <c r="I2169" s="6" t="s">
        <v>20</v>
      </c>
      <c r="J2169" s="6">
        <v>2005.0</v>
      </c>
      <c r="K2169" s="10">
        <v>46023.0</v>
      </c>
      <c r="L2169" s="6">
        <v>1.0</v>
      </c>
      <c r="M2169" s="8">
        <f t="shared" si="2"/>
        <v>0.06</v>
      </c>
      <c r="P2169" s="9"/>
    </row>
    <row r="2170">
      <c r="A2170" s="6" t="s">
        <v>4970</v>
      </c>
      <c r="B2170" s="6" t="s">
        <v>182</v>
      </c>
      <c r="C2170" s="6" t="s">
        <v>23</v>
      </c>
      <c r="D2170" s="6" t="s">
        <v>4971</v>
      </c>
      <c r="E2170" s="6" t="s">
        <v>298</v>
      </c>
      <c r="F2170" s="6" t="s">
        <v>159</v>
      </c>
      <c r="G2170" s="7">
        <v>0.03</v>
      </c>
      <c r="H2170" s="6" t="s">
        <v>316</v>
      </c>
      <c r="I2170" s="6" t="s">
        <v>20</v>
      </c>
      <c r="J2170" s="6">
        <v>2016.0</v>
      </c>
      <c r="L2170" s="6">
        <v>4.0</v>
      </c>
      <c r="M2170" s="8">
        <f t="shared" si="2"/>
        <v>0.12</v>
      </c>
      <c r="P2170" s="9"/>
    </row>
    <row r="2171">
      <c r="A2171" s="6" t="s">
        <v>4970</v>
      </c>
      <c r="B2171" s="6" t="s">
        <v>182</v>
      </c>
      <c r="C2171" s="6" t="s">
        <v>23</v>
      </c>
      <c r="D2171" s="6" t="s">
        <v>4971</v>
      </c>
      <c r="E2171" s="6" t="s">
        <v>298</v>
      </c>
      <c r="F2171" s="6" t="s">
        <v>159</v>
      </c>
      <c r="G2171" s="7">
        <v>0.04</v>
      </c>
      <c r="H2171" s="6" t="s">
        <v>154</v>
      </c>
      <c r="I2171" s="6" t="s">
        <v>20</v>
      </c>
      <c r="J2171" s="6">
        <v>2013.0</v>
      </c>
      <c r="L2171" s="6">
        <v>1.0</v>
      </c>
      <c r="M2171" s="8">
        <f t="shared" si="2"/>
        <v>0.04</v>
      </c>
      <c r="P2171" s="9"/>
    </row>
    <row r="2172">
      <c r="A2172" s="6" t="s">
        <v>4970</v>
      </c>
      <c r="B2172" s="6" t="s">
        <v>182</v>
      </c>
      <c r="C2172" s="6" t="s">
        <v>23</v>
      </c>
      <c r="D2172" s="6" t="s">
        <v>4971</v>
      </c>
      <c r="E2172" s="6" t="s">
        <v>298</v>
      </c>
      <c r="F2172" s="6" t="s">
        <v>159</v>
      </c>
      <c r="G2172" s="7">
        <v>0.03</v>
      </c>
      <c r="H2172" s="6" t="s">
        <v>875</v>
      </c>
      <c r="I2172" s="6" t="s">
        <v>20</v>
      </c>
      <c r="J2172" s="6">
        <v>2018.0</v>
      </c>
      <c r="L2172" s="6">
        <v>2.0</v>
      </c>
      <c r="M2172" s="8">
        <f t="shared" si="2"/>
        <v>0.06</v>
      </c>
      <c r="P2172" s="9"/>
    </row>
    <row r="2173">
      <c r="A2173" s="6" t="s">
        <v>4970</v>
      </c>
      <c r="B2173" s="6" t="s">
        <v>182</v>
      </c>
      <c r="C2173" s="6" t="s">
        <v>23</v>
      </c>
      <c r="D2173" s="6" t="s">
        <v>4971</v>
      </c>
      <c r="E2173" s="6" t="s">
        <v>298</v>
      </c>
      <c r="F2173" s="6" t="s">
        <v>159</v>
      </c>
      <c r="G2173" s="7">
        <v>0.03</v>
      </c>
      <c r="H2173" s="6" t="s">
        <v>875</v>
      </c>
      <c r="I2173" s="6" t="s">
        <v>20</v>
      </c>
      <c r="J2173" s="6">
        <v>2018.0</v>
      </c>
      <c r="L2173" s="6">
        <v>1.0</v>
      </c>
      <c r="M2173" s="8">
        <f t="shared" si="2"/>
        <v>0.03</v>
      </c>
      <c r="P2173" s="9"/>
    </row>
    <row r="2174">
      <c r="A2174" s="6" t="s">
        <v>4972</v>
      </c>
      <c r="B2174" s="6" t="s">
        <v>3542</v>
      </c>
      <c r="C2174" s="6" t="s">
        <v>48</v>
      </c>
      <c r="D2174" s="6" t="s">
        <v>4973</v>
      </c>
      <c r="E2174" s="6" t="s">
        <v>108</v>
      </c>
      <c r="F2174" s="6" t="s">
        <v>103</v>
      </c>
      <c r="G2174" s="7">
        <v>0.06</v>
      </c>
      <c r="H2174" s="6" t="s">
        <v>396</v>
      </c>
      <c r="I2174" s="6" t="s">
        <v>20</v>
      </c>
      <c r="J2174" s="6">
        <v>2007.0</v>
      </c>
      <c r="K2174" s="10">
        <v>46084.0</v>
      </c>
      <c r="L2174" s="6">
        <v>1.0</v>
      </c>
      <c r="M2174" s="8">
        <f t="shared" si="2"/>
        <v>0.06</v>
      </c>
      <c r="P2174" s="9"/>
    </row>
    <row r="2175">
      <c r="A2175" s="6" t="s">
        <v>4974</v>
      </c>
      <c r="B2175" s="6" t="s">
        <v>182</v>
      </c>
      <c r="C2175" s="6" t="s">
        <v>23</v>
      </c>
      <c r="D2175" s="6" t="s">
        <v>4975</v>
      </c>
      <c r="E2175" s="6" t="s">
        <v>298</v>
      </c>
      <c r="F2175" s="6" t="s">
        <v>159</v>
      </c>
      <c r="G2175" s="7">
        <v>0.18</v>
      </c>
      <c r="H2175" s="6" t="s">
        <v>239</v>
      </c>
      <c r="I2175" s="6" t="s">
        <v>20</v>
      </c>
      <c r="J2175" s="6">
        <v>2024.0</v>
      </c>
      <c r="L2175" s="6">
        <v>1.0</v>
      </c>
      <c r="M2175" s="8">
        <f t="shared" si="2"/>
        <v>0.18</v>
      </c>
      <c r="P2175" s="9"/>
    </row>
    <row r="2176">
      <c r="A2176" s="6" t="s">
        <v>4976</v>
      </c>
      <c r="B2176" s="6" t="s">
        <v>62</v>
      </c>
      <c r="C2176" s="6" t="s">
        <v>48</v>
      </c>
      <c r="D2176" s="6" t="s">
        <v>4977</v>
      </c>
      <c r="E2176" s="6" t="s">
        <v>270</v>
      </c>
      <c r="F2176" s="6" t="s">
        <v>159</v>
      </c>
      <c r="G2176" s="7">
        <v>1.99</v>
      </c>
      <c r="H2176" s="6" t="s">
        <v>163</v>
      </c>
      <c r="I2176" s="6" t="s">
        <v>20</v>
      </c>
      <c r="J2176" s="6">
        <v>2023.0</v>
      </c>
      <c r="L2176" s="6">
        <v>1.0</v>
      </c>
      <c r="M2176" s="8">
        <f t="shared" si="2"/>
        <v>1.99</v>
      </c>
      <c r="N2176" s="6" t="s">
        <v>172</v>
      </c>
      <c r="P2176" s="9"/>
    </row>
    <row r="2177">
      <c r="A2177" s="6" t="s">
        <v>4978</v>
      </c>
      <c r="B2177" s="6" t="s">
        <v>62</v>
      </c>
      <c r="C2177" s="6" t="s">
        <v>48</v>
      </c>
      <c r="D2177" s="6" t="s">
        <v>4979</v>
      </c>
      <c r="E2177" s="6" t="s">
        <v>298</v>
      </c>
      <c r="F2177" s="6" t="s">
        <v>159</v>
      </c>
      <c r="G2177" s="7">
        <v>0.04</v>
      </c>
      <c r="H2177" s="6" t="s">
        <v>1675</v>
      </c>
      <c r="I2177" s="6" t="s">
        <v>20</v>
      </c>
      <c r="J2177" s="6">
        <v>2021.0</v>
      </c>
      <c r="L2177" s="6">
        <v>1.0</v>
      </c>
      <c r="M2177" s="8">
        <f t="shared" si="2"/>
        <v>0.04</v>
      </c>
      <c r="P2177" s="9"/>
    </row>
    <row r="2178">
      <c r="A2178" s="6" t="s">
        <v>4980</v>
      </c>
      <c r="B2178" s="6" t="s">
        <v>62</v>
      </c>
      <c r="C2178" s="6" t="s">
        <v>48</v>
      </c>
      <c r="D2178" s="6" t="s">
        <v>4981</v>
      </c>
      <c r="E2178" s="6" t="s">
        <v>64</v>
      </c>
      <c r="F2178" s="6" t="s">
        <v>65</v>
      </c>
      <c r="G2178" s="7">
        <v>0.04</v>
      </c>
      <c r="H2178" s="6" t="s">
        <v>136</v>
      </c>
      <c r="I2178" s="6" t="s">
        <v>20</v>
      </c>
      <c r="J2178" s="6">
        <v>2022.0</v>
      </c>
      <c r="L2178" s="6">
        <v>2.0</v>
      </c>
      <c r="M2178" s="8">
        <f t="shared" si="2"/>
        <v>0.08</v>
      </c>
      <c r="P2178" s="9"/>
    </row>
    <row r="2179">
      <c r="A2179" s="6" t="s">
        <v>4982</v>
      </c>
      <c r="B2179" s="6" t="s">
        <v>4983</v>
      </c>
      <c r="C2179" s="6" t="s">
        <v>23</v>
      </c>
      <c r="E2179" s="6" t="s">
        <v>1001</v>
      </c>
      <c r="F2179" s="6" t="s">
        <v>65</v>
      </c>
      <c r="G2179" s="7">
        <v>0.05</v>
      </c>
      <c r="H2179" s="6" t="s">
        <v>119</v>
      </c>
      <c r="I2179" s="6" t="s">
        <v>20</v>
      </c>
      <c r="J2179" s="6">
        <v>1995.0</v>
      </c>
      <c r="K2179" s="10">
        <v>46083.0</v>
      </c>
      <c r="L2179" s="6">
        <v>3.0</v>
      </c>
      <c r="M2179" s="8">
        <f t="shared" si="2"/>
        <v>0.15</v>
      </c>
      <c r="P2179" s="9"/>
    </row>
    <row r="2180">
      <c r="A2180" s="6" t="s">
        <v>4982</v>
      </c>
      <c r="B2180" s="6" t="s">
        <v>4983</v>
      </c>
      <c r="C2180" s="6" t="s">
        <v>23</v>
      </c>
      <c r="E2180" s="6" t="s">
        <v>1001</v>
      </c>
      <c r="F2180" s="6" t="s">
        <v>65</v>
      </c>
      <c r="G2180" s="7">
        <v>0.08</v>
      </c>
      <c r="H2180" s="6" t="s">
        <v>120</v>
      </c>
      <c r="I2180" s="6" t="s">
        <v>20</v>
      </c>
      <c r="J2180" s="6">
        <v>1995.0</v>
      </c>
      <c r="K2180" s="10">
        <v>46083.0</v>
      </c>
      <c r="L2180" s="6">
        <v>4.0</v>
      </c>
      <c r="M2180" s="8">
        <f t="shared" si="2"/>
        <v>0.32</v>
      </c>
      <c r="P2180" s="9"/>
    </row>
    <row r="2181">
      <c r="A2181" s="6" t="s">
        <v>4982</v>
      </c>
      <c r="B2181" s="6" t="s">
        <v>4983</v>
      </c>
      <c r="C2181" s="6" t="s">
        <v>23</v>
      </c>
      <c r="E2181" s="6" t="s">
        <v>1001</v>
      </c>
      <c r="F2181" s="6" t="s">
        <v>65</v>
      </c>
      <c r="G2181" s="7">
        <v>0.1</v>
      </c>
      <c r="H2181" s="6" t="s">
        <v>607</v>
      </c>
      <c r="I2181" s="6" t="s">
        <v>20</v>
      </c>
      <c r="J2181" s="6">
        <v>1994.0</v>
      </c>
      <c r="K2181" s="10">
        <v>46083.0</v>
      </c>
      <c r="L2181" s="6">
        <v>1.0</v>
      </c>
      <c r="M2181" s="8">
        <f t="shared" si="2"/>
        <v>0.1</v>
      </c>
      <c r="P2181" s="9"/>
    </row>
    <row r="2182">
      <c r="A2182" s="6" t="s">
        <v>4984</v>
      </c>
      <c r="B2182" s="6" t="s">
        <v>1877</v>
      </c>
      <c r="C2182" s="6" t="s">
        <v>34</v>
      </c>
      <c r="D2182" s="6" t="s">
        <v>4985</v>
      </c>
      <c r="E2182" s="6" t="s">
        <v>4986</v>
      </c>
      <c r="F2182" s="6" t="s">
        <v>858</v>
      </c>
      <c r="G2182" s="7">
        <v>0.06</v>
      </c>
      <c r="H2182" s="6" t="s">
        <v>180</v>
      </c>
      <c r="I2182" s="6" t="s">
        <v>20</v>
      </c>
      <c r="J2182" s="6">
        <v>2014.0</v>
      </c>
      <c r="K2182" s="10">
        <v>46114.0</v>
      </c>
      <c r="L2182" s="6">
        <v>1.0</v>
      </c>
      <c r="M2182" s="8">
        <f t="shared" si="2"/>
        <v>0.06</v>
      </c>
      <c r="P2182" s="9"/>
    </row>
    <row r="2183">
      <c r="A2183" s="6" t="s">
        <v>4987</v>
      </c>
      <c r="B2183" s="6" t="s">
        <v>151</v>
      </c>
      <c r="C2183" s="6" t="s">
        <v>48</v>
      </c>
      <c r="D2183" s="6" t="s">
        <v>4988</v>
      </c>
      <c r="E2183" s="6" t="s">
        <v>611</v>
      </c>
      <c r="F2183" s="6" t="s">
        <v>103</v>
      </c>
      <c r="G2183" s="7">
        <v>0.05</v>
      </c>
      <c r="H2183" s="6" t="s">
        <v>245</v>
      </c>
      <c r="I2183" s="6" t="s">
        <v>20</v>
      </c>
      <c r="J2183" s="6">
        <v>1995.0</v>
      </c>
      <c r="K2183" s="10">
        <v>46085.0</v>
      </c>
      <c r="L2183" s="6">
        <v>1.0</v>
      </c>
      <c r="M2183" s="8">
        <f t="shared" si="2"/>
        <v>0.05</v>
      </c>
      <c r="P2183" s="9"/>
    </row>
    <row r="2184">
      <c r="A2184" s="6" t="s">
        <v>4989</v>
      </c>
      <c r="B2184" s="6" t="s">
        <v>592</v>
      </c>
      <c r="C2184" s="6" t="s">
        <v>23</v>
      </c>
      <c r="D2184" s="6" t="s">
        <v>4990</v>
      </c>
      <c r="E2184" s="6" t="s">
        <v>153</v>
      </c>
      <c r="F2184" s="6" t="s">
        <v>103</v>
      </c>
      <c r="G2184" s="7">
        <v>0.11</v>
      </c>
      <c r="H2184" s="6" t="s">
        <v>31</v>
      </c>
      <c r="I2184" s="6" t="s">
        <v>20</v>
      </c>
      <c r="J2184" s="6">
        <v>2026.0</v>
      </c>
      <c r="L2184" s="6">
        <v>1.0</v>
      </c>
      <c r="M2184" s="8">
        <f t="shared" si="2"/>
        <v>0.11</v>
      </c>
      <c r="P2184" s="9"/>
    </row>
    <row r="2185">
      <c r="A2185" s="6" t="s">
        <v>4991</v>
      </c>
      <c r="B2185" s="6" t="s">
        <v>4824</v>
      </c>
      <c r="C2185" s="6" t="s">
        <v>23</v>
      </c>
      <c r="D2185" s="6" t="s">
        <v>4992</v>
      </c>
      <c r="E2185" s="6" t="s">
        <v>149</v>
      </c>
      <c r="F2185" s="6" t="s">
        <v>18</v>
      </c>
      <c r="G2185" s="7">
        <v>0.09</v>
      </c>
      <c r="H2185" s="6" t="s">
        <v>31</v>
      </c>
      <c r="I2185" s="6" t="s">
        <v>20</v>
      </c>
      <c r="J2185" s="6">
        <v>2026.0</v>
      </c>
      <c r="K2185" s="10">
        <v>46083.0</v>
      </c>
      <c r="L2185" s="6">
        <v>1.0</v>
      </c>
      <c r="M2185" s="8">
        <f t="shared" si="2"/>
        <v>0.09</v>
      </c>
      <c r="P2185" s="9"/>
    </row>
    <row r="2186">
      <c r="A2186" s="6" t="s">
        <v>4993</v>
      </c>
      <c r="B2186" s="6" t="s">
        <v>2978</v>
      </c>
      <c r="C2186" s="6" t="s">
        <v>34</v>
      </c>
      <c r="D2186" s="6" t="s">
        <v>4994</v>
      </c>
      <c r="E2186" s="6" t="s">
        <v>852</v>
      </c>
      <c r="F2186" s="6" t="s">
        <v>18</v>
      </c>
      <c r="G2186" s="7">
        <v>0.13</v>
      </c>
      <c r="H2186" s="6" t="s">
        <v>38</v>
      </c>
      <c r="I2186" s="6" t="s">
        <v>20</v>
      </c>
      <c r="J2186" s="6">
        <v>2026.0</v>
      </c>
      <c r="K2186" s="10">
        <v>46083.0</v>
      </c>
      <c r="L2186" s="6">
        <v>1.0</v>
      </c>
      <c r="M2186" s="8">
        <f t="shared" si="2"/>
        <v>0.13</v>
      </c>
      <c r="P2186" s="9"/>
    </row>
    <row r="2187">
      <c r="A2187" s="6" t="s">
        <v>4995</v>
      </c>
      <c r="B2187" s="6" t="s">
        <v>2744</v>
      </c>
      <c r="C2187" s="6" t="s">
        <v>23</v>
      </c>
      <c r="D2187" s="6" t="s">
        <v>4996</v>
      </c>
      <c r="E2187" s="6" t="s">
        <v>149</v>
      </c>
      <c r="F2187" s="6" t="s">
        <v>18</v>
      </c>
      <c r="G2187" s="7">
        <v>0.04</v>
      </c>
      <c r="H2187" s="6" t="s">
        <v>204</v>
      </c>
      <c r="I2187" s="6" t="s">
        <v>20</v>
      </c>
      <c r="J2187" s="6">
        <v>2026.0</v>
      </c>
      <c r="K2187" s="10">
        <v>46082.0</v>
      </c>
      <c r="L2187" s="6">
        <v>4.0</v>
      </c>
      <c r="M2187" s="8">
        <f t="shared" si="2"/>
        <v>0.16</v>
      </c>
      <c r="P2187" s="9"/>
    </row>
    <row r="2188">
      <c r="A2188" s="6" t="s">
        <v>4995</v>
      </c>
      <c r="B2188" s="6" t="s">
        <v>2744</v>
      </c>
      <c r="C2188" s="6" t="s">
        <v>23</v>
      </c>
      <c r="D2188" s="6" t="s">
        <v>4996</v>
      </c>
      <c r="E2188" s="6" t="s">
        <v>149</v>
      </c>
      <c r="F2188" s="6" t="s">
        <v>18</v>
      </c>
      <c r="G2188" s="7">
        <v>0.2</v>
      </c>
      <c r="H2188" s="6" t="s">
        <v>204</v>
      </c>
      <c r="I2188" s="6" t="s">
        <v>55</v>
      </c>
      <c r="J2188" s="6">
        <v>2026.0</v>
      </c>
      <c r="K2188" s="10">
        <v>46082.0</v>
      </c>
      <c r="L2188" s="6">
        <v>1.0</v>
      </c>
      <c r="M2188" s="8">
        <f t="shared" si="2"/>
        <v>0.2</v>
      </c>
      <c r="P2188" s="9"/>
    </row>
    <row r="2189">
      <c r="A2189" s="6" t="s">
        <v>4997</v>
      </c>
      <c r="B2189" s="6" t="s">
        <v>62</v>
      </c>
      <c r="C2189" s="6" t="s">
        <v>23</v>
      </c>
      <c r="D2189" s="6" t="s">
        <v>4998</v>
      </c>
      <c r="E2189" s="6" t="s">
        <v>650</v>
      </c>
      <c r="F2189" s="6" t="s">
        <v>284</v>
      </c>
      <c r="G2189" s="7">
        <v>0.06</v>
      </c>
      <c r="H2189" s="6" t="s">
        <v>88</v>
      </c>
      <c r="I2189" s="6" t="s">
        <v>20</v>
      </c>
      <c r="J2189" s="6">
        <v>2013.0</v>
      </c>
      <c r="L2189" s="6">
        <v>1.0</v>
      </c>
      <c r="M2189" s="8">
        <f t="shared" si="2"/>
        <v>0.06</v>
      </c>
      <c r="P2189" s="9"/>
    </row>
    <row r="2190">
      <c r="A2190" s="6" t="s">
        <v>4997</v>
      </c>
      <c r="B2190" s="6" t="s">
        <v>62</v>
      </c>
      <c r="C2190" s="6" t="s">
        <v>23</v>
      </c>
      <c r="D2190" s="6" t="s">
        <v>4998</v>
      </c>
      <c r="E2190" s="6" t="s">
        <v>650</v>
      </c>
      <c r="F2190" s="6" t="s">
        <v>284</v>
      </c>
      <c r="G2190" s="7">
        <v>0.06</v>
      </c>
      <c r="H2190" s="6" t="s">
        <v>88</v>
      </c>
      <c r="I2190" s="6" t="s">
        <v>20</v>
      </c>
      <c r="J2190" s="6">
        <v>2013.0</v>
      </c>
      <c r="L2190" s="6">
        <v>1.0</v>
      </c>
      <c r="M2190" s="8">
        <f t="shared" si="2"/>
        <v>0.06</v>
      </c>
      <c r="P2190" s="9"/>
    </row>
    <row r="2191">
      <c r="A2191" s="6" t="s">
        <v>4999</v>
      </c>
      <c r="B2191" s="6" t="s">
        <v>62</v>
      </c>
      <c r="C2191" s="6" t="s">
        <v>48</v>
      </c>
      <c r="D2191" s="6" t="s">
        <v>5000</v>
      </c>
      <c r="E2191" s="6" t="s">
        <v>25</v>
      </c>
      <c r="F2191" s="6" t="s">
        <v>18</v>
      </c>
      <c r="G2191" s="7">
        <v>0.06</v>
      </c>
      <c r="H2191" s="6" t="s">
        <v>184</v>
      </c>
      <c r="I2191" s="6" t="s">
        <v>20</v>
      </c>
      <c r="J2191" s="6">
        <v>2015.0</v>
      </c>
      <c r="L2191" s="6">
        <v>1.0</v>
      </c>
      <c r="M2191" s="8">
        <f t="shared" si="2"/>
        <v>0.06</v>
      </c>
      <c r="P2191" s="9"/>
    </row>
    <row r="2192">
      <c r="A2192" s="6" t="s">
        <v>5001</v>
      </c>
      <c r="B2192" s="6" t="s">
        <v>5002</v>
      </c>
      <c r="C2192" s="6" t="s">
        <v>23</v>
      </c>
      <c r="E2192" s="6" t="s">
        <v>1005</v>
      </c>
      <c r="F2192" s="6" t="s">
        <v>65</v>
      </c>
      <c r="G2192" s="7">
        <v>0.03</v>
      </c>
      <c r="H2192" s="6" t="s">
        <v>562</v>
      </c>
      <c r="I2192" s="6" t="s">
        <v>20</v>
      </c>
      <c r="J2192" s="6">
        <v>2017.0</v>
      </c>
      <c r="K2192" s="10">
        <v>46115.0</v>
      </c>
      <c r="L2192" s="6">
        <v>4.0</v>
      </c>
      <c r="M2192" s="8">
        <f t="shared" si="2"/>
        <v>0.12</v>
      </c>
      <c r="P2192" s="9"/>
    </row>
    <row r="2193">
      <c r="A2193" s="6" t="s">
        <v>5003</v>
      </c>
      <c r="B2193" s="6" t="s">
        <v>165</v>
      </c>
      <c r="C2193" s="6" t="s">
        <v>15</v>
      </c>
      <c r="D2193" s="6" t="s">
        <v>5004</v>
      </c>
      <c r="E2193" s="6" t="s">
        <v>2621</v>
      </c>
      <c r="F2193" s="6" t="s">
        <v>103</v>
      </c>
      <c r="G2193" s="7">
        <v>0.2</v>
      </c>
      <c r="H2193" s="6" t="s">
        <v>1043</v>
      </c>
      <c r="I2193" s="6" t="s">
        <v>20</v>
      </c>
      <c r="J2193" s="6">
        <v>2025.0</v>
      </c>
      <c r="L2193" s="6">
        <v>2.0</v>
      </c>
      <c r="M2193" s="8">
        <f t="shared" si="2"/>
        <v>0.4</v>
      </c>
      <c r="P2193" s="9"/>
    </row>
    <row r="2194">
      <c r="A2194" s="6" t="s">
        <v>5005</v>
      </c>
      <c r="B2194" s="6" t="s">
        <v>62</v>
      </c>
      <c r="C2194" s="6" t="s">
        <v>48</v>
      </c>
      <c r="D2194" s="6" t="s">
        <v>5006</v>
      </c>
      <c r="E2194" s="6" t="s">
        <v>1139</v>
      </c>
      <c r="F2194" s="6" t="s">
        <v>60</v>
      </c>
      <c r="G2194" s="7">
        <v>0.1</v>
      </c>
      <c r="H2194" s="6" t="s">
        <v>2721</v>
      </c>
      <c r="I2194" s="6" t="s">
        <v>20</v>
      </c>
      <c r="J2194" s="6">
        <v>2024.0</v>
      </c>
      <c r="L2194" s="6">
        <v>1.0</v>
      </c>
      <c r="M2194" s="8">
        <f t="shared" si="2"/>
        <v>0.1</v>
      </c>
      <c r="P2194" s="9"/>
    </row>
    <row r="2195">
      <c r="A2195" s="6" t="s">
        <v>5007</v>
      </c>
      <c r="B2195" s="6" t="s">
        <v>2391</v>
      </c>
      <c r="C2195" s="6" t="s">
        <v>23</v>
      </c>
      <c r="D2195" s="6" t="s">
        <v>5008</v>
      </c>
      <c r="E2195" s="6" t="s">
        <v>270</v>
      </c>
      <c r="F2195" s="6" t="s">
        <v>159</v>
      </c>
      <c r="G2195" s="7">
        <v>0.36</v>
      </c>
      <c r="H2195" s="6" t="s">
        <v>526</v>
      </c>
      <c r="I2195" s="6" t="s">
        <v>55</v>
      </c>
      <c r="J2195" s="6">
        <v>2020.0</v>
      </c>
      <c r="K2195" s="10">
        <v>46084.0</v>
      </c>
      <c r="L2195" s="6">
        <v>1.0</v>
      </c>
      <c r="M2195" s="8">
        <f t="shared" si="2"/>
        <v>0.36</v>
      </c>
      <c r="P2195" s="9"/>
    </row>
    <row r="2196">
      <c r="A2196" s="6" t="s">
        <v>5007</v>
      </c>
      <c r="B2196" s="6" t="s">
        <v>2391</v>
      </c>
      <c r="C2196" s="6" t="s">
        <v>23</v>
      </c>
      <c r="D2196" s="6" t="s">
        <v>5008</v>
      </c>
      <c r="E2196" s="6" t="s">
        <v>270</v>
      </c>
      <c r="F2196" s="6" t="s">
        <v>159</v>
      </c>
      <c r="G2196" s="7">
        <v>0.06</v>
      </c>
      <c r="H2196" s="6" t="s">
        <v>526</v>
      </c>
      <c r="I2196" s="6" t="s">
        <v>20</v>
      </c>
      <c r="J2196" s="6">
        <v>2020.0</v>
      </c>
      <c r="K2196" s="10">
        <v>46084.0</v>
      </c>
      <c r="L2196" s="6">
        <v>1.0</v>
      </c>
      <c r="M2196" s="8">
        <f t="shared" si="2"/>
        <v>0.06</v>
      </c>
      <c r="P2196" s="9"/>
    </row>
    <row r="2197">
      <c r="A2197" s="6" t="s">
        <v>5009</v>
      </c>
      <c r="B2197" s="6" t="s">
        <v>62</v>
      </c>
      <c r="C2197" s="6" t="s">
        <v>23</v>
      </c>
      <c r="D2197" s="6" t="s">
        <v>5010</v>
      </c>
      <c r="E2197" s="6" t="s">
        <v>25</v>
      </c>
      <c r="F2197" s="6" t="s">
        <v>18</v>
      </c>
      <c r="G2197" s="7">
        <v>0.06</v>
      </c>
      <c r="H2197" s="6" t="s">
        <v>491</v>
      </c>
      <c r="I2197" s="6" t="s">
        <v>20</v>
      </c>
      <c r="J2197" s="6">
        <v>2011.0</v>
      </c>
      <c r="L2197" s="6">
        <v>1.0</v>
      </c>
      <c r="M2197" s="8">
        <f t="shared" si="2"/>
        <v>0.06</v>
      </c>
      <c r="P2197" s="9"/>
    </row>
    <row r="2198">
      <c r="A2198" s="6" t="s">
        <v>5011</v>
      </c>
      <c r="B2198" s="6" t="s">
        <v>796</v>
      </c>
      <c r="C2198" s="6" t="s">
        <v>34</v>
      </c>
      <c r="D2198" s="6" t="s">
        <v>5012</v>
      </c>
      <c r="E2198" s="6" t="s">
        <v>1767</v>
      </c>
      <c r="F2198" s="6" t="s">
        <v>18</v>
      </c>
      <c r="G2198" s="7">
        <v>0.13</v>
      </c>
      <c r="H2198" s="6" t="s">
        <v>38</v>
      </c>
      <c r="I2198" s="6" t="s">
        <v>20</v>
      </c>
      <c r="J2198" s="6">
        <v>2026.0</v>
      </c>
      <c r="L2198" s="6">
        <v>1.0</v>
      </c>
      <c r="M2198" s="8">
        <f t="shared" si="2"/>
        <v>0.13</v>
      </c>
      <c r="P2198" s="9"/>
    </row>
    <row r="2199">
      <c r="A2199" s="6" t="s">
        <v>5013</v>
      </c>
      <c r="B2199" s="6" t="s">
        <v>5014</v>
      </c>
      <c r="C2199" s="6" t="s">
        <v>41</v>
      </c>
      <c r="D2199" s="6" t="s">
        <v>5015</v>
      </c>
      <c r="E2199" s="6" t="s">
        <v>533</v>
      </c>
      <c r="F2199" s="6" t="s">
        <v>65</v>
      </c>
      <c r="G2199" s="7">
        <v>1.66</v>
      </c>
      <c r="H2199" s="6" t="s">
        <v>1246</v>
      </c>
      <c r="I2199" s="6" t="s">
        <v>20</v>
      </c>
      <c r="J2199" s="6">
        <v>2006.0</v>
      </c>
      <c r="K2199" s="10">
        <v>46056.0</v>
      </c>
      <c r="L2199" s="6">
        <v>1.0</v>
      </c>
      <c r="M2199" s="8">
        <f t="shared" si="2"/>
        <v>1.66</v>
      </c>
      <c r="P2199" s="9"/>
    </row>
    <row r="2200">
      <c r="A2200" s="6" t="s">
        <v>5016</v>
      </c>
      <c r="B2200" s="6" t="s">
        <v>5017</v>
      </c>
      <c r="C2200" s="6" t="s">
        <v>287</v>
      </c>
      <c r="D2200" s="6" t="s">
        <v>5018</v>
      </c>
      <c r="E2200" s="6" t="s">
        <v>175</v>
      </c>
      <c r="F2200" s="6" t="s">
        <v>51</v>
      </c>
      <c r="G2200" s="7">
        <v>0.18</v>
      </c>
      <c r="H2200" s="6" t="s">
        <v>252</v>
      </c>
      <c r="I2200" s="6" t="s">
        <v>20</v>
      </c>
      <c r="J2200" s="6">
        <v>1994.0</v>
      </c>
      <c r="K2200" s="10">
        <v>46023.0</v>
      </c>
      <c r="L2200" s="6">
        <v>1.0</v>
      </c>
      <c r="M2200" s="8">
        <f t="shared" si="2"/>
        <v>0.18</v>
      </c>
      <c r="P2200" s="9"/>
    </row>
    <row r="2201">
      <c r="A2201" s="6" t="s">
        <v>5016</v>
      </c>
      <c r="B2201" s="6" t="s">
        <v>5017</v>
      </c>
      <c r="C2201" s="6" t="s">
        <v>287</v>
      </c>
      <c r="D2201" s="6" t="s">
        <v>5018</v>
      </c>
      <c r="E2201" s="6" t="s">
        <v>175</v>
      </c>
      <c r="F2201" s="6" t="s">
        <v>51</v>
      </c>
      <c r="G2201" s="7">
        <v>0.1</v>
      </c>
      <c r="H2201" s="6" t="s">
        <v>252</v>
      </c>
      <c r="I2201" s="6" t="s">
        <v>20</v>
      </c>
      <c r="J2201" s="6">
        <v>1994.0</v>
      </c>
      <c r="K2201" s="10">
        <v>46023.0</v>
      </c>
      <c r="L2201" s="6">
        <v>1.0</v>
      </c>
      <c r="M2201" s="8">
        <f t="shared" si="2"/>
        <v>0.1</v>
      </c>
      <c r="P2201" s="9"/>
    </row>
    <row r="2202">
      <c r="A2202" s="6" t="s">
        <v>5019</v>
      </c>
      <c r="B2202" s="6" t="s">
        <v>5020</v>
      </c>
      <c r="C2202" s="6" t="s">
        <v>23</v>
      </c>
      <c r="D2202" s="6" t="s">
        <v>5021</v>
      </c>
      <c r="E2202" s="6" t="s">
        <v>175</v>
      </c>
      <c r="F2202" s="6" t="s">
        <v>51</v>
      </c>
      <c r="G2202" s="7">
        <v>0.18</v>
      </c>
      <c r="H2202" s="6" t="s">
        <v>252</v>
      </c>
      <c r="I2202" s="6" t="s">
        <v>20</v>
      </c>
      <c r="J2202" s="6">
        <v>1994.0</v>
      </c>
      <c r="K2202" s="10">
        <v>46023.0</v>
      </c>
      <c r="L2202" s="6">
        <v>1.0</v>
      </c>
      <c r="M2202" s="8">
        <f t="shared" si="2"/>
        <v>0.18</v>
      </c>
      <c r="P2202" s="9"/>
    </row>
    <row r="2203">
      <c r="A2203" s="6" t="s">
        <v>5022</v>
      </c>
      <c r="B2203" s="6" t="s">
        <v>5023</v>
      </c>
      <c r="C2203" s="6" t="s">
        <v>287</v>
      </c>
      <c r="D2203" s="6" t="s">
        <v>5024</v>
      </c>
      <c r="E2203" s="6" t="s">
        <v>175</v>
      </c>
      <c r="F2203" s="6" t="s">
        <v>51</v>
      </c>
      <c r="G2203" s="7">
        <v>0.24</v>
      </c>
      <c r="H2203" s="6" t="s">
        <v>252</v>
      </c>
      <c r="I2203" s="6" t="s">
        <v>20</v>
      </c>
      <c r="J2203" s="6">
        <v>1994.0</v>
      </c>
      <c r="K2203" s="6" t="s">
        <v>341</v>
      </c>
      <c r="L2203" s="6">
        <v>1.0</v>
      </c>
      <c r="M2203" s="8">
        <f t="shared" si="2"/>
        <v>0.24</v>
      </c>
      <c r="P2203" s="9"/>
    </row>
    <row r="2204">
      <c r="A2204" s="6" t="s">
        <v>5025</v>
      </c>
      <c r="B2204" s="6" t="s">
        <v>729</v>
      </c>
      <c r="C2204" s="6" t="s">
        <v>48</v>
      </c>
      <c r="D2204" s="6" t="s">
        <v>5026</v>
      </c>
      <c r="E2204" s="6" t="s">
        <v>573</v>
      </c>
      <c r="F2204" s="6" t="s">
        <v>51</v>
      </c>
      <c r="G2204" s="7">
        <v>0.23</v>
      </c>
      <c r="H2204" s="6" t="s">
        <v>252</v>
      </c>
      <c r="I2204" s="6" t="s">
        <v>20</v>
      </c>
      <c r="J2204" s="6">
        <v>1994.0</v>
      </c>
      <c r="K2204" s="10">
        <v>46114.0</v>
      </c>
      <c r="L2204" s="6">
        <v>2.0</v>
      </c>
      <c r="M2204" s="8">
        <f t="shared" si="2"/>
        <v>0.46</v>
      </c>
      <c r="P2204" s="9"/>
    </row>
    <row r="2205">
      <c r="A2205" s="6" t="s">
        <v>5027</v>
      </c>
      <c r="B2205" s="6" t="s">
        <v>726</v>
      </c>
      <c r="C2205" s="6" t="s">
        <v>23</v>
      </c>
      <c r="D2205" s="6" t="s">
        <v>5028</v>
      </c>
      <c r="E2205" s="6" t="s">
        <v>175</v>
      </c>
      <c r="F2205" s="6" t="s">
        <v>51</v>
      </c>
      <c r="G2205" s="7">
        <v>0.25</v>
      </c>
      <c r="H2205" s="6" t="s">
        <v>252</v>
      </c>
      <c r="I2205" s="6" t="s">
        <v>20</v>
      </c>
      <c r="J2205" s="6">
        <v>1994.0</v>
      </c>
      <c r="K2205" s="10">
        <v>46023.0</v>
      </c>
      <c r="L2205" s="6">
        <v>1.0</v>
      </c>
      <c r="M2205" s="8">
        <f t="shared" si="2"/>
        <v>0.25</v>
      </c>
      <c r="P2205" s="9"/>
    </row>
    <row r="2206">
      <c r="A2206" s="6" t="s">
        <v>5029</v>
      </c>
      <c r="B2206" s="6" t="s">
        <v>5017</v>
      </c>
      <c r="C2206" s="6" t="s">
        <v>287</v>
      </c>
      <c r="D2206" s="6" t="s">
        <v>5030</v>
      </c>
      <c r="E2206" s="6" t="s">
        <v>50</v>
      </c>
      <c r="F2206" s="6" t="s">
        <v>51</v>
      </c>
      <c r="G2206" s="7">
        <v>4.5</v>
      </c>
      <c r="H2206" s="6" t="s">
        <v>252</v>
      </c>
      <c r="I2206" s="6" t="s">
        <v>20</v>
      </c>
      <c r="J2206" s="6">
        <v>1994.0</v>
      </c>
      <c r="K2206" s="10">
        <v>46023.0</v>
      </c>
      <c r="L2206" s="6">
        <v>1.0</v>
      </c>
      <c r="M2206" s="8">
        <f t="shared" si="2"/>
        <v>4.5</v>
      </c>
      <c r="N2206" s="6" t="s">
        <v>172</v>
      </c>
      <c r="P2206" s="9"/>
    </row>
    <row r="2207">
      <c r="A2207" s="6" t="s">
        <v>5031</v>
      </c>
      <c r="B2207" s="6" t="s">
        <v>5032</v>
      </c>
      <c r="C2207" s="6" t="s">
        <v>23</v>
      </c>
      <c r="D2207" s="6" t="s">
        <v>5033</v>
      </c>
      <c r="E2207" s="6" t="s">
        <v>5034</v>
      </c>
      <c r="F2207" s="6" t="s">
        <v>215</v>
      </c>
      <c r="G2207" s="7">
        <v>0.14</v>
      </c>
      <c r="H2207" s="6" t="s">
        <v>192</v>
      </c>
      <c r="I2207" s="6" t="s">
        <v>20</v>
      </c>
      <c r="J2207" s="6">
        <v>2026.0</v>
      </c>
      <c r="K2207" s="10">
        <v>46082.0</v>
      </c>
      <c r="L2207" s="6">
        <v>3.0</v>
      </c>
      <c r="M2207" s="8">
        <f t="shared" si="2"/>
        <v>0.42</v>
      </c>
      <c r="P2207" s="9"/>
    </row>
    <row r="2208">
      <c r="A2208" s="6" t="s">
        <v>5035</v>
      </c>
      <c r="B2208" s="6" t="s">
        <v>5036</v>
      </c>
      <c r="C2208" s="6" t="s">
        <v>34</v>
      </c>
      <c r="D2208" s="6" t="s">
        <v>5037</v>
      </c>
      <c r="E2208" s="6" t="s">
        <v>3237</v>
      </c>
      <c r="F2208" s="6" t="s">
        <v>18</v>
      </c>
      <c r="G2208" s="7">
        <v>0.05</v>
      </c>
      <c r="H2208" s="6" t="s">
        <v>209</v>
      </c>
      <c r="I2208" s="6" t="s">
        <v>20</v>
      </c>
      <c r="J2208" s="6">
        <v>2025.0</v>
      </c>
      <c r="K2208" s="10">
        <v>46117.0</v>
      </c>
      <c r="L2208" s="6">
        <v>7.0</v>
      </c>
      <c r="M2208" s="8">
        <f t="shared" si="2"/>
        <v>0.35</v>
      </c>
      <c r="P2208" s="9"/>
    </row>
    <row r="2209">
      <c r="A2209" s="6" t="s">
        <v>5035</v>
      </c>
      <c r="B2209" s="6" t="s">
        <v>5036</v>
      </c>
      <c r="C2209" s="6" t="s">
        <v>34</v>
      </c>
      <c r="D2209" s="6" t="s">
        <v>5037</v>
      </c>
      <c r="E2209" s="6" t="s">
        <v>3237</v>
      </c>
      <c r="F2209" s="6" t="s">
        <v>18</v>
      </c>
      <c r="G2209" s="7">
        <v>0.24</v>
      </c>
      <c r="H2209" s="6" t="s">
        <v>209</v>
      </c>
      <c r="I2209" s="6" t="s">
        <v>55</v>
      </c>
      <c r="J2209" s="6">
        <v>2025.0</v>
      </c>
      <c r="K2209" s="10">
        <v>46117.0</v>
      </c>
      <c r="L2209" s="6">
        <v>2.0</v>
      </c>
      <c r="M2209" s="8">
        <f t="shared" si="2"/>
        <v>0.48</v>
      </c>
      <c r="P2209" s="9"/>
    </row>
    <row r="2210">
      <c r="A2210" s="6" t="s">
        <v>5038</v>
      </c>
      <c r="B2210" s="6" t="s">
        <v>796</v>
      </c>
      <c r="C2210" s="6" t="s">
        <v>34</v>
      </c>
      <c r="D2210" s="6" t="s">
        <v>5039</v>
      </c>
      <c r="E2210" s="6" t="s">
        <v>852</v>
      </c>
      <c r="F2210" s="6" t="s">
        <v>18</v>
      </c>
      <c r="G2210" s="7">
        <v>0.1</v>
      </c>
      <c r="H2210" s="6" t="s">
        <v>209</v>
      </c>
      <c r="I2210" s="6" t="s">
        <v>20</v>
      </c>
      <c r="J2210" s="6">
        <v>2025.0</v>
      </c>
      <c r="L2210" s="6">
        <v>8.0</v>
      </c>
      <c r="M2210" s="8">
        <f t="shared" si="2"/>
        <v>0.8</v>
      </c>
      <c r="P2210" s="9"/>
    </row>
    <row r="2211">
      <c r="A2211" s="6" t="s">
        <v>5038</v>
      </c>
      <c r="B2211" s="6" t="s">
        <v>796</v>
      </c>
      <c r="C2211" s="6" t="s">
        <v>34</v>
      </c>
      <c r="D2211" s="6" t="s">
        <v>5039</v>
      </c>
      <c r="E2211" s="6" t="s">
        <v>852</v>
      </c>
      <c r="F2211" s="6" t="s">
        <v>18</v>
      </c>
      <c r="G2211" s="7">
        <v>0.4</v>
      </c>
      <c r="H2211" s="6" t="s">
        <v>209</v>
      </c>
      <c r="I2211" s="6" t="s">
        <v>55</v>
      </c>
      <c r="J2211" s="6">
        <v>2025.0</v>
      </c>
      <c r="L2211" s="6">
        <v>1.0</v>
      </c>
      <c r="M2211" s="8">
        <f t="shared" si="2"/>
        <v>0.4</v>
      </c>
      <c r="P2211" s="9"/>
    </row>
    <row r="2212">
      <c r="A2212" s="6" t="s">
        <v>5040</v>
      </c>
      <c r="B2212" s="6" t="s">
        <v>182</v>
      </c>
      <c r="C2212" s="6" t="s">
        <v>23</v>
      </c>
      <c r="D2212" s="6" t="s">
        <v>5041</v>
      </c>
      <c r="E2212" s="6" t="s">
        <v>235</v>
      </c>
      <c r="F2212" s="6" t="s">
        <v>103</v>
      </c>
      <c r="G2212" s="7">
        <v>0.07</v>
      </c>
      <c r="H2212" s="6" t="s">
        <v>663</v>
      </c>
      <c r="I2212" s="6" t="s">
        <v>20</v>
      </c>
      <c r="J2212" s="6">
        <v>2023.0</v>
      </c>
      <c r="L2212" s="6">
        <v>1.0</v>
      </c>
      <c r="M2212" s="8">
        <f t="shared" si="2"/>
        <v>0.07</v>
      </c>
      <c r="P2212" s="9"/>
    </row>
    <row r="2213">
      <c r="A2213" s="6" t="s">
        <v>5042</v>
      </c>
      <c r="B2213" s="6" t="s">
        <v>1052</v>
      </c>
      <c r="C2213" s="6" t="s">
        <v>48</v>
      </c>
      <c r="D2213" s="6" t="s">
        <v>5043</v>
      </c>
      <c r="E2213" s="6" t="s">
        <v>175</v>
      </c>
      <c r="F2213" s="6" t="s">
        <v>51</v>
      </c>
      <c r="G2213" s="7">
        <v>7.6</v>
      </c>
      <c r="H2213" s="6" t="s">
        <v>26</v>
      </c>
      <c r="I2213" s="6" t="s">
        <v>20</v>
      </c>
      <c r="J2213" s="6">
        <v>2026.0</v>
      </c>
      <c r="L2213" s="6">
        <v>1.0</v>
      </c>
      <c r="M2213" s="8">
        <f t="shared" si="2"/>
        <v>7.6</v>
      </c>
      <c r="P2213" s="9"/>
    </row>
    <row r="2214">
      <c r="A2214" s="6" t="s">
        <v>5044</v>
      </c>
      <c r="B2214" s="6" t="s">
        <v>307</v>
      </c>
      <c r="C2214" s="6" t="s">
        <v>48</v>
      </c>
      <c r="D2214" s="6" t="s">
        <v>5045</v>
      </c>
      <c r="E2214" s="6" t="s">
        <v>625</v>
      </c>
      <c r="F2214" s="6" t="s">
        <v>37</v>
      </c>
      <c r="G2214" s="7">
        <v>0.34</v>
      </c>
      <c r="H2214" s="6" t="s">
        <v>245</v>
      </c>
      <c r="I2214" s="6" t="s">
        <v>20</v>
      </c>
      <c r="J2214" s="6">
        <v>1995.0</v>
      </c>
      <c r="L2214" s="6">
        <v>1.0</v>
      </c>
      <c r="M2214" s="8">
        <f t="shared" si="2"/>
        <v>0.34</v>
      </c>
      <c r="P2214" s="9"/>
    </row>
    <row r="2215">
      <c r="A2215" s="6" t="s">
        <v>5046</v>
      </c>
      <c r="B2215" s="6" t="s">
        <v>4607</v>
      </c>
      <c r="C2215" s="6" t="s">
        <v>15</v>
      </c>
      <c r="D2215" s="6" t="s">
        <v>5047</v>
      </c>
      <c r="E2215" s="6" t="s">
        <v>5048</v>
      </c>
      <c r="F2215" s="6" t="s">
        <v>5049</v>
      </c>
      <c r="G2215" s="7">
        <v>0.19</v>
      </c>
      <c r="H2215" s="6" t="s">
        <v>209</v>
      </c>
      <c r="I2215" s="6" t="s">
        <v>20</v>
      </c>
      <c r="J2215" s="6">
        <v>2025.0</v>
      </c>
      <c r="K2215" s="10">
        <v>46055.0</v>
      </c>
      <c r="L2215" s="6">
        <v>1.0</v>
      </c>
      <c r="M2215" s="8">
        <f t="shared" si="2"/>
        <v>0.19</v>
      </c>
      <c r="P2215" s="9"/>
    </row>
    <row r="2216">
      <c r="A2216" s="6" t="s">
        <v>5050</v>
      </c>
      <c r="B2216" s="6" t="s">
        <v>5051</v>
      </c>
      <c r="C2216" s="6" t="s">
        <v>23</v>
      </c>
      <c r="D2216" s="6" t="s">
        <v>5052</v>
      </c>
      <c r="E2216" s="6" t="s">
        <v>25</v>
      </c>
      <c r="F2216" s="6" t="s">
        <v>18</v>
      </c>
      <c r="G2216" s="7">
        <v>0.07</v>
      </c>
      <c r="H2216" s="6" t="s">
        <v>45</v>
      </c>
      <c r="I2216" s="6" t="s">
        <v>20</v>
      </c>
      <c r="J2216" s="6">
        <v>2025.0</v>
      </c>
      <c r="K2216" s="10">
        <v>46055.0</v>
      </c>
      <c r="L2216" s="6">
        <v>2.0</v>
      </c>
      <c r="M2216" s="8">
        <f t="shared" si="2"/>
        <v>0.14</v>
      </c>
      <c r="P2216" s="9"/>
    </row>
    <row r="2217">
      <c r="A2217" s="6" t="s">
        <v>5053</v>
      </c>
      <c r="B2217" s="6" t="s">
        <v>5054</v>
      </c>
      <c r="C2217" s="6" t="s">
        <v>48</v>
      </c>
      <c r="D2217" s="6" t="s">
        <v>5055</v>
      </c>
      <c r="E2217" s="6" t="s">
        <v>2380</v>
      </c>
      <c r="F2217" s="6" t="s">
        <v>103</v>
      </c>
      <c r="G2217" s="7">
        <v>0.45</v>
      </c>
      <c r="H2217" s="6" t="s">
        <v>75</v>
      </c>
      <c r="I2217" s="6" t="s">
        <v>20</v>
      </c>
      <c r="J2217" s="6">
        <v>1995.0</v>
      </c>
      <c r="K2217" s="10">
        <v>46147.0</v>
      </c>
      <c r="L2217" s="6">
        <v>1.0</v>
      </c>
      <c r="M2217" s="8">
        <f t="shared" si="2"/>
        <v>0.45</v>
      </c>
      <c r="P2217" s="9"/>
    </row>
    <row r="2218">
      <c r="A2218" s="6" t="s">
        <v>5056</v>
      </c>
      <c r="B2218" s="6" t="s">
        <v>5057</v>
      </c>
      <c r="C2218" s="6" t="s">
        <v>15</v>
      </c>
      <c r="D2218" s="6" t="s">
        <v>5058</v>
      </c>
      <c r="E2218" s="6" t="s">
        <v>1129</v>
      </c>
      <c r="F2218" s="6" t="s">
        <v>18</v>
      </c>
      <c r="G2218" s="7">
        <v>0.05</v>
      </c>
      <c r="H2218" s="6" t="s">
        <v>4119</v>
      </c>
      <c r="I2218" s="6" t="s">
        <v>20</v>
      </c>
      <c r="J2218" s="6">
        <v>2025.0</v>
      </c>
      <c r="K2218" s="10">
        <v>46024.0</v>
      </c>
      <c r="L2218" s="6">
        <v>2.0</v>
      </c>
      <c r="M2218" s="8">
        <f t="shared" si="2"/>
        <v>0.1</v>
      </c>
      <c r="P2218" s="9"/>
    </row>
    <row r="2219">
      <c r="A2219" s="6" t="s">
        <v>5059</v>
      </c>
      <c r="B2219" s="6" t="s">
        <v>68</v>
      </c>
      <c r="C2219" s="6" t="s">
        <v>23</v>
      </c>
      <c r="D2219" s="6" t="s">
        <v>5060</v>
      </c>
      <c r="F2219" s="6" t="s">
        <v>215</v>
      </c>
      <c r="G2219" s="7">
        <v>0.22</v>
      </c>
      <c r="H2219" s="6" t="s">
        <v>192</v>
      </c>
      <c r="I2219" s="6" t="s">
        <v>55</v>
      </c>
      <c r="J2219" s="6">
        <v>2026.0</v>
      </c>
      <c r="L2219" s="6">
        <v>1.0</v>
      </c>
      <c r="M2219" s="8">
        <f t="shared" si="2"/>
        <v>0.22</v>
      </c>
      <c r="P2219" s="9"/>
    </row>
    <row r="2220">
      <c r="A2220" s="6" t="s">
        <v>5061</v>
      </c>
      <c r="B2220" s="6" t="s">
        <v>202</v>
      </c>
      <c r="C2220" s="6" t="s">
        <v>48</v>
      </c>
      <c r="D2220" s="6" t="s">
        <v>5062</v>
      </c>
      <c r="E2220" s="6" t="s">
        <v>167</v>
      </c>
      <c r="F2220" s="6" t="s">
        <v>103</v>
      </c>
      <c r="G2220" s="7">
        <v>0.17</v>
      </c>
      <c r="H2220" s="6" t="s">
        <v>88</v>
      </c>
      <c r="I2220" s="6" t="s">
        <v>20</v>
      </c>
      <c r="J2220" s="6">
        <v>2013.0</v>
      </c>
      <c r="L2220" s="6">
        <v>1.0</v>
      </c>
      <c r="M2220" s="8">
        <f t="shared" si="2"/>
        <v>0.17</v>
      </c>
      <c r="P2220" s="9"/>
    </row>
    <row r="2221">
      <c r="A2221" s="6" t="s">
        <v>5063</v>
      </c>
      <c r="B2221" s="6" t="s">
        <v>4290</v>
      </c>
      <c r="C2221" s="6" t="s">
        <v>571</v>
      </c>
      <c r="D2221" s="6" t="s">
        <v>5064</v>
      </c>
      <c r="E2221" s="6" t="s">
        <v>558</v>
      </c>
      <c r="F2221" s="6" t="s">
        <v>18</v>
      </c>
      <c r="G2221" s="7">
        <v>0.05</v>
      </c>
      <c r="H2221" s="6" t="s">
        <v>641</v>
      </c>
      <c r="I2221" s="6" t="s">
        <v>20</v>
      </c>
      <c r="J2221" s="6">
        <v>2026.0</v>
      </c>
      <c r="K2221" s="10">
        <v>46085.0</v>
      </c>
      <c r="L2221" s="6">
        <v>1.0</v>
      </c>
      <c r="M2221" s="8">
        <f t="shared" si="2"/>
        <v>0.05</v>
      </c>
      <c r="P2221" s="9"/>
    </row>
    <row r="2222">
      <c r="A2222" s="6" t="s">
        <v>5065</v>
      </c>
      <c r="B2222" s="6" t="s">
        <v>3873</v>
      </c>
      <c r="C2222" s="6" t="s">
        <v>23</v>
      </c>
      <c r="D2222" s="6" t="s">
        <v>5066</v>
      </c>
      <c r="E2222" s="6" t="s">
        <v>293</v>
      </c>
      <c r="F2222" s="6" t="s">
        <v>18</v>
      </c>
      <c r="G2222" s="7">
        <v>0.06</v>
      </c>
      <c r="H2222" s="6" t="s">
        <v>1514</v>
      </c>
      <c r="I2222" s="6" t="s">
        <v>20</v>
      </c>
      <c r="J2222" s="6">
        <v>2009.0</v>
      </c>
      <c r="K2222" s="10">
        <v>46115.0</v>
      </c>
      <c r="L2222" s="6">
        <v>1.0</v>
      </c>
      <c r="M2222" s="8">
        <f t="shared" si="2"/>
        <v>0.06</v>
      </c>
      <c r="P2222" s="9"/>
    </row>
    <row r="2223">
      <c r="A2223" s="6" t="s">
        <v>5067</v>
      </c>
      <c r="B2223" s="6" t="s">
        <v>372</v>
      </c>
      <c r="C2223" s="6" t="s">
        <v>23</v>
      </c>
      <c r="D2223" s="6" t="s">
        <v>5068</v>
      </c>
      <c r="E2223" s="6" t="s">
        <v>25</v>
      </c>
      <c r="F2223" s="6" t="s">
        <v>18</v>
      </c>
      <c r="G2223" s="7">
        <v>0.03</v>
      </c>
      <c r="H2223" s="6" t="s">
        <v>562</v>
      </c>
      <c r="I2223" s="6" t="s">
        <v>20</v>
      </c>
      <c r="J2223" s="6">
        <v>2017.0</v>
      </c>
      <c r="L2223" s="6">
        <v>3.0</v>
      </c>
      <c r="M2223" s="8">
        <f t="shared" si="2"/>
        <v>0.09</v>
      </c>
      <c r="P2223" s="9"/>
    </row>
    <row r="2224">
      <c r="A2224" s="6" t="s">
        <v>5069</v>
      </c>
      <c r="B2224" s="6" t="s">
        <v>850</v>
      </c>
      <c r="C2224" s="6" t="s">
        <v>34</v>
      </c>
      <c r="D2224" s="6" t="s">
        <v>5070</v>
      </c>
      <c r="E2224" s="6" t="s">
        <v>852</v>
      </c>
      <c r="F2224" s="6" t="s">
        <v>18</v>
      </c>
      <c r="G2224" s="7">
        <v>0.05</v>
      </c>
      <c r="H2224" s="6" t="s">
        <v>1043</v>
      </c>
      <c r="I2224" s="6" t="s">
        <v>20</v>
      </c>
      <c r="J2224" s="6">
        <v>2025.0</v>
      </c>
      <c r="L2224" s="6">
        <v>1.0</v>
      </c>
      <c r="M2224" s="8">
        <f t="shared" si="2"/>
        <v>0.05</v>
      </c>
      <c r="P2224" s="9"/>
    </row>
    <row r="2225">
      <c r="A2225" s="6" t="s">
        <v>5071</v>
      </c>
      <c r="B2225" s="6" t="s">
        <v>4531</v>
      </c>
      <c r="C2225" s="6" t="s">
        <v>23</v>
      </c>
      <c r="D2225" s="6" t="s">
        <v>5072</v>
      </c>
      <c r="E2225" s="6" t="s">
        <v>223</v>
      </c>
      <c r="F2225" s="6" t="s">
        <v>159</v>
      </c>
      <c r="G2225" s="7">
        <v>0.41</v>
      </c>
      <c r="H2225" s="6" t="s">
        <v>581</v>
      </c>
      <c r="I2225" s="6" t="s">
        <v>20</v>
      </c>
      <c r="J2225" s="6">
        <v>2022.0</v>
      </c>
      <c r="K2225" s="10">
        <v>46023.0</v>
      </c>
      <c r="L2225" s="6">
        <v>1.0</v>
      </c>
      <c r="M2225" s="8">
        <f t="shared" si="2"/>
        <v>0.41</v>
      </c>
      <c r="P2225" s="9"/>
    </row>
    <row r="2226">
      <c r="A2226" s="6" t="s">
        <v>5071</v>
      </c>
      <c r="B2226" s="6" t="s">
        <v>4531</v>
      </c>
      <c r="C2226" s="6" t="s">
        <v>23</v>
      </c>
      <c r="D2226" s="6" t="s">
        <v>5072</v>
      </c>
      <c r="E2226" s="6" t="s">
        <v>223</v>
      </c>
      <c r="F2226" s="6" t="s">
        <v>159</v>
      </c>
      <c r="G2226" s="7">
        <v>0.2</v>
      </c>
      <c r="H2226" s="6" t="s">
        <v>526</v>
      </c>
      <c r="I2226" s="6" t="s">
        <v>20</v>
      </c>
      <c r="J2226" s="6">
        <v>2020.0</v>
      </c>
      <c r="K2226" s="10">
        <v>46023.0</v>
      </c>
      <c r="L2226" s="6">
        <v>1.0</v>
      </c>
      <c r="M2226" s="8">
        <f t="shared" si="2"/>
        <v>0.2</v>
      </c>
      <c r="P2226" s="9"/>
    </row>
    <row r="2227">
      <c r="A2227" s="6" t="s">
        <v>5073</v>
      </c>
      <c r="B2227" s="6" t="s">
        <v>62</v>
      </c>
      <c r="C2227" s="6" t="s">
        <v>48</v>
      </c>
      <c r="D2227" s="6" t="s">
        <v>5074</v>
      </c>
      <c r="E2227" s="6" t="s">
        <v>118</v>
      </c>
      <c r="F2227" s="6" t="s">
        <v>51</v>
      </c>
      <c r="G2227" s="7">
        <v>0.06</v>
      </c>
      <c r="H2227" s="6" t="s">
        <v>336</v>
      </c>
      <c r="I2227" s="6" t="s">
        <v>20</v>
      </c>
      <c r="J2227" s="6">
        <v>2016.0</v>
      </c>
      <c r="L2227" s="6">
        <v>1.0</v>
      </c>
      <c r="M2227" s="8">
        <f t="shared" si="2"/>
        <v>0.06</v>
      </c>
      <c r="P2227" s="9"/>
    </row>
    <row r="2228">
      <c r="A2228" s="6" t="s">
        <v>5075</v>
      </c>
      <c r="B2228" s="6" t="s">
        <v>5076</v>
      </c>
      <c r="C2228" s="6" t="s">
        <v>23</v>
      </c>
      <c r="D2228" s="6" t="s">
        <v>5077</v>
      </c>
      <c r="E2228" s="6" t="s">
        <v>36</v>
      </c>
      <c r="F2228" s="6" t="s">
        <v>37</v>
      </c>
      <c r="G2228" s="7">
        <v>0.34</v>
      </c>
      <c r="H2228" s="6" t="s">
        <v>1327</v>
      </c>
      <c r="I2228" s="6" t="s">
        <v>20</v>
      </c>
      <c r="J2228" s="6">
        <v>2011.0</v>
      </c>
      <c r="K2228" s="10">
        <v>46023.0</v>
      </c>
      <c r="L2228" s="6">
        <v>1.0</v>
      </c>
      <c r="M2228" s="8">
        <f t="shared" si="2"/>
        <v>0.34</v>
      </c>
      <c r="P2228" s="9"/>
    </row>
    <row r="2229">
      <c r="A2229" s="6" t="s">
        <v>5078</v>
      </c>
      <c r="B2229" s="6" t="s">
        <v>2489</v>
      </c>
      <c r="C2229" s="6" t="s">
        <v>23</v>
      </c>
      <c r="D2229" s="6" t="s">
        <v>5079</v>
      </c>
      <c r="E2229" s="6" t="s">
        <v>196</v>
      </c>
      <c r="F2229" s="6" t="s">
        <v>65</v>
      </c>
      <c r="G2229" s="7">
        <v>0.15</v>
      </c>
      <c r="H2229" s="6" t="s">
        <v>453</v>
      </c>
      <c r="I2229" s="6" t="s">
        <v>20</v>
      </c>
      <c r="J2229" s="6">
        <v>1995.0</v>
      </c>
      <c r="L2229" s="6">
        <v>3.0</v>
      </c>
      <c r="M2229" s="8">
        <f t="shared" si="2"/>
        <v>0.45</v>
      </c>
      <c r="P2229" s="9"/>
    </row>
    <row r="2230">
      <c r="A2230" s="6" t="s">
        <v>5080</v>
      </c>
      <c r="B2230" s="6" t="s">
        <v>800</v>
      </c>
      <c r="C2230" s="6" t="s">
        <v>41</v>
      </c>
      <c r="D2230" s="6" t="s">
        <v>5081</v>
      </c>
      <c r="E2230" s="6" t="s">
        <v>1005</v>
      </c>
      <c r="F2230" s="6" t="s">
        <v>65</v>
      </c>
      <c r="G2230" s="7">
        <v>0.75</v>
      </c>
      <c r="H2230" s="6" t="s">
        <v>1194</v>
      </c>
      <c r="I2230" s="6" t="s">
        <v>20</v>
      </c>
      <c r="J2230" s="6">
        <v>2023.0</v>
      </c>
      <c r="K2230" s="10">
        <v>46116.0</v>
      </c>
      <c r="L2230" s="6">
        <v>1.0</v>
      </c>
      <c r="M2230" s="8">
        <f t="shared" si="2"/>
        <v>0.75</v>
      </c>
      <c r="P2230" s="9"/>
    </row>
    <row r="2231">
      <c r="A2231" s="6" t="s">
        <v>5082</v>
      </c>
      <c r="B2231" s="6" t="s">
        <v>5083</v>
      </c>
      <c r="C2231" s="6" t="s">
        <v>48</v>
      </c>
      <c r="D2231" s="6" t="s">
        <v>5084</v>
      </c>
      <c r="E2231" s="6" t="s">
        <v>5085</v>
      </c>
      <c r="F2231" s="6" t="s">
        <v>65</v>
      </c>
      <c r="G2231" s="7">
        <v>0.1</v>
      </c>
      <c r="H2231" s="6" t="s">
        <v>1194</v>
      </c>
      <c r="I2231" s="6" t="s">
        <v>20</v>
      </c>
      <c r="J2231" s="6">
        <v>2023.0</v>
      </c>
      <c r="K2231" s="10">
        <v>46055.0</v>
      </c>
      <c r="L2231" s="6">
        <v>1.0</v>
      </c>
      <c r="M2231" s="8">
        <f t="shared" si="2"/>
        <v>0.1</v>
      </c>
      <c r="P2231" s="9"/>
    </row>
    <row r="2232">
      <c r="A2232" s="6" t="s">
        <v>5086</v>
      </c>
      <c r="B2232" s="6" t="s">
        <v>182</v>
      </c>
      <c r="C2232" s="6" t="s">
        <v>23</v>
      </c>
      <c r="D2232" s="6" t="s">
        <v>5087</v>
      </c>
      <c r="E2232" s="6" t="s">
        <v>124</v>
      </c>
      <c r="F2232" s="6" t="s">
        <v>103</v>
      </c>
      <c r="G2232" s="7">
        <v>0.03</v>
      </c>
      <c r="H2232" s="6" t="s">
        <v>875</v>
      </c>
      <c r="I2232" s="6" t="s">
        <v>20</v>
      </c>
      <c r="J2232" s="6">
        <v>2018.0</v>
      </c>
      <c r="L2232" s="6">
        <v>2.0</v>
      </c>
      <c r="M2232" s="8">
        <f t="shared" si="2"/>
        <v>0.06</v>
      </c>
      <c r="P2232" s="9"/>
    </row>
    <row r="2233">
      <c r="A2233" s="6" t="s">
        <v>5088</v>
      </c>
      <c r="B2233" s="6" t="s">
        <v>127</v>
      </c>
      <c r="C2233" s="6" t="s">
        <v>23</v>
      </c>
      <c r="D2233" s="6" t="s">
        <v>5089</v>
      </c>
      <c r="E2233" s="6" t="s">
        <v>118</v>
      </c>
      <c r="F2233" s="6" t="s">
        <v>51</v>
      </c>
      <c r="G2233" s="7">
        <v>0.05</v>
      </c>
      <c r="H2233" s="6" t="s">
        <v>185</v>
      </c>
      <c r="I2233" s="6" t="s">
        <v>20</v>
      </c>
      <c r="J2233" s="6">
        <v>2019.0</v>
      </c>
      <c r="K2233" s="10">
        <v>46055.0</v>
      </c>
      <c r="L2233" s="6">
        <v>1.0</v>
      </c>
      <c r="M2233" s="8">
        <f t="shared" si="2"/>
        <v>0.05</v>
      </c>
      <c r="P2233" s="9"/>
    </row>
    <row r="2234">
      <c r="A2234" s="6" t="s">
        <v>5090</v>
      </c>
      <c r="B2234" s="6" t="s">
        <v>5091</v>
      </c>
      <c r="C2234" s="6" t="s">
        <v>23</v>
      </c>
      <c r="D2234" s="6" t="s">
        <v>5092</v>
      </c>
      <c r="E2234" s="6" t="s">
        <v>79</v>
      </c>
      <c r="F2234" s="6" t="s">
        <v>51</v>
      </c>
      <c r="G2234" s="7">
        <v>0.06</v>
      </c>
      <c r="H2234" s="6" t="s">
        <v>418</v>
      </c>
      <c r="I2234" s="6" t="s">
        <v>20</v>
      </c>
      <c r="J2234" s="6">
        <v>2022.0</v>
      </c>
      <c r="K2234" s="10">
        <v>46056.0</v>
      </c>
      <c r="L2234" s="6">
        <v>2.0</v>
      </c>
      <c r="M2234" s="8">
        <f t="shared" si="2"/>
        <v>0.12</v>
      </c>
      <c r="P2234" s="9"/>
    </row>
    <row r="2235">
      <c r="A2235" s="6" t="s">
        <v>5090</v>
      </c>
      <c r="B2235" s="6" t="s">
        <v>5091</v>
      </c>
      <c r="C2235" s="6" t="s">
        <v>23</v>
      </c>
      <c r="D2235" s="6" t="s">
        <v>5092</v>
      </c>
      <c r="E2235" s="6" t="s">
        <v>79</v>
      </c>
      <c r="F2235" s="6" t="s">
        <v>51</v>
      </c>
      <c r="G2235" s="7">
        <v>0.13</v>
      </c>
      <c r="H2235" s="6" t="s">
        <v>4672</v>
      </c>
      <c r="I2235" s="6" t="s">
        <v>20</v>
      </c>
      <c r="J2235" s="6">
        <v>2022.0</v>
      </c>
      <c r="K2235" s="10">
        <v>46056.0</v>
      </c>
      <c r="L2235" s="6">
        <v>1.0</v>
      </c>
      <c r="M2235" s="8">
        <f t="shared" si="2"/>
        <v>0.13</v>
      </c>
      <c r="P2235" s="9"/>
    </row>
    <row r="2236">
      <c r="A2236" s="6" t="s">
        <v>5093</v>
      </c>
      <c r="B2236" s="6" t="s">
        <v>5094</v>
      </c>
      <c r="C2236" s="6" t="s">
        <v>34</v>
      </c>
      <c r="D2236" s="6" t="s">
        <v>5095</v>
      </c>
      <c r="E2236" s="6" t="s">
        <v>2791</v>
      </c>
      <c r="F2236" s="6" t="s">
        <v>858</v>
      </c>
      <c r="G2236" s="7">
        <v>0.05</v>
      </c>
      <c r="H2236" s="6" t="s">
        <v>807</v>
      </c>
      <c r="I2236" s="6" t="s">
        <v>20</v>
      </c>
      <c r="J2236" s="6">
        <v>2026.0</v>
      </c>
      <c r="K2236" s="10">
        <v>46084.0</v>
      </c>
      <c r="L2236" s="6">
        <v>1.0</v>
      </c>
      <c r="M2236" s="8">
        <f t="shared" si="2"/>
        <v>0.05</v>
      </c>
      <c r="P2236" s="9"/>
    </row>
    <row r="2237">
      <c r="A2237" s="6" t="s">
        <v>5096</v>
      </c>
      <c r="B2237" s="6" t="s">
        <v>127</v>
      </c>
      <c r="C2237" s="6" t="s">
        <v>23</v>
      </c>
      <c r="D2237" s="6" t="s">
        <v>5097</v>
      </c>
      <c r="E2237" s="6" t="s">
        <v>1844</v>
      </c>
      <c r="F2237" s="6" t="s">
        <v>98</v>
      </c>
      <c r="G2237" s="7">
        <v>0.06</v>
      </c>
      <c r="H2237" s="6" t="s">
        <v>185</v>
      </c>
      <c r="I2237" s="6" t="s">
        <v>20</v>
      </c>
      <c r="J2237" s="6">
        <v>2019.0</v>
      </c>
      <c r="K2237" s="10">
        <v>46024.0</v>
      </c>
      <c r="L2237" s="6">
        <v>5.0</v>
      </c>
      <c r="M2237" s="8">
        <f t="shared" si="2"/>
        <v>0.3</v>
      </c>
      <c r="P2237" s="9"/>
    </row>
    <row r="2238">
      <c r="A2238" s="6" t="s">
        <v>5098</v>
      </c>
      <c r="B2238" s="6" t="s">
        <v>3178</v>
      </c>
      <c r="C2238" s="6" t="s">
        <v>48</v>
      </c>
      <c r="D2238" s="6" t="s">
        <v>5099</v>
      </c>
      <c r="E2238" s="6" t="s">
        <v>270</v>
      </c>
      <c r="F2238" s="6" t="s">
        <v>159</v>
      </c>
      <c r="G2238" s="7">
        <v>1.01</v>
      </c>
      <c r="H2238" s="6" t="s">
        <v>396</v>
      </c>
      <c r="I2238" s="6" t="s">
        <v>20</v>
      </c>
      <c r="J2238" s="6">
        <v>2007.0</v>
      </c>
      <c r="K2238" s="10">
        <v>46055.0</v>
      </c>
      <c r="L2238" s="6">
        <v>1.0</v>
      </c>
      <c r="M2238" s="8">
        <f t="shared" si="2"/>
        <v>1.01</v>
      </c>
      <c r="N2238" s="6" t="s">
        <v>172</v>
      </c>
      <c r="P2238" s="9"/>
    </row>
    <row r="2239">
      <c r="A2239" s="6" t="s">
        <v>5100</v>
      </c>
      <c r="B2239" s="6" t="s">
        <v>131</v>
      </c>
      <c r="C2239" s="6" t="s">
        <v>23</v>
      </c>
      <c r="D2239" s="6" t="s">
        <v>5101</v>
      </c>
      <c r="E2239" s="6" t="s">
        <v>112</v>
      </c>
      <c r="F2239" s="6" t="s">
        <v>65</v>
      </c>
      <c r="G2239" s="7">
        <v>0.04</v>
      </c>
      <c r="H2239" s="6" t="s">
        <v>276</v>
      </c>
      <c r="I2239" s="6" t="s">
        <v>20</v>
      </c>
      <c r="J2239" s="6">
        <v>2014.0</v>
      </c>
      <c r="K2239" s="10">
        <v>46023.0</v>
      </c>
      <c r="L2239" s="6">
        <v>1.0</v>
      </c>
      <c r="M2239" s="8">
        <f t="shared" si="2"/>
        <v>0.04</v>
      </c>
      <c r="P2239" s="9"/>
    </row>
    <row r="2240">
      <c r="A2240" s="6" t="s">
        <v>5102</v>
      </c>
      <c r="B2240" s="6" t="s">
        <v>543</v>
      </c>
      <c r="C2240" s="6" t="s">
        <v>571</v>
      </c>
      <c r="D2240" s="6" t="s">
        <v>5103</v>
      </c>
      <c r="E2240" s="6" t="s">
        <v>196</v>
      </c>
      <c r="F2240" s="6" t="s">
        <v>65</v>
      </c>
      <c r="G2240" s="7">
        <v>0.1</v>
      </c>
      <c r="H2240" s="6" t="s">
        <v>641</v>
      </c>
      <c r="I2240" s="6" t="s">
        <v>20</v>
      </c>
      <c r="J2240" s="6">
        <v>2026.0</v>
      </c>
      <c r="L2240" s="6">
        <v>2.0</v>
      </c>
      <c r="M2240" s="8">
        <f t="shared" si="2"/>
        <v>0.2</v>
      </c>
      <c r="P2240" s="9"/>
    </row>
    <row r="2241">
      <c r="A2241" s="6" t="s">
        <v>5104</v>
      </c>
      <c r="B2241" s="6" t="s">
        <v>366</v>
      </c>
      <c r="C2241" s="6" t="s">
        <v>23</v>
      </c>
      <c r="D2241" s="6" t="s">
        <v>5105</v>
      </c>
      <c r="E2241" s="6" t="s">
        <v>196</v>
      </c>
      <c r="F2241" s="6" t="s">
        <v>65</v>
      </c>
      <c r="G2241" s="7">
        <v>0.05</v>
      </c>
      <c r="H2241" s="6" t="s">
        <v>245</v>
      </c>
      <c r="I2241" s="6" t="s">
        <v>20</v>
      </c>
      <c r="J2241" s="6">
        <v>1995.0</v>
      </c>
      <c r="L2241" s="6">
        <v>1.0</v>
      </c>
      <c r="M2241" s="8">
        <f t="shared" si="2"/>
        <v>0.05</v>
      </c>
      <c r="P2241" s="9"/>
    </row>
    <row r="2242">
      <c r="A2242" s="6" t="s">
        <v>5106</v>
      </c>
      <c r="B2242" s="6" t="s">
        <v>194</v>
      </c>
      <c r="C2242" s="6" t="s">
        <v>23</v>
      </c>
      <c r="D2242" s="6" t="s">
        <v>5107</v>
      </c>
      <c r="E2242" s="6" t="s">
        <v>502</v>
      </c>
      <c r="F2242" s="6" t="s">
        <v>65</v>
      </c>
      <c r="G2242" s="7">
        <v>0.05</v>
      </c>
      <c r="H2242" s="6" t="s">
        <v>645</v>
      </c>
      <c r="I2242" s="6" t="s">
        <v>20</v>
      </c>
      <c r="J2242" s="6">
        <v>2024.0</v>
      </c>
      <c r="L2242" s="6">
        <v>1.0</v>
      </c>
      <c r="M2242" s="8">
        <f t="shared" si="2"/>
        <v>0.05</v>
      </c>
      <c r="P2242" s="9"/>
    </row>
    <row r="2243">
      <c r="A2243" s="6" t="s">
        <v>5108</v>
      </c>
      <c r="B2243" s="6" t="s">
        <v>372</v>
      </c>
      <c r="C2243" s="6" t="s">
        <v>48</v>
      </c>
      <c r="D2243" s="6" t="s">
        <v>5109</v>
      </c>
      <c r="E2243" s="6" t="s">
        <v>25</v>
      </c>
      <c r="F2243" s="6" t="s">
        <v>18</v>
      </c>
      <c r="G2243" s="7">
        <v>0.17</v>
      </c>
      <c r="H2243" s="6" t="s">
        <v>113</v>
      </c>
      <c r="I2243" s="6" t="s">
        <v>20</v>
      </c>
      <c r="J2243" s="6">
        <v>2024.0</v>
      </c>
      <c r="L2243" s="6">
        <v>1.0</v>
      </c>
      <c r="M2243" s="8">
        <f t="shared" si="2"/>
        <v>0.17</v>
      </c>
      <c r="P2243" s="9"/>
    </row>
    <row r="2244">
      <c r="A2244" s="6" t="s">
        <v>5110</v>
      </c>
      <c r="B2244" s="6" t="s">
        <v>796</v>
      </c>
      <c r="C2244" s="6" t="s">
        <v>34</v>
      </c>
      <c r="D2244" s="6" t="s">
        <v>5111</v>
      </c>
      <c r="E2244" s="6" t="s">
        <v>1129</v>
      </c>
      <c r="F2244" s="6" t="s">
        <v>18</v>
      </c>
      <c r="G2244" s="7">
        <v>1.0</v>
      </c>
      <c r="H2244" s="6" t="s">
        <v>180</v>
      </c>
      <c r="I2244" s="6" t="s">
        <v>20</v>
      </c>
      <c r="J2244" s="6">
        <v>2014.0</v>
      </c>
      <c r="L2244" s="6">
        <v>1.0</v>
      </c>
      <c r="M2244" s="8">
        <f t="shared" si="2"/>
        <v>1</v>
      </c>
      <c r="P2244" s="9"/>
    </row>
    <row r="2245">
      <c r="A2245" s="6" t="s">
        <v>5112</v>
      </c>
      <c r="B2245" s="6" t="s">
        <v>3597</v>
      </c>
      <c r="C2245" s="6" t="s">
        <v>23</v>
      </c>
      <c r="D2245" s="6" t="s">
        <v>5113</v>
      </c>
      <c r="E2245" s="6" t="s">
        <v>196</v>
      </c>
      <c r="F2245" s="6" t="s">
        <v>65</v>
      </c>
      <c r="G2245" s="7">
        <v>0.5</v>
      </c>
      <c r="H2245" s="6" t="s">
        <v>163</v>
      </c>
      <c r="I2245" s="6" t="s">
        <v>20</v>
      </c>
      <c r="J2245" s="6">
        <v>2023.0</v>
      </c>
      <c r="K2245" s="10">
        <v>46023.0</v>
      </c>
      <c r="L2245" s="6">
        <v>1.0</v>
      </c>
      <c r="M2245" s="8">
        <f t="shared" si="2"/>
        <v>0.5</v>
      </c>
      <c r="P2245" s="9"/>
    </row>
    <row r="2246">
      <c r="A2246" s="6" t="s">
        <v>5114</v>
      </c>
      <c r="B2246" s="6" t="s">
        <v>543</v>
      </c>
      <c r="C2246" s="6" t="s">
        <v>23</v>
      </c>
      <c r="D2246" s="6" t="s">
        <v>5115</v>
      </c>
      <c r="E2246" s="6" t="s">
        <v>502</v>
      </c>
      <c r="F2246" s="6" t="s">
        <v>65</v>
      </c>
      <c r="G2246" s="7">
        <v>0.05</v>
      </c>
      <c r="H2246" s="6" t="s">
        <v>113</v>
      </c>
      <c r="I2246" s="6" t="s">
        <v>20</v>
      </c>
      <c r="J2246" s="6">
        <v>2024.0</v>
      </c>
      <c r="L2246" s="6">
        <v>1.0</v>
      </c>
      <c r="M2246" s="8">
        <f t="shared" si="2"/>
        <v>0.05</v>
      </c>
      <c r="P2246" s="9"/>
    </row>
    <row r="2247">
      <c r="A2247" s="6" t="s">
        <v>5116</v>
      </c>
      <c r="B2247" s="6" t="s">
        <v>796</v>
      </c>
      <c r="C2247" s="6" t="s">
        <v>34</v>
      </c>
      <c r="D2247" s="6" t="s">
        <v>5117</v>
      </c>
      <c r="E2247" s="6" t="s">
        <v>1304</v>
      </c>
      <c r="F2247" s="6" t="s">
        <v>1732</v>
      </c>
      <c r="G2247" s="7">
        <v>0.03</v>
      </c>
      <c r="H2247" s="6" t="s">
        <v>483</v>
      </c>
      <c r="I2247" s="6" t="s">
        <v>20</v>
      </c>
      <c r="J2247" s="6">
        <v>2014.0</v>
      </c>
      <c r="L2247" s="6">
        <v>3.0</v>
      </c>
      <c r="M2247" s="8">
        <f t="shared" si="2"/>
        <v>0.09</v>
      </c>
      <c r="P2247" s="9"/>
    </row>
    <row r="2248">
      <c r="A2248" s="6" t="s">
        <v>5118</v>
      </c>
      <c r="B2248" s="6" t="s">
        <v>2809</v>
      </c>
      <c r="C2248" s="6" t="s">
        <v>72</v>
      </c>
      <c r="D2248" s="6" t="s">
        <v>5119</v>
      </c>
      <c r="E2248" s="6" t="s">
        <v>5120</v>
      </c>
      <c r="F2248" s="6" t="s">
        <v>4194</v>
      </c>
      <c r="G2248" s="7">
        <v>0.04</v>
      </c>
      <c r="H2248" s="6" t="s">
        <v>185</v>
      </c>
      <c r="I2248" s="6" t="s">
        <v>20</v>
      </c>
      <c r="J2248" s="6">
        <v>2019.0</v>
      </c>
      <c r="L2248" s="6">
        <v>2.0</v>
      </c>
      <c r="M2248" s="8">
        <f t="shared" si="2"/>
        <v>0.08</v>
      </c>
      <c r="P2248" s="9"/>
    </row>
    <row r="2249">
      <c r="A2249" s="6" t="s">
        <v>5121</v>
      </c>
      <c r="B2249" s="6" t="s">
        <v>182</v>
      </c>
      <c r="C2249" s="6" t="s">
        <v>41</v>
      </c>
      <c r="D2249" s="6" t="s">
        <v>5122</v>
      </c>
      <c r="E2249" s="6" t="s">
        <v>1771</v>
      </c>
      <c r="F2249" s="6" t="s">
        <v>51</v>
      </c>
      <c r="G2249" s="7">
        <v>0.38</v>
      </c>
      <c r="H2249" s="6" t="s">
        <v>1494</v>
      </c>
      <c r="I2249" s="6" t="s">
        <v>20</v>
      </c>
      <c r="J2249" s="6">
        <v>2012.0</v>
      </c>
      <c r="L2249" s="6">
        <v>1.0</v>
      </c>
      <c r="M2249" s="8">
        <f t="shared" si="2"/>
        <v>0.38</v>
      </c>
      <c r="P2249" s="9"/>
    </row>
    <row r="2250">
      <c r="A2250" s="6" t="s">
        <v>5123</v>
      </c>
      <c r="B2250" s="6" t="s">
        <v>165</v>
      </c>
      <c r="C2250" s="6" t="s">
        <v>15</v>
      </c>
      <c r="D2250" s="6" t="s">
        <v>5124</v>
      </c>
      <c r="E2250" s="6" t="s">
        <v>2469</v>
      </c>
      <c r="F2250" s="6" t="s">
        <v>65</v>
      </c>
      <c r="G2250" s="7">
        <v>0.24</v>
      </c>
      <c r="H2250" s="6" t="s">
        <v>19</v>
      </c>
      <c r="I2250" s="6" t="s">
        <v>20</v>
      </c>
      <c r="J2250" s="6">
        <v>2023.0</v>
      </c>
      <c r="L2250" s="6">
        <v>1.0</v>
      </c>
      <c r="M2250" s="8">
        <f t="shared" si="2"/>
        <v>0.24</v>
      </c>
      <c r="P2250" s="9"/>
    </row>
    <row r="2251">
      <c r="A2251" s="6" t="s">
        <v>5125</v>
      </c>
      <c r="B2251" s="6" t="s">
        <v>194</v>
      </c>
      <c r="C2251" s="6" t="s">
        <v>23</v>
      </c>
      <c r="D2251" s="6" t="s">
        <v>5126</v>
      </c>
      <c r="E2251" s="6" t="s">
        <v>175</v>
      </c>
      <c r="F2251" s="6" t="s">
        <v>51</v>
      </c>
      <c r="G2251" s="7">
        <v>0.09</v>
      </c>
      <c r="H2251" s="6" t="s">
        <v>821</v>
      </c>
      <c r="I2251" s="6" t="s">
        <v>20</v>
      </c>
      <c r="J2251" s="6">
        <v>1995.0</v>
      </c>
      <c r="L2251" s="6">
        <v>1.0</v>
      </c>
      <c r="M2251" s="8">
        <f t="shared" si="2"/>
        <v>0.09</v>
      </c>
      <c r="P2251" s="9"/>
    </row>
    <row r="2252">
      <c r="A2252" s="6" t="s">
        <v>5127</v>
      </c>
      <c r="B2252" s="6" t="s">
        <v>3893</v>
      </c>
      <c r="C2252" s="6" t="s">
        <v>34</v>
      </c>
      <c r="D2252" s="6" t="s">
        <v>5128</v>
      </c>
      <c r="E2252" s="6" t="s">
        <v>5129</v>
      </c>
      <c r="F2252" s="6" t="s">
        <v>51</v>
      </c>
      <c r="G2252" s="7">
        <v>0.06</v>
      </c>
      <c r="H2252" s="6" t="s">
        <v>180</v>
      </c>
      <c r="I2252" s="6" t="s">
        <v>20</v>
      </c>
      <c r="J2252" s="6">
        <v>2014.0</v>
      </c>
      <c r="K2252" s="10">
        <v>46023.0</v>
      </c>
      <c r="L2252" s="6">
        <v>1.0</v>
      </c>
      <c r="M2252" s="8">
        <f t="shared" si="2"/>
        <v>0.06</v>
      </c>
      <c r="P2252" s="9"/>
    </row>
    <row r="2253">
      <c r="A2253" s="6" t="s">
        <v>5127</v>
      </c>
      <c r="B2253" s="6" t="s">
        <v>131</v>
      </c>
      <c r="C2253" s="6" t="s">
        <v>23</v>
      </c>
      <c r="D2253" s="6" t="s">
        <v>5130</v>
      </c>
      <c r="E2253" s="6" t="s">
        <v>175</v>
      </c>
      <c r="F2253" s="6" t="s">
        <v>51</v>
      </c>
      <c r="G2253" s="7">
        <v>0.07</v>
      </c>
      <c r="H2253" s="6" t="s">
        <v>577</v>
      </c>
      <c r="I2253" s="6" t="s">
        <v>20</v>
      </c>
      <c r="J2253" s="6">
        <v>2017.0</v>
      </c>
      <c r="K2253" s="10">
        <v>46023.0</v>
      </c>
      <c r="L2253" s="6">
        <v>4.0</v>
      </c>
      <c r="M2253" s="8">
        <f t="shared" si="2"/>
        <v>0.28</v>
      </c>
      <c r="P2253" s="9"/>
    </row>
    <row r="2254">
      <c r="A2254" s="6" t="s">
        <v>5127</v>
      </c>
      <c r="B2254" s="6" t="s">
        <v>131</v>
      </c>
      <c r="C2254" s="6" t="s">
        <v>23</v>
      </c>
      <c r="D2254" s="6" t="s">
        <v>5130</v>
      </c>
      <c r="E2254" s="6" t="s">
        <v>175</v>
      </c>
      <c r="F2254" s="6" t="s">
        <v>51</v>
      </c>
      <c r="G2254" s="7">
        <v>0.14</v>
      </c>
      <c r="H2254" s="6" t="s">
        <v>581</v>
      </c>
      <c r="I2254" s="6" t="s">
        <v>20</v>
      </c>
      <c r="J2254" s="6">
        <v>2022.0</v>
      </c>
      <c r="K2254" s="10">
        <v>46023.0</v>
      </c>
      <c r="L2254" s="6">
        <v>1.0</v>
      </c>
      <c r="M2254" s="8">
        <f t="shared" si="2"/>
        <v>0.14</v>
      </c>
      <c r="P2254" s="9"/>
    </row>
    <row r="2255">
      <c r="A2255" s="6" t="s">
        <v>5131</v>
      </c>
      <c r="B2255" s="6" t="s">
        <v>372</v>
      </c>
      <c r="C2255" s="6" t="s">
        <v>23</v>
      </c>
      <c r="D2255" s="6" t="s">
        <v>5132</v>
      </c>
      <c r="E2255" s="6" t="s">
        <v>112</v>
      </c>
      <c r="F2255" s="6" t="s">
        <v>65</v>
      </c>
      <c r="G2255" s="7">
        <v>0.06</v>
      </c>
      <c r="H2255" s="6" t="s">
        <v>184</v>
      </c>
      <c r="I2255" s="6" t="s">
        <v>20</v>
      </c>
      <c r="J2255" s="6">
        <v>2015.0</v>
      </c>
      <c r="L2255" s="6">
        <v>6.0</v>
      </c>
      <c r="M2255" s="8">
        <f t="shared" si="2"/>
        <v>0.36</v>
      </c>
      <c r="P2255" s="9"/>
    </row>
    <row r="2256">
      <c r="A2256" s="6" t="s">
        <v>5131</v>
      </c>
      <c r="B2256" s="6" t="s">
        <v>372</v>
      </c>
      <c r="C2256" s="6" t="s">
        <v>23</v>
      </c>
      <c r="D2256" s="6" t="s">
        <v>5132</v>
      </c>
      <c r="E2256" s="6" t="s">
        <v>112</v>
      </c>
      <c r="F2256" s="6" t="s">
        <v>65</v>
      </c>
      <c r="G2256" s="7">
        <v>0.06</v>
      </c>
      <c r="H2256" s="6" t="s">
        <v>184</v>
      </c>
      <c r="I2256" s="6" t="s">
        <v>20</v>
      </c>
      <c r="J2256" s="6">
        <v>2015.0</v>
      </c>
      <c r="L2256" s="6">
        <v>2.0</v>
      </c>
      <c r="M2256" s="8">
        <f t="shared" si="2"/>
        <v>0.12</v>
      </c>
      <c r="P2256" s="9"/>
    </row>
    <row r="2257">
      <c r="A2257" s="6" t="s">
        <v>5131</v>
      </c>
      <c r="B2257" s="6" t="s">
        <v>372</v>
      </c>
      <c r="C2257" s="6" t="s">
        <v>23</v>
      </c>
      <c r="D2257" s="6" t="s">
        <v>5132</v>
      </c>
      <c r="E2257" s="6" t="s">
        <v>112</v>
      </c>
      <c r="F2257" s="6" t="s">
        <v>65</v>
      </c>
      <c r="G2257" s="7">
        <v>0.06</v>
      </c>
      <c r="H2257" s="6" t="s">
        <v>184</v>
      </c>
      <c r="I2257" s="6" t="s">
        <v>20</v>
      </c>
      <c r="J2257" s="6">
        <v>2015.0</v>
      </c>
      <c r="L2257" s="6">
        <v>1.0</v>
      </c>
      <c r="M2257" s="8">
        <f t="shared" si="2"/>
        <v>0.06</v>
      </c>
      <c r="P2257" s="9"/>
    </row>
    <row r="2258">
      <c r="A2258" s="6" t="s">
        <v>5133</v>
      </c>
      <c r="B2258" s="6" t="s">
        <v>5134</v>
      </c>
      <c r="C2258" s="6" t="s">
        <v>41</v>
      </c>
      <c r="D2258" s="6" t="s">
        <v>5135</v>
      </c>
      <c r="E2258" s="6" t="s">
        <v>5136</v>
      </c>
      <c r="F2258" s="6" t="s">
        <v>103</v>
      </c>
      <c r="G2258" s="7">
        <v>1.95</v>
      </c>
      <c r="H2258" s="6" t="s">
        <v>245</v>
      </c>
      <c r="I2258" s="6" t="s">
        <v>20</v>
      </c>
      <c r="J2258" s="6">
        <v>1995.0</v>
      </c>
      <c r="K2258" s="10">
        <v>46208.0</v>
      </c>
      <c r="L2258" s="6">
        <v>1.0</v>
      </c>
      <c r="M2258" s="8">
        <f t="shared" si="2"/>
        <v>1.95</v>
      </c>
      <c r="P2258" s="9"/>
    </row>
    <row r="2259">
      <c r="A2259" s="6" t="s">
        <v>5137</v>
      </c>
      <c r="B2259" s="6" t="s">
        <v>372</v>
      </c>
      <c r="C2259" s="6" t="s">
        <v>23</v>
      </c>
      <c r="D2259" s="6" t="s">
        <v>5138</v>
      </c>
      <c r="E2259" s="6" t="s">
        <v>102</v>
      </c>
      <c r="F2259" s="6" t="s">
        <v>103</v>
      </c>
      <c r="G2259" s="7">
        <v>0.05</v>
      </c>
      <c r="H2259" s="6" t="s">
        <v>184</v>
      </c>
      <c r="I2259" s="6" t="s">
        <v>20</v>
      </c>
      <c r="J2259" s="6">
        <v>2015.0</v>
      </c>
      <c r="L2259" s="6">
        <v>3.0</v>
      </c>
      <c r="M2259" s="8">
        <f t="shared" si="2"/>
        <v>0.15</v>
      </c>
      <c r="P2259" s="9"/>
    </row>
    <row r="2260">
      <c r="A2260" s="6" t="s">
        <v>5139</v>
      </c>
      <c r="B2260" s="6" t="s">
        <v>62</v>
      </c>
      <c r="C2260" s="6" t="s">
        <v>41</v>
      </c>
      <c r="D2260" s="6" t="s">
        <v>5140</v>
      </c>
      <c r="E2260" s="6" t="s">
        <v>2070</v>
      </c>
      <c r="F2260" s="6" t="s">
        <v>65</v>
      </c>
      <c r="G2260" s="7">
        <v>1.0</v>
      </c>
      <c r="H2260" s="6" t="s">
        <v>1381</v>
      </c>
      <c r="I2260" s="6" t="s">
        <v>20</v>
      </c>
      <c r="J2260" s="6">
        <v>1995.0</v>
      </c>
      <c r="L2260" s="6">
        <v>1.0</v>
      </c>
      <c r="M2260" s="8">
        <f t="shared" si="2"/>
        <v>1</v>
      </c>
      <c r="P2260" s="9"/>
    </row>
    <row r="2261">
      <c r="A2261" s="6" t="s">
        <v>5141</v>
      </c>
      <c r="B2261" s="6" t="s">
        <v>1141</v>
      </c>
      <c r="C2261" s="6" t="s">
        <v>1956</v>
      </c>
      <c r="D2261" s="6" t="s">
        <v>5142</v>
      </c>
      <c r="E2261" s="6" t="s">
        <v>3669</v>
      </c>
      <c r="F2261" s="6" t="s">
        <v>65</v>
      </c>
      <c r="G2261" s="7">
        <v>1.05</v>
      </c>
      <c r="H2261" s="6" t="s">
        <v>4124</v>
      </c>
      <c r="I2261" s="6" t="s">
        <v>20</v>
      </c>
      <c r="J2261" s="6">
        <v>2023.0</v>
      </c>
      <c r="K2261" s="10">
        <v>46179.0</v>
      </c>
      <c r="L2261" s="6">
        <v>1.0</v>
      </c>
      <c r="M2261" s="8">
        <f t="shared" si="2"/>
        <v>1.05</v>
      </c>
      <c r="N2261" s="6" t="s">
        <v>172</v>
      </c>
      <c r="P2261" s="9"/>
    </row>
    <row r="2262">
      <c r="A2262" s="6" t="s">
        <v>5143</v>
      </c>
      <c r="B2262" s="6" t="s">
        <v>788</v>
      </c>
      <c r="C2262" s="6" t="s">
        <v>15</v>
      </c>
      <c r="D2262" s="6" t="s">
        <v>5144</v>
      </c>
      <c r="E2262" s="6" t="s">
        <v>1080</v>
      </c>
      <c r="F2262" s="6" t="s">
        <v>65</v>
      </c>
      <c r="G2262" s="7">
        <v>0.06</v>
      </c>
      <c r="H2262" s="6" t="s">
        <v>180</v>
      </c>
      <c r="I2262" s="6" t="s">
        <v>20</v>
      </c>
      <c r="J2262" s="6">
        <v>2014.0</v>
      </c>
      <c r="L2262" s="6">
        <v>1.0</v>
      </c>
      <c r="M2262" s="8">
        <f t="shared" si="2"/>
        <v>0.06</v>
      </c>
      <c r="P2262" s="9"/>
    </row>
    <row r="2263">
      <c r="A2263" s="6" t="s">
        <v>5145</v>
      </c>
      <c r="B2263" s="6" t="s">
        <v>2655</v>
      </c>
      <c r="C2263" s="6" t="s">
        <v>23</v>
      </c>
      <c r="D2263" s="6" t="s">
        <v>5146</v>
      </c>
      <c r="E2263" s="6" t="s">
        <v>167</v>
      </c>
      <c r="F2263" s="6" t="s">
        <v>103</v>
      </c>
      <c r="G2263" s="7">
        <v>0.29</v>
      </c>
      <c r="H2263" s="6" t="s">
        <v>113</v>
      </c>
      <c r="I2263" s="6" t="s">
        <v>20</v>
      </c>
      <c r="J2263" s="6">
        <v>2024.0</v>
      </c>
      <c r="K2263" s="10">
        <v>46023.0</v>
      </c>
      <c r="L2263" s="6">
        <v>1.0</v>
      </c>
      <c r="M2263" s="8">
        <f t="shared" si="2"/>
        <v>0.29</v>
      </c>
      <c r="P2263" s="9"/>
    </row>
    <row r="2264">
      <c r="A2264" s="6" t="s">
        <v>5147</v>
      </c>
      <c r="B2264" s="6" t="s">
        <v>5148</v>
      </c>
      <c r="C2264" s="6" t="s">
        <v>212</v>
      </c>
      <c r="D2264" s="6" t="s">
        <v>5149</v>
      </c>
      <c r="E2264" s="6" t="s">
        <v>5150</v>
      </c>
      <c r="F2264" s="6" t="s">
        <v>858</v>
      </c>
      <c r="G2264" s="7">
        <v>0.9</v>
      </c>
      <c r="H2264" s="6" t="s">
        <v>1043</v>
      </c>
      <c r="I2264" s="6" t="s">
        <v>55</v>
      </c>
      <c r="J2264" s="6">
        <v>2025.0</v>
      </c>
      <c r="K2264" s="6" t="s">
        <v>5151</v>
      </c>
      <c r="L2264" s="6">
        <v>1.0</v>
      </c>
      <c r="M2264" s="8">
        <f t="shared" si="2"/>
        <v>0.9</v>
      </c>
      <c r="P2264" s="9"/>
    </row>
    <row r="2265">
      <c r="A2265" s="6" t="s">
        <v>5152</v>
      </c>
      <c r="B2265" s="6" t="s">
        <v>62</v>
      </c>
      <c r="C2265" s="6" t="s">
        <v>48</v>
      </c>
      <c r="D2265" s="6" t="s">
        <v>5153</v>
      </c>
      <c r="E2265" s="6" t="s">
        <v>298</v>
      </c>
      <c r="F2265" s="6" t="s">
        <v>159</v>
      </c>
      <c r="G2265" s="7">
        <v>0.09</v>
      </c>
      <c r="H2265" s="6" t="s">
        <v>621</v>
      </c>
      <c r="I2265" s="6" t="s">
        <v>20</v>
      </c>
      <c r="J2265" s="6">
        <v>2015.0</v>
      </c>
      <c r="L2265" s="6">
        <v>1.0</v>
      </c>
      <c r="M2265" s="8">
        <f t="shared" si="2"/>
        <v>0.09</v>
      </c>
      <c r="P2265" s="9"/>
    </row>
    <row r="2266">
      <c r="A2266" s="6" t="s">
        <v>5154</v>
      </c>
      <c r="B2266" s="6" t="s">
        <v>5155</v>
      </c>
      <c r="C2266" s="6" t="s">
        <v>48</v>
      </c>
      <c r="D2266" s="6" t="s">
        <v>5156</v>
      </c>
      <c r="E2266" s="6" t="s">
        <v>30</v>
      </c>
      <c r="F2266" s="6" t="s">
        <v>18</v>
      </c>
      <c r="G2266" s="7">
        <v>0.1</v>
      </c>
      <c r="H2266" s="6" t="s">
        <v>163</v>
      </c>
      <c r="I2266" s="6" t="s">
        <v>20</v>
      </c>
      <c r="J2266" s="6">
        <v>2023.0</v>
      </c>
      <c r="K2266" s="10">
        <v>46084.0</v>
      </c>
      <c r="L2266" s="6">
        <v>1.0</v>
      </c>
      <c r="M2266" s="8">
        <f t="shared" si="2"/>
        <v>0.1</v>
      </c>
      <c r="P2266" s="9"/>
    </row>
    <row r="2267">
      <c r="A2267" s="6" t="s">
        <v>5157</v>
      </c>
      <c r="B2267" s="6" t="s">
        <v>463</v>
      </c>
      <c r="C2267" s="6" t="s">
        <v>48</v>
      </c>
      <c r="D2267" s="6" t="s">
        <v>5158</v>
      </c>
      <c r="E2267" s="6" t="s">
        <v>149</v>
      </c>
      <c r="F2267" s="6" t="s">
        <v>18</v>
      </c>
      <c r="G2267" s="7">
        <v>0.37</v>
      </c>
      <c r="H2267" s="6" t="s">
        <v>5159</v>
      </c>
      <c r="I2267" s="6" t="s">
        <v>20</v>
      </c>
      <c r="J2267" s="6">
        <v>1997.0</v>
      </c>
      <c r="K2267" s="10">
        <v>46023.0</v>
      </c>
      <c r="L2267" s="6">
        <v>1.0</v>
      </c>
      <c r="M2267" s="8">
        <f t="shared" si="2"/>
        <v>0.37</v>
      </c>
      <c r="P2267" s="9"/>
    </row>
    <row r="2268">
      <c r="A2268" s="6" t="s">
        <v>5160</v>
      </c>
      <c r="B2268" s="6" t="s">
        <v>331</v>
      </c>
      <c r="C2268" s="6" t="s">
        <v>23</v>
      </c>
      <c r="D2268" s="6" t="s">
        <v>5161</v>
      </c>
      <c r="E2268" s="6" t="s">
        <v>223</v>
      </c>
      <c r="F2268" s="6" t="s">
        <v>159</v>
      </c>
      <c r="G2268" s="7">
        <v>0.03</v>
      </c>
      <c r="H2268" s="6" t="s">
        <v>562</v>
      </c>
      <c r="I2268" s="6" t="s">
        <v>20</v>
      </c>
      <c r="J2268" s="6">
        <v>2017.0</v>
      </c>
      <c r="K2268" s="10">
        <v>46025.0</v>
      </c>
      <c r="L2268" s="6">
        <v>5.0</v>
      </c>
      <c r="M2268" s="8">
        <f t="shared" si="2"/>
        <v>0.15</v>
      </c>
      <c r="P2268" s="9"/>
    </row>
    <row r="2269">
      <c r="A2269" s="6" t="s">
        <v>5162</v>
      </c>
      <c r="B2269" s="6" t="s">
        <v>2354</v>
      </c>
      <c r="C2269" s="6" t="s">
        <v>48</v>
      </c>
      <c r="D2269" s="6" t="s">
        <v>5163</v>
      </c>
      <c r="E2269" s="6" t="s">
        <v>5164</v>
      </c>
      <c r="F2269" s="6" t="s">
        <v>717</v>
      </c>
      <c r="G2269" s="7">
        <v>0.75</v>
      </c>
      <c r="H2269" s="6" t="s">
        <v>1361</v>
      </c>
      <c r="I2269" s="6" t="s">
        <v>20</v>
      </c>
      <c r="J2269" s="6">
        <v>2008.0</v>
      </c>
      <c r="K2269" s="10">
        <v>46024.0</v>
      </c>
      <c r="L2269" s="6">
        <v>1.0</v>
      </c>
      <c r="M2269" s="8">
        <f t="shared" si="2"/>
        <v>0.75</v>
      </c>
      <c r="P2269" s="9"/>
    </row>
    <row r="2270">
      <c r="A2270" s="6" t="s">
        <v>5165</v>
      </c>
      <c r="B2270" s="6" t="s">
        <v>2986</v>
      </c>
      <c r="C2270" s="6" t="s">
        <v>23</v>
      </c>
      <c r="D2270" s="6" t="s">
        <v>5166</v>
      </c>
      <c r="E2270" s="6" t="s">
        <v>102</v>
      </c>
      <c r="F2270" s="6" t="s">
        <v>103</v>
      </c>
      <c r="G2270" s="7">
        <v>0.1</v>
      </c>
      <c r="H2270" s="6" t="s">
        <v>418</v>
      </c>
      <c r="I2270" s="6" t="s">
        <v>20</v>
      </c>
      <c r="J2270" s="6">
        <v>2022.0</v>
      </c>
      <c r="K2270" s="10">
        <v>46054.0</v>
      </c>
      <c r="L2270" s="6">
        <v>1.0</v>
      </c>
      <c r="M2270" s="8">
        <f t="shared" si="2"/>
        <v>0.1</v>
      </c>
      <c r="P2270" s="9"/>
    </row>
    <row r="2271">
      <c r="A2271" s="6" t="s">
        <v>5165</v>
      </c>
      <c r="B2271" s="6" t="s">
        <v>2986</v>
      </c>
      <c r="C2271" s="6" t="s">
        <v>23</v>
      </c>
      <c r="D2271" s="6" t="s">
        <v>5166</v>
      </c>
      <c r="E2271" s="6" t="s">
        <v>102</v>
      </c>
      <c r="F2271" s="6" t="s">
        <v>103</v>
      </c>
      <c r="G2271" s="7">
        <v>0.08</v>
      </c>
      <c r="H2271" s="6" t="s">
        <v>4672</v>
      </c>
      <c r="I2271" s="6" t="s">
        <v>20</v>
      </c>
      <c r="J2271" s="6">
        <v>2022.0</v>
      </c>
      <c r="K2271" s="10">
        <v>46054.0</v>
      </c>
      <c r="L2271" s="6">
        <v>1.0</v>
      </c>
      <c r="M2271" s="8">
        <f t="shared" si="2"/>
        <v>0.08</v>
      </c>
      <c r="P2271" s="9"/>
    </row>
    <row r="2272">
      <c r="A2272" s="6" t="s">
        <v>5167</v>
      </c>
      <c r="B2272" s="6" t="s">
        <v>62</v>
      </c>
      <c r="C2272" s="6" t="s">
        <v>23</v>
      </c>
      <c r="D2272" s="6" t="s">
        <v>5168</v>
      </c>
      <c r="E2272" s="6" t="s">
        <v>112</v>
      </c>
      <c r="F2272" s="6" t="s">
        <v>65</v>
      </c>
      <c r="G2272" s="7">
        <v>0.05</v>
      </c>
      <c r="H2272" s="6" t="s">
        <v>224</v>
      </c>
      <c r="I2272" s="6" t="s">
        <v>20</v>
      </c>
      <c r="J2272" s="6">
        <v>2020.0</v>
      </c>
      <c r="L2272" s="6">
        <v>1.0</v>
      </c>
      <c r="M2272" s="8">
        <f t="shared" si="2"/>
        <v>0.05</v>
      </c>
      <c r="P2272" s="9"/>
    </row>
    <row r="2273">
      <c r="A2273" s="6" t="s">
        <v>5169</v>
      </c>
      <c r="B2273" s="6" t="s">
        <v>5170</v>
      </c>
      <c r="C2273" s="6" t="s">
        <v>23</v>
      </c>
      <c r="D2273" s="6" t="s">
        <v>5171</v>
      </c>
      <c r="E2273" s="6" t="s">
        <v>235</v>
      </c>
      <c r="F2273" s="6" t="s">
        <v>103</v>
      </c>
      <c r="G2273" s="7">
        <v>0.1</v>
      </c>
      <c r="H2273" s="6" t="s">
        <v>192</v>
      </c>
      <c r="I2273" s="6" t="s">
        <v>20</v>
      </c>
      <c r="J2273" s="6">
        <v>2026.0</v>
      </c>
      <c r="K2273" s="10">
        <v>46055.0</v>
      </c>
      <c r="L2273" s="6">
        <v>2.0</v>
      </c>
      <c r="M2273" s="8">
        <f t="shared" si="2"/>
        <v>0.2</v>
      </c>
      <c r="P2273" s="9"/>
    </row>
    <row r="2274">
      <c r="A2274" s="6" t="s">
        <v>5172</v>
      </c>
      <c r="B2274" s="6" t="s">
        <v>5173</v>
      </c>
      <c r="C2274" s="6" t="s">
        <v>23</v>
      </c>
      <c r="D2274" s="6" t="s">
        <v>5174</v>
      </c>
      <c r="E2274" s="6" t="s">
        <v>167</v>
      </c>
      <c r="F2274" s="6" t="s">
        <v>103</v>
      </c>
      <c r="G2274" s="7">
        <v>0.08</v>
      </c>
      <c r="H2274" s="6" t="s">
        <v>289</v>
      </c>
      <c r="I2274" s="6" t="s">
        <v>20</v>
      </c>
      <c r="J2274" s="6">
        <v>1996.0</v>
      </c>
      <c r="K2274" s="10">
        <v>46023.0</v>
      </c>
      <c r="L2274" s="6">
        <v>3.0</v>
      </c>
      <c r="M2274" s="8">
        <f t="shared" si="2"/>
        <v>0.24</v>
      </c>
      <c r="P2274" s="9"/>
    </row>
    <row r="2275">
      <c r="A2275" s="6" t="s">
        <v>5175</v>
      </c>
      <c r="B2275" s="6" t="s">
        <v>229</v>
      </c>
      <c r="C2275" s="6" t="s">
        <v>212</v>
      </c>
      <c r="D2275" s="6" t="s">
        <v>5176</v>
      </c>
      <c r="E2275" s="6" t="s">
        <v>231</v>
      </c>
      <c r="F2275" s="6" t="s">
        <v>37</v>
      </c>
      <c r="G2275" s="7">
        <v>0.2</v>
      </c>
      <c r="H2275" s="6" t="s">
        <v>209</v>
      </c>
      <c r="I2275" s="6" t="s">
        <v>20</v>
      </c>
      <c r="J2275" s="6">
        <v>2025.0</v>
      </c>
      <c r="L2275" s="6">
        <v>3.0</v>
      </c>
      <c r="M2275" s="8">
        <f t="shared" si="2"/>
        <v>0.6</v>
      </c>
      <c r="P2275" s="9"/>
    </row>
    <row r="2276">
      <c r="A2276" s="6" t="s">
        <v>5177</v>
      </c>
      <c r="B2276" s="6" t="s">
        <v>62</v>
      </c>
      <c r="C2276" s="6" t="s">
        <v>23</v>
      </c>
      <c r="D2276" s="6" t="s">
        <v>5178</v>
      </c>
      <c r="E2276" s="6" t="s">
        <v>30</v>
      </c>
      <c r="F2276" s="6" t="s">
        <v>18</v>
      </c>
      <c r="G2276" s="7">
        <v>0.06</v>
      </c>
      <c r="H2276" s="6" t="s">
        <v>271</v>
      </c>
      <c r="I2276" s="6" t="s">
        <v>20</v>
      </c>
      <c r="J2276" s="6">
        <v>2012.0</v>
      </c>
      <c r="L2276" s="6">
        <v>1.0</v>
      </c>
      <c r="M2276" s="8">
        <f t="shared" si="2"/>
        <v>0.06</v>
      </c>
      <c r="P2276" s="9"/>
    </row>
    <row r="2277">
      <c r="A2277" s="6" t="s">
        <v>5179</v>
      </c>
      <c r="B2277" s="6" t="s">
        <v>543</v>
      </c>
      <c r="C2277" s="6" t="s">
        <v>48</v>
      </c>
      <c r="D2277" s="6" t="s">
        <v>5180</v>
      </c>
      <c r="E2277" s="6" t="s">
        <v>25</v>
      </c>
      <c r="F2277" s="6" t="s">
        <v>18</v>
      </c>
      <c r="G2277" s="7">
        <v>0.09</v>
      </c>
      <c r="H2277" s="6" t="s">
        <v>113</v>
      </c>
      <c r="I2277" s="6" t="s">
        <v>20</v>
      </c>
      <c r="J2277" s="6">
        <v>2024.0</v>
      </c>
      <c r="L2277" s="6">
        <v>3.0</v>
      </c>
      <c r="M2277" s="8">
        <f t="shared" si="2"/>
        <v>0.27</v>
      </c>
      <c r="P2277" s="9"/>
    </row>
    <row r="2278">
      <c r="A2278" s="6" t="s">
        <v>5181</v>
      </c>
      <c r="B2278" s="6" t="s">
        <v>62</v>
      </c>
      <c r="C2278" s="6" t="s">
        <v>23</v>
      </c>
      <c r="D2278" s="6" t="s">
        <v>5182</v>
      </c>
      <c r="E2278" s="6" t="s">
        <v>298</v>
      </c>
      <c r="F2278" s="6" t="s">
        <v>159</v>
      </c>
      <c r="G2278" s="7">
        <v>0.03</v>
      </c>
      <c r="H2278" s="6" t="s">
        <v>526</v>
      </c>
      <c r="I2278" s="6" t="s">
        <v>20</v>
      </c>
      <c r="J2278" s="6">
        <v>2020.0</v>
      </c>
      <c r="L2278" s="6">
        <v>2.0</v>
      </c>
      <c r="M2278" s="8">
        <f t="shared" si="2"/>
        <v>0.06</v>
      </c>
      <c r="P2278" s="9"/>
    </row>
    <row r="2279">
      <c r="A2279" s="6" t="s">
        <v>5183</v>
      </c>
      <c r="B2279" s="6" t="s">
        <v>899</v>
      </c>
      <c r="C2279" s="6" t="s">
        <v>23</v>
      </c>
      <c r="D2279" s="6" t="s">
        <v>5184</v>
      </c>
      <c r="E2279" s="6" t="s">
        <v>118</v>
      </c>
      <c r="F2279" s="6" t="s">
        <v>51</v>
      </c>
      <c r="G2279" s="7">
        <v>0.15</v>
      </c>
      <c r="H2279" s="6" t="s">
        <v>176</v>
      </c>
      <c r="I2279" s="6" t="s">
        <v>20</v>
      </c>
      <c r="J2279" s="6">
        <v>2025.0</v>
      </c>
      <c r="K2279" s="10">
        <v>46055.0</v>
      </c>
      <c r="L2279" s="6">
        <v>2.0</v>
      </c>
      <c r="M2279" s="8">
        <f t="shared" si="2"/>
        <v>0.3</v>
      </c>
      <c r="P2279" s="9"/>
    </row>
    <row r="2280">
      <c r="A2280" s="6" t="s">
        <v>5185</v>
      </c>
      <c r="B2280" s="6" t="s">
        <v>258</v>
      </c>
      <c r="C2280" s="6" t="s">
        <v>23</v>
      </c>
      <c r="D2280" s="6" t="s">
        <v>5186</v>
      </c>
      <c r="E2280" s="6" t="s">
        <v>79</v>
      </c>
      <c r="F2280" s="6" t="s">
        <v>51</v>
      </c>
      <c r="G2280" s="7">
        <v>0.05</v>
      </c>
      <c r="H2280" s="6" t="s">
        <v>509</v>
      </c>
      <c r="I2280" s="6" t="s">
        <v>20</v>
      </c>
      <c r="J2280" s="6">
        <v>2024.0</v>
      </c>
      <c r="K2280" s="10">
        <v>46055.0</v>
      </c>
      <c r="L2280" s="6">
        <v>1.0</v>
      </c>
      <c r="M2280" s="8">
        <f t="shared" si="2"/>
        <v>0.05</v>
      </c>
      <c r="P2280" s="9"/>
    </row>
    <row r="2281">
      <c r="A2281" s="6" t="s">
        <v>5187</v>
      </c>
      <c r="B2281" s="6" t="s">
        <v>5188</v>
      </c>
      <c r="C2281" s="6" t="s">
        <v>23</v>
      </c>
      <c r="D2281" s="6" t="s">
        <v>5189</v>
      </c>
      <c r="E2281" s="6" t="s">
        <v>298</v>
      </c>
      <c r="F2281" s="6" t="s">
        <v>159</v>
      </c>
      <c r="G2281" s="7">
        <v>0.05</v>
      </c>
      <c r="H2281" s="6" t="s">
        <v>1675</v>
      </c>
      <c r="I2281" s="6" t="s">
        <v>20</v>
      </c>
      <c r="J2281" s="6">
        <v>2021.0</v>
      </c>
      <c r="K2281" s="10">
        <v>46084.0</v>
      </c>
      <c r="L2281" s="6">
        <v>1.0</v>
      </c>
      <c r="M2281" s="8">
        <f t="shared" si="2"/>
        <v>0.05</v>
      </c>
      <c r="P2281" s="9"/>
    </row>
    <row r="2282">
      <c r="A2282" s="6" t="s">
        <v>5190</v>
      </c>
      <c r="B2282" s="6" t="s">
        <v>62</v>
      </c>
      <c r="C2282" s="6" t="s">
        <v>48</v>
      </c>
      <c r="D2282" s="6" t="s">
        <v>5191</v>
      </c>
      <c r="E2282" s="6" t="s">
        <v>270</v>
      </c>
      <c r="F2282" s="6" t="s">
        <v>159</v>
      </c>
      <c r="G2282" s="7">
        <v>0.24</v>
      </c>
      <c r="H2282" s="6" t="s">
        <v>113</v>
      </c>
      <c r="I2282" s="6" t="s">
        <v>20</v>
      </c>
      <c r="J2282" s="6">
        <v>2024.0</v>
      </c>
      <c r="L2282" s="6">
        <v>1.0</v>
      </c>
      <c r="M2282" s="8">
        <f t="shared" si="2"/>
        <v>0.24</v>
      </c>
      <c r="P2282" s="9"/>
    </row>
    <row r="2283">
      <c r="A2283" s="6" t="s">
        <v>5192</v>
      </c>
      <c r="B2283" s="6" t="s">
        <v>5193</v>
      </c>
      <c r="C2283" s="6" t="s">
        <v>23</v>
      </c>
      <c r="D2283" s="6" t="s">
        <v>5194</v>
      </c>
      <c r="E2283" s="6" t="s">
        <v>79</v>
      </c>
      <c r="F2283" s="6" t="s">
        <v>51</v>
      </c>
      <c r="G2283" s="7">
        <v>0.5</v>
      </c>
      <c r="H2283" s="6" t="s">
        <v>978</v>
      </c>
      <c r="I2283" s="6" t="s">
        <v>20</v>
      </c>
      <c r="J2283" s="6">
        <v>2022.0</v>
      </c>
      <c r="K2283" s="10">
        <v>46024.0</v>
      </c>
      <c r="L2283" s="6">
        <v>8.0</v>
      </c>
      <c r="M2283" s="8">
        <f t="shared" si="2"/>
        <v>4</v>
      </c>
      <c r="P2283" s="9"/>
    </row>
    <row r="2284">
      <c r="A2284" s="6" t="s">
        <v>5192</v>
      </c>
      <c r="B2284" s="6" t="s">
        <v>5193</v>
      </c>
      <c r="C2284" s="6" t="s">
        <v>23</v>
      </c>
      <c r="D2284" s="6" t="s">
        <v>5194</v>
      </c>
      <c r="E2284" s="6" t="s">
        <v>79</v>
      </c>
      <c r="F2284" s="6" t="s">
        <v>51</v>
      </c>
      <c r="G2284" s="7">
        <v>0.5</v>
      </c>
      <c r="H2284" s="6" t="s">
        <v>978</v>
      </c>
      <c r="I2284" s="6" t="s">
        <v>20</v>
      </c>
      <c r="J2284" s="6">
        <v>2022.0</v>
      </c>
      <c r="K2284" s="10">
        <v>46024.0</v>
      </c>
      <c r="L2284" s="6">
        <v>1.0</v>
      </c>
      <c r="M2284" s="8">
        <f t="shared" si="2"/>
        <v>0.5</v>
      </c>
      <c r="P2284" s="9"/>
    </row>
    <row r="2285">
      <c r="A2285" s="6" t="s">
        <v>5195</v>
      </c>
      <c r="B2285" s="6" t="s">
        <v>424</v>
      </c>
      <c r="C2285" s="6" t="s">
        <v>41</v>
      </c>
      <c r="D2285" s="6" t="s">
        <v>5196</v>
      </c>
      <c r="F2285" s="6" t="s">
        <v>986</v>
      </c>
      <c r="G2285" s="7">
        <v>7.98</v>
      </c>
      <c r="H2285" s="6" t="s">
        <v>216</v>
      </c>
      <c r="I2285" s="6" t="s">
        <v>20</v>
      </c>
      <c r="J2285" s="6">
        <v>2024.0</v>
      </c>
      <c r="L2285" s="6">
        <v>1.0</v>
      </c>
      <c r="M2285" s="8">
        <f t="shared" si="2"/>
        <v>7.98</v>
      </c>
      <c r="P2285" s="9"/>
    </row>
    <row r="2286">
      <c r="A2286" s="6" t="s">
        <v>5197</v>
      </c>
      <c r="B2286" s="6" t="s">
        <v>5198</v>
      </c>
      <c r="C2286" s="6" t="s">
        <v>34</v>
      </c>
      <c r="D2286" s="6" t="s">
        <v>5199</v>
      </c>
      <c r="E2286" s="6">
        <v>2.0</v>
      </c>
      <c r="F2286" s="6" t="s">
        <v>37</v>
      </c>
      <c r="G2286" s="7">
        <v>0.15</v>
      </c>
      <c r="H2286" s="6" t="s">
        <v>209</v>
      </c>
      <c r="I2286" s="6" t="s">
        <v>20</v>
      </c>
      <c r="J2286" s="6">
        <v>2025.0</v>
      </c>
      <c r="L2286" s="6">
        <v>11.0</v>
      </c>
      <c r="M2286" s="8">
        <f t="shared" si="2"/>
        <v>1.65</v>
      </c>
      <c r="P2286" s="9"/>
    </row>
    <row r="2287">
      <c r="A2287" s="6" t="s">
        <v>5200</v>
      </c>
      <c r="B2287" s="6" t="s">
        <v>62</v>
      </c>
      <c r="C2287" s="6" t="s">
        <v>23</v>
      </c>
      <c r="D2287" s="6" t="s">
        <v>5201</v>
      </c>
      <c r="E2287" s="6" t="s">
        <v>153</v>
      </c>
      <c r="F2287" s="6" t="s">
        <v>103</v>
      </c>
      <c r="G2287" s="7">
        <v>0.06</v>
      </c>
      <c r="H2287" s="6" t="s">
        <v>146</v>
      </c>
      <c r="I2287" s="6" t="s">
        <v>20</v>
      </c>
      <c r="J2287" s="6">
        <v>2010.0</v>
      </c>
      <c r="L2287" s="6">
        <v>1.0</v>
      </c>
      <c r="M2287" s="8">
        <f t="shared" si="2"/>
        <v>0.06</v>
      </c>
      <c r="P2287" s="9"/>
    </row>
    <row r="2288">
      <c r="A2288" s="6" t="s">
        <v>5202</v>
      </c>
      <c r="B2288" s="6" t="s">
        <v>202</v>
      </c>
      <c r="C2288" s="6" t="s">
        <v>48</v>
      </c>
      <c r="D2288" s="6" t="s">
        <v>5203</v>
      </c>
      <c r="E2288" s="6" t="s">
        <v>118</v>
      </c>
      <c r="F2288" s="6" t="s">
        <v>51</v>
      </c>
      <c r="G2288" s="7">
        <v>0.24</v>
      </c>
      <c r="H2288" s="6" t="s">
        <v>4243</v>
      </c>
      <c r="I2288" s="6" t="s">
        <v>20</v>
      </c>
      <c r="J2288" s="6">
        <v>2017.0</v>
      </c>
      <c r="L2288" s="6">
        <v>1.0</v>
      </c>
      <c r="M2288" s="8">
        <f t="shared" si="2"/>
        <v>0.24</v>
      </c>
      <c r="P2288" s="9"/>
    </row>
    <row r="2289">
      <c r="A2289" s="6" t="s">
        <v>5204</v>
      </c>
      <c r="B2289" s="6" t="s">
        <v>2978</v>
      </c>
      <c r="C2289" s="6" t="s">
        <v>15</v>
      </c>
      <c r="D2289" s="6" t="s">
        <v>5205</v>
      </c>
      <c r="E2289" s="6" t="s">
        <v>5206</v>
      </c>
      <c r="F2289" s="6" t="s">
        <v>858</v>
      </c>
      <c r="G2289" s="7">
        <v>0.15</v>
      </c>
      <c r="H2289" s="6" t="s">
        <v>1043</v>
      </c>
      <c r="I2289" s="6" t="s">
        <v>20</v>
      </c>
      <c r="J2289" s="6">
        <v>2025.0</v>
      </c>
      <c r="K2289" s="10">
        <v>46055.0</v>
      </c>
      <c r="L2289" s="6">
        <v>2.0</v>
      </c>
      <c r="M2289" s="8">
        <f t="shared" si="2"/>
        <v>0.3</v>
      </c>
      <c r="P2289" s="9"/>
    </row>
    <row r="2290">
      <c r="A2290" s="6" t="s">
        <v>5207</v>
      </c>
      <c r="B2290" s="6" t="s">
        <v>372</v>
      </c>
      <c r="C2290" s="6" t="s">
        <v>23</v>
      </c>
      <c r="D2290" s="6" t="s">
        <v>5208</v>
      </c>
      <c r="E2290" s="6" t="s">
        <v>79</v>
      </c>
      <c r="F2290" s="6" t="s">
        <v>51</v>
      </c>
      <c r="G2290" s="7">
        <v>0.1</v>
      </c>
      <c r="H2290" s="6" t="s">
        <v>418</v>
      </c>
      <c r="I2290" s="6" t="s">
        <v>20</v>
      </c>
      <c r="J2290" s="6">
        <v>2022.0</v>
      </c>
      <c r="L2290" s="6">
        <v>1.0</v>
      </c>
      <c r="M2290" s="8">
        <f t="shared" si="2"/>
        <v>0.1</v>
      </c>
      <c r="P2290" s="9"/>
    </row>
    <row r="2291">
      <c r="A2291" s="6" t="s">
        <v>5209</v>
      </c>
      <c r="B2291" s="6" t="s">
        <v>165</v>
      </c>
      <c r="C2291" s="6" t="s">
        <v>15</v>
      </c>
      <c r="D2291" s="6" t="s">
        <v>5210</v>
      </c>
      <c r="E2291" s="6" t="s">
        <v>5211</v>
      </c>
      <c r="F2291" s="6" t="s">
        <v>18</v>
      </c>
      <c r="G2291" s="7">
        <v>0.05</v>
      </c>
      <c r="H2291" s="6" t="s">
        <v>483</v>
      </c>
      <c r="I2291" s="6" t="s">
        <v>20</v>
      </c>
      <c r="J2291" s="6">
        <v>2014.0</v>
      </c>
      <c r="L2291" s="6">
        <v>2.0</v>
      </c>
      <c r="M2291" s="8">
        <f t="shared" si="2"/>
        <v>0.1</v>
      </c>
      <c r="P2291" s="9"/>
    </row>
    <row r="2292">
      <c r="A2292" s="6" t="s">
        <v>5212</v>
      </c>
      <c r="B2292" s="6" t="s">
        <v>62</v>
      </c>
      <c r="C2292" s="6" t="s">
        <v>23</v>
      </c>
      <c r="D2292" s="6" t="s">
        <v>1350</v>
      </c>
      <c r="E2292" s="6" t="s">
        <v>149</v>
      </c>
      <c r="F2292" s="6" t="s">
        <v>18</v>
      </c>
      <c r="G2292" s="7">
        <v>0.29</v>
      </c>
      <c r="H2292" s="6" t="s">
        <v>224</v>
      </c>
      <c r="I2292" s="6" t="s">
        <v>55</v>
      </c>
      <c r="J2292" s="6">
        <v>2020.0</v>
      </c>
      <c r="L2292" s="6">
        <v>1.0</v>
      </c>
      <c r="M2292" s="8">
        <f t="shared" si="2"/>
        <v>0.29</v>
      </c>
      <c r="P2292" s="9"/>
    </row>
    <row r="2293">
      <c r="A2293" s="6" t="s">
        <v>5213</v>
      </c>
      <c r="B2293" s="6" t="s">
        <v>5214</v>
      </c>
      <c r="C2293" s="6" t="s">
        <v>34</v>
      </c>
      <c r="D2293" s="6" t="s">
        <v>5215</v>
      </c>
      <c r="E2293" s="6" t="s">
        <v>1265</v>
      </c>
      <c r="F2293" s="6" t="s">
        <v>159</v>
      </c>
      <c r="G2293" s="7">
        <v>0.07</v>
      </c>
      <c r="H2293" s="6" t="s">
        <v>1043</v>
      </c>
      <c r="I2293" s="6" t="s">
        <v>20</v>
      </c>
      <c r="J2293" s="6">
        <v>2025.0</v>
      </c>
      <c r="K2293" s="10">
        <v>46055.0</v>
      </c>
      <c r="L2293" s="6">
        <v>1.0</v>
      </c>
      <c r="M2293" s="8">
        <f t="shared" si="2"/>
        <v>0.07</v>
      </c>
      <c r="P2293" s="9"/>
    </row>
    <row r="2294">
      <c r="A2294" s="6" t="s">
        <v>5213</v>
      </c>
      <c r="B2294" s="6" t="s">
        <v>5214</v>
      </c>
      <c r="C2294" s="6" t="s">
        <v>34</v>
      </c>
      <c r="D2294" s="6" t="s">
        <v>5215</v>
      </c>
      <c r="E2294" s="6" t="s">
        <v>1265</v>
      </c>
      <c r="F2294" s="6" t="s">
        <v>159</v>
      </c>
      <c r="G2294" s="7">
        <v>0.2</v>
      </c>
      <c r="H2294" s="6" t="s">
        <v>1043</v>
      </c>
      <c r="I2294" s="6" t="s">
        <v>55</v>
      </c>
      <c r="J2294" s="6">
        <v>2025.0</v>
      </c>
      <c r="K2294" s="10">
        <v>46055.0</v>
      </c>
      <c r="L2294" s="6">
        <v>1.0</v>
      </c>
      <c r="M2294" s="8">
        <f t="shared" si="2"/>
        <v>0.2</v>
      </c>
      <c r="P2294" s="9"/>
    </row>
    <row r="2295">
      <c r="A2295" s="6" t="s">
        <v>5216</v>
      </c>
      <c r="B2295" s="6" t="s">
        <v>5217</v>
      </c>
      <c r="C2295" s="6" t="s">
        <v>34</v>
      </c>
      <c r="D2295" s="6" t="s">
        <v>5218</v>
      </c>
      <c r="E2295" s="6" t="s">
        <v>243</v>
      </c>
      <c r="F2295" s="6" t="s">
        <v>37</v>
      </c>
      <c r="G2295" s="7">
        <v>0.15</v>
      </c>
      <c r="H2295" s="6" t="s">
        <v>5219</v>
      </c>
      <c r="I2295" s="6" t="s">
        <v>20</v>
      </c>
      <c r="J2295" s="6">
        <v>2021.0</v>
      </c>
      <c r="L2295" s="6">
        <v>2.0</v>
      </c>
      <c r="M2295" s="8">
        <f t="shared" si="2"/>
        <v>0.3</v>
      </c>
      <c r="P2295" s="9"/>
    </row>
    <row r="2296">
      <c r="A2296" s="6" t="s">
        <v>5220</v>
      </c>
      <c r="B2296" s="6" t="s">
        <v>3412</v>
      </c>
      <c r="C2296" s="6" t="s">
        <v>48</v>
      </c>
      <c r="D2296" s="6" t="s">
        <v>5221</v>
      </c>
      <c r="E2296" s="6" t="s">
        <v>4307</v>
      </c>
      <c r="F2296" s="6" t="s">
        <v>60</v>
      </c>
      <c r="G2296" s="7">
        <v>0.05</v>
      </c>
      <c r="H2296" s="6" t="s">
        <v>645</v>
      </c>
      <c r="I2296" s="6" t="s">
        <v>20</v>
      </c>
      <c r="J2296" s="6">
        <v>2024.0</v>
      </c>
      <c r="K2296" s="10">
        <v>46055.0</v>
      </c>
      <c r="L2296" s="6">
        <v>1.0</v>
      </c>
      <c r="M2296" s="8">
        <f t="shared" si="2"/>
        <v>0.05</v>
      </c>
      <c r="P2296" s="9"/>
    </row>
    <row r="2297">
      <c r="A2297" s="6" t="s">
        <v>5222</v>
      </c>
      <c r="B2297" s="6" t="s">
        <v>677</v>
      </c>
      <c r="C2297" s="6" t="s">
        <v>23</v>
      </c>
      <c r="D2297" s="6" t="s">
        <v>5223</v>
      </c>
      <c r="E2297" s="6" t="s">
        <v>573</v>
      </c>
      <c r="F2297" s="6" t="s">
        <v>51</v>
      </c>
      <c r="G2297" s="7">
        <v>0.03</v>
      </c>
      <c r="H2297" s="6" t="s">
        <v>1084</v>
      </c>
      <c r="I2297" s="6" t="s">
        <v>20</v>
      </c>
      <c r="J2297" s="6">
        <v>2018.0</v>
      </c>
      <c r="K2297" s="10">
        <v>46084.0</v>
      </c>
      <c r="L2297" s="6">
        <v>1.0</v>
      </c>
      <c r="M2297" s="8">
        <f t="shared" si="2"/>
        <v>0.03</v>
      </c>
      <c r="N2297" s="6" t="s">
        <v>518</v>
      </c>
      <c r="P2297" s="9"/>
    </row>
    <row r="2298">
      <c r="A2298" s="6" t="s">
        <v>5222</v>
      </c>
      <c r="B2298" s="6" t="s">
        <v>677</v>
      </c>
      <c r="C2298" s="6" t="s">
        <v>23</v>
      </c>
      <c r="D2298" s="6" t="s">
        <v>5223</v>
      </c>
      <c r="E2298" s="6" t="s">
        <v>573</v>
      </c>
      <c r="F2298" s="6" t="s">
        <v>51</v>
      </c>
      <c r="G2298" s="7">
        <v>0.03</v>
      </c>
      <c r="H2298" s="6" t="s">
        <v>1084</v>
      </c>
      <c r="I2298" s="6" t="s">
        <v>20</v>
      </c>
      <c r="J2298" s="6">
        <v>2018.0</v>
      </c>
      <c r="K2298" s="10">
        <v>46084.0</v>
      </c>
      <c r="L2298" s="6">
        <v>1.0</v>
      </c>
      <c r="M2298" s="8">
        <f t="shared" si="2"/>
        <v>0.03</v>
      </c>
      <c r="P2298" s="9"/>
    </row>
    <row r="2299">
      <c r="A2299" s="6" t="s">
        <v>5224</v>
      </c>
      <c r="B2299" s="6" t="s">
        <v>5225</v>
      </c>
      <c r="C2299" s="6" t="s">
        <v>72</v>
      </c>
      <c r="D2299" s="6" t="s">
        <v>5226</v>
      </c>
      <c r="E2299" s="6" t="s">
        <v>153</v>
      </c>
      <c r="F2299" s="6" t="s">
        <v>103</v>
      </c>
      <c r="G2299" s="7">
        <v>0.04</v>
      </c>
      <c r="H2299" s="6" t="s">
        <v>848</v>
      </c>
      <c r="I2299" s="6" t="s">
        <v>20</v>
      </c>
      <c r="J2299" s="6">
        <v>2023.0</v>
      </c>
      <c r="K2299" s="6" t="s">
        <v>5227</v>
      </c>
      <c r="L2299" s="6">
        <v>1.0</v>
      </c>
      <c r="M2299" s="8">
        <f t="shared" si="2"/>
        <v>0.04</v>
      </c>
      <c r="P2299" s="9"/>
    </row>
    <row r="2300">
      <c r="A2300" s="6" t="s">
        <v>5228</v>
      </c>
      <c r="B2300" s="6" t="s">
        <v>5225</v>
      </c>
      <c r="C2300" s="6" t="s">
        <v>72</v>
      </c>
      <c r="D2300" s="6" t="s">
        <v>5229</v>
      </c>
      <c r="E2300" s="6" t="s">
        <v>611</v>
      </c>
      <c r="F2300" s="6" t="s">
        <v>103</v>
      </c>
      <c r="G2300" s="7">
        <v>0.04</v>
      </c>
      <c r="H2300" s="6" t="s">
        <v>848</v>
      </c>
      <c r="I2300" s="6" t="s">
        <v>20</v>
      </c>
      <c r="J2300" s="6">
        <v>2023.0</v>
      </c>
      <c r="K2300" s="6" t="s">
        <v>5230</v>
      </c>
      <c r="L2300" s="6">
        <v>1.0</v>
      </c>
      <c r="M2300" s="8">
        <f t="shared" si="2"/>
        <v>0.04</v>
      </c>
      <c r="P2300" s="9"/>
    </row>
    <row r="2301">
      <c r="A2301" s="6" t="s">
        <v>5231</v>
      </c>
      <c r="B2301" s="6" t="s">
        <v>5232</v>
      </c>
      <c r="C2301" s="6" t="s">
        <v>48</v>
      </c>
      <c r="D2301" s="6" t="s">
        <v>5233</v>
      </c>
      <c r="E2301" s="6" t="s">
        <v>602</v>
      </c>
      <c r="F2301" s="6" t="s">
        <v>159</v>
      </c>
      <c r="G2301" s="7">
        <v>0.09</v>
      </c>
      <c r="H2301" s="6" t="s">
        <v>848</v>
      </c>
      <c r="I2301" s="6" t="s">
        <v>20</v>
      </c>
      <c r="J2301" s="6">
        <v>2023.0</v>
      </c>
      <c r="L2301" s="6">
        <v>1.0</v>
      </c>
      <c r="M2301" s="8">
        <f t="shared" si="2"/>
        <v>0.09</v>
      </c>
      <c r="P2301" s="9"/>
    </row>
    <row r="2302">
      <c r="A2302" s="6" t="s">
        <v>5234</v>
      </c>
      <c r="B2302" s="6" t="s">
        <v>5232</v>
      </c>
      <c r="C2302" s="6" t="s">
        <v>48</v>
      </c>
      <c r="D2302" s="6" t="s">
        <v>5235</v>
      </c>
      <c r="E2302" s="6" t="s">
        <v>650</v>
      </c>
      <c r="F2302" s="6" t="s">
        <v>284</v>
      </c>
      <c r="G2302" s="7">
        <v>0.04</v>
      </c>
      <c r="H2302" s="6" t="s">
        <v>848</v>
      </c>
      <c r="I2302" s="6" t="s">
        <v>20</v>
      </c>
      <c r="J2302" s="6">
        <v>2023.0</v>
      </c>
      <c r="L2302" s="6">
        <v>1.0</v>
      </c>
      <c r="M2302" s="8">
        <f t="shared" si="2"/>
        <v>0.04</v>
      </c>
      <c r="P2302" s="9"/>
    </row>
    <row r="2303">
      <c r="A2303" s="6" t="s">
        <v>5236</v>
      </c>
      <c r="B2303" s="6" t="s">
        <v>5232</v>
      </c>
      <c r="C2303" s="6" t="s">
        <v>48</v>
      </c>
      <c r="D2303" s="6" t="s">
        <v>5237</v>
      </c>
      <c r="E2303" s="6" t="s">
        <v>260</v>
      </c>
      <c r="F2303" s="6" t="s">
        <v>261</v>
      </c>
      <c r="G2303" s="7">
        <v>0.04</v>
      </c>
      <c r="H2303" s="6" t="s">
        <v>848</v>
      </c>
      <c r="I2303" s="6" t="s">
        <v>20</v>
      </c>
      <c r="J2303" s="6">
        <v>2023.0</v>
      </c>
      <c r="L2303" s="6">
        <v>1.0</v>
      </c>
      <c r="M2303" s="8">
        <f t="shared" si="2"/>
        <v>0.04</v>
      </c>
      <c r="P2303" s="9"/>
    </row>
    <row r="2304">
      <c r="A2304" s="6" t="s">
        <v>5238</v>
      </c>
      <c r="B2304" s="6" t="s">
        <v>3890</v>
      </c>
      <c r="C2304" s="6" t="s">
        <v>48</v>
      </c>
      <c r="D2304" s="6" t="s">
        <v>5239</v>
      </c>
      <c r="E2304" s="6" t="s">
        <v>118</v>
      </c>
      <c r="F2304" s="6" t="s">
        <v>51</v>
      </c>
      <c r="G2304" s="7">
        <v>0.2</v>
      </c>
      <c r="H2304" s="6" t="s">
        <v>45</v>
      </c>
      <c r="I2304" s="6" t="s">
        <v>20</v>
      </c>
      <c r="J2304" s="6">
        <v>2025.0</v>
      </c>
      <c r="K2304" s="10">
        <v>46023.0</v>
      </c>
      <c r="L2304" s="6">
        <v>1.0</v>
      </c>
      <c r="M2304" s="8">
        <f t="shared" si="2"/>
        <v>0.2</v>
      </c>
      <c r="P2304" s="9"/>
    </row>
    <row r="2305">
      <c r="A2305" s="6" t="s">
        <v>5240</v>
      </c>
      <c r="B2305" s="6" t="s">
        <v>796</v>
      </c>
      <c r="C2305" s="6" t="s">
        <v>15</v>
      </c>
      <c r="D2305" s="6" t="s">
        <v>5241</v>
      </c>
      <c r="E2305" s="6" t="s">
        <v>1307</v>
      </c>
      <c r="F2305" s="6" t="s">
        <v>65</v>
      </c>
      <c r="G2305" s="7">
        <v>0.09</v>
      </c>
      <c r="H2305" s="6" t="s">
        <v>1043</v>
      </c>
      <c r="I2305" s="6" t="s">
        <v>20</v>
      </c>
      <c r="J2305" s="6">
        <v>2025.0</v>
      </c>
      <c r="L2305" s="6">
        <v>1.0</v>
      </c>
      <c r="M2305" s="8">
        <f t="shared" si="2"/>
        <v>0.09</v>
      </c>
      <c r="P2305" s="9"/>
    </row>
    <row r="2306">
      <c r="A2306" s="6" t="s">
        <v>5242</v>
      </c>
      <c r="B2306" s="6" t="s">
        <v>613</v>
      </c>
      <c r="C2306" s="6" t="s">
        <v>48</v>
      </c>
      <c r="D2306" s="6" t="s">
        <v>5243</v>
      </c>
      <c r="E2306" s="6" t="s">
        <v>573</v>
      </c>
      <c r="F2306" s="6" t="s">
        <v>51</v>
      </c>
      <c r="G2306" s="7">
        <v>1.33</v>
      </c>
      <c r="H2306" s="6" t="s">
        <v>5244</v>
      </c>
      <c r="I2306" s="6" t="s">
        <v>20</v>
      </c>
      <c r="J2306" s="6">
        <v>2026.0</v>
      </c>
      <c r="K2306" s="10">
        <v>46144.0</v>
      </c>
      <c r="L2306" s="6">
        <v>1.0</v>
      </c>
      <c r="M2306" s="8">
        <f t="shared" si="2"/>
        <v>1.33</v>
      </c>
      <c r="P2306" s="9"/>
    </row>
    <row r="2307">
      <c r="A2307" s="6" t="s">
        <v>5245</v>
      </c>
      <c r="B2307" s="6" t="s">
        <v>3572</v>
      </c>
      <c r="C2307" s="6" t="s">
        <v>15</v>
      </c>
      <c r="D2307" s="6" t="s">
        <v>5246</v>
      </c>
      <c r="E2307" s="6" t="s">
        <v>806</v>
      </c>
      <c r="F2307" s="6" t="s">
        <v>51</v>
      </c>
      <c r="G2307" s="7">
        <v>0.99</v>
      </c>
      <c r="H2307" s="6" t="s">
        <v>38</v>
      </c>
      <c r="I2307" s="6" t="s">
        <v>20</v>
      </c>
      <c r="J2307" s="6">
        <v>2026.0</v>
      </c>
      <c r="K2307" s="10">
        <v>46144.0</v>
      </c>
      <c r="L2307" s="6">
        <v>1.0</v>
      </c>
      <c r="M2307" s="8">
        <f t="shared" si="2"/>
        <v>0.99</v>
      </c>
      <c r="P2307" s="9"/>
    </row>
    <row r="2308">
      <c r="A2308" s="6" t="s">
        <v>5247</v>
      </c>
      <c r="B2308" s="6" t="s">
        <v>413</v>
      </c>
      <c r="C2308" s="6" t="s">
        <v>84</v>
      </c>
      <c r="D2308" s="6" t="s">
        <v>5248</v>
      </c>
      <c r="E2308" s="6" t="s">
        <v>1250</v>
      </c>
      <c r="F2308" s="6" t="s">
        <v>1251</v>
      </c>
      <c r="G2308" s="7">
        <v>0.55</v>
      </c>
      <c r="H2308" s="6" t="s">
        <v>1084</v>
      </c>
      <c r="I2308" s="6" t="s">
        <v>20</v>
      </c>
      <c r="J2308" s="6">
        <v>2018.0</v>
      </c>
      <c r="L2308" s="6">
        <v>1.0</v>
      </c>
      <c r="M2308" s="8">
        <f t="shared" si="2"/>
        <v>0.55</v>
      </c>
      <c r="P2308" s="9"/>
    </row>
    <row r="2309">
      <c r="A2309" s="6" t="s">
        <v>5249</v>
      </c>
      <c r="B2309" s="6" t="s">
        <v>5250</v>
      </c>
      <c r="C2309" s="6" t="s">
        <v>15</v>
      </c>
      <c r="D2309" s="6" t="s">
        <v>5251</v>
      </c>
      <c r="E2309" s="6" t="s">
        <v>1767</v>
      </c>
      <c r="F2309" s="6" t="s">
        <v>18</v>
      </c>
      <c r="G2309" s="7">
        <v>0.34</v>
      </c>
      <c r="H2309" s="6" t="s">
        <v>19</v>
      </c>
      <c r="I2309" s="6" t="s">
        <v>20</v>
      </c>
      <c r="J2309" s="6">
        <v>2023.0</v>
      </c>
      <c r="K2309" s="10">
        <v>46113.0</v>
      </c>
      <c r="L2309" s="6">
        <v>2.0</v>
      </c>
      <c r="M2309" s="8">
        <f t="shared" si="2"/>
        <v>0.68</v>
      </c>
      <c r="P2309" s="9"/>
    </row>
    <row r="2310">
      <c r="A2310" s="6" t="s">
        <v>5252</v>
      </c>
      <c r="B2310" s="6" t="s">
        <v>3178</v>
      </c>
      <c r="C2310" s="6" t="s">
        <v>23</v>
      </c>
      <c r="D2310" s="6" t="s">
        <v>5253</v>
      </c>
      <c r="E2310" s="6" t="s">
        <v>223</v>
      </c>
      <c r="F2310" s="6" t="s">
        <v>159</v>
      </c>
      <c r="G2310" s="7">
        <v>0.04</v>
      </c>
      <c r="H2310" s="6" t="s">
        <v>848</v>
      </c>
      <c r="I2310" s="6" t="s">
        <v>20</v>
      </c>
      <c r="J2310" s="6">
        <v>2023.0</v>
      </c>
      <c r="K2310" s="10">
        <v>46055.0</v>
      </c>
      <c r="L2310" s="6">
        <v>1.0</v>
      </c>
      <c r="M2310" s="8">
        <f t="shared" si="2"/>
        <v>0.04</v>
      </c>
      <c r="P2310" s="9"/>
    </row>
    <row r="2311">
      <c r="A2311" s="6" t="s">
        <v>5254</v>
      </c>
      <c r="B2311" s="6" t="s">
        <v>372</v>
      </c>
      <c r="C2311" s="6" t="s">
        <v>23</v>
      </c>
      <c r="D2311" s="6" t="s">
        <v>5255</v>
      </c>
      <c r="E2311" s="6" t="s">
        <v>533</v>
      </c>
      <c r="F2311" s="6" t="s">
        <v>65</v>
      </c>
      <c r="G2311" s="7">
        <v>0.04</v>
      </c>
      <c r="H2311" s="6" t="s">
        <v>526</v>
      </c>
      <c r="I2311" s="6" t="s">
        <v>20</v>
      </c>
      <c r="J2311" s="6">
        <v>2020.0</v>
      </c>
      <c r="L2311" s="6">
        <v>1.0</v>
      </c>
      <c r="M2311" s="8">
        <f t="shared" si="2"/>
        <v>0.04</v>
      </c>
      <c r="P2311" s="9"/>
    </row>
    <row r="2312">
      <c r="A2312" s="6" t="s">
        <v>5256</v>
      </c>
      <c r="B2312" s="6" t="s">
        <v>1683</v>
      </c>
      <c r="C2312" s="6" t="s">
        <v>41</v>
      </c>
      <c r="D2312" s="6" t="s">
        <v>5257</v>
      </c>
      <c r="E2312" s="6" t="s">
        <v>5258</v>
      </c>
      <c r="F2312" s="6" t="s">
        <v>5259</v>
      </c>
      <c r="G2312" s="7">
        <v>1.19</v>
      </c>
      <c r="H2312" s="6" t="s">
        <v>45</v>
      </c>
      <c r="I2312" s="6" t="s">
        <v>20</v>
      </c>
      <c r="J2312" s="6">
        <v>2025.0</v>
      </c>
      <c r="K2312" s="10">
        <v>46147.0</v>
      </c>
      <c r="L2312" s="6">
        <v>1.0</v>
      </c>
      <c r="M2312" s="8">
        <f t="shared" si="2"/>
        <v>1.19</v>
      </c>
      <c r="P2312" s="9"/>
    </row>
    <row r="2313">
      <c r="A2313" s="6" t="s">
        <v>5260</v>
      </c>
      <c r="B2313" s="6" t="s">
        <v>694</v>
      </c>
      <c r="C2313" s="6" t="s">
        <v>23</v>
      </c>
      <c r="D2313" s="6" t="s">
        <v>5261</v>
      </c>
      <c r="E2313" s="6" t="s">
        <v>243</v>
      </c>
      <c r="F2313" s="6" t="s">
        <v>37</v>
      </c>
      <c r="G2313" s="7">
        <v>0.06</v>
      </c>
      <c r="H2313" s="6" t="s">
        <v>5262</v>
      </c>
      <c r="I2313" s="6" t="s">
        <v>20</v>
      </c>
      <c r="J2313" s="6">
        <v>2020.0</v>
      </c>
      <c r="K2313" s="10">
        <v>46023.0</v>
      </c>
      <c r="L2313" s="6">
        <v>1.0</v>
      </c>
      <c r="M2313" s="8">
        <f t="shared" si="2"/>
        <v>0.06</v>
      </c>
      <c r="P2313" s="9"/>
    </row>
    <row r="2314">
      <c r="A2314" s="6" t="s">
        <v>5263</v>
      </c>
      <c r="B2314" s="6" t="s">
        <v>5264</v>
      </c>
      <c r="C2314" s="6" t="s">
        <v>34</v>
      </c>
      <c r="D2314" s="6" t="s">
        <v>5265</v>
      </c>
      <c r="E2314" s="6">
        <v>7.0</v>
      </c>
      <c r="F2314" s="6" t="s">
        <v>37</v>
      </c>
      <c r="G2314" s="7">
        <v>0.05</v>
      </c>
      <c r="H2314" s="6" t="s">
        <v>4256</v>
      </c>
      <c r="I2314" s="6" t="s">
        <v>20</v>
      </c>
      <c r="J2314" s="6">
        <v>2025.0</v>
      </c>
      <c r="K2314" s="10">
        <v>46179.0</v>
      </c>
      <c r="L2314" s="6">
        <v>7.0</v>
      </c>
      <c r="M2314" s="8">
        <f t="shared" si="2"/>
        <v>0.35</v>
      </c>
      <c r="P2314" s="9"/>
    </row>
    <row r="2315">
      <c r="A2315" s="6" t="s">
        <v>5266</v>
      </c>
      <c r="B2315" s="6" t="s">
        <v>841</v>
      </c>
      <c r="C2315" s="6" t="s">
        <v>23</v>
      </c>
      <c r="D2315" s="6" t="s">
        <v>5267</v>
      </c>
      <c r="E2315" s="6" t="s">
        <v>625</v>
      </c>
      <c r="F2315" s="6" t="s">
        <v>37</v>
      </c>
      <c r="G2315" s="7">
        <v>0.15</v>
      </c>
      <c r="H2315" s="6" t="s">
        <v>5262</v>
      </c>
      <c r="I2315" s="6" t="s">
        <v>55</v>
      </c>
      <c r="J2315" s="6">
        <v>2020.0</v>
      </c>
      <c r="K2315" s="10">
        <v>46055.0</v>
      </c>
      <c r="L2315" s="6">
        <v>1.0</v>
      </c>
      <c r="M2315" s="8">
        <f t="shared" si="2"/>
        <v>0.15</v>
      </c>
      <c r="P2315" s="9"/>
    </row>
    <row r="2316">
      <c r="A2316" s="6" t="s">
        <v>5268</v>
      </c>
      <c r="B2316" s="6" t="s">
        <v>307</v>
      </c>
      <c r="C2316" s="6" t="s">
        <v>48</v>
      </c>
      <c r="D2316" s="6" t="s">
        <v>5269</v>
      </c>
      <c r="E2316" s="6" t="s">
        <v>303</v>
      </c>
      <c r="F2316" s="6" t="s">
        <v>37</v>
      </c>
      <c r="G2316" s="7">
        <v>0.09</v>
      </c>
      <c r="H2316" s="6" t="s">
        <v>119</v>
      </c>
      <c r="I2316" s="6" t="s">
        <v>20</v>
      </c>
      <c r="J2316" s="6">
        <v>1995.0</v>
      </c>
      <c r="L2316" s="6">
        <v>1.0</v>
      </c>
      <c r="M2316" s="8">
        <f t="shared" si="2"/>
        <v>0.09</v>
      </c>
      <c r="P2316" s="9"/>
    </row>
    <row r="2317">
      <c r="A2317" s="6" t="s">
        <v>5268</v>
      </c>
      <c r="B2317" s="6" t="s">
        <v>307</v>
      </c>
      <c r="C2317" s="6" t="s">
        <v>48</v>
      </c>
      <c r="D2317" s="6" t="s">
        <v>5269</v>
      </c>
      <c r="E2317" s="6" t="s">
        <v>303</v>
      </c>
      <c r="F2317" s="6" t="s">
        <v>37</v>
      </c>
      <c r="G2317" s="7">
        <v>0.21</v>
      </c>
      <c r="H2317" s="6" t="s">
        <v>120</v>
      </c>
      <c r="I2317" s="6" t="s">
        <v>20</v>
      </c>
      <c r="J2317" s="6">
        <v>1995.0</v>
      </c>
      <c r="L2317" s="6">
        <v>2.0</v>
      </c>
      <c r="M2317" s="8">
        <f t="shared" si="2"/>
        <v>0.42</v>
      </c>
      <c r="P2317" s="9"/>
    </row>
    <row r="2318">
      <c r="A2318" s="6" t="s">
        <v>5270</v>
      </c>
      <c r="B2318" s="6" t="s">
        <v>62</v>
      </c>
      <c r="C2318" s="6" t="s">
        <v>23</v>
      </c>
      <c r="D2318" s="6" t="s">
        <v>5271</v>
      </c>
      <c r="E2318" s="6" t="s">
        <v>79</v>
      </c>
      <c r="F2318" s="6" t="s">
        <v>51</v>
      </c>
      <c r="G2318" s="7">
        <v>0.06</v>
      </c>
      <c r="H2318" s="6" t="s">
        <v>881</v>
      </c>
      <c r="I2318" s="6" t="s">
        <v>20</v>
      </c>
      <c r="J2318" s="6">
        <v>2021.0</v>
      </c>
      <c r="L2318" s="6">
        <v>1.0</v>
      </c>
      <c r="M2318" s="8">
        <f t="shared" si="2"/>
        <v>0.06</v>
      </c>
      <c r="P2318" s="9"/>
    </row>
    <row r="2319">
      <c r="A2319" s="6" t="s">
        <v>5272</v>
      </c>
      <c r="B2319" s="6" t="s">
        <v>1580</v>
      </c>
      <c r="C2319" s="6" t="s">
        <v>23</v>
      </c>
      <c r="D2319" s="6" t="s">
        <v>1581</v>
      </c>
      <c r="E2319" s="6" t="s">
        <v>112</v>
      </c>
      <c r="F2319" s="6" t="s">
        <v>65</v>
      </c>
      <c r="G2319" s="7">
        <v>0.05</v>
      </c>
      <c r="H2319" s="6" t="s">
        <v>119</v>
      </c>
      <c r="I2319" s="6" t="s">
        <v>20</v>
      </c>
      <c r="J2319" s="6">
        <v>1995.0</v>
      </c>
      <c r="K2319" s="10">
        <v>46055.0</v>
      </c>
      <c r="L2319" s="6">
        <v>5.0</v>
      </c>
      <c r="M2319" s="8">
        <f t="shared" si="2"/>
        <v>0.25</v>
      </c>
      <c r="P2319" s="9"/>
    </row>
    <row r="2320">
      <c r="A2320" s="6" t="s">
        <v>5272</v>
      </c>
      <c r="B2320" s="6" t="s">
        <v>1580</v>
      </c>
      <c r="C2320" s="6" t="s">
        <v>23</v>
      </c>
      <c r="D2320" s="6" t="s">
        <v>1581</v>
      </c>
      <c r="E2320" s="6" t="s">
        <v>112</v>
      </c>
      <c r="F2320" s="6" t="s">
        <v>65</v>
      </c>
      <c r="G2320" s="7">
        <v>0.18</v>
      </c>
      <c r="H2320" s="6" t="s">
        <v>120</v>
      </c>
      <c r="I2320" s="6" t="s">
        <v>20</v>
      </c>
      <c r="J2320" s="6">
        <v>1995.0</v>
      </c>
      <c r="K2320" s="10">
        <v>46055.0</v>
      </c>
      <c r="L2320" s="6">
        <v>6.0</v>
      </c>
      <c r="M2320" s="8">
        <f t="shared" si="2"/>
        <v>1.08</v>
      </c>
      <c r="P2320" s="9"/>
    </row>
    <row r="2321">
      <c r="A2321" s="6" t="s">
        <v>5273</v>
      </c>
      <c r="B2321" s="6" t="s">
        <v>5274</v>
      </c>
      <c r="C2321" s="6" t="s">
        <v>23</v>
      </c>
      <c r="D2321" s="6" t="s">
        <v>5275</v>
      </c>
      <c r="E2321" s="6" t="s">
        <v>1950</v>
      </c>
      <c r="F2321" s="6" t="s">
        <v>65</v>
      </c>
      <c r="G2321" s="7">
        <v>0.06</v>
      </c>
      <c r="H2321" s="6" t="s">
        <v>418</v>
      </c>
      <c r="I2321" s="6" t="s">
        <v>20</v>
      </c>
      <c r="J2321" s="6">
        <v>2022.0</v>
      </c>
      <c r="K2321" s="10">
        <v>46117.0</v>
      </c>
      <c r="L2321" s="6">
        <v>1.0</v>
      </c>
      <c r="M2321" s="8">
        <f t="shared" si="2"/>
        <v>0.06</v>
      </c>
      <c r="P2321" s="9"/>
    </row>
    <row r="2322">
      <c r="A2322" s="6" t="s">
        <v>5276</v>
      </c>
      <c r="B2322" s="6" t="s">
        <v>5277</v>
      </c>
      <c r="C2322" s="6" t="s">
        <v>48</v>
      </c>
      <c r="D2322" s="6" t="s">
        <v>5278</v>
      </c>
      <c r="E2322" s="6" t="s">
        <v>112</v>
      </c>
      <c r="F2322" s="6" t="s">
        <v>65</v>
      </c>
      <c r="G2322" s="7">
        <v>0.23</v>
      </c>
      <c r="H2322" s="6" t="s">
        <v>645</v>
      </c>
      <c r="I2322" s="6" t="s">
        <v>55</v>
      </c>
      <c r="J2322" s="6">
        <v>2024.0</v>
      </c>
      <c r="K2322" s="10">
        <v>46055.0</v>
      </c>
      <c r="L2322" s="6">
        <v>1.0</v>
      </c>
      <c r="M2322" s="8">
        <f t="shared" si="2"/>
        <v>0.23</v>
      </c>
      <c r="P2322" s="9"/>
    </row>
    <row r="2323">
      <c r="A2323" s="6" t="s">
        <v>5279</v>
      </c>
      <c r="B2323" s="6" t="s">
        <v>1074</v>
      </c>
      <c r="C2323" s="6" t="s">
        <v>287</v>
      </c>
      <c r="D2323" s="6" t="s">
        <v>5280</v>
      </c>
      <c r="E2323" s="6" t="s">
        <v>1901</v>
      </c>
      <c r="F2323" s="6" t="s">
        <v>5281</v>
      </c>
      <c r="G2323" s="7">
        <v>1.75</v>
      </c>
      <c r="H2323" s="6" t="s">
        <v>5282</v>
      </c>
      <c r="I2323" s="6" t="s">
        <v>20</v>
      </c>
      <c r="J2323" s="6">
        <v>1996.0</v>
      </c>
      <c r="K2323" s="6" t="s">
        <v>1901</v>
      </c>
      <c r="L2323" s="6">
        <v>1.0</v>
      </c>
      <c r="M2323" s="8">
        <f t="shared" si="2"/>
        <v>1.75</v>
      </c>
      <c r="N2323" s="6" t="s">
        <v>172</v>
      </c>
      <c r="P2323" s="9"/>
    </row>
    <row r="2324">
      <c r="A2324" s="6" t="s">
        <v>5279</v>
      </c>
      <c r="B2324" s="6" t="s">
        <v>1074</v>
      </c>
      <c r="C2324" s="6" t="s">
        <v>287</v>
      </c>
      <c r="D2324" s="6" t="s">
        <v>5280</v>
      </c>
      <c r="E2324" s="6" t="s">
        <v>1901</v>
      </c>
      <c r="F2324" s="6" t="s">
        <v>5281</v>
      </c>
      <c r="G2324" s="7">
        <v>0.87</v>
      </c>
      <c r="H2324" s="6" t="s">
        <v>5283</v>
      </c>
      <c r="I2324" s="6" t="s">
        <v>20</v>
      </c>
      <c r="J2324" s="6">
        <v>1999.0</v>
      </c>
      <c r="K2324" s="6" t="s">
        <v>1901</v>
      </c>
      <c r="L2324" s="6">
        <v>1.0</v>
      </c>
      <c r="M2324" s="8">
        <f t="shared" si="2"/>
        <v>0.87</v>
      </c>
      <c r="P2324" s="9"/>
    </row>
    <row r="2325">
      <c r="A2325" s="6" t="s">
        <v>5284</v>
      </c>
      <c r="B2325" s="6" t="s">
        <v>5285</v>
      </c>
      <c r="C2325" s="6" t="s">
        <v>23</v>
      </c>
      <c r="D2325" s="6" t="s">
        <v>5286</v>
      </c>
      <c r="F2325" s="6" t="s">
        <v>18</v>
      </c>
      <c r="G2325" s="7">
        <v>0.3</v>
      </c>
      <c r="H2325" s="6" t="s">
        <v>265</v>
      </c>
      <c r="I2325" s="6" t="s">
        <v>20</v>
      </c>
      <c r="J2325" s="6">
        <v>2017.0</v>
      </c>
      <c r="L2325" s="6">
        <v>4.0</v>
      </c>
      <c r="M2325" s="8">
        <f t="shared" si="2"/>
        <v>1.2</v>
      </c>
      <c r="P2325" s="9"/>
    </row>
    <row r="2326">
      <c r="A2326" s="6" t="s">
        <v>5284</v>
      </c>
      <c r="B2326" s="6" t="s">
        <v>5285</v>
      </c>
      <c r="C2326" s="6" t="s">
        <v>23</v>
      </c>
      <c r="D2326" s="6" t="s">
        <v>5286</v>
      </c>
      <c r="F2326" s="6" t="s">
        <v>18</v>
      </c>
      <c r="G2326" s="7">
        <v>0.27</v>
      </c>
      <c r="H2326" s="6" t="s">
        <v>265</v>
      </c>
      <c r="I2326" s="6" t="s">
        <v>20</v>
      </c>
      <c r="J2326" s="6">
        <v>2017.0</v>
      </c>
      <c r="L2326" s="6">
        <v>4.0</v>
      </c>
      <c r="M2326" s="8">
        <f t="shared" si="2"/>
        <v>1.08</v>
      </c>
      <c r="P2326" s="9"/>
    </row>
    <row r="2327">
      <c r="A2327" s="6" t="s">
        <v>5284</v>
      </c>
      <c r="B2327" s="6" t="s">
        <v>5285</v>
      </c>
      <c r="C2327" s="6" t="s">
        <v>23</v>
      </c>
      <c r="D2327" s="6" t="s">
        <v>5286</v>
      </c>
      <c r="F2327" s="6" t="s">
        <v>18</v>
      </c>
      <c r="G2327" s="7">
        <v>0.29</v>
      </c>
      <c r="H2327" s="6" t="s">
        <v>316</v>
      </c>
      <c r="I2327" s="6" t="s">
        <v>20</v>
      </c>
      <c r="J2327" s="6">
        <v>2016.0</v>
      </c>
      <c r="L2327" s="6">
        <v>2.0</v>
      </c>
      <c r="M2327" s="8">
        <f t="shared" si="2"/>
        <v>0.58</v>
      </c>
      <c r="P2327" s="9"/>
    </row>
    <row r="2328">
      <c r="A2328" s="6" t="s">
        <v>5284</v>
      </c>
      <c r="B2328" s="6" t="s">
        <v>5285</v>
      </c>
      <c r="C2328" s="6" t="s">
        <v>23</v>
      </c>
      <c r="D2328" s="6" t="s">
        <v>5286</v>
      </c>
      <c r="F2328" s="6" t="s">
        <v>18</v>
      </c>
      <c r="G2328" s="7">
        <v>0.27</v>
      </c>
      <c r="H2328" s="6" t="s">
        <v>316</v>
      </c>
      <c r="I2328" s="6" t="s">
        <v>20</v>
      </c>
      <c r="J2328" s="6">
        <v>2016.0</v>
      </c>
      <c r="L2328" s="6">
        <v>2.0</v>
      </c>
      <c r="M2328" s="8">
        <f t="shared" si="2"/>
        <v>0.54</v>
      </c>
      <c r="P2328" s="9"/>
    </row>
    <row r="2329">
      <c r="A2329" s="6" t="s">
        <v>5284</v>
      </c>
      <c r="B2329" s="6" t="s">
        <v>5285</v>
      </c>
      <c r="C2329" s="6" t="s">
        <v>23</v>
      </c>
      <c r="D2329" s="6" t="s">
        <v>5286</v>
      </c>
      <c r="F2329" s="6" t="s">
        <v>18</v>
      </c>
      <c r="G2329" s="7">
        <v>0.25</v>
      </c>
      <c r="H2329" s="6" t="s">
        <v>154</v>
      </c>
      <c r="I2329" s="6" t="s">
        <v>20</v>
      </c>
      <c r="J2329" s="6">
        <v>2013.0</v>
      </c>
      <c r="L2329" s="6">
        <v>7.0</v>
      </c>
      <c r="M2329" s="8">
        <f t="shared" si="2"/>
        <v>1.75</v>
      </c>
      <c r="P2329" s="9"/>
    </row>
    <row r="2330">
      <c r="A2330" s="6" t="s">
        <v>5284</v>
      </c>
      <c r="B2330" s="6" t="s">
        <v>5285</v>
      </c>
      <c r="C2330" s="6" t="s">
        <v>23</v>
      </c>
      <c r="D2330" s="6" t="s">
        <v>5286</v>
      </c>
      <c r="F2330" s="6" t="s">
        <v>18</v>
      </c>
      <c r="G2330" s="7">
        <v>0.27</v>
      </c>
      <c r="H2330" s="6" t="s">
        <v>188</v>
      </c>
      <c r="I2330" s="6" t="s">
        <v>20</v>
      </c>
      <c r="J2330" s="6">
        <v>2014.0</v>
      </c>
      <c r="L2330" s="6">
        <v>1.0</v>
      </c>
      <c r="M2330" s="8">
        <f t="shared" si="2"/>
        <v>0.27</v>
      </c>
      <c r="P2330" s="9"/>
    </row>
    <row r="2331">
      <c r="A2331" s="6" t="s">
        <v>5284</v>
      </c>
      <c r="B2331" s="6" t="s">
        <v>5285</v>
      </c>
      <c r="C2331" s="6" t="s">
        <v>23</v>
      </c>
      <c r="D2331" s="6" t="s">
        <v>5286</v>
      </c>
      <c r="F2331" s="6" t="s">
        <v>18</v>
      </c>
      <c r="G2331" s="7">
        <v>0.2</v>
      </c>
      <c r="H2331" s="6" t="s">
        <v>184</v>
      </c>
      <c r="I2331" s="6" t="s">
        <v>20</v>
      </c>
      <c r="J2331" s="6">
        <v>2015.0</v>
      </c>
      <c r="L2331" s="6">
        <v>3.0</v>
      </c>
      <c r="M2331" s="8">
        <f t="shared" si="2"/>
        <v>0.6</v>
      </c>
      <c r="P2331" s="9"/>
    </row>
    <row r="2332">
      <c r="A2332" s="6" t="s">
        <v>5284</v>
      </c>
      <c r="B2332" s="6" t="s">
        <v>5285</v>
      </c>
      <c r="C2332" s="6" t="s">
        <v>23</v>
      </c>
      <c r="D2332" s="6" t="s">
        <v>5286</v>
      </c>
      <c r="F2332" s="6" t="s">
        <v>18</v>
      </c>
      <c r="G2332" s="7">
        <v>0.27</v>
      </c>
      <c r="H2332" s="6" t="s">
        <v>184</v>
      </c>
      <c r="I2332" s="6" t="s">
        <v>20</v>
      </c>
      <c r="J2332" s="6">
        <v>2015.0</v>
      </c>
      <c r="L2332" s="6">
        <v>6.0</v>
      </c>
      <c r="M2332" s="8">
        <f t="shared" si="2"/>
        <v>1.62</v>
      </c>
      <c r="P2332" s="9"/>
    </row>
    <row r="2333">
      <c r="A2333" s="6" t="s">
        <v>5284</v>
      </c>
      <c r="B2333" s="6" t="s">
        <v>5285</v>
      </c>
      <c r="C2333" s="6" t="s">
        <v>23</v>
      </c>
      <c r="D2333" s="6" t="s">
        <v>5286</v>
      </c>
      <c r="F2333" s="6" t="s">
        <v>18</v>
      </c>
      <c r="G2333" s="7">
        <v>0.2</v>
      </c>
      <c r="H2333" s="6" t="s">
        <v>31</v>
      </c>
      <c r="I2333" s="6" t="s">
        <v>20</v>
      </c>
      <c r="J2333" s="6">
        <v>2026.0</v>
      </c>
      <c r="L2333" s="6">
        <v>12.0</v>
      </c>
      <c r="M2333" s="8">
        <f t="shared" si="2"/>
        <v>2.4</v>
      </c>
      <c r="P2333" s="9"/>
    </row>
    <row r="2334">
      <c r="A2334" s="6" t="s">
        <v>5284</v>
      </c>
      <c r="B2334" s="6" t="s">
        <v>5285</v>
      </c>
      <c r="C2334" s="6" t="s">
        <v>23</v>
      </c>
      <c r="D2334" s="6" t="s">
        <v>5286</v>
      </c>
      <c r="F2334" s="6" t="s">
        <v>18</v>
      </c>
      <c r="G2334" s="7">
        <v>0.8</v>
      </c>
      <c r="H2334" s="6" t="s">
        <v>5287</v>
      </c>
      <c r="I2334" s="6" t="s">
        <v>20</v>
      </c>
      <c r="J2334" s="6">
        <v>2026.0</v>
      </c>
      <c r="L2334" s="6">
        <v>1.0</v>
      </c>
      <c r="M2334" s="8">
        <f t="shared" si="2"/>
        <v>0.8</v>
      </c>
      <c r="P2334" s="9"/>
    </row>
    <row r="2335">
      <c r="A2335" s="6" t="s">
        <v>5284</v>
      </c>
      <c r="B2335" s="6" t="s">
        <v>5285</v>
      </c>
      <c r="C2335" s="6" t="s">
        <v>23</v>
      </c>
      <c r="D2335" s="6" t="s">
        <v>5286</v>
      </c>
      <c r="F2335" s="6" t="s">
        <v>18</v>
      </c>
      <c r="G2335" s="7">
        <v>0.8</v>
      </c>
      <c r="H2335" s="6" t="s">
        <v>5288</v>
      </c>
      <c r="I2335" s="6" t="s">
        <v>20</v>
      </c>
      <c r="J2335" s="6">
        <v>2026.0</v>
      </c>
      <c r="L2335" s="6">
        <v>1.0</v>
      </c>
      <c r="M2335" s="8">
        <f t="shared" si="2"/>
        <v>0.8</v>
      </c>
      <c r="P2335" s="9"/>
    </row>
    <row r="2336">
      <c r="A2336" s="6" t="s">
        <v>5284</v>
      </c>
      <c r="B2336" s="6" t="s">
        <v>5285</v>
      </c>
      <c r="C2336" s="6" t="s">
        <v>23</v>
      </c>
      <c r="D2336" s="6" t="s">
        <v>5286</v>
      </c>
      <c r="F2336" s="6" t="s">
        <v>18</v>
      </c>
      <c r="G2336" s="7">
        <v>0.24</v>
      </c>
      <c r="H2336" s="6" t="s">
        <v>346</v>
      </c>
      <c r="I2336" s="6" t="s">
        <v>20</v>
      </c>
      <c r="J2336" s="6">
        <v>2024.0</v>
      </c>
      <c r="L2336" s="6">
        <v>1.0</v>
      </c>
      <c r="M2336" s="8">
        <f t="shared" si="2"/>
        <v>0.24</v>
      </c>
      <c r="P2336" s="9"/>
    </row>
    <row r="2337">
      <c r="A2337" s="6" t="s">
        <v>5284</v>
      </c>
      <c r="B2337" s="6" t="s">
        <v>5285</v>
      </c>
      <c r="C2337" s="6" t="s">
        <v>23</v>
      </c>
      <c r="D2337" s="6" t="s">
        <v>5286</v>
      </c>
      <c r="F2337" s="6" t="s">
        <v>18</v>
      </c>
      <c r="G2337" s="7">
        <v>0.25</v>
      </c>
      <c r="H2337" s="6" t="s">
        <v>769</v>
      </c>
      <c r="I2337" s="6" t="s">
        <v>20</v>
      </c>
      <c r="J2337" s="6">
        <v>2023.0</v>
      </c>
      <c r="L2337" s="6">
        <v>1.0</v>
      </c>
      <c r="M2337" s="8">
        <f t="shared" si="2"/>
        <v>0.25</v>
      </c>
      <c r="P2337" s="9"/>
    </row>
    <row r="2338">
      <c r="A2338" s="6" t="s">
        <v>5284</v>
      </c>
      <c r="B2338" s="6" t="s">
        <v>5285</v>
      </c>
      <c r="C2338" s="6" t="s">
        <v>23</v>
      </c>
      <c r="D2338" s="6" t="s">
        <v>5286</v>
      </c>
      <c r="F2338" s="6" t="s">
        <v>18</v>
      </c>
      <c r="G2338" s="7">
        <v>0.25</v>
      </c>
      <c r="H2338" s="6" t="s">
        <v>1194</v>
      </c>
      <c r="I2338" s="6" t="s">
        <v>20</v>
      </c>
      <c r="J2338" s="6">
        <v>2023.0</v>
      </c>
      <c r="L2338" s="6">
        <v>2.0</v>
      </c>
      <c r="M2338" s="8">
        <f t="shared" si="2"/>
        <v>0.5</v>
      </c>
      <c r="P2338" s="9"/>
    </row>
    <row r="2339">
      <c r="A2339" s="6" t="s">
        <v>5289</v>
      </c>
      <c r="B2339" s="6" t="s">
        <v>796</v>
      </c>
      <c r="C2339" s="6" t="s">
        <v>34</v>
      </c>
      <c r="D2339" s="6" t="s">
        <v>5290</v>
      </c>
      <c r="E2339" s="6" t="s">
        <v>17</v>
      </c>
      <c r="F2339" s="6" t="s">
        <v>18</v>
      </c>
      <c r="G2339" s="7">
        <v>0.08</v>
      </c>
      <c r="H2339" s="6" t="s">
        <v>19</v>
      </c>
      <c r="I2339" s="6" t="s">
        <v>20</v>
      </c>
      <c r="J2339" s="6">
        <v>2023.0</v>
      </c>
      <c r="L2339" s="6">
        <v>1.0</v>
      </c>
      <c r="M2339" s="8">
        <f t="shared" si="2"/>
        <v>0.08</v>
      </c>
      <c r="P2339" s="9"/>
    </row>
    <row r="2340">
      <c r="A2340" s="6" t="s">
        <v>5291</v>
      </c>
      <c r="B2340" s="6" t="s">
        <v>202</v>
      </c>
      <c r="C2340" s="6" t="s">
        <v>23</v>
      </c>
      <c r="D2340" s="6" t="s">
        <v>5292</v>
      </c>
      <c r="E2340" s="6" t="s">
        <v>395</v>
      </c>
      <c r="F2340" s="6" t="s">
        <v>51</v>
      </c>
      <c r="G2340" s="7">
        <v>0.06</v>
      </c>
      <c r="H2340" s="6" t="s">
        <v>336</v>
      </c>
      <c r="I2340" s="6" t="s">
        <v>20</v>
      </c>
      <c r="J2340" s="6">
        <v>2016.0</v>
      </c>
      <c r="L2340" s="6">
        <v>4.0</v>
      </c>
      <c r="M2340" s="8">
        <f t="shared" si="2"/>
        <v>0.24</v>
      </c>
      <c r="P2340" s="9"/>
    </row>
    <row r="2341">
      <c r="A2341" s="6" t="s">
        <v>5293</v>
      </c>
      <c r="B2341" s="6" t="s">
        <v>2399</v>
      </c>
      <c r="C2341" s="6" t="s">
        <v>23</v>
      </c>
      <c r="D2341" s="6" t="s">
        <v>5294</v>
      </c>
      <c r="E2341" s="6" t="s">
        <v>328</v>
      </c>
      <c r="F2341" s="6" t="s">
        <v>18</v>
      </c>
      <c r="G2341" s="7">
        <v>0.05</v>
      </c>
      <c r="H2341" s="6" t="s">
        <v>271</v>
      </c>
      <c r="I2341" s="6" t="s">
        <v>20</v>
      </c>
      <c r="J2341" s="6">
        <v>2012.0</v>
      </c>
      <c r="K2341" s="10">
        <v>46084.0</v>
      </c>
      <c r="L2341" s="6">
        <v>1.0</v>
      </c>
      <c r="M2341" s="8">
        <f t="shared" si="2"/>
        <v>0.05</v>
      </c>
      <c r="P2341" s="9"/>
    </row>
    <row r="2342">
      <c r="A2342" s="6" t="s">
        <v>5293</v>
      </c>
      <c r="B2342" s="6" t="s">
        <v>2399</v>
      </c>
      <c r="C2342" s="6" t="s">
        <v>23</v>
      </c>
      <c r="D2342" s="6" t="s">
        <v>5294</v>
      </c>
      <c r="E2342" s="6" t="s">
        <v>328</v>
      </c>
      <c r="F2342" s="6" t="s">
        <v>18</v>
      </c>
      <c r="G2342" s="7">
        <v>0.05</v>
      </c>
      <c r="H2342" s="6" t="s">
        <v>271</v>
      </c>
      <c r="I2342" s="6" t="s">
        <v>20</v>
      </c>
      <c r="J2342" s="6">
        <v>2012.0</v>
      </c>
      <c r="K2342" s="10">
        <v>46084.0</v>
      </c>
      <c r="L2342" s="6">
        <v>2.0</v>
      </c>
      <c r="M2342" s="8">
        <f t="shared" si="2"/>
        <v>0.1</v>
      </c>
      <c r="P2342" s="9"/>
    </row>
    <row r="2343">
      <c r="A2343" s="6" t="s">
        <v>5295</v>
      </c>
      <c r="B2343" s="6" t="s">
        <v>57</v>
      </c>
      <c r="C2343" s="6" t="s">
        <v>23</v>
      </c>
      <c r="D2343" s="6" t="s">
        <v>5296</v>
      </c>
      <c r="E2343" s="6" t="s">
        <v>149</v>
      </c>
      <c r="F2343" s="6" t="s">
        <v>18</v>
      </c>
      <c r="G2343" s="7">
        <v>0.1</v>
      </c>
      <c r="H2343" s="6" t="s">
        <v>45</v>
      </c>
      <c r="I2343" s="6" t="s">
        <v>20</v>
      </c>
      <c r="J2343" s="6">
        <v>2025.0</v>
      </c>
      <c r="L2343" s="6">
        <v>2.0</v>
      </c>
      <c r="M2343" s="8">
        <f t="shared" si="2"/>
        <v>0.2</v>
      </c>
      <c r="P2343" s="9"/>
    </row>
    <row r="2344">
      <c r="A2344" s="6" t="s">
        <v>5297</v>
      </c>
      <c r="B2344" s="6" t="s">
        <v>2486</v>
      </c>
      <c r="C2344" s="6" t="s">
        <v>34</v>
      </c>
      <c r="D2344" s="6" t="s">
        <v>5298</v>
      </c>
      <c r="E2344" s="6" t="s">
        <v>681</v>
      </c>
      <c r="F2344" s="6" t="s">
        <v>65</v>
      </c>
      <c r="G2344" s="7">
        <v>0.07</v>
      </c>
      <c r="H2344" s="6" t="s">
        <v>209</v>
      </c>
      <c r="I2344" s="6" t="s">
        <v>20</v>
      </c>
      <c r="J2344" s="6">
        <v>2025.0</v>
      </c>
      <c r="K2344" s="10">
        <v>46055.0</v>
      </c>
      <c r="L2344" s="6">
        <v>6.0</v>
      </c>
      <c r="M2344" s="8">
        <f t="shared" si="2"/>
        <v>0.42</v>
      </c>
      <c r="P2344" s="9"/>
    </row>
    <row r="2345">
      <c r="A2345" s="6" t="s">
        <v>5297</v>
      </c>
      <c r="B2345" s="6" t="s">
        <v>2486</v>
      </c>
      <c r="C2345" s="6" t="s">
        <v>34</v>
      </c>
      <c r="D2345" s="6" t="s">
        <v>5298</v>
      </c>
      <c r="E2345" s="6" t="s">
        <v>681</v>
      </c>
      <c r="F2345" s="6" t="s">
        <v>65</v>
      </c>
      <c r="G2345" s="7">
        <v>0.24</v>
      </c>
      <c r="H2345" s="6" t="s">
        <v>209</v>
      </c>
      <c r="I2345" s="6" t="s">
        <v>55</v>
      </c>
      <c r="J2345" s="6">
        <v>2025.0</v>
      </c>
      <c r="K2345" s="10">
        <v>46055.0</v>
      </c>
      <c r="L2345" s="6">
        <v>1.0</v>
      </c>
      <c r="M2345" s="8">
        <f t="shared" si="2"/>
        <v>0.24</v>
      </c>
      <c r="P2345" s="9"/>
    </row>
    <row r="2346">
      <c r="A2346" s="6" t="s">
        <v>5299</v>
      </c>
      <c r="B2346" s="6" t="s">
        <v>194</v>
      </c>
      <c r="C2346" s="6" t="s">
        <v>23</v>
      </c>
      <c r="D2346" s="6" t="s">
        <v>5300</v>
      </c>
      <c r="E2346" s="6" t="s">
        <v>175</v>
      </c>
      <c r="F2346" s="6" t="s">
        <v>51</v>
      </c>
      <c r="G2346" s="7">
        <v>0.08</v>
      </c>
      <c r="H2346" s="6" t="s">
        <v>370</v>
      </c>
      <c r="I2346" s="6" t="s">
        <v>20</v>
      </c>
      <c r="J2346" s="6">
        <v>1996.0</v>
      </c>
      <c r="L2346" s="6">
        <v>1.0</v>
      </c>
      <c r="M2346" s="8">
        <f t="shared" si="2"/>
        <v>0.08</v>
      </c>
      <c r="P2346" s="9"/>
    </row>
    <row r="2347">
      <c r="A2347" s="6" t="s">
        <v>5301</v>
      </c>
      <c r="B2347" s="6" t="s">
        <v>307</v>
      </c>
      <c r="C2347" s="6" t="s">
        <v>48</v>
      </c>
      <c r="D2347" s="6" t="s">
        <v>5302</v>
      </c>
      <c r="E2347" s="6" t="s">
        <v>303</v>
      </c>
      <c r="F2347" s="6" t="s">
        <v>37</v>
      </c>
      <c r="G2347" s="7">
        <v>0.09</v>
      </c>
      <c r="H2347" s="6" t="s">
        <v>119</v>
      </c>
      <c r="I2347" s="6" t="s">
        <v>20</v>
      </c>
      <c r="J2347" s="6">
        <v>1995.0</v>
      </c>
      <c r="L2347" s="6">
        <v>3.0</v>
      </c>
      <c r="M2347" s="8">
        <f t="shared" si="2"/>
        <v>0.27</v>
      </c>
      <c r="P2347" s="9"/>
    </row>
    <row r="2348">
      <c r="A2348" s="6" t="s">
        <v>5301</v>
      </c>
      <c r="B2348" s="6" t="s">
        <v>307</v>
      </c>
      <c r="C2348" s="6" t="s">
        <v>48</v>
      </c>
      <c r="D2348" s="6" t="s">
        <v>5302</v>
      </c>
      <c r="E2348" s="6" t="s">
        <v>303</v>
      </c>
      <c r="F2348" s="6" t="s">
        <v>37</v>
      </c>
      <c r="G2348" s="7">
        <v>0.43</v>
      </c>
      <c r="H2348" s="6" t="s">
        <v>120</v>
      </c>
      <c r="I2348" s="6" t="s">
        <v>20</v>
      </c>
      <c r="J2348" s="6">
        <v>1995.0</v>
      </c>
      <c r="L2348" s="6">
        <v>2.0</v>
      </c>
      <c r="M2348" s="8">
        <f t="shared" si="2"/>
        <v>0.86</v>
      </c>
      <c r="P2348" s="9"/>
    </row>
    <row r="2349">
      <c r="A2349" s="6" t="s">
        <v>5303</v>
      </c>
      <c r="B2349" s="6" t="s">
        <v>871</v>
      </c>
      <c r="C2349" s="6" t="s">
        <v>23</v>
      </c>
      <c r="D2349" s="6" t="s">
        <v>5304</v>
      </c>
      <c r="E2349" s="6" t="s">
        <v>223</v>
      </c>
      <c r="F2349" s="6" t="s">
        <v>159</v>
      </c>
      <c r="G2349" s="7">
        <v>0.03</v>
      </c>
      <c r="H2349" s="6" t="s">
        <v>555</v>
      </c>
      <c r="I2349" s="6" t="s">
        <v>20</v>
      </c>
      <c r="J2349" s="6">
        <v>2017.0</v>
      </c>
      <c r="K2349" s="6" t="s">
        <v>1035</v>
      </c>
      <c r="L2349" s="6">
        <v>1.0</v>
      </c>
      <c r="M2349" s="8">
        <f t="shared" si="2"/>
        <v>0.03</v>
      </c>
      <c r="P2349" s="9"/>
    </row>
    <row r="2350">
      <c r="A2350" s="6" t="s">
        <v>5305</v>
      </c>
      <c r="B2350" s="6" t="s">
        <v>62</v>
      </c>
      <c r="C2350" s="6" t="s">
        <v>23</v>
      </c>
      <c r="D2350" s="6" t="s">
        <v>5306</v>
      </c>
      <c r="E2350" s="6" t="s">
        <v>4307</v>
      </c>
      <c r="F2350" s="6" t="s">
        <v>60</v>
      </c>
      <c r="G2350" s="7">
        <v>0.28</v>
      </c>
      <c r="H2350" s="6" t="s">
        <v>384</v>
      </c>
      <c r="I2350" s="6" t="s">
        <v>20</v>
      </c>
      <c r="J2350" s="6">
        <v>2022.0</v>
      </c>
      <c r="L2350" s="6">
        <v>1.0</v>
      </c>
      <c r="M2350" s="8">
        <f t="shared" si="2"/>
        <v>0.28</v>
      </c>
      <c r="P2350" s="9"/>
    </row>
    <row r="2351">
      <c r="A2351" s="6" t="s">
        <v>5307</v>
      </c>
      <c r="B2351" s="6" t="s">
        <v>5308</v>
      </c>
      <c r="C2351" s="6" t="s">
        <v>41</v>
      </c>
      <c r="D2351" s="6" t="s">
        <v>5309</v>
      </c>
      <c r="E2351" s="6" t="s">
        <v>64</v>
      </c>
      <c r="F2351" s="6" t="s">
        <v>65</v>
      </c>
      <c r="G2351" s="7">
        <v>0.32</v>
      </c>
      <c r="H2351" s="6" t="s">
        <v>2401</v>
      </c>
      <c r="I2351" s="6" t="s">
        <v>20</v>
      </c>
      <c r="J2351" s="6">
        <v>2018.0</v>
      </c>
      <c r="K2351" s="10">
        <v>46082.0</v>
      </c>
      <c r="L2351" s="6">
        <v>1.0</v>
      </c>
      <c r="M2351" s="8">
        <f t="shared" si="2"/>
        <v>0.32</v>
      </c>
      <c r="P2351" s="9"/>
    </row>
    <row r="2352">
      <c r="A2352" s="6" t="s">
        <v>5310</v>
      </c>
      <c r="B2352" s="6" t="s">
        <v>5311</v>
      </c>
      <c r="C2352" s="6" t="s">
        <v>1956</v>
      </c>
      <c r="D2352" s="6" t="s">
        <v>5312</v>
      </c>
      <c r="E2352" s="6" t="s">
        <v>149</v>
      </c>
      <c r="F2352" s="6" t="s">
        <v>18</v>
      </c>
      <c r="G2352" s="7">
        <v>0.99</v>
      </c>
      <c r="H2352" s="6" t="s">
        <v>184</v>
      </c>
      <c r="I2352" s="6" t="s">
        <v>20</v>
      </c>
      <c r="J2352" s="6">
        <v>2015.0</v>
      </c>
      <c r="K2352" s="6" t="s">
        <v>341</v>
      </c>
      <c r="L2352" s="6">
        <v>1.0</v>
      </c>
      <c r="M2352" s="8">
        <f t="shared" si="2"/>
        <v>0.99</v>
      </c>
      <c r="P2352" s="9"/>
    </row>
    <row r="2353">
      <c r="A2353" s="6" t="s">
        <v>5313</v>
      </c>
      <c r="B2353" s="6" t="s">
        <v>62</v>
      </c>
      <c r="C2353" s="6" t="s">
        <v>48</v>
      </c>
      <c r="D2353" s="6" t="s">
        <v>5314</v>
      </c>
      <c r="E2353" s="6" t="s">
        <v>149</v>
      </c>
      <c r="F2353" s="6" t="s">
        <v>18</v>
      </c>
      <c r="G2353" s="7">
        <v>0.06</v>
      </c>
      <c r="H2353" s="6" t="s">
        <v>265</v>
      </c>
      <c r="I2353" s="6" t="s">
        <v>20</v>
      </c>
      <c r="J2353" s="6">
        <v>2017.0</v>
      </c>
      <c r="L2353" s="6">
        <v>1.0</v>
      </c>
      <c r="M2353" s="8">
        <f t="shared" si="2"/>
        <v>0.06</v>
      </c>
      <c r="N2353" s="6" t="s">
        <v>518</v>
      </c>
      <c r="P2353" s="9"/>
    </row>
    <row r="2354">
      <c r="A2354" s="6" t="s">
        <v>5315</v>
      </c>
      <c r="B2354" s="6" t="s">
        <v>5316</v>
      </c>
      <c r="C2354" s="6" t="s">
        <v>41</v>
      </c>
      <c r="D2354" s="6" t="s">
        <v>5317</v>
      </c>
      <c r="E2354" s="6" t="s">
        <v>345</v>
      </c>
      <c r="F2354" s="6" t="s">
        <v>18</v>
      </c>
      <c r="G2354" s="7">
        <v>0.25</v>
      </c>
      <c r="H2354" s="6" t="s">
        <v>154</v>
      </c>
      <c r="I2354" s="6" t="s">
        <v>20</v>
      </c>
      <c r="J2354" s="6">
        <v>2013.0</v>
      </c>
      <c r="K2354" s="10">
        <v>46116.0</v>
      </c>
      <c r="L2354" s="6">
        <v>1.0</v>
      </c>
      <c r="M2354" s="8">
        <f t="shared" si="2"/>
        <v>0.25</v>
      </c>
      <c r="P2354" s="9"/>
    </row>
    <row r="2355">
      <c r="A2355" s="6" t="s">
        <v>5318</v>
      </c>
      <c r="B2355" s="6" t="s">
        <v>182</v>
      </c>
      <c r="C2355" s="6" t="s">
        <v>48</v>
      </c>
      <c r="D2355" s="6" t="s">
        <v>5319</v>
      </c>
      <c r="E2355" s="6" t="s">
        <v>25</v>
      </c>
      <c r="F2355" s="6" t="s">
        <v>18</v>
      </c>
      <c r="G2355" s="7">
        <v>0.06</v>
      </c>
      <c r="H2355" s="6" t="s">
        <v>406</v>
      </c>
      <c r="I2355" s="6" t="s">
        <v>20</v>
      </c>
      <c r="J2355" s="6">
        <v>2019.0</v>
      </c>
      <c r="L2355" s="6">
        <v>6.0</v>
      </c>
      <c r="M2355" s="8">
        <f t="shared" si="2"/>
        <v>0.36</v>
      </c>
      <c r="P2355" s="9"/>
    </row>
    <row r="2356">
      <c r="A2356" s="6" t="s">
        <v>5320</v>
      </c>
      <c r="B2356" s="6" t="s">
        <v>5321</v>
      </c>
      <c r="C2356" s="6" t="s">
        <v>521</v>
      </c>
      <c r="D2356" s="6" t="s">
        <v>5322</v>
      </c>
      <c r="E2356" s="6" t="s">
        <v>238</v>
      </c>
      <c r="F2356" s="6" t="s">
        <v>159</v>
      </c>
      <c r="G2356" s="7">
        <v>0.1</v>
      </c>
      <c r="H2356" s="7" t="s">
        <v>577</v>
      </c>
      <c r="I2356" s="6" t="s">
        <v>20</v>
      </c>
      <c r="J2356" s="6">
        <v>2017.0</v>
      </c>
      <c r="K2356" s="6" t="s">
        <v>1035</v>
      </c>
      <c r="L2356" s="6">
        <v>1.0</v>
      </c>
      <c r="M2356" s="8">
        <f t="shared" si="2"/>
        <v>0.1</v>
      </c>
      <c r="P2356" s="9"/>
    </row>
    <row r="2357">
      <c r="A2357" s="6" t="s">
        <v>5323</v>
      </c>
      <c r="B2357" s="6" t="s">
        <v>4531</v>
      </c>
      <c r="C2357" s="6" t="s">
        <v>48</v>
      </c>
      <c r="D2357" s="6" t="s">
        <v>5324</v>
      </c>
      <c r="E2357" s="6" t="s">
        <v>238</v>
      </c>
      <c r="F2357" s="6" t="s">
        <v>159</v>
      </c>
      <c r="G2357" s="7">
        <v>0.1</v>
      </c>
      <c r="H2357" s="6" t="s">
        <v>621</v>
      </c>
      <c r="I2357" s="6" t="s">
        <v>20</v>
      </c>
      <c r="J2357" s="6">
        <v>2015.0</v>
      </c>
      <c r="K2357" s="6" t="s">
        <v>1035</v>
      </c>
      <c r="L2357" s="6">
        <v>1.0</v>
      </c>
      <c r="M2357" s="8">
        <f t="shared" si="2"/>
        <v>0.1</v>
      </c>
      <c r="P2357" s="9"/>
    </row>
    <row r="2358">
      <c r="A2358" s="6" t="s">
        <v>5325</v>
      </c>
      <c r="B2358" s="6" t="s">
        <v>935</v>
      </c>
      <c r="C2358" s="6" t="s">
        <v>23</v>
      </c>
      <c r="D2358" s="6" t="s">
        <v>5326</v>
      </c>
      <c r="E2358" s="6" t="s">
        <v>238</v>
      </c>
      <c r="F2358" s="6" t="s">
        <v>159</v>
      </c>
      <c r="G2358" s="7">
        <v>0.03</v>
      </c>
      <c r="H2358" s="6" t="s">
        <v>875</v>
      </c>
      <c r="I2358" s="6" t="s">
        <v>20</v>
      </c>
      <c r="J2358" s="6">
        <v>2018.0</v>
      </c>
      <c r="K2358" s="10">
        <v>46023.0</v>
      </c>
      <c r="L2358" s="6">
        <v>2.0</v>
      </c>
      <c r="M2358" s="8">
        <f t="shared" si="2"/>
        <v>0.06</v>
      </c>
      <c r="P2358" s="9"/>
    </row>
    <row r="2359">
      <c r="A2359" s="6" t="s">
        <v>5327</v>
      </c>
      <c r="B2359" s="6" t="s">
        <v>740</v>
      </c>
      <c r="C2359" s="6" t="s">
        <v>48</v>
      </c>
      <c r="D2359" s="6" t="s">
        <v>5328</v>
      </c>
      <c r="E2359" s="6" t="s">
        <v>223</v>
      </c>
      <c r="F2359" s="6" t="s">
        <v>159</v>
      </c>
      <c r="G2359" s="7">
        <v>0.24</v>
      </c>
      <c r="H2359" s="6" t="s">
        <v>163</v>
      </c>
      <c r="I2359" s="6" t="s">
        <v>20</v>
      </c>
      <c r="J2359" s="6">
        <v>2023.0</v>
      </c>
      <c r="K2359" s="10">
        <v>46024.0</v>
      </c>
      <c r="L2359" s="6">
        <v>1.0</v>
      </c>
      <c r="M2359" s="8">
        <f t="shared" si="2"/>
        <v>0.24</v>
      </c>
      <c r="P2359" s="9"/>
    </row>
    <row r="2360">
      <c r="A2360" s="6" t="s">
        <v>5329</v>
      </c>
      <c r="B2360" s="6" t="s">
        <v>935</v>
      </c>
      <c r="C2360" s="6" t="s">
        <v>23</v>
      </c>
      <c r="D2360" s="6" t="s">
        <v>5330</v>
      </c>
      <c r="E2360" s="6" t="s">
        <v>298</v>
      </c>
      <c r="F2360" s="6" t="s">
        <v>159</v>
      </c>
      <c r="G2360" s="7">
        <v>0.03</v>
      </c>
      <c r="H2360" s="6" t="s">
        <v>875</v>
      </c>
      <c r="I2360" s="6" t="s">
        <v>20</v>
      </c>
      <c r="J2360" s="6">
        <v>2018.0</v>
      </c>
      <c r="K2360" s="10">
        <v>46084.0</v>
      </c>
      <c r="L2360" s="6">
        <v>2.0</v>
      </c>
      <c r="M2360" s="8">
        <f t="shared" si="2"/>
        <v>0.06</v>
      </c>
      <c r="P2360" s="9"/>
    </row>
    <row r="2361">
      <c r="A2361" s="6" t="s">
        <v>5331</v>
      </c>
      <c r="B2361" s="6" t="s">
        <v>307</v>
      </c>
      <c r="C2361" s="6" t="s">
        <v>72</v>
      </c>
      <c r="D2361" s="6" t="s">
        <v>5332</v>
      </c>
      <c r="E2361" s="6" t="s">
        <v>243</v>
      </c>
      <c r="F2361" s="6" t="s">
        <v>37</v>
      </c>
      <c r="G2361" s="7">
        <v>0.35</v>
      </c>
      <c r="H2361" s="6" t="s">
        <v>821</v>
      </c>
      <c r="I2361" s="6" t="s">
        <v>20</v>
      </c>
      <c r="J2361" s="6">
        <v>1995.0</v>
      </c>
      <c r="L2361" s="6">
        <v>1.0</v>
      </c>
      <c r="M2361" s="8">
        <f t="shared" si="2"/>
        <v>0.35</v>
      </c>
      <c r="P2361" s="9"/>
    </row>
    <row r="2362">
      <c r="A2362" s="6" t="s">
        <v>5333</v>
      </c>
      <c r="B2362" s="6" t="s">
        <v>250</v>
      </c>
      <c r="C2362" s="6" t="s">
        <v>41</v>
      </c>
      <c r="D2362" s="6" t="s">
        <v>5334</v>
      </c>
      <c r="E2362" s="6" t="s">
        <v>36</v>
      </c>
      <c r="F2362" s="6" t="s">
        <v>37</v>
      </c>
      <c r="G2362" s="7">
        <v>2.5</v>
      </c>
      <c r="H2362" s="6" t="s">
        <v>119</v>
      </c>
      <c r="I2362" s="6" t="s">
        <v>20</v>
      </c>
      <c r="J2362" s="6">
        <v>1995.0</v>
      </c>
      <c r="L2362" s="6">
        <v>2.0</v>
      </c>
      <c r="M2362" s="8">
        <f t="shared" si="2"/>
        <v>5</v>
      </c>
      <c r="N2362" s="6" t="s">
        <v>172</v>
      </c>
      <c r="P2362" s="9"/>
    </row>
    <row r="2363">
      <c r="A2363" s="6" t="s">
        <v>5335</v>
      </c>
      <c r="B2363" s="6" t="s">
        <v>5336</v>
      </c>
      <c r="C2363" s="6" t="s">
        <v>48</v>
      </c>
      <c r="D2363" s="6" t="s">
        <v>5337</v>
      </c>
      <c r="E2363" s="6" t="s">
        <v>25</v>
      </c>
      <c r="F2363" s="6" t="s">
        <v>18</v>
      </c>
      <c r="G2363" s="7">
        <v>0.06</v>
      </c>
      <c r="H2363" s="6" t="s">
        <v>316</v>
      </c>
      <c r="I2363" s="6" t="s">
        <v>20</v>
      </c>
      <c r="J2363" s="6">
        <v>2016.0</v>
      </c>
      <c r="K2363" s="10">
        <v>46083.0</v>
      </c>
      <c r="L2363" s="6">
        <v>1.0</v>
      </c>
      <c r="M2363" s="8">
        <f t="shared" si="2"/>
        <v>0.06</v>
      </c>
      <c r="P2363" s="9"/>
    </row>
    <row r="2364">
      <c r="A2364" s="6" t="s">
        <v>5338</v>
      </c>
      <c r="B2364" s="6" t="s">
        <v>5339</v>
      </c>
      <c r="C2364" s="6" t="s">
        <v>34</v>
      </c>
      <c r="D2364" s="6" t="s">
        <v>5340</v>
      </c>
      <c r="E2364" s="6" t="s">
        <v>1080</v>
      </c>
      <c r="F2364" s="6" t="s">
        <v>1732</v>
      </c>
      <c r="G2364" s="7">
        <v>0.03</v>
      </c>
      <c r="H2364" s="6" t="s">
        <v>483</v>
      </c>
      <c r="I2364" s="6" t="s">
        <v>20</v>
      </c>
      <c r="J2364" s="6">
        <v>2014.0</v>
      </c>
      <c r="K2364" s="10">
        <v>46056.0</v>
      </c>
      <c r="L2364" s="6">
        <v>4.0</v>
      </c>
      <c r="M2364" s="8">
        <f t="shared" si="2"/>
        <v>0.12</v>
      </c>
      <c r="P2364" s="9"/>
    </row>
    <row r="2365">
      <c r="A2365" s="6" t="s">
        <v>5341</v>
      </c>
      <c r="B2365" s="6" t="s">
        <v>1926</v>
      </c>
      <c r="C2365" s="6" t="s">
        <v>23</v>
      </c>
      <c r="D2365" s="6" t="s">
        <v>5342</v>
      </c>
      <c r="E2365" s="6" t="s">
        <v>303</v>
      </c>
      <c r="F2365" s="6" t="s">
        <v>37</v>
      </c>
      <c r="G2365" s="7">
        <v>0.07</v>
      </c>
      <c r="H2365" s="6" t="s">
        <v>3017</v>
      </c>
      <c r="I2365" s="6" t="s">
        <v>20</v>
      </c>
      <c r="J2365" s="6">
        <v>2008.0</v>
      </c>
      <c r="K2365" s="10">
        <v>46023.0</v>
      </c>
      <c r="L2365" s="6">
        <v>1.0</v>
      </c>
      <c r="M2365" s="8">
        <f t="shared" si="2"/>
        <v>0.07</v>
      </c>
      <c r="P2365" s="9"/>
    </row>
    <row r="2366">
      <c r="A2366" s="6" t="s">
        <v>5343</v>
      </c>
      <c r="B2366" s="6" t="s">
        <v>5344</v>
      </c>
      <c r="C2366" s="6" t="s">
        <v>41</v>
      </c>
      <c r="D2366" s="6" t="s">
        <v>5345</v>
      </c>
      <c r="E2366" s="6" t="s">
        <v>2018</v>
      </c>
      <c r="F2366" s="6" t="s">
        <v>65</v>
      </c>
      <c r="G2366" s="7">
        <v>0.68</v>
      </c>
      <c r="H2366" s="6" t="s">
        <v>200</v>
      </c>
      <c r="I2366" s="6" t="s">
        <v>20</v>
      </c>
      <c r="J2366" s="6">
        <v>2018.0</v>
      </c>
      <c r="L2366" s="6">
        <v>1.0</v>
      </c>
      <c r="M2366" s="8">
        <f t="shared" si="2"/>
        <v>0.68</v>
      </c>
      <c r="P2366" s="9"/>
    </row>
    <row r="2367">
      <c r="A2367" s="6" t="s">
        <v>5346</v>
      </c>
      <c r="B2367" s="6" t="s">
        <v>2994</v>
      </c>
      <c r="C2367" s="6" t="s">
        <v>23</v>
      </c>
      <c r="D2367" s="6" t="s">
        <v>5347</v>
      </c>
      <c r="E2367" s="6" t="s">
        <v>573</v>
      </c>
      <c r="F2367" s="6" t="s">
        <v>51</v>
      </c>
      <c r="G2367" s="7">
        <v>0.1</v>
      </c>
      <c r="H2367" s="6" t="s">
        <v>192</v>
      </c>
      <c r="I2367" s="6" t="s">
        <v>20</v>
      </c>
      <c r="J2367" s="6">
        <v>2026.0</v>
      </c>
      <c r="K2367" s="10">
        <v>46084.0</v>
      </c>
      <c r="L2367" s="6">
        <v>3.0</v>
      </c>
      <c r="M2367" s="8">
        <f t="shared" si="2"/>
        <v>0.3</v>
      </c>
      <c r="P2367" s="9"/>
    </row>
    <row r="2368">
      <c r="A2368" s="6" t="s">
        <v>5346</v>
      </c>
      <c r="B2368" s="6" t="s">
        <v>2994</v>
      </c>
      <c r="C2368" s="6" t="s">
        <v>23</v>
      </c>
      <c r="D2368" s="6" t="s">
        <v>5347</v>
      </c>
      <c r="E2368" s="6" t="s">
        <v>573</v>
      </c>
      <c r="F2368" s="6" t="s">
        <v>51</v>
      </c>
      <c r="G2368" s="7">
        <v>0.15</v>
      </c>
      <c r="H2368" s="6" t="s">
        <v>192</v>
      </c>
      <c r="I2368" s="6" t="s">
        <v>55</v>
      </c>
      <c r="J2368" s="6">
        <v>2026.0</v>
      </c>
      <c r="K2368" s="10">
        <v>46084.0</v>
      </c>
      <c r="L2368" s="6">
        <v>1.0</v>
      </c>
      <c r="M2368" s="8">
        <f t="shared" si="2"/>
        <v>0.15</v>
      </c>
      <c r="P2368" s="9"/>
    </row>
    <row r="2369">
      <c r="A2369" s="6" t="s">
        <v>5346</v>
      </c>
      <c r="B2369" s="6" t="s">
        <v>2994</v>
      </c>
      <c r="C2369" s="6" t="s">
        <v>23</v>
      </c>
      <c r="D2369" s="6" t="s">
        <v>5347</v>
      </c>
      <c r="E2369" s="6" t="s">
        <v>573</v>
      </c>
      <c r="F2369" s="6" t="s">
        <v>51</v>
      </c>
      <c r="G2369" s="7">
        <v>0.1</v>
      </c>
      <c r="H2369" s="6" t="s">
        <v>192</v>
      </c>
      <c r="I2369" s="6" t="s">
        <v>20</v>
      </c>
      <c r="J2369" s="6">
        <v>2026.0</v>
      </c>
      <c r="K2369" s="10">
        <v>46084.0</v>
      </c>
      <c r="L2369" s="6">
        <v>1.0</v>
      </c>
      <c r="M2369" s="8">
        <f t="shared" si="2"/>
        <v>0.1</v>
      </c>
      <c r="P2369" s="9"/>
    </row>
    <row r="2370">
      <c r="A2370" s="6" t="s">
        <v>5348</v>
      </c>
      <c r="B2370" s="6" t="s">
        <v>194</v>
      </c>
      <c r="C2370" s="6" t="s">
        <v>48</v>
      </c>
      <c r="D2370" s="6" t="s">
        <v>5349</v>
      </c>
      <c r="E2370" s="6" t="s">
        <v>64</v>
      </c>
      <c r="F2370" s="6" t="s">
        <v>65</v>
      </c>
      <c r="G2370" s="7">
        <v>0.23</v>
      </c>
      <c r="H2370" s="6" t="s">
        <v>192</v>
      </c>
      <c r="I2370" s="6" t="s">
        <v>20</v>
      </c>
      <c r="J2370" s="6">
        <v>2026.0</v>
      </c>
      <c r="L2370" s="6">
        <v>1.0</v>
      </c>
      <c r="M2370" s="8">
        <f t="shared" si="2"/>
        <v>0.23</v>
      </c>
      <c r="P2370" s="9"/>
    </row>
    <row r="2371">
      <c r="A2371" s="6" t="s">
        <v>5350</v>
      </c>
      <c r="B2371" s="6" t="s">
        <v>2822</v>
      </c>
      <c r="C2371" s="6" t="s">
        <v>23</v>
      </c>
      <c r="D2371" s="6" t="s">
        <v>5351</v>
      </c>
      <c r="E2371" s="6" t="s">
        <v>118</v>
      </c>
      <c r="F2371" s="6" t="s">
        <v>51</v>
      </c>
      <c r="G2371" s="7">
        <v>0.07</v>
      </c>
      <c r="H2371" s="6" t="s">
        <v>45</v>
      </c>
      <c r="I2371" s="6" t="s">
        <v>20</v>
      </c>
      <c r="J2371" s="6">
        <v>2025.0</v>
      </c>
      <c r="K2371" s="10">
        <v>46054.0</v>
      </c>
      <c r="L2371" s="6">
        <v>2.0</v>
      </c>
      <c r="M2371" s="8">
        <f t="shared" si="2"/>
        <v>0.14</v>
      </c>
      <c r="P2371" s="9"/>
    </row>
    <row r="2372">
      <c r="A2372" s="6" t="s">
        <v>5350</v>
      </c>
      <c r="B2372" s="6" t="s">
        <v>2822</v>
      </c>
      <c r="C2372" s="6" t="s">
        <v>23</v>
      </c>
      <c r="D2372" s="6" t="s">
        <v>5351</v>
      </c>
      <c r="E2372" s="6" t="s">
        <v>118</v>
      </c>
      <c r="F2372" s="6" t="s">
        <v>51</v>
      </c>
      <c r="G2372" s="7">
        <v>0.07</v>
      </c>
      <c r="H2372" s="6" t="s">
        <v>45</v>
      </c>
      <c r="I2372" s="6" t="s">
        <v>20</v>
      </c>
      <c r="J2372" s="6">
        <v>2025.0</v>
      </c>
      <c r="K2372" s="10">
        <v>46054.0</v>
      </c>
      <c r="L2372" s="6">
        <v>3.0</v>
      </c>
      <c r="M2372" s="8">
        <f t="shared" si="2"/>
        <v>0.21</v>
      </c>
      <c r="P2372" s="9"/>
    </row>
    <row r="2373">
      <c r="A2373" s="6" t="s">
        <v>5352</v>
      </c>
      <c r="B2373" s="6" t="s">
        <v>5353</v>
      </c>
      <c r="C2373" s="6" t="s">
        <v>15</v>
      </c>
      <c r="D2373" s="6" t="s">
        <v>5354</v>
      </c>
      <c r="E2373" s="6" t="s">
        <v>1129</v>
      </c>
      <c r="F2373" s="6" t="s">
        <v>18</v>
      </c>
      <c r="G2373" s="7">
        <v>0.09</v>
      </c>
      <c r="H2373" s="6" t="s">
        <v>180</v>
      </c>
      <c r="I2373" s="6" t="s">
        <v>20</v>
      </c>
      <c r="J2373" s="6">
        <v>2014.0</v>
      </c>
      <c r="K2373" s="10">
        <v>46054.0</v>
      </c>
      <c r="L2373" s="6">
        <v>1.0</v>
      </c>
      <c r="M2373" s="8">
        <f t="shared" si="2"/>
        <v>0.09</v>
      </c>
      <c r="P2373" s="9"/>
    </row>
    <row r="2374">
      <c r="A2374" s="6" t="s">
        <v>5355</v>
      </c>
      <c r="B2374" s="6" t="s">
        <v>3294</v>
      </c>
      <c r="C2374" s="6" t="s">
        <v>41</v>
      </c>
      <c r="D2374" s="6" t="s">
        <v>5356</v>
      </c>
      <c r="E2374" s="6" t="s">
        <v>25</v>
      </c>
      <c r="F2374" s="6" t="s">
        <v>18</v>
      </c>
      <c r="G2374" s="7">
        <v>0.15</v>
      </c>
      <c r="H2374" s="6" t="s">
        <v>705</v>
      </c>
      <c r="I2374" s="6" t="s">
        <v>20</v>
      </c>
      <c r="J2374" s="6">
        <v>2015.0</v>
      </c>
      <c r="K2374" s="10">
        <v>46083.0</v>
      </c>
      <c r="L2374" s="6">
        <v>1.0</v>
      </c>
      <c r="M2374" s="8">
        <f t="shared" si="2"/>
        <v>0.15</v>
      </c>
      <c r="P2374" s="9"/>
    </row>
    <row r="2375">
      <c r="A2375" s="6" t="s">
        <v>5357</v>
      </c>
      <c r="B2375" s="6" t="s">
        <v>3294</v>
      </c>
      <c r="C2375" s="6" t="s">
        <v>23</v>
      </c>
      <c r="D2375" s="6" t="s">
        <v>1402</v>
      </c>
      <c r="E2375" s="6" t="s">
        <v>118</v>
      </c>
      <c r="F2375" s="6" t="s">
        <v>51</v>
      </c>
      <c r="G2375" s="7">
        <v>0.06</v>
      </c>
      <c r="H2375" s="6" t="s">
        <v>129</v>
      </c>
      <c r="I2375" s="6" t="s">
        <v>20</v>
      </c>
      <c r="J2375" s="6">
        <v>2014.0</v>
      </c>
      <c r="K2375" s="10">
        <v>46082.0</v>
      </c>
      <c r="L2375" s="6">
        <v>1.0</v>
      </c>
      <c r="M2375" s="8">
        <f t="shared" si="2"/>
        <v>0.06</v>
      </c>
      <c r="P2375" s="9"/>
    </row>
    <row r="2376">
      <c r="A2376" s="6" t="s">
        <v>5358</v>
      </c>
      <c r="B2376" s="6" t="s">
        <v>5359</v>
      </c>
      <c r="C2376" s="6" t="s">
        <v>48</v>
      </c>
      <c r="D2376" s="6" t="s">
        <v>5360</v>
      </c>
      <c r="E2376" s="6" t="s">
        <v>5361</v>
      </c>
      <c r="F2376" s="6" t="s">
        <v>986</v>
      </c>
      <c r="G2376" s="7">
        <v>0.15</v>
      </c>
      <c r="H2376" s="6" t="s">
        <v>45</v>
      </c>
      <c r="I2376" s="6" t="s">
        <v>20</v>
      </c>
      <c r="J2376" s="6">
        <v>2025.0</v>
      </c>
      <c r="K2376" s="10">
        <v>46025.0</v>
      </c>
      <c r="L2376" s="6">
        <v>1.0</v>
      </c>
      <c r="M2376" s="8">
        <f t="shared" si="2"/>
        <v>0.15</v>
      </c>
      <c r="P2376" s="9"/>
    </row>
    <row r="2377">
      <c r="A2377" s="6" t="s">
        <v>5362</v>
      </c>
      <c r="B2377" s="6" t="s">
        <v>543</v>
      </c>
      <c r="C2377" s="6" t="s">
        <v>48</v>
      </c>
      <c r="D2377" s="6" t="s">
        <v>5363</v>
      </c>
      <c r="E2377" s="6" t="s">
        <v>196</v>
      </c>
      <c r="F2377" s="6" t="s">
        <v>65</v>
      </c>
      <c r="G2377" s="7">
        <v>0.15</v>
      </c>
      <c r="H2377" s="6" t="s">
        <v>45</v>
      </c>
      <c r="I2377" s="6" t="s">
        <v>20</v>
      </c>
      <c r="J2377" s="6">
        <v>2025.0</v>
      </c>
      <c r="L2377" s="6">
        <v>1.0</v>
      </c>
      <c r="M2377" s="8">
        <f t="shared" si="2"/>
        <v>0.15</v>
      </c>
      <c r="P2377" s="9"/>
    </row>
    <row r="2378">
      <c r="A2378" s="6" t="s">
        <v>5364</v>
      </c>
      <c r="B2378" s="6" t="s">
        <v>1032</v>
      </c>
      <c r="C2378" s="6" t="s">
        <v>48</v>
      </c>
      <c r="D2378" s="6" t="s">
        <v>5365</v>
      </c>
      <c r="E2378" s="6" t="s">
        <v>25</v>
      </c>
      <c r="F2378" s="6" t="s">
        <v>18</v>
      </c>
      <c r="G2378" s="7">
        <v>0.06</v>
      </c>
      <c r="H2378" s="6" t="s">
        <v>184</v>
      </c>
      <c r="I2378" s="6" t="s">
        <v>20</v>
      </c>
      <c r="J2378" s="6">
        <v>2015.0</v>
      </c>
      <c r="K2378" s="10">
        <v>46082.0</v>
      </c>
      <c r="L2378" s="6">
        <v>2.0</v>
      </c>
      <c r="M2378" s="8">
        <f t="shared" si="2"/>
        <v>0.12</v>
      </c>
      <c r="P2378" s="9"/>
    </row>
    <row r="2379">
      <c r="A2379" s="6" t="s">
        <v>5366</v>
      </c>
      <c r="B2379" s="6" t="s">
        <v>194</v>
      </c>
      <c r="C2379" s="6" t="s">
        <v>23</v>
      </c>
      <c r="D2379" s="6" t="s">
        <v>5367</v>
      </c>
      <c r="E2379" s="6" t="s">
        <v>149</v>
      </c>
      <c r="F2379" s="6" t="s">
        <v>18</v>
      </c>
      <c r="G2379" s="7">
        <v>0.09</v>
      </c>
      <c r="H2379" s="6" t="s">
        <v>2203</v>
      </c>
      <c r="I2379" s="6" t="s">
        <v>20</v>
      </c>
      <c r="J2379" s="6">
        <v>2001.0</v>
      </c>
      <c r="L2379" s="6">
        <v>1.0</v>
      </c>
      <c r="M2379" s="8">
        <f t="shared" si="2"/>
        <v>0.09</v>
      </c>
      <c r="P2379" s="9"/>
    </row>
    <row r="2380">
      <c r="A2380" s="6" t="s">
        <v>5368</v>
      </c>
      <c r="B2380" s="6" t="s">
        <v>2007</v>
      </c>
      <c r="C2380" s="6" t="s">
        <v>41</v>
      </c>
      <c r="D2380" s="6" t="s">
        <v>5369</v>
      </c>
      <c r="E2380" s="6" t="s">
        <v>2129</v>
      </c>
      <c r="F2380" s="6" t="s">
        <v>65</v>
      </c>
      <c r="G2380" s="7">
        <v>0.25</v>
      </c>
      <c r="H2380" s="6" t="s">
        <v>3013</v>
      </c>
      <c r="I2380" s="6" t="s">
        <v>20</v>
      </c>
      <c r="J2380" s="6">
        <v>2005.0</v>
      </c>
      <c r="K2380" s="10">
        <v>46084.0</v>
      </c>
      <c r="L2380" s="6">
        <v>1.0</v>
      </c>
      <c r="M2380" s="8">
        <f t="shared" si="2"/>
        <v>0.25</v>
      </c>
      <c r="P2380" s="9"/>
    </row>
    <row r="2381">
      <c r="A2381" s="6" t="s">
        <v>5370</v>
      </c>
      <c r="B2381" s="6" t="s">
        <v>182</v>
      </c>
      <c r="C2381" s="6" t="s">
        <v>23</v>
      </c>
      <c r="D2381" s="6" t="s">
        <v>5371</v>
      </c>
      <c r="E2381" s="6" t="s">
        <v>30</v>
      </c>
      <c r="F2381" s="6" t="s">
        <v>18</v>
      </c>
      <c r="G2381" s="7">
        <v>0.04</v>
      </c>
      <c r="H2381" s="6" t="s">
        <v>1194</v>
      </c>
      <c r="I2381" s="6" t="s">
        <v>20</v>
      </c>
      <c r="J2381" s="6">
        <v>2023.0</v>
      </c>
      <c r="L2381" s="6">
        <v>1.0</v>
      </c>
      <c r="M2381" s="8">
        <f t="shared" si="2"/>
        <v>0.04</v>
      </c>
      <c r="P2381" s="9"/>
    </row>
    <row r="2382">
      <c r="A2382" s="6" t="s">
        <v>5372</v>
      </c>
      <c r="B2382" s="6" t="s">
        <v>182</v>
      </c>
      <c r="C2382" s="6" t="s">
        <v>48</v>
      </c>
      <c r="D2382" s="6" t="s">
        <v>5373</v>
      </c>
      <c r="E2382" s="6" t="s">
        <v>3869</v>
      </c>
      <c r="F2382" s="6" t="s">
        <v>874</v>
      </c>
      <c r="G2382" s="7">
        <v>0.06</v>
      </c>
      <c r="H2382" s="6" t="s">
        <v>1692</v>
      </c>
      <c r="I2382" s="6" t="s">
        <v>20</v>
      </c>
      <c r="J2382" s="6">
        <v>2021.0</v>
      </c>
      <c r="L2382" s="6">
        <v>1.0</v>
      </c>
      <c r="M2382" s="8">
        <f t="shared" si="2"/>
        <v>0.06</v>
      </c>
      <c r="P2382" s="9"/>
    </row>
    <row r="2383">
      <c r="A2383" s="6" t="s">
        <v>5374</v>
      </c>
      <c r="B2383" s="6" t="s">
        <v>62</v>
      </c>
      <c r="C2383" s="6" t="s">
        <v>23</v>
      </c>
      <c r="D2383" s="6" t="s">
        <v>5375</v>
      </c>
      <c r="E2383" s="6" t="s">
        <v>50</v>
      </c>
      <c r="F2383" s="6" t="s">
        <v>51</v>
      </c>
      <c r="G2383" s="7">
        <v>0.06</v>
      </c>
      <c r="H2383" s="6" t="s">
        <v>340</v>
      </c>
      <c r="I2383" s="6" t="s">
        <v>20</v>
      </c>
      <c r="J2383" s="6">
        <v>2010.0</v>
      </c>
      <c r="L2383" s="6">
        <v>4.0</v>
      </c>
      <c r="M2383" s="8">
        <f t="shared" si="2"/>
        <v>0.24</v>
      </c>
      <c r="P2383" s="9"/>
    </row>
    <row r="2384">
      <c r="A2384" s="6" t="s">
        <v>5376</v>
      </c>
      <c r="B2384" s="6" t="s">
        <v>5377</v>
      </c>
      <c r="C2384" s="6" t="s">
        <v>48</v>
      </c>
      <c r="D2384" s="6" t="s">
        <v>5378</v>
      </c>
      <c r="E2384" s="6" t="s">
        <v>3595</v>
      </c>
      <c r="F2384" s="6" t="s">
        <v>826</v>
      </c>
      <c r="G2384" s="7">
        <v>0.09</v>
      </c>
      <c r="H2384" s="6" t="s">
        <v>216</v>
      </c>
      <c r="I2384" s="6" t="s">
        <v>20</v>
      </c>
      <c r="J2384" s="6">
        <v>2024.0</v>
      </c>
      <c r="K2384" s="10">
        <v>46057.0</v>
      </c>
      <c r="L2384" s="6">
        <v>1.0</v>
      </c>
      <c r="M2384" s="8">
        <f t="shared" si="2"/>
        <v>0.09</v>
      </c>
      <c r="P2384" s="9"/>
    </row>
    <row r="2385">
      <c r="A2385" s="6" t="s">
        <v>5376</v>
      </c>
      <c r="B2385" s="6" t="s">
        <v>5377</v>
      </c>
      <c r="C2385" s="6" t="s">
        <v>48</v>
      </c>
      <c r="D2385" s="6" t="s">
        <v>5378</v>
      </c>
      <c r="E2385" s="6" t="s">
        <v>3595</v>
      </c>
      <c r="F2385" s="6" t="s">
        <v>826</v>
      </c>
      <c r="G2385" s="7">
        <v>0.09</v>
      </c>
      <c r="H2385" s="6" t="s">
        <v>216</v>
      </c>
      <c r="I2385" s="6" t="s">
        <v>20</v>
      </c>
      <c r="J2385" s="6">
        <v>2024.0</v>
      </c>
      <c r="K2385" s="10">
        <v>46057.0</v>
      </c>
      <c r="L2385" s="6">
        <v>1.0</v>
      </c>
      <c r="M2385" s="8">
        <f t="shared" si="2"/>
        <v>0.09</v>
      </c>
      <c r="P2385" s="9"/>
    </row>
    <row r="2386">
      <c r="A2386" s="6" t="s">
        <v>5379</v>
      </c>
      <c r="B2386" s="6" t="s">
        <v>5380</v>
      </c>
      <c r="C2386" s="6" t="s">
        <v>48</v>
      </c>
      <c r="D2386" s="6" t="s">
        <v>5381</v>
      </c>
      <c r="E2386" s="6" t="s">
        <v>118</v>
      </c>
      <c r="F2386" s="6" t="s">
        <v>51</v>
      </c>
      <c r="G2386" s="7">
        <v>0.1</v>
      </c>
      <c r="H2386" s="6" t="s">
        <v>994</v>
      </c>
      <c r="I2386" s="6" t="s">
        <v>20</v>
      </c>
      <c r="J2386" s="6">
        <v>2024.0</v>
      </c>
      <c r="K2386" s="10">
        <v>46083.0</v>
      </c>
      <c r="L2386" s="6">
        <v>1.0</v>
      </c>
      <c r="M2386" s="8">
        <f t="shared" si="2"/>
        <v>0.1</v>
      </c>
      <c r="P2386" s="9"/>
    </row>
    <row r="2387">
      <c r="A2387" s="6" t="s">
        <v>5382</v>
      </c>
      <c r="B2387" s="6" t="s">
        <v>182</v>
      </c>
      <c r="C2387" s="6" t="s">
        <v>23</v>
      </c>
      <c r="D2387" s="6" t="s">
        <v>5383</v>
      </c>
      <c r="E2387" s="6" t="s">
        <v>175</v>
      </c>
      <c r="F2387" s="6" t="s">
        <v>51</v>
      </c>
      <c r="G2387" s="7">
        <v>0.14</v>
      </c>
      <c r="H2387" s="6" t="s">
        <v>509</v>
      </c>
      <c r="I2387" s="6" t="s">
        <v>55</v>
      </c>
      <c r="J2387" s="6">
        <v>2024.0</v>
      </c>
      <c r="L2387" s="6">
        <v>2.0</v>
      </c>
      <c r="M2387" s="8">
        <f t="shared" si="2"/>
        <v>0.28</v>
      </c>
      <c r="P2387" s="9"/>
    </row>
    <row r="2388">
      <c r="A2388" s="6" t="s">
        <v>5384</v>
      </c>
      <c r="B2388" s="6" t="s">
        <v>951</v>
      </c>
      <c r="C2388" s="6" t="s">
        <v>48</v>
      </c>
      <c r="D2388" s="6" t="s">
        <v>5385</v>
      </c>
      <c r="E2388" s="6" t="s">
        <v>102</v>
      </c>
      <c r="F2388" s="6" t="s">
        <v>103</v>
      </c>
      <c r="G2388" s="7">
        <v>0.09</v>
      </c>
      <c r="H2388" s="6" t="s">
        <v>45</v>
      </c>
      <c r="I2388" s="6" t="s">
        <v>20</v>
      </c>
      <c r="J2388" s="6">
        <v>2025.0</v>
      </c>
      <c r="K2388" s="10">
        <v>46055.0</v>
      </c>
      <c r="L2388" s="6">
        <v>1.0</v>
      </c>
      <c r="M2388" s="8">
        <f t="shared" si="2"/>
        <v>0.09</v>
      </c>
      <c r="P2388" s="9"/>
    </row>
    <row r="2389">
      <c r="A2389" s="6" t="s">
        <v>5386</v>
      </c>
      <c r="B2389" s="6" t="s">
        <v>5387</v>
      </c>
      <c r="C2389" s="6" t="s">
        <v>48</v>
      </c>
      <c r="D2389" s="6" t="s">
        <v>5388</v>
      </c>
      <c r="E2389" s="6" t="s">
        <v>873</v>
      </c>
      <c r="F2389" s="6" t="s">
        <v>874</v>
      </c>
      <c r="G2389" s="7">
        <v>0.05</v>
      </c>
      <c r="H2389" s="6" t="s">
        <v>336</v>
      </c>
      <c r="I2389" s="6" t="s">
        <v>20</v>
      </c>
      <c r="J2389" s="6">
        <v>2016.0</v>
      </c>
      <c r="K2389" s="10">
        <v>46083.0</v>
      </c>
      <c r="L2389" s="6">
        <v>1.0</v>
      </c>
      <c r="M2389" s="8">
        <f t="shared" si="2"/>
        <v>0.05</v>
      </c>
      <c r="P2389" s="9"/>
    </row>
    <row r="2390">
      <c r="A2390" s="6" t="s">
        <v>5389</v>
      </c>
      <c r="B2390" s="6" t="s">
        <v>182</v>
      </c>
      <c r="C2390" s="6" t="s">
        <v>48</v>
      </c>
      <c r="D2390" s="6" t="s">
        <v>5390</v>
      </c>
      <c r="E2390" s="6" t="s">
        <v>1570</v>
      </c>
      <c r="F2390" s="6" t="s">
        <v>159</v>
      </c>
      <c r="G2390" s="7">
        <v>0.09</v>
      </c>
      <c r="H2390" s="6" t="s">
        <v>184</v>
      </c>
      <c r="I2390" s="6" t="s">
        <v>20</v>
      </c>
      <c r="J2390" s="6">
        <v>2015.0</v>
      </c>
      <c r="L2390" s="6">
        <v>1.0</v>
      </c>
      <c r="M2390" s="8">
        <f t="shared" si="2"/>
        <v>0.09</v>
      </c>
      <c r="P2390" s="9"/>
    </row>
    <row r="2391">
      <c r="A2391" s="6" t="s">
        <v>5391</v>
      </c>
      <c r="B2391" s="6" t="s">
        <v>1420</v>
      </c>
      <c r="C2391" s="6" t="s">
        <v>48</v>
      </c>
      <c r="D2391" s="6" t="s">
        <v>5392</v>
      </c>
      <c r="E2391" s="6" t="s">
        <v>238</v>
      </c>
      <c r="F2391" s="6" t="s">
        <v>159</v>
      </c>
      <c r="G2391" s="7">
        <v>6.9</v>
      </c>
      <c r="H2391" s="6" t="s">
        <v>1418</v>
      </c>
      <c r="I2391" s="6" t="s">
        <v>20</v>
      </c>
      <c r="J2391" s="6">
        <v>2010.0</v>
      </c>
      <c r="K2391" s="10">
        <v>46023.0</v>
      </c>
      <c r="L2391" s="6">
        <v>1.0</v>
      </c>
      <c r="M2391" s="8">
        <f t="shared" si="2"/>
        <v>6.9</v>
      </c>
      <c r="N2391" s="6" t="s">
        <v>172</v>
      </c>
      <c r="P2391" s="9"/>
    </row>
    <row r="2392">
      <c r="A2392" s="6" t="s">
        <v>5393</v>
      </c>
      <c r="B2392" s="6" t="s">
        <v>946</v>
      </c>
      <c r="C2392" s="6" t="s">
        <v>571</v>
      </c>
      <c r="D2392" s="6" t="s">
        <v>5394</v>
      </c>
      <c r="E2392" s="6" t="s">
        <v>2129</v>
      </c>
      <c r="F2392" s="6" t="s">
        <v>65</v>
      </c>
      <c r="G2392" s="7">
        <v>0.2</v>
      </c>
      <c r="H2392" s="6" t="s">
        <v>75</v>
      </c>
      <c r="I2392" s="6" t="s">
        <v>20</v>
      </c>
      <c r="J2392" s="6">
        <v>1995.0</v>
      </c>
      <c r="K2392" s="10">
        <v>46084.0</v>
      </c>
      <c r="L2392" s="6">
        <v>1.0</v>
      </c>
      <c r="M2392" s="8">
        <f t="shared" si="2"/>
        <v>0.2</v>
      </c>
      <c r="P2392" s="9"/>
    </row>
    <row r="2393">
      <c r="A2393" s="6" t="s">
        <v>5395</v>
      </c>
      <c r="B2393" s="6" t="s">
        <v>307</v>
      </c>
      <c r="C2393" s="6" t="s">
        <v>48</v>
      </c>
      <c r="D2393" s="6" t="s">
        <v>5396</v>
      </c>
      <c r="E2393" s="6" t="s">
        <v>696</v>
      </c>
      <c r="F2393" s="6" t="s">
        <v>37</v>
      </c>
      <c r="G2393" s="7">
        <v>0.14</v>
      </c>
      <c r="H2393" s="6" t="s">
        <v>75</v>
      </c>
      <c r="I2393" s="6" t="s">
        <v>20</v>
      </c>
      <c r="J2393" s="6">
        <v>1995.0</v>
      </c>
      <c r="L2393" s="6">
        <v>1.0</v>
      </c>
      <c r="M2393" s="8">
        <f t="shared" si="2"/>
        <v>0.14</v>
      </c>
      <c r="P2393" s="9"/>
    </row>
    <row r="2394">
      <c r="A2394" s="6" t="s">
        <v>5397</v>
      </c>
      <c r="B2394" s="6" t="s">
        <v>740</v>
      </c>
      <c r="C2394" s="6" t="s">
        <v>48</v>
      </c>
      <c r="D2394" s="6" t="s">
        <v>5398</v>
      </c>
      <c r="E2394" s="6" t="s">
        <v>1139</v>
      </c>
      <c r="F2394" s="6" t="s">
        <v>60</v>
      </c>
      <c r="G2394" s="7">
        <v>0.04</v>
      </c>
      <c r="H2394" s="6" t="s">
        <v>848</v>
      </c>
      <c r="I2394" s="6" t="s">
        <v>20</v>
      </c>
      <c r="J2394" s="6">
        <v>2023.0</v>
      </c>
      <c r="K2394" s="10">
        <v>46083.0</v>
      </c>
      <c r="L2394" s="6">
        <v>1.0</v>
      </c>
      <c r="M2394" s="8">
        <f t="shared" si="2"/>
        <v>0.04</v>
      </c>
      <c r="P2394" s="9"/>
    </row>
    <row r="2395">
      <c r="A2395" s="6" t="s">
        <v>5399</v>
      </c>
      <c r="B2395" s="6" t="s">
        <v>5400</v>
      </c>
      <c r="C2395" s="6" t="s">
        <v>23</v>
      </c>
      <c r="D2395" s="6" t="s">
        <v>5401</v>
      </c>
      <c r="E2395" s="6" t="s">
        <v>298</v>
      </c>
      <c r="F2395" s="6" t="s">
        <v>159</v>
      </c>
      <c r="G2395" s="7">
        <v>0.09</v>
      </c>
      <c r="H2395" s="6" t="s">
        <v>1665</v>
      </c>
      <c r="I2395" s="6" t="s">
        <v>20</v>
      </c>
      <c r="J2395" s="6">
        <v>2004.0</v>
      </c>
      <c r="L2395" s="6">
        <v>1.0</v>
      </c>
      <c r="M2395" s="8">
        <f t="shared" si="2"/>
        <v>0.09</v>
      </c>
      <c r="P2395" s="9"/>
    </row>
    <row r="2396">
      <c r="A2396" s="6" t="s">
        <v>5402</v>
      </c>
      <c r="B2396" s="6" t="s">
        <v>5403</v>
      </c>
      <c r="C2396" s="6" t="s">
        <v>15</v>
      </c>
      <c r="D2396" s="6" t="s">
        <v>5404</v>
      </c>
      <c r="E2396" s="6" t="s">
        <v>1844</v>
      </c>
      <c r="F2396" s="6" t="s">
        <v>5405</v>
      </c>
      <c r="G2396" s="7">
        <v>0.25</v>
      </c>
      <c r="H2396" s="6" t="s">
        <v>209</v>
      </c>
      <c r="I2396" s="6" t="s">
        <v>20</v>
      </c>
      <c r="J2396" s="6">
        <v>2025.0</v>
      </c>
      <c r="K2396" s="10">
        <v>46055.0</v>
      </c>
      <c r="L2396" s="6">
        <v>1.0</v>
      </c>
      <c r="M2396" s="8">
        <f t="shared" si="2"/>
        <v>0.25</v>
      </c>
      <c r="P2396" s="9"/>
    </row>
    <row r="2397">
      <c r="A2397" s="6" t="s">
        <v>5406</v>
      </c>
      <c r="B2397" s="6" t="s">
        <v>628</v>
      </c>
      <c r="C2397" s="6" t="s">
        <v>48</v>
      </c>
      <c r="D2397" s="6" t="s">
        <v>5407</v>
      </c>
      <c r="E2397" s="6" t="s">
        <v>5408</v>
      </c>
      <c r="F2397" s="6" t="s">
        <v>261</v>
      </c>
      <c r="G2397" s="7">
        <v>0.41</v>
      </c>
      <c r="H2397" s="6" t="s">
        <v>271</v>
      </c>
      <c r="I2397" s="6" t="s">
        <v>20</v>
      </c>
      <c r="J2397" s="6">
        <v>2012.0</v>
      </c>
      <c r="K2397" s="10">
        <v>46023.0</v>
      </c>
      <c r="L2397" s="6">
        <v>2.0</v>
      </c>
      <c r="M2397" s="8">
        <f t="shared" si="2"/>
        <v>0.82</v>
      </c>
      <c r="P2397" s="9"/>
    </row>
    <row r="2398">
      <c r="A2398" s="6" t="s">
        <v>5409</v>
      </c>
      <c r="B2398" s="6" t="s">
        <v>286</v>
      </c>
      <c r="C2398" s="6" t="s">
        <v>72</v>
      </c>
      <c r="D2398" s="6" t="s">
        <v>5410</v>
      </c>
      <c r="E2398" s="6" t="s">
        <v>625</v>
      </c>
      <c r="F2398" s="6" t="s">
        <v>37</v>
      </c>
      <c r="G2398" s="7">
        <v>1.34</v>
      </c>
      <c r="H2398" s="6" t="s">
        <v>607</v>
      </c>
      <c r="I2398" s="6" t="s">
        <v>20</v>
      </c>
      <c r="J2398" s="6">
        <v>1994.0</v>
      </c>
      <c r="K2398" s="10">
        <v>46086.0</v>
      </c>
      <c r="L2398" s="6">
        <v>1.0</v>
      </c>
      <c r="M2398" s="8">
        <f t="shared" si="2"/>
        <v>1.34</v>
      </c>
      <c r="N2398" s="6" t="s">
        <v>172</v>
      </c>
      <c r="P2398" s="9"/>
    </row>
    <row r="2399">
      <c r="A2399" s="6" t="s">
        <v>5411</v>
      </c>
      <c r="B2399" s="6" t="s">
        <v>5412</v>
      </c>
      <c r="C2399" s="6" t="s">
        <v>23</v>
      </c>
      <c r="D2399" s="6" t="s">
        <v>5413</v>
      </c>
      <c r="E2399" s="6" t="s">
        <v>298</v>
      </c>
      <c r="F2399" s="6" t="s">
        <v>159</v>
      </c>
      <c r="G2399" s="7">
        <v>0.06</v>
      </c>
      <c r="H2399" s="6" t="s">
        <v>418</v>
      </c>
      <c r="I2399" s="6" t="s">
        <v>20</v>
      </c>
      <c r="J2399" s="6">
        <v>2022.0</v>
      </c>
      <c r="K2399" s="10">
        <v>46084.0</v>
      </c>
      <c r="L2399" s="6">
        <v>1.0</v>
      </c>
      <c r="M2399" s="8">
        <f t="shared" si="2"/>
        <v>0.06</v>
      </c>
      <c r="P2399" s="9"/>
    </row>
    <row r="2400">
      <c r="A2400" s="6" t="s">
        <v>5414</v>
      </c>
      <c r="B2400" s="6" t="s">
        <v>5091</v>
      </c>
      <c r="C2400" s="6" t="s">
        <v>23</v>
      </c>
      <c r="D2400" s="6" t="s">
        <v>5415</v>
      </c>
      <c r="E2400" s="6" t="s">
        <v>223</v>
      </c>
      <c r="F2400" s="6" t="s">
        <v>159</v>
      </c>
      <c r="G2400" s="7">
        <v>0.06</v>
      </c>
      <c r="H2400" s="6" t="s">
        <v>418</v>
      </c>
      <c r="I2400" s="6" t="s">
        <v>20</v>
      </c>
      <c r="J2400" s="6">
        <v>2022.0</v>
      </c>
      <c r="K2400" s="10">
        <v>46055.0</v>
      </c>
      <c r="L2400" s="6">
        <v>1.0</v>
      </c>
      <c r="M2400" s="8">
        <f t="shared" si="2"/>
        <v>0.06</v>
      </c>
      <c r="P2400" s="9"/>
    </row>
    <row r="2401">
      <c r="A2401" s="6" t="s">
        <v>5416</v>
      </c>
      <c r="B2401" s="6" t="s">
        <v>194</v>
      </c>
      <c r="C2401" s="6" t="s">
        <v>23</v>
      </c>
      <c r="D2401" s="6" t="s">
        <v>5417</v>
      </c>
      <c r="E2401" s="6" t="s">
        <v>175</v>
      </c>
      <c r="F2401" s="6" t="s">
        <v>51</v>
      </c>
      <c r="G2401" s="7">
        <v>0.19</v>
      </c>
      <c r="H2401" s="6" t="s">
        <v>645</v>
      </c>
      <c r="I2401" s="6" t="s">
        <v>55</v>
      </c>
      <c r="J2401" s="6">
        <v>2024.0</v>
      </c>
      <c r="L2401" s="6">
        <v>2.0</v>
      </c>
      <c r="M2401" s="8">
        <f t="shared" si="2"/>
        <v>0.38</v>
      </c>
      <c r="P2401" s="9"/>
    </row>
    <row r="2402">
      <c r="A2402" s="6" t="s">
        <v>5418</v>
      </c>
      <c r="B2402" s="6" t="s">
        <v>4407</v>
      </c>
      <c r="C2402" s="6" t="s">
        <v>23</v>
      </c>
      <c r="D2402" s="6" t="s">
        <v>5419</v>
      </c>
      <c r="E2402" s="6" t="s">
        <v>5420</v>
      </c>
      <c r="F2402" s="6" t="s">
        <v>5421</v>
      </c>
      <c r="G2402" s="7">
        <v>0.2</v>
      </c>
      <c r="H2402" s="6" t="s">
        <v>718</v>
      </c>
      <c r="I2402" s="6" t="s">
        <v>20</v>
      </c>
      <c r="J2402" s="6">
        <v>2009.0</v>
      </c>
      <c r="K2402" s="10">
        <v>46024.0</v>
      </c>
      <c r="L2402" s="6">
        <v>1.0</v>
      </c>
      <c r="M2402" s="8">
        <f t="shared" si="2"/>
        <v>0.2</v>
      </c>
      <c r="P2402" s="9"/>
    </row>
    <row r="2403">
      <c r="A2403" s="6" t="s">
        <v>5422</v>
      </c>
      <c r="B2403" s="6" t="s">
        <v>5423</v>
      </c>
      <c r="C2403" s="6" t="s">
        <v>48</v>
      </c>
      <c r="D2403" s="6" t="s">
        <v>5424</v>
      </c>
      <c r="E2403" s="6" t="s">
        <v>102</v>
      </c>
      <c r="F2403" s="6" t="s">
        <v>103</v>
      </c>
      <c r="G2403" s="7">
        <v>0.09</v>
      </c>
      <c r="H2403" s="6" t="s">
        <v>45</v>
      </c>
      <c r="I2403" s="6" t="s">
        <v>20</v>
      </c>
      <c r="J2403" s="6">
        <v>2025.0</v>
      </c>
      <c r="K2403" s="10">
        <v>46055.0</v>
      </c>
      <c r="L2403" s="6">
        <v>2.0</v>
      </c>
      <c r="M2403" s="8">
        <f t="shared" si="2"/>
        <v>0.18</v>
      </c>
      <c r="P2403" s="9"/>
    </row>
    <row r="2404">
      <c r="A2404" s="6" t="s">
        <v>5425</v>
      </c>
      <c r="B2404" s="6" t="s">
        <v>326</v>
      </c>
      <c r="C2404" s="6" t="s">
        <v>48</v>
      </c>
      <c r="D2404" s="6" t="s">
        <v>5426</v>
      </c>
      <c r="E2404" s="6" t="s">
        <v>1860</v>
      </c>
      <c r="F2404" s="6" t="s">
        <v>215</v>
      </c>
      <c r="G2404" s="7">
        <v>0.03</v>
      </c>
      <c r="H2404" s="6" t="s">
        <v>875</v>
      </c>
      <c r="I2404" s="6" t="s">
        <v>20</v>
      </c>
      <c r="J2404" s="6">
        <v>2018.0</v>
      </c>
      <c r="K2404" s="10">
        <v>46084.0</v>
      </c>
      <c r="L2404" s="6">
        <v>1.0</v>
      </c>
      <c r="M2404" s="8">
        <f t="shared" si="2"/>
        <v>0.03</v>
      </c>
      <c r="P2404" s="9"/>
    </row>
    <row r="2405">
      <c r="A2405" s="6" t="s">
        <v>5427</v>
      </c>
      <c r="B2405" s="6" t="s">
        <v>2741</v>
      </c>
      <c r="C2405" s="6" t="s">
        <v>23</v>
      </c>
      <c r="D2405" s="6" t="s">
        <v>5428</v>
      </c>
      <c r="E2405" s="6" t="s">
        <v>238</v>
      </c>
      <c r="F2405" s="6" t="s">
        <v>159</v>
      </c>
      <c r="G2405" s="7">
        <v>0.03</v>
      </c>
      <c r="H2405" s="6" t="s">
        <v>555</v>
      </c>
      <c r="I2405" s="6" t="s">
        <v>20</v>
      </c>
      <c r="J2405" s="6">
        <v>2017.0</v>
      </c>
      <c r="K2405" s="10">
        <v>46023.0</v>
      </c>
      <c r="L2405" s="6">
        <v>1.0</v>
      </c>
      <c r="M2405" s="8">
        <f t="shared" si="2"/>
        <v>0.03</v>
      </c>
      <c r="P2405" s="9"/>
    </row>
    <row r="2406">
      <c r="A2406" s="6" t="s">
        <v>5429</v>
      </c>
      <c r="B2406" s="6" t="s">
        <v>424</v>
      </c>
      <c r="C2406" s="6" t="s">
        <v>23</v>
      </c>
      <c r="D2406" s="6" t="s">
        <v>5430</v>
      </c>
      <c r="F2406" s="6" t="s">
        <v>37</v>
      </c>
      <c r="G2406" s="7">
        <v>0.15</v>
      </c>
      <c r="H2406" s="6" t="s">
        <v>705</v>
      </c>
      <c r="I2406" s="6" t="s">
        <v>20</v>
      </c>
      <c r="J2406" s="6">
        <v>2015.0</v>
      </c>
      <c r="L2406" s="6">
        <v>11.0</v>
      </c>
      <c r="M2406" s="8">
        <f t="shared" si="2"/>
        <v>1.65</v>
      </c>
      <c r="P2406" s="9"/>
    </row>
    <row r="2407">
      <c r="A2407" s="6" t="s">
        <v>5431</v>
      </c>
      <c r="B2407" s="6" t="s">
        <v>156</v>
      </c>
      <c r="C2407" s="6" t="s">
        <v>23</v>
      </c>
      <c r="D2407" s="6" t="s">
        <v>5432</v>
      </c>
      <c r="E2407" s="6" t="s">
        <v>724</v>
      </c>
      <c r="F2407" s="6" t="s">
        <v>159</v>
      </c>
      <c r="G2407" s="7">
        <v>0.05</v>
      </c>
      <c r="H2407" s="6" t="s">
        <v>1748</v>
      </c>
      <c r="I2407" s="6" t="s">
        <v>20</v>
      </c>
      <c r="J2407" s="6">
        <v>2008.0</v>
      </c>
      <c r="K2407" s="10">
        <v>46178.0</v>
      </c>
      <c r="L2407" s="6">
        <v>1.0</v>
      </c>
      <c r="M2407" s="8">
        <f t="shared" si="2"/>
        <v>0.05</v>
      </c>
      <c r="P2407" s="9"/>
    </row>
    <row r="2408">
      <c r="A2408" s="6" t="s">
        <v>5433</v>
      </c>
      <c r="B2408" s="6" t="s">
        <v>5434</v>
      </c>
      <c r="C2408" s="6" t="s">
        <v>23</v>
      </c>
      <c r="D2408" s="6" t="s">
        <v>5435</v>
      </c>
      <c r="E2408" s="6" t="s">
        <v>5436</v>
      </c>
      <c r="F2408" s="6" t="s">
        <v>826</v>
      </c>
      <c r="G2408" s="7">
        <v>0.1</v>
      </c>
      <c r="H2408" s="6" t="s">
        <v>994</v>
      </c>
      <c r="I2408" s="6" t="s">
        <v>20</v>
      </c>
      <c r="J2408" s="6">
        <v>2024.0</v>
      </c>
      <c r="K2408" s="10">
        <v>46146.0</v>
      </c>
      <c r="L2408" s="6">
        <v>2.0</v>
      </c>
      <c r="M2408" s="8">
        <f t="shared" si="2"/>
        <v>0.2</v>
      </c>
      <c r="P2408" s="9"/>
    </row>
    <row r="2409">
      <c r="A2409" s="6" t="s">
        <v>5437</v>
      </c>
      <c r="B2409" s="6" t="s">
        <v>5438</v>
      </c>
      <c r="C2409" s="6" t="s">
        <v>41</v>
      </c>
      <c r="D2409" s="6" t="s">
        <v>5439</v>
      </c>
      <c r="E2409" s="6" t="s">
        <v>1336</v>
      </c>
      <c r="F2409" s="6" t="s">
        <v>103</v>
      </c>
      <c r="G2409" s="7">
        <v>0.2</v>
      </c>
      <c r="H2409" s="6" t="s">
        <v>109</v>
      </c>
      <c r="I2409" s="6" t="s">
        <v>20</v>
      </c>
      <c r="J2409" s="6">
        <v>1995.0</v>
      </c>
      <c r="K2409" s="10">
        <v>46084.0</v>
      </c>
      <c r="L2409" s="6">
        <v>2.0</v>
      </c>
      <c r="M2409" s="8">
        <f t="shared" si="2"/>
        <v>0.4</v>
      </c>
      <c r="P2409" s="9"/>
    </row>
    <row r="2410">
      <c r="A2410" s="6" t="s">
        <v>5437</v>
      </c>
      <c r="B2410" s="6" t="s">
        <v>5438</v>
      </c>
      <c r="C2410" s="6" t="s">
        <v>41</v>
      </c>
      <c r="D2410" s="6" t="s">
        <v>5439</v>
      </c>
      <c r="E2410" s="6" t="s">
        <v>1336</v>
      </c>
      <c r="F2410" s="6" t="s">
        <v>103</v>
      </c>
      <c r="G2410" s="7">
        <v>0.5</v>
      </c>
      <c r="H2410" s="6" t="s">
        <v>1382</v>
      </c>
      <c r="I2410" s="6" t="s">
        <v>20</v>
      </c>
      <c r="J2410" s="6">
        <v>1995.0</v>
      </c>
      <c r="K2410" s="10">
        <v>46084.0</v>
      </c>
      <c r="L2410" s="6">
        <v>1.0</v>
      </c>
      <c r="M2410" s="8">
        <f t="shared" si="2"/>
        <v>0.5</v>
      </c>
      <c r="P2410" s="9"/>
    </row>
    <row r="2411">
      <c r="A2411" s="6" t="s">
        <v>5440</v>
      </c>
      <c r="B2411" s="6" t="s">
        <v>14</v>
      </c>
      <c r="C2411" s="6" t="s">
        <v>15</v>
      </c>
      <c r="D2411" s="6" t="s">
        <v>5441</v>
      </c>
      <c r="E2411" s="6" t="s">
        <v>2028</v>
      </c>
      <c r="F2411" s="6" t="s">
        <v>103</v>
      </c>
      <c r="G2411" s="7">
        <v>0.15</v>
      </c>
      <c r="H2411" s="6" t="s">
        <v>19</v>
      </c>
      <c r="I2411" s="6" t="s">
        <v>20</v>
      </c>
      <c r="J2411" s="6">
        <v>2023.0</v>
      </c>
      <c r="L2411" s="6">
        <v>3.0</v>
      </c>
      <c r="M2411" s="8">
        <f t="shared" si="2"/>
        <v>0.45</v>
      </c>
      <c r="P2411" s="9"/>
    </row>
    <row r="2412">
      <c r="A2412" s="6" t="s">
        <v>5442</v>
      </c>
      <c r="B2412" s="6" t="s">
        <v>736</v>
      </c>
      <c r="C2412" s="6" t="s">
        <v>84</v>
      </c>
      <c r="D2412" s="6" t="s">
        <v>5443</v>
      </c>
      <c r="E2412" s="6" t="s">
        <v>395</v>
      </c>
      <c r="F2412" s="6" t="s">
        <v>51</v>
      </c>
      <c r="G2412" s="7">
        <v>0.25</v>
      </c>
      <c r="H2412" s="6" t="s">
        <v>245</v>
      </c>
      <c r="I2412" s="6" t="s">
        <v>20</v>
      </c>
      <c r="J2412" s="6">
        <v>1995.0</v>
      </c>
      <c r="L2412" s="6">
        <v>1.0</v>
      </c>
      <c r="M2412" s="8">
        <f t="shared" si="2"/>
        <v>0.25</v>
      </c>
      <c r="P2412" s="9"/>
    </row>
    <row r="2413">
      <c r="A2413" s="6" t="s">
        <v>5444</v>
      </c>
      <c r="B2413" s="6" t="s">
        <v>62</v>
      </c>
      <c r="C2413" s="6" t="s">
        <v>23</v>
      </c>
      <c r="D2413" s="6" t="s">
        <v>5445</v>
      </c>
      <c r="E2413" s="6" t="s">
        <v>118</v>
      </c>
      <c r="F2413" s="6" t="s">
        <v>51</v>
      </c>
      <c r="G2413" s="7">
        <v>0.04</v>
      </c>
      <c r="H2413" s="6" t="s">
        <v>185</v>
      </c>
      <c r="I2413" s="6" t="s">
        <v>20</v>
      </c>
      <c r="J2413" s="6">
        <v>2019.0</v>
      </c>
      <c r="L2413" s="6">
        <v>1.0</v>
      </c>
      <c r="M2413" s="8">
        <f t="shared" si="2"/>
        <v>0.04</v>
      </c>
      <c r="P2413" s="9"/>
    </row>
    <row r="2414">
      <c r="A2414" s="6" t="s">
        <v>5446</v>
      </c>
      <c r="B2414" s="6" t="s">
        <v>5447</v>
      </c>
      <c r="C2414" s="6" t="s">
        <v>23</v>
      </c>
      <c r="D2414" s="6" t="s">
        <v>5448</v>
      </c>
      <c r="E2414" s="6" t="s">
        <v>558</v>
      </c>
      <c r="F2414" s="6" t="s">
        <v>18</v>
      </c>
      <c r="G2414" s="7">
        <v>0.06</v>
      </c>
      <c r="H2414" s="6" t="s">
        <v>336</v>
      </c>
      <c r="I2414" s="6" t="s">
        <v>20</v>
      </c>
      <c r="J2414" s="6">
        <v>2016.0</v>
      </c>
      <c r="K2414" s="10">
        <v>46084.0</v>
      </c>
      <c r="L2414" s="6">
        <v>1.0</v>
      </c>
      <c r="M2414" s="8">
        <f t="shared" si="2"/>
        <v>0.06</v>
      </c>
      <c r="P2414" s="9"/>
    </row>
    <row r="2415">
      <c r="A2415" s="6" t="s">
        <v>5449</v>
      </c>
      <c r="B2415" s="6" t="s">
        <v>543</v>
      </c>
      <c r="C2415" s="6" t="s">
        <v>23</v>
      </c>
      <c r="D2415" s="6" t="s">
        <v>5450</v>
      </c>
      <c r="E2415" s="6" t="s">
        <v>2838</v>
      </c>
      <c r="F2415" s="6" t="s">
        <v>65</v>
      </c>
      <c r="G2415" s="7">
        <v>0.8</v>
      </c>
      <c r="H2415" s="6" t="s">
        <v>370</v>
      </c>
      <c r="I2415" s="6" t="s">
        <v>20</v>
      </c>
      <c r="J2415" s="6">
        <v>1996.0</v>
      </c>
      <c r="L2415" s="6">
        <v>1.0</v>
      </c>
      <c r="M2415" s="8">
        <f t="shared" si="2"/>
        <v>0.8</v>
      </c>
      <c r="P2415" s="9"/>
    </row>
    <row r="2416">
      <c r="A2416" s="6" t="s">
        <v>5451</v>
      </c>
      <c r="B2416" s="6" t="s">
        <v>5452</v>
      </c>
      <c r="C2416" s="6" t="s">
        <v>48</v>
      </c>
      <c r="D2416" s="6" t="s">
        <v>5453</v>
      </c>
      <c r="E2416" s="6" t="s">
        <v>700</v>
      </c>
      <c r="F2416" s="6" t="s">
        <v>18</v>
      </c>
      <c r="G2416" s="7">
        <v>0.25</v>
      </c>
      <c r="H2416" s="6" t="s">
        <v>163</v>
      </c>
      <c r="I2416" s="6" t="s">
        <v>20</v>
      </c>
      <c r="J2416" s="6">
        <v>2023.0</v>
      </c>
      <c r="K2416" s="10">
        <v>46055.0</v>
      </c>
      <c r="L2416" s="6">
        <v>1.0</v>
      </c>
      <c r="M2416" s="8">
        <f t="shared" si="2"/>
        <v>0.25</v>
      </c>
      <c r="P2416" s="9"/>
    </row>
    <row r="2417">
      <c r="A2417" s="6" t="s">
        <v>5454</v>
      </c>
      <c r="B2417" s="6" t="s">
        <v>206</v>
      </c>
      <c r="C2417" s="6" t="s">
        <v>212</v>
      </c>
      <c r="D2417" s="6" t="s">
        <v>5455</v>
      </c>
      <c r="E2417" s="6" t="s">
        <v>377</v>
      </c>
      <c r="F2417" s="6" t="s">
        <v>103</v>
      </c>
      <c r="G2417" s="7">
        <v>1.42</v>
      </c>
      <c r="H2417" s="6" t="s">
        <v>209</v>
      </c>
      <c r="I2417" s="6" t="s">
        <v>20</v>
      </c>
      <c r="J2417" s="6">
        <v>2025.0</v>
      </c>
      <c r="K2417" s="10">
        <v>46114.0</v>
      </c>
      <c r="L2417" s="6">
        <v>1.0</v>
      </c>
      <c r="M2417" s="8">
        <f t="shared" si="2"/>
        <v>1.42</v>
      </c>
      <c r="P2417" s="9"/>
    </row>
    <row r="2418">
      <c r="A2418" s="6" t="s">
        <v>5456</v>
      </c>
      <c r="B2418" s="6" t="s">
        <v>182</v>
      </c>
      <c r="C2418" s="6" t="s">
        <v>23</v>
      </c>
      <c r="D2418" s="6" t="s">
        <v>5457</v>
      </c>
      <c r="E2418" s="6" t="s">
        <v>235</v>
      </c>
      <c r="F2418" s="6" t="s">
        <v>103</v>
      </c>
      <c r="G2418" s="7">
        <v>0.06</v>
      </c>
      <c r="H2418" s="6" t="s">
        <v>418</v>
      </c>
      <c r="I2418" s="6" t="s">
        <v>20</v>
      </c>
      <c r="J2418" s="6">
        <v>2022.0</v>
      </c>
      <c r="L2418" s="6">
        <v>1.0</v>
      </c>
      <c r="M2418" s="8">
        <f t="shared" si="2"/>
        <v>0.06</v>
      </c>
      <c r="P2418" s="9"/>
    </row>
    <row r="2419">
      <c r="A2419" s="6" t="s">
        <v>5458</v>
      </c>
      <c r="B2419" s="6" t="s">
        <v>3061</v>
      </c>
      <c r="C2419" s="6" t="s">
        <v>23</v>
      </c>
      <c r="D2419" s="6" t="s">
        <v>5459</v>
      </c>
      <c r="E2419" s="6" t="s">
        <v>102</v>
      </c>
      <c r="F2419" s="6" t="s">
        <v>103</v>
      </c>
      <c r="G2419" s="7">
        <v>0.09</v>
      </c>
      <c r="H2419" s="6" t="s">
        <v>621</v>
      </c>
      <c r="I2419" s="6" t="s">
        <v>20</v>
      </c>
      <c r="J2419" s="6">
        <v>2015.0</v>
      </c>
      <c r="K2419" s="10">
        <v>46054.0</v>
      </c>
      <c r="L2419" s="6">
        <v>1.0</v>
      </c>
      <c r="M2419" s="8">
        <f t="shared" si="2"/>
        <v>0.09</v>
      </c>
      <c r="P2419" s="9"/>
    </row>
    <row r="2420">
      <c r="A2420" s="6" t="s">
        <v>5460</v>
      </c>
      <c r="B2420" s="6" t="s">
        <v>151</v>
      </c>
      <c r="C2420" s="6" t="s">
        <v>23</v>
      </c>
      <c r="D2420" s="6" t="s">
        <v>5461</v>
      </c>
      <c r="E2420" s="6" t="s">
        <v>502</v>
      </c>
      <c r="F2420" s="6" t="s">
        <v>65</v>
      </c>
      <c r="G2420" s="7">
        <v>0.06</v>
      </c>
      <c r="H2420" s="6" t="s">
        <v>418</v>
      </c>
      <c r="I2420" s="6" t="s">
        <v>20</v>
      </c>
      <c r="J2420" s="6">
        <v>2022.0</v>
      </c>
      <c r="K2420" s="10">
        <v>46176.0</v>
      </c>
      <c r="L2420" s="6">
        <v>1.0</v>
      </c>
      <c r="M2420" s="8">
        <f t="shared" si="2"/>
        <v>0.06</v>
      </c>
      <c r="P2420" s="9"/>
    </row>
    <row r="2421">
      <c r="A2421" s="6" t="s">
        <v>5462</v>
      </c>
      <c r="B2421" s="6" t="s">
        <v>151</v>
      </c>
      <c r="C2421" s="6" t="s">
        <v>23</v>
      </c>
      <c r="D2421" s="6" t="s">
        <v>5463</v>
      </c>
      <c r="E2421" s="6" t="s">
        <v>611</v>
      </c>
      <c r="F2421" s="6" t="s">
        <v>103</v>
      </c>
      <c r="G2421" s="7">
        <v>0.05</v>
      </c>
      <c r="H2421" s="6" t="s">
        <v>418</v>
      </c>
      <c r="I2421" s="6" t="s">
        <v>20</v>
      </c>
      <c r="J2421" s="6">
        <v>2022.0</v>
      </c>
      <c r="K2421" s="10">
        <v>46084.0</v>
      </c>
      <c r="L2421" s="6">
        <v>1.0</v>
      </c>
      <c r="M2421" s="8">
        <f t="shared" si="2"/>
        <v>0.05</v>
      </c>
      <c r="P2421" s="9"/>
    </row>
    <row r="2422">
      <c r="A2422" s="6" t="s">
        <v>5464</v>
      </c>
      <c r="B2422" s="6" t="s">
        <v>151</v>
      </c>
      <c r="C2422" s="6" t="s">
        <v>23</v>
      </c>
      <c r="D2422" s="6" t="s">
        <v>5465</v>
      </c>
      <c r="E2422" s="6" t="s">
        <v>153</v>
      </c>
      <c r="F2422" s="6" t="s">
        <v>103</v>
      </c>
      <c r="G2422" s="7">
        <v>0.06</v>
      </c>
      <c r="H2422" s="6" t="s">
        <v>418</v>
      </c>
      <c r="I2422" s="6" t="s">
        <v>20</v>
      </c>
      <c r="J2422" s="6">
        <v>2022.0</v>
      </c>
      <c r="K2422" s="10">
        <v>46115.0</v>
      </c>
      <c r="L2422" s="6">
        <v>1.0</v>
      </c>
      <c r="M2422" s="8">
        <f t="shared" si="2"/>
        <v>0.06</v>
      </c>
      <c r="P2422" s="9"/>
    </row>
    <row r="2423">
      <c r="A2423" s="6" t="s">
        <v>5466</v>
      </c>
      <c r="B2423" s="6" t="s">
        <v>62</v>
      </c>
      <c r="C2423" s="6" t="s">
        <v>23</v>
      </c>
      <c r="D2423" s="6" t="s">
        <v>5467</v>
      </c>
      <c r="E2423" s="6" t="s">
        <v>112</v>
      </c>
      <c r="F2423" s="6" t="s">
        <v>65</v>
      </c>
      <c r="G2423" s="7">
        <v>0.05</v>
      </c>
      <c r="H2423" s="6" t="s">
        <v>418</v>
      </c>
      <c r="I2423" s="6" t="s">
        <v>20</v>
      </c>
      <c r="J2423" s="6">
        <v>2022.0</v>
      </c>
      <c r="L2423" s="6">
        <v>1.0</v>
      </c>
      <c r="M2423" s="8">
        <f t="shared" si="2"/>
        <v>0.05</v>
      </c>
      <c r="P2423" s="9"/>
    </row>
    <row r="2424">
      <c r="A2424" s="6" t="s">
        <v>5468</v>
      </c>
      <c r="B2424" s="6" t="s">
        <v>543</v>
      </c>
      <c r="C2424" s="6" t="s">
        <v>48</v>
      </c>
      <c r="D2424" s="6" t="s">
        <v>5469</v>
      </c>
      <c r="E2424" s="6" t="s">
        <v>3063</v>
      </c>
      <c r="F2424" s="6" t="s">
        <v>98</v>
      </c>
      <c r="G2424" s="7">
        <v>0.19</v>
      </c>
      <c r="H2424" s="6" t="s">
        <v>192</v>
      </c>
      <c r="I2424" s="6" t="s">
        <v>20</v>
      </c>
      <c r="J2424" s="6">
        <v>2026.0</v>
      </c>
      <c r="L2424" s="6">
        <v>1.0</v>
      </c>
      <c r="M2424" s="8">
        <f t="shared" si="2"/>
        <v>0.19</v>
      </c>
      <c r="P2424" s="9"/>
    </row>
    <row r="2425">
      <c r="A2425" s="6" t="s">
        <v>5470</v>
      </c>
      <c r="B2425" s="6" t="s">
        <v>62</v>
      </c>
      <c r="C2425" s="6" t="s">
        <v>23</v>
      </c>
      <c r="D2425" s="6" t="s">
        <v>5471</v>
      </c>
      <c r="E2425" s="6" t="s">
        <v>175</v>
      </c>
      <c r="F2425" s="6" t="s">
        <v>51</v>
      </c>
      <c r="G2425" s="7">
        <v>0.03</v>
      </c>
      <c r="H2425" s="6" t="s">
        <v>526</v>
      </c>
      <c r="I2425" s="6" t="s">
        <v>20</v>
      </c>
      <c r="J2425" s="6">
        <v>2020.0</v>
      </c>
      <c r="L2425" s="6">
        <v>4.0</v>
      </c>
      <c r="M2425" s="8">
        <f t="shared" si="2"/>
        <v>0.12</v>
      </c>
      <c r="P2425" s="9"/>
    </row>
    <row r="2426">
      <c r="A2426" s="6" t="s">
        <v>5472</v>
      </c>
      <c r="B2426" s="6" t="s">
        <v>68</v>
      </c>
      <c r="C2426" s="6" t="s">
        <v>449</v>
      </c>
      <c r="D2426" s="6" t="s">
        <v>5473</v>
      </c>
      <c r="E2426" s="6" t="s">
        <v>5474</v>
      </c>
      <c r="F2426" s="6" t="s">
        <v>5475</v>
      </c>
      <c r="G2426" s="7">
        <v>26.78</v>
      </c>
      <c r="H2426" s="6" t="s">
        <v>2927</v>
      </c>
      <c r="I2426" s="6" t="s">
        <v>20</v>
      </c>
      <c r="J2426" s="6">
        <v>1999.0</v>
      </c>
      <c r="L2426" s="6">
        <v>1.0</v>
      </c>
      <c r="M2426" s="8">
        <f t="shared" si="2"/>
        <v>26.78</v>
      </c>
      <c r="P2426" s="9"/>
    </row>
    <row r="2427">
      <c r="A2427" s="6" t="s">
        <v>5476</v>
      </c>
      <c r="B2427" s="6" t="s">
        <v>5477</v>
      </c>
      <c r="C2427" s="6" t="s">
        <v>48</v>
      </c>
      <c r="D2427" s="6" t="s">
        <v>5478</v>
      </c>
      <c r="E2427" s="6" t="s">
        <v>5479</v>
      </c>
      <c r="F2427" s="6" t="s">
        <v>65</v>
      </c>
      <c r="G2427" s="7">
        <v>0.1</v>
      </c>
      <c r="H2427" s="6" t="s">
        <v>245</v>
      </c>
      <c r="I2427" s="6" t="s">
        <v>20</v>
      </c>
      <c r="J2427" s="6">
        <v>1995.0</v>
      </c>
      <c r="K2427" s="10">
        <v>46084.0</v>
      </c>
      <c r="L2427" s="6">
        <v>1.0</v>
      </c>
      <c r="M2427" s="8">
        <f t="shared" si="2"/>
        <v>0.1</v>
      </c>
      <c r="P2427" s="9"/>
    </row>
    <row r="2428">
      <c r="A2428" s="6" t="s">
        <v>5480</v>
      </c>
      <c r="B2428" s="6" t="s">
        <v>307</v>
      </c>
      <c r="C2428" s="6" t="s">
        <v>23</v>
      </c>
      <c r="D2428" s="6" t="s">
        <v>5481</v>
      </c>
      <c r="E2428" s="6" t="s">
        <v>270</v>
      </c>
      <c r="F2428" s="6" t="s">
        <v>159</v>
      </c>
      <c r="G2428" s="7">
        <v>0.06</v>
      </c>
      <c r="H2428" s="6" t="s">
        <v>769</v>
      </c>
      <c r="I2428" s="6" t="s">
        <v>20</v>
      </c>
      <c r="J2428" s="6">
        <v>2023.0</v>
      </c>
      <c r="L2428" s="6">
        <v>1.0</v>
      </c>
      <c r="M2428" s="8">
        <f t="shared" si="2"/>
        <v>0.06</v>
      </c>
      <c r="P2428" s="9"/>
    </row>
    <row r="2429">
      <c r="A2429" s="6" t="s">
        <v>5482</v>
      </c>
      <c r="B2429" s="6" t="s">
        <v>5483</v>
      </c>
      <c r="C2429" s="6" t="s">
        <v>48</v>
      </c>
      <c r="D2429" s="6" t="s">
        <v>5484</v>
      </c>
      <c r="E2429" s="6" t="s">
        <v>25</v>
      </c>
      <c r="F2429" s="6" t="s">
        <v>18</v>
      </c>
      <c r="G2429" s="7">
        <v>0.2</v>
      </c>
      <c r="H2429" s="6" t="s">
        <v>45</v>
      </c>
      <c r="I2429" s="6" t="s">
        <v>20</v>
      </c>
      <c r="J2429" s="6">
        <v>2025.0</v>
      </c>
      <c r="K2429" s="10">
        <v>46083.0</v>
      </c>
      <c r="L2429" s="6">
        <v>1.0</v>
      </c>
      <c r="M2429" s="8">
        <f t="shared" si="2"/>
        <v>0.2</v>
      </c>
      <c r="P2429" s="9"/>
    </row>
    <row r="2430">
      <c r="A2430" s="6" t="s">
        <v>5485</v>
      </c>
      <c r="B2430" s="6" t="s">
        <v>5483</v>
      </c>
      <c r="C2430" s="6" t="s">
        <v>41</v>
      </c>
      <c r="D2430" s="6" t="s">
        <v>5486</v>
      </c>
      <c r="E2430" s="6" t="s">
        <v>5487</v>
      </c>
      <c r="F2430" s="6" t="s">
        <v>44</v>
      </c>
      <c r="G2430" s="7">
        <v>2.38</v>
      </c>
      <c r="H2430" s="6" t="s">
        <v>45</v>
      </c>
      <c r="I2430" s="6" t="s">
        <v>20</v>
      </c>
      <c r="J2430" s="6">
        <v>2025.0</v>
      </c>
      <c r="K2430" s="10">
        <v>46084.0</v>
      </c>
      <c r="L2430" s="6">
        <v>1.0</v>
      </c>
      <c r="M2430" s="8">
        <f t="shared" si="2"/>
        <v>2.38</v>
      </c>
      <c r="P2430" s="9"/>
    </row>
    <row r="2431">
      <c r="A2431" s="6" t="s">
        <v>5488</v>
      </c>
      <c r="B2431" s="6" t="s">
        <v>5489</v>
      </c>
      <c r="C2431" s="6" t="s">
        <v>15</v>
      </c>
      <c r="D2431" s="6" t="s">
        <v>5490</v>
      </c>
      <c r="E2431" s="6" t="s">
        <v>196</v>
      </c>
      <c r="F2431" s="6" t="s">
        <v>65</v>
      </c>
      <c r="G2431" s="7">
        <v>0.2</v>
      </c>
      <c r="H2431" s="6" t="s">
        <v>1043</v>
      </c>
      <c r="I2431" s="6" t="s">
        <v>20</v>
      </c>
      <c r="J2431" s="6">
        <v>2025.0</v>
      </c>
      <c r="K2431" s="10">
        <v>46024.0</v>
      </c>
      <c r="L2431" s="6">
        <v>1.0</v>
      </c>
      <c r="M2431" s="8">
        <f t="shared" si="2"/>
        <v>0.2</v>
      </c>
      <c r="P2431" s="9"/>
    </row>
    <row r="2432">
      <c r="A2432" s="6" t="s">
        <v>5491</v>
      </c>
      <c r="B2432" s="6" t="s">
        <v>5492</v>
      </c>
      <c r="C2432" s="6" t="s">
        <v>34</v>
      </c>
      <c r="D2432" s="6" t="s">
        <v>5493</v>
      </c>
      <c r="E2432" s="6" t="s">
        <v>3384</v>
      </c>
      <c r="F2432" s="6" t="s">
        <v>65</v>
      </c>
      <c r="G2432" s="7">
        <v>0.05</v>
      </c>
      <c r="H2432" s="6" t="s">
        <v>1043</v>
      </c>
      <c r="I2432" s="6" t="s">
        <v>20</v>
      </c>
      <c r="J2432" s="6">
        <v>2025.0</v>
      </c>
      <c r="K2432" s="10">
        <v>46146.0</v>
      </c>
      <c r="L2432" s="6">
        <v>1.0</v>
      </c>
      <c r="M2432" s="8">
        <f t="shared" si="2"/>
        <v>0.05</v>
      </c>
      <c r="P2432" s="9"/>
    </row>
    <row r="2433">
      <c r="A2433" s="6" t="s">
        <v>5494</v>
      </c>
      <c r="B2433" s="6" t="s">
        <v>182</v>
      </c>
      <c r="C2433" s="6" t="s">
        <v>41</v>
      </c>
      <c r="D2433" s="6" t="s">
        <v>5495</v>
      </c>
      <c r="E2433" s="6" t="s">
        <v>5496</v>
      </c>
      <c r="F2433" s="6" t="s">
        <v>98</v>
      </c>
      <c r="G2433" s="7">
        <v>0.79</v>
      </c>
      <c r="H2433" s="6" t="s">
        <v>185</v>
      </c>
      <c r="I2433" s="6" t="s">
        <v>20</v>
      </c>
      <c r="J2433" s="6">
        <v>2019.0</v>
      </c>
      <c r="L2433" s="6">
        <v>1.0</v>
      </c>
      <c r="M2433" s="8">
        <f t="shared" si="2"/>
        <v>0.79</v>
      </c>
      <c r="P2433" s="9"/>
    </row>
    <row r="2434">
      <c r="A2434" s="6" t="s">
        <v>5497</v>
      </c>
      <c r="B2434" s="6" t="s">
        <v>334</v>
      </c>
      <c r="C2434" s="6" t="s">
        <v>48</v>
      </c>
      <c r="D2434" s="6" t="s">
        <v>5498</v>
      </c>
      <c r="E2434" s="6" t="s">
        <v>410</v>
      </c>
      <c r="F2434" s="6" t="s">
        <v>51</v>
      </c>
      <c r="G2434" s="7">
        <v>0.43</v>
      </c>
      <c r="H2434" s="6" t="s">
        <v>427</v>
      </c>
      <c r="I2434" s="6" t="s">
        <v>20</v>
      </c>
      <c r="J2434" s="6">
        <v>2009.0</v>
      </c>
      <c r="K2434" s="10">
        <v>46023.0</v>
      </c>
      <c r="L2434" s="6">
        <v>3.0</v>
      </c>
      <c r="M2434" s="8">
        <f t="shared" si="2"/>
        <v>1.29</v>
      </c>
      <c r="P2434" s="9"/>
    </row>
    <row r="2435">
      <c r="A2435" s="6" t="s">
        <v>5499</v>
      </c>
      <c r="B2435" s="6" t="s">
        <v>424</v>
      </c>
      <c r="C2435" s="6" t="s">
        <v>48</v>
      </c>
      <c r="D2435" s="6" t="s">
        <v>5500</v>
      </c>
      <c r="F2435" s="6" t="s">
        <v>37</v>
      </c>
      <c r="G2435" s="7">
        <v>0.3</v>
      </c>
      <c r="H2435" s="6" t="s">
        <v>329</v>
      </c>
      <c r="I2435" s="6" t="s">
        <v>20</v>
      </c>
      <c r="J2435" s="6">
        <v>2011.0</v>
      </c>
      <c r="L2435" s="6">
        <v>4.0</v>
      </c>
      <c r="M2435" s="8">
        <f t="shared" si="2"/>
        <v>1.2</v>
      </c>
      <c r="P2435" s="9"/>
    </row>
    <row r="2436">
      <c r="A2436" s="6" t="s">
        <v>5501</v>
      </c>
      <c r="B2436" s="6" t="s">
        <v>5502</v>
      </c>
      <c r="C2436" s="6" t="s">
        <v>41</v>
      </c>
      <c r="D2436" s="6" t="s">
        <v>5503</v>
      </c>
      <c r="E2436" s="6" t="s">
        <v>502</v>
      </c>
      <c r="F2436" s="6" t="s">
        <v>65</v>
      </c>
      <c r="G2436" s="7">
        <v>1.79</v>
      </c>
      <c r="H2436" s="6" t="s">
        <v>427</v>
      </c>
      <c r="I2436" s="6" t="s">
        <v>20</v>
      </c>
      <c r="J2436" s="6">
        <v>2009.0</v>
      </c>
      <c r="K2436" s="10">
        <v>46084.0</v>
      </c>
      <c r="L2436" s="6">
        <v>3.0</v>
      </c>
      <c r="M2436" s="8">
        <f t="shared" si="2"/>
        <v>5.37</v>
      </c>
      <c r="P2436" s="9"/>
    </row>
    <row r="2437">
      <c r="A2437" s="6" t="s">
        <v>5501</v>
      </c>
      <c r="B2437" s="6" t="s">
        <v>5502</v>
      </c>
      <c r="C2437" s="6" t="s">
        <v>41</v>
      </c>
      <c r="D2437" s="6" t="s">
        <v>5503</v>
      </c>
      <c r="E2437" s="6" t="s">
        <v>502</v>
      </c>
      <c r="F2437" s="6" t="s">
        <v>65</v>
      </c>
      <c r="G2437" s="7">
        <v>1.79</v>
      </c>
      <c r="H2437" s="6" t="s">
        <v>427</v>
      </c>
      <c r="I2437" s="6" t="s">
        <v>20</v>
      </c>
      <c r="J2437" s="6">
        <v>2009.0</v>
      </c>
      <c r="K2437" s="10">
        <v>46084.0</v>
      </c>
      <c r="L2437" s="6">
        <v>1.0</v>
      </c>
      <c r="M2437" s="8">
        <f t="shared" si="2"/>
        <v>1.79</v>
      </c>
      <c r="P2437" s="9"/>
    </row>
    <row r="2438">
      <c r="A2438" s="6" t="s">
        <v>5504</v>
      </c>
      <c r="B2438" s="6" t="s">
        <v>5505</v>
      </c>
      <c r="C2438" s="6" t="s">
        <v>48</v>
      </c>
      <c r="D2438" s="6" t="s">
        <v>5506</v>
      </c>
      <c r="E2438" s="6" t="s">
        <v>2129</v>
      </c>
      <c r="F2438" s="6" t="s">
        <v>65</v>
      </c>
      <c r="G2438" s="7">
        <v>0.5</v>
      </c>
      <c r="H2438" s="6" t="s">
        <v>163</v>
      </c>
      <c r="I2438" s="6" t="s">
        <v>20</v>
      </c>
      <c r="J2438" s="6">
        <v>2023.0</v>
      </c>
      <c r="K2438" s="10">
        <v>46117.0</v>
      </c>
      <c r="L2438" s="6">
        <v>1.0</v>
      </c>
      <c r="M2438" s="8">
        <f t="shared" si="2"/>
        <v>0.5</v>
      </c>
      <c r="P2438" s="9"/>
    </row>
    <row r="2439">
      <c r="A2439" s="6" t="s">
        <v>5507</v>
      </c>
      <c r="B2439" s="6" t="s">
        <v>194</v>
      </c>
      <c r="C2439" s="6" t="s">
        <v>23</v>
      </c>
      <c r="D2439" s="6" t="s">
        <v>5508</v>
      </c>
      <c r="E2439" s="6" t="s">
        <v>118</v>
      </c>
      <c r="F2439" s="6" t="s">
        <v>51</v>
      </c>
      <c r="G2439" s="8"/>
      <c r="H2439" s="6" t="s">
        <v>641</v>
      </c>
      <c r="I2439" s="6" t="s">
        <v>55</v>
      </c>
      <c r="J2439" s="6">
        <v>2026.0</v>
      </c>
      <c r="L2439" s="6">
        <v>1.0</v>
      </c>
      <c r="M2439" s="8">
        <f t="shared" si="2"/>
        <v>0</v>
      </c>
      <c r="P2439" s="9"/>
    </row>
    <row r="2440">
      <c r="A2440" s="6" t="s">
        <v>5509</v>
      </c>
      <c r="B2440" s="6" t="s">
        <v>80</v>
      </c>
      <c r="C2440" s="6" t="s">
        <v>23</v>
      </c>
      <c r="E2440" s="6" t="s">
        <v>738</v>
      </c>
      <c r="F2440" s="6" t="s">
        <v>51</v>
      </c>
      <c r="G2440" s="7">
        <v>0.09</v>
      </c>
      <c r="H2440" s="6" t="s">
        <v>4237</v>
      </c>
      <c r="I2440" s="6" t="s">
        <v>20</v>
      </c>
      <c r="J2440" s="6">
        <v>1994.0</v>
      </c>
      <c r="K2440" s="10">
        <v>46083.0</v>
      </c>
      <c r="L2440" s="6">
        <v>4.0</v>
      </c>
      <c r="M2440" s="8">
        <f t="shared" si="2"/>
        <v>0.36</v>
      </c>
      <c r="P2440" s="9"/>
    </row>
    <row r="2441">
      <c r="A2441" s="6" t="s">
        <v>5510</v>
      </c>
      <c r="B2441" s="6" t="s">
        <v>5511</v>
      </c>
      <c r="C2441" s="6" t="s">
        <v>23</v>
      </c>
      <c r="D2441" s="6" t="s">
        <v>5474</v>
      </c>
      <c r="E2441" s="6" t="s">
        <v>738</v>
      </c>
      <c r="F2441" s="6" t="s">
        <v>51</v>
      </c>
      <c r="G2441" s="7">
        <v>1.45</v>
      </c>
      <c r="H2441" s="6" t="s">
        <v>4237</v>
      </c>
      <c r="I2441" s="6" t="s">
        <v>20</v>
      </c>
      <c r="J2441" s="6">
        <v>1994.0</v>
      </c>
      <c r="K2441" s="10">
        <v>46083.0</v>
      </c>
      <c r="L2441" s="6">
        <v>1.0</v>
      </c>
      <c r="M2441" s="8">
        <f t="shared" si="2"/>
        <v>1.45</v>
      </c>
      <c r="P2441" s="9"/>
    </row>
    <row r="2442">
      <c r="A2442" s="6" t="s">
        <v>5512</v>
      </c>
      <c r="B2442" s="6" t="s">
        <v>5513</v>
      </c>
      <c r="C2442" s="6" t="s">
        <v>48</v>
      </c>
      <c r="D2442" s="6" t="s">
        <v>5514</v>
      </c>
      <c r="E2442" s="6" t="s">
        <v>108</v>
      </c>
      <c r="F2442" s="6" t="s">
        <v>103</v>
      </c>
      <c r="G2442" s="7">
        <v>0.06</v>
      </c>
      <c r="H2442" s="6" t="s">
        <v>626</v>
      </c>
      <c r="I2442" s="6" t="s">
        <v>20</v>
      </c>
      <c r="J2442" s="6">
        <v>2013.0</v>
      </c>
      <c r="K2442" s="10">
        <v>46144.0</v>
      </c>
      <c r="L2442" s="6">
        <v>3.0</v>
      </c>
      <c r="M2442" s="8">
        <f t="shared" si="2"/>
        <v>0.18</v>
      </c>
      <c r="P2442" s="9"/>
    </row>
    <row r="2443">
      <c r="A2443" s="6" t="s">
        <v>5515</v>
      </c>
      <c r="B2443" s="6" t="s">
        <v>946</v>
      </c>
      <c r="C2443" s="6" t="s">
        <v>84</v>
      </c>
      <c r="D2443" s="6" t="s">
        <v>5516</v>
      </c>
      <c r="E2443" s="6" t="s">
        <v>5517</v>
      </c>
      <c r="F2443" s="6" t="s">
        <v>5518</v>
      </c>
      <c r="G2443" s="7">
        <v>0.21</v>
      </c>
      <c r="H2443" s="6" t="s">
        <v>821</v>
      </c>
      <c r="I2443" s="6" t="s">
        <v>20</v>
      </c>
      <c r="J2443" s="6">
        <v>1995.0</v>
      </c>
      <c r="K2443" s="10">
        <v>46055.0</v>
      </c>
      <c r="L2443" s="6">
        <v>1.0</v>
      </c>
      <c r="M2443" s="8">
        <f t="shared" si="2"/>
        <v>0.21</v>
      </c>
      <c r="P2443" s="9"/>
    </row>
    <row r="2444">
      <c r="A2444" s="6" t="s">
        <v>5519</v>
      </c>
      <c r="B2444" s="6" t="s">
        <v>1509</v>
      </c>
      <c r="C2444" s="6" t="s">
        <v>23</v>
      </c>
      <c r="D2444" s="6" t="s">
        <v>5520</v>
      </c>
      <c r="E2444" s="6" t="s">
        <v>502</v>
      </c>
      <c r="F2444" s="6" t="s">
        <v>65</v>
      </c>
      <c r="G2444" s="7">
        <v>0.08</v>
      </c>
      <c r="H2444" s="6" t="s">
        <v>565</v>
      </c>
      <c r="I2444" s="6" t="s">
        <v>20</v>
      </c>
      <c r="J2444" s="6">
        <v>2021.0</v>
      </c>
      <c r="K2444" s="10">
        <v>46026.0</v>
      </c>
      <c r="L2444" s="6">
        <v>1.0</v>
      </c>
      <c r="M2444" s="8">
        <f t="shared" si="2"/>
        <v>0.08</v>
      </c>
      <c r="N2444" s="6" t="s">
        <v>518</v>
      </c>
      <c r="P2444" s="9"/>
    </row>
    <row r="2445">
      <c r="A2445" s="6" t="s">
        <v>5521</v>
      </c>
      <c r="B2445" s="6" t="s">
        <v>424</v>
      </c>
      <c r="C2445" s="6" t="s">
        <v>48</v>
      </c>
      <c r="D2445" s="6" t="s">
        <v>5522</v>
      </c>
      <c r="F2445" s="6" t="s">
        <v>65</v>
      </c>
      <c r="G2445" s="7">
        <v>0.15</v>
      </c>
      <c r="H2445" s="6" t="s">
        <v>1538</v>
      </c>
      <c r="I2445" s="6" t="s">
        <v>20</v>
      </c>
      <c r="J2445" s="6">
        <v>2014.0</v>
      </c>
      <c r="L2445" s="6">
        <v>1.0</v>
      </c>
      <c r="M2445" s="8">
        <f t="shared" si="2"/>
        <v>0.15</v>
      </c>
      <c r="P2445" s="9"/>
    </row>
    <row r="2446">
      <c r="A2446" s="6" t="s">
        <v>5523</v>
      </c>
      <c r="B2446" s="6" t="s">
        <v>1509</v>
      </c>
      <c r="C2446" s="6" t="s">
        <v>23</v>
      </c>
      <c r="D2446" s="6" t="s">
        <v>5524</v>
      </c>
      <c r="E2446" s="6" t="s">
        <v>1005</v>
      </c>
      <c r="F2446" s="6" t="s">
        <v>65</v>
      </c>
      <c r="G2446" s="7">
        <v>0.03</v>
      </c>
      <c r="H2446" s="6" t="s">
        <v>541</v>
      </c>
      <c r="I2446" s="6" t="s">
        <v>20</v>
      </c>
      <c r="J2446" s="6">
        <v>2019.0</v>
      </c>
      <c r="K2446" s="10">
        <v>46085.0</v>
      </c>
      <c r="L2446" s="6">
        <v>1.0</v>
      </c>
      <c r="M2446" s="8">
        <f t="shared" si="2"/>
        <v>0.03</v>
      </c>
      <c r="P2446" s="9"/>
    </row>
    <row r="2447">
      <c r="A2447" s="6" t="s">
        <v>5525</v>
      </c>
      <c r="B2447" s="6" t="s">
        <v>1003</v>
      </c>
      <c r="C2447" s="6" t="s">
        <v>48</v>
      </c>
      <c r="D2447" s="6" t="s">
        <v>5526</v>
      </c>
      <c r="E2447" s="6" t="s">
        <v>1005</v>
      </c>
      <c r="F2447" s="6" t="s">
        <v>65</v>
      </c>
      <c r="G2447" s="7">
        <v>0.15</v>
      </c>
      <c r="H2447" s="6" t="s">
        <v>119</v>
      </c>
      <c r="I2447" s="6" t="s">
        <v>20</v>
      </c>
      <c r="J2447" s="6">
        <v>1995.0</v>
      </c>
      <c r="K2447" s="6" t="s">
        <v>89</v>
      </c>
      <c r="L2447" s="6">
        <v>1.0</v>
      </c>
      <c r="M2447" s="8">
        <f t="shared" si="2"/>
        <v>0.15</v>
      </c>
      <c r="P2447" s="9"/>
    </row>
    <row r="2448">
      <c r="A2448" s="6" t="s">
        <v>5527</v>
      </c>
      <c r="B2448" s="6" t="s">
        <v>5528</v>
      </c>
      <c r="C2448" s="6" t="s">
        <v>287</v>
      </c>
      <c r="D2448" s="6" t="s">
        <v>5529</v>
      </c>
      <c r="E2448" s="6" t="s">
        <v>175</v>
      </c>
      <c r="F2448" s="6" t="s">
        <v>51</v>
      </c>
      <c r="G2448" s="7">
        <v>0.01</v>
      </c>
      <c r="H2448" s="6" t="s">
        <v>245</v>
      </c>
      <c r="I2448" s="6" t="s">
        <v>20</v>
      </c>
      <c r="J2448" s="6">
        <v>1995.0</v>
      </c>
      <c r="K2448" s="10">
        <v>46023.0</v>
      </c>
      <c r="L2448" s="6">
        <v>4.0</v>
      </c>
      <c r="M2448" s="8">
        <f t="shared" si="2"/>
        <v>0.04</v>
      </c>
      <c r="P2448" s="9"/>
    </row>
    <row r="2449">
      <c r="A2449" s="6" t="s">
        <v>5530</v>
      </c>
      <c r="B2449" s="6" t="s">
        <v>740</v>
      </c>
      <c r="C2449" s="6" t="s">
        <v>23</v>
      </c>
      <c r="D2449" s="6" t="s">
        <v>5531</v>
      </c>
      <c r="E2449" s="6" t="s">
        <v>112</v>
      </c>
      <c r="F2449" s="6" t="s">
        <v>65</v>
      </c>
      <c r="G2449" s="7">
        <v>18.98</v>
      </c>
      <c r="H2449" s="6" t="s">
        <v>114</v>
      </c>
      <c r="I2449" s="6" t="s">
        <v>20</v>
      </c>
      <c r="J2449" s="6">
        <v>2021.0</v>
      </c>
      <c r="K2449" s="10">
        <v>46082.0</v>
      </c>
      <c r="L2449" s="6">
        <v>1.0</v>
      </c>
      <c r="M2449" s="8">
        <f t="shared" si="2"/>
        <v>18.98</v>
      </c>
      <c r="N2449" s="6" t="s">
        <v>172</v>
      </c>
      <c r="P2449" s="9"/>
    </row>
    <row r="2450">
      <c r="A2450" s="6" t="s">
        <v>5532</v>
      </c>
      <c r="B2450" s="6" t="s">
        <v>250</v>
      </c>
      <c r="C2450" s="6" t="s">
        <v>48</v>
      </c>
      <c r="D2450" s="6" t="s">
        <v>5533</v>
      </c>
      <c r="E2450" s="6" t="s">
        <v>303</v>
      </c>
      <c r="F2450" s="6" t="s">
        <v>37</v>
      </c>
      <c r="G2450" s="7">
        <v>0.05</v>
      </c>
      <c r="H2450" s="6" t="s">
        <v>645</v>
      </c>
      <c r="I2450" s="6" t="s">
        <v>20</v>
      </c>
      <c r="J2450" s="6">
        <v>2024.0</v>
      </c>
      <c r="L2450" s="6">
        <v>1.0</v>
      </c>
      <c r="M2450" s="8">
        <f t="shared" si="2"/>
        <v>0.05</v>
      </c>
      <c r="P2450" s="9"/>
    </row>
    <row r="2451">
      <c r="A2451" s="6" t="s">
        <v>5534</v>
      </c>
      <c r="B2451" s="6" t="s">
        <v>62</v>
      </c>
      <c r="C2451" s="6" t="s">
        <v>23</v>
      </c>
      <c r="D2451" s="6" t="s">
        <v>5074</v>
      </c>
      <c r="E2451" s="6" t="s">
        <v>79</v>
      </c>
      <c r="F2451" s="6" t="s">
        <v>51</v>
      </c>
      <c r="G2451" s="7">
        <v>0.06</v>
      </c>
      <c r="H2451" s="6" t="s">
        <v>978</v>
      </c>
      <c r="I2451" s="6" t="s">
        <v>20</v>
      </c>
      <c r="J2451" s="6">
        <v>2022.0</v>
      </c>
      <c r="L2451" s="6">
        <v>2.0</v>
      </c>
      <c r="M2451" s="8">
        <f t="shared" si="2"/>
        <v>0.12</v>
      </c>
      <c r="P2451" s="9"/>
    </row>
    <row r="2452">
      <c r="A2452" s="6" t="s">
        <v>5534</v>
      </c>
      <c r="B2452" s="6" t="s">
        <v>62</v>
      </c>
      <c r="C2452" s="6" t="s">
        <v>23</v>
      </c>
      <c r="D2452" s="6" t="s">
        <v>5074</v>
      </c>
      <c r="E2452" s="6" t="s">
        <v>79</v>
      </c>
      <c r="F2452" s="6" t="s">
        <v>51</v>
      </c>
      <c r="G2452" s="7">
        <v>0.05</v>
      </c>
      <c r="H2452" s="6" t="s">
        <v>5535</v>
      </c>
      <c r="I2452" s="6" t="s">
        <v>20</v>
      </c>
      <c r="J2452" s="6">
        <v>2014.0</v>
      </c>
      <c r="L2452" s="6">
        <v>4.0</v>
      </c>
      <c r="M2452" s="8">
        <f t="shared" si="2"/>
        <v>0.2</v>
      </c>
      <c r="P2452" s="9"/>
    </row>
    <row r="2453">
      <c r="A2453" s="6" t="s">
        <v>5536</v>
      </c>
      <c r="B2453" s="6" t="s">
        <v>250</v>
      </c>
      <c r="C2453" s="6" t="s">
        <v>449</v>
      </c>
      <c r="D2453" s="6" t="s">
        <v>5537</v>
      </c>
      <c r="E2453" s="6" t="s">
        <v>243</v>
      </c>
      <c r="F2453" s="6" t="s">
        <v>452</v>
      </c>
      <c r="G2453" s="7">
        <v>13.32</v>
      </c>
      <c r="H2453" s="6" t="s">
        <v>2756</v>
      </c>
      <c r="I2453" s="6" t="s">
        <v>20</v>
      </c>
      <c r="J2453" s="6">
        <v>2000.0</v>
      </c>
      <c r="L2453" s="6">
        <v>1.0</v>
      </c>
      <c r="M2453" s="8">
        <f t="shared" si="2"/>
        <v>13.32</v>
      </c>
      <c r="P2453" s="9"/>
    </row>
    <row r="2454">
      <c r="A2454" s="6" t="s">
        <v>5538</v>
      </c>
      <c r="B2454" s="6" t="s">
        <v>5539</v>
      </c>
      <c r="C2454" s="6" t="s">
        <v>48</v>
      </c>
      <c r="D2454" s="6" t="s">
        <v>5540</v>
      </c>
      <c r="E2454" s="6" t="s">
        <v>1844</v>
      </c>
      <c r="F2454" s="6" t="s">
        <v>98</v>
      </c>
      <c r="G2454" s="7">
        <v>0.2</v>
      </c>
      <c r="H2454" s="6" t="s">
        <v>5219</v>
      </c>
      <c r="I2454" s="6" t="s">
        <v>20</v>
      </c>
      <c r="J2454" s="6">
        <v>2021.0</v>
      </c>
      <c r="K2454" s="10">
        <v>46055.0</v>
      </c>
      <c r="L2454" s="6">
        <v>1.0</v>
      </c>
      <c r="M2454" s="8">
        <f t="shared" si="2"/>
        <v>0.2</v>
      </c>
      <c r="P2454" s="9"/>
    </row>
    <row r="2455">
      <c r="A2455" s="6" t="s">
        <v>5541</v>
      </c>
      <c r="B2455" s="6" t="s">
        <v>165</v>
      </c>
      <c r="C2455" s="6" t="s">
        <v>15</v>
      </c>
      <c r="D2455" s="6" t="s">
        <v>5542</v>
      </c>
      <c r="E2455" s="6" t="s">
        <v>1844</v>
      </c>
      <c r="F2455" s="6" t="s">
        <v>858</v>
      </c>
      <c r="G2455" s="7">
        <v>0.3</v>
      </c>
      <c r="H2455" s="6" t="s">
        <v>807</v>
      </c>
      <c r="I2455" s="6" t="s">
        <v>20</v>
      </c>
      <c r="J2455" s="6">
        <v>2026.0</v>
      </c>
      <c r="L2455" s="6">
        <v>1.0</v>
      </c>
      <c r="M2455" s="8">
        <f t="shared" si="2"/>
        <v>0.3</v>
      </c>
      <c r="P2455" s="9"/>
    </row>
    <row r="2456">
      <c r="A2456" s="6" t="s">
        <v>5543</v>
      </c>
      <c r="B2456" s="6" t="s">
        <v>182</v>
      </c>
      <c r="C2456" s="6" t="s">
        <v>48</v>
      </c>
      <c r="D2456" s="6" t="s">
        <v>5544</v>
      </c>
      <c r="E2456" s="6" t="s">
        <v>214</v>
      </c>
      <c r="F2456" s="6" t="s">
        <v>215</v>
      </c>
      <c r="G2456" s="7">
        <v>0.08</v>
      </c>
      <c r="H2456" s="6" t="s">
        <v>129</v>
      </c>
      <c r="I2456" s="6" t="s">
        <v>20</v>
      </c>
      <c r="J2456" s="6">
        <v>2014.0</v>
      </c>
      <c r="L2456" s="6">
        <v>1.0</v>
      </c>
      <c r="M2456" s="8">
        <f t="shared" si="2"/>
        <v>0.08</v>
      </c>
      <c r="P2456" s="9"/>
    </row>
    <row r="2457">
      <c r="A2457" s="6" t="s">
        <v>5545</v>
      </c>
      <c r="B2457" s="6" t="s">
        <v>62</v>
      </c>
      <c r="C2457" s="6" t="s">
        <v>23</v>
      </c>
      <c r="D2457" s="6" t="s">
        <v>5546</v>
      </c>
      <c r="E2457" s="6" t="s">
        <v>196</v>
      </c>
      <c r="F2457" s="6" t="s">
        <v>65</v>
      </c>
      <c r="G2457" s="7">
        <v>0.03</v>
      </c>
      <c r="H2457" s="6" t="s">
        <v>265</v>
      </c>
      <c r="I2457" s="6" t="s">
        <v>20</v>
      </c>
      <c r="J2457" s="6">
        <v>2017.0</v>
      </c>
      <c r="L2457" s="6">
        <v>1.0</v>
      </c>
      <c r="M2457" s="8">
        <f t="shared" si="2"/>
        <v>0.03</v>
      </c>
      <c r="P2457" s="9"/>
    </row>
    <row r="2458">
      <c r="A2458" s="6" t="s">
        <v>5545</v>
      </c>
      <c r="B2458" s="6" t="s">
        <v>62</v>
      </c>
      <c r="C2458" s="6" t="s">
        <v>23</v>
      </c>
      <c r="D2458" s="6" t="s">
        <v>5546</v>
      </c>
      <c r="E2458" s="6" t="s">
        <v>196</v>
      </c>
      <c r="F2458" s="6" t="s">
        <v>65</v>
      </c>
      <c r="G2458" s="7">
        <v>0.05</v>
      </c>
      <c r="H2458" s="6" t="s">
        <v>1514</v>
      </c>
      <c r="I2458" s="6" t="s">
        <v>20</v>
      </c>
      <c r="J2458" s="6">
        <v>2009.0</v>
      </c>
      <c r="L2458" s="6">
        <v>1.0</v>
      </c>
      <c r="M2458" s="8">
        <f t="shared" si="2"/>
        <v>0.05</v>
      </c>
      <c r="P2458" s="9"/>
    </row>
    <row r="2459">
      <c r="A2459" s="6" t="s">
        <v>5547</v>
      </c>
      <c r="B2459" s="6" t="s">
        <v>5548</v>
      </c>
      <c r="C2459" s="6" t="s">
        <v>41</v>
      </c>
      <c r="D2459" s="6" t="s">
        <v>5549</v>
      </c>
      <c r="E2459" s="6" t="s">
        <v>124</v>
      </c>
      <c r="F2459" s="6" t="s">
        <v>103</v>
      </c>
      <c r="G2459" s="7">
        <v>0.45</v>
      </c>
      <c r="H2459" s="6" t="s">
        <v>359</v>
      </c>
      <c r="I2459" s="6" t="s">
        <v>20</v>
      </c>
      <c r="J2459" s="6">
        <v>2014.0</v>
      </c>
      <c r="K2459" s="10">
        <v>46083.0</v>
      </c>
      <c r="L2459" s="6">
        <v>2.0</v>
      </c>
      <c r="M2459" s="8">
        <f t="shared" si="2"/>
        <v>0.9</v>
      </c>
      <c r="P2459" s="9"/>
    </row>
    <row r="2460">
      <c r="A2460" s="6" t="s">
        <v>5550</v>
      </c>
      <c r="B2460" s="6" t="s">
        <v>2713</v>
      </c>
      <c r="C2460" s="6" t="s">
        <v>23</v>
      </c>
      <c r="D2460" s="6" t="s">
        <v>1095</v>
      </c>
      <c r="E2460" s="6" t="s">
        <v>3063</v>
      </c>
      <c r="F2460" s="6" t="s">
        <v>98</v>
      </c>
      <c r="G2460" s="7">
        <v>0.03</v>
      </c>
      <c r="H2460" s="6" t="s">
        <v>88</v>
      </c>
      <c r="I2460" s="6" t="s">
        <v>20</v>
      </c>
      <c r="J2460" s="6">
        <v>2013.0</v>
      </c>
      <c r="K2460" s="10">
        <v>46055.0</v>
      </c>
      <c r="L2460" s="6">
        <v>1.0</v>
      </c>
      <c r="M2460" s="8">
        <f t="shared" si="2"/>
        <v>0.03</v>
      </c>
      <c r="P2460" s="9"/>
    </row>
    <row r="2461">
      <c r="A2461" s="6" t="s">
        <v>5551</v>
      </c>
      <c r="B2461" s="6" t="s">
        <v>5552</v>
      </c>
      <c r="C2461" s="6" t="s">
        <v>48</v>
      </c>
      <c r="D2461" s="6" t="s">
        <v>5553</v>
      </c>
      <c r="E2461" s="6" t="s">
        <v>175</v>
      </c>
      <c r="F2461" s="6" t="s">
        <v>51</v>
      </c>
      <c r="G2461" s="7">
        <v>0.2</v>
      </c>
      <c r="H2461" s="6" t="s">
        <v>641</v>
      </c>
      <c r="I2461" s="6" t="s">
        <v>20</v>
      </c>
      <c r="J2461" s="6">
        <v>2026.0</v>
      </c>
      <c r="K2461" s="10">
        <v>46024.0</v>
      </c>
      <c r="L2461" s="6">
        <v>1.0</v>
      </c>
      <c r="M2461" s="8">
        <f t="shared" si="2"/>
        <v>0.2</v>
      </c>
      <c r="P2461" s="9"/>
    </row>
    <row r="2462">
      <c r="A2462" s="6" t="s">
        <v>5554</v>
      </c>
      <c r="B2462" s="6" t="s">
        <v>5555</v>
      </c>
      <c r="C2462" s="6" t="s">
        <v>23</v>
      </c>
      <c r="D2462" s="6" t="s">
        <v>5556</v>
      </c>
      <c r="E2462" s="6" t="s">
        <v>30</v>
      </c>
      <c r="F2462" s="6" t="s">
        <v>18</v>
      </c>
      <c r="G2462" s="7">
        <v>0.06</v>
      </c>
      <c r="H2462" s="6" t="s">
        <v>1361</v>
      </c>
      <c r="I2462" s="6" t="s">
        <v>20</v>
      </c>
      <c r="J2462" s="6">
        <v>2008.0</v>
      </c>
      <c r="K2462" s="10">
        <v>46055.0</v>
      </c>
      <c r="L2462" s="6">
        <v>1.0</v>
      </c>
      <c r="M2462" s="8">
        <f t="shared" si="2"/>
        <v>0.06</v>
      </c>
      <c r="P2462" s="9"/>
    </row>
    <row r="2463">
      <c r="A2463" s="6" t="s">
        <v>5557</v>
      </c>
      <c r="B2463" s="6" t="s">
        <v>796</v>
      </c>
      <c r="C2463" s="6" t="s">
        <v>15</v>
      </c>
      <c r="D2463" s="6" t="s">
        <v>5558</v>
      </c>
      <c r="E2463" s="6" t="s">
        <v>3558</v>
      </c>
      <c r="F2463" s="6" t="s">
        <v>18</v>
      </c>
      <c r="G2463" s="7">
        <v>0.05</v>
      </c>
      <c r="H2463" s="6" t="s">
        <v>483</v>
      </c>
      <c r="I2463" s="6" t="s">
        <v>20</v>
      </c>
      <c r="J2463" s="6">
        <v>2014.0</v>
      </c>
      <c r="L2463" s="6">
        <v>1.0</v>
      </c>
      <c r="M2463" s="8">
        <f t="shared" si="2"/>
        <v>0.05</v>
      </c>
      <c r="P2463" s="9"/>
    </row>
    <row r="2464">
      <c r="A2464" s="6" t="s">
        <v>5559</v>
      </c>
      <c r="B2464" s="6" t="s">
        <v>2349</v>
      </c>
      <c r="C2464" s="6" t="s">
        <v>48</v>
      </c>
      <c r="D2464" s="6" t="s">
        <v>5560</v>
      </c>
      <c r="E2464" s="6" t="s">
        <v>650</v>
      </c>
      <c r="F2464" s="6" t="s">
        <v>284</v>
      </c>
      <c r="G2464" s="7">
        <v>0.19</v>
      </c>
      <c r="H2464" s="6" t="s">
        <v>276</v>
      </c>
      <c r="I2464" s="6" t="s">
        <v>20</v>
      </c>
      <c r="J2464" s="6">
        <v>2014.0</v>
      </c>
      <c r="K2464" s="10">
        <v>46055.0</v>
      </c>
      <c r="L2464" s="6">
        <v>1.0</v>
      </c>
      <c r="M2464" s="8">
        <f t="shared" si="2"/>
        <v>0.19</v>
      </c>
      <c r="P2464" s="9"/>
    </row>
    <row r="2465">
      <c r="A2465" s="6" t="s">
        <v>5561</v>
      </c>
      <c r="B2465" s="6" t="s">
        <v>182</v>
      </c>
      <c r="C2465" s="6" t="s">
        <v>41</v>
      </c>
      <c r="D2465" s="6" t="s">
        <v>5562</v>
      </c>
      <c r="E2465" s="6" t="s">
        <v>2288</v>
      </c>
      <c r="F2465" s="6" t="s">
        <v>51</v>
      </c>
      <c r="G2465" s="7">
        <v>0.5</v>
      </c>
      <c r="H2465" s="6" t="s">
        <v>5563</v>
      </c>
      <c r="I2465" s="6" t="s">
        <v>20</v>
      </c>
      <c r="J2465" s="6">
        <v>2021.0</v>
      </c>
      <c r="L2465" s="6">
        <v>1.0</v>
      </c>
      <c r="M2465" s="8">
        <f t="shared" si="2"/>
        <v>0.5</v>
      </c>
      <c r="P2465" s="9"/>
    </row>
    <row r="2466">
      <c r="A2466" s="6" t="s">
        <v>5564</v>
      </c>
      <c r="B2466" s="6" t="s">
        <v>736</v>
      </c>
      <c r="C2466" s="6" t="s">
        <v>72</v>
      </c>
      <c r="D2466" s="6" t="s">
        <v>5565</v>
      </c>
      <c r="E2466" s="6" t="s">
        <v>50</v>
      </c>
      <c r="F2466" s="6" t="s">
        <v>51</v>
      </c>
      <c r="G2466" s="7">
        <v>0.99</v>
      </c>
      <c r="H2466" s="6" t="s">
        <v>5566</v>
      </c>
      <c r="I2466" s="6" t="s">
        <v>20</v>
      </c>
      <c r="J2466" s="6">
        <v>1995.0</v>
      </c>
      <c r="L2466" s="6">
        <v>1.0</v>
      </c>
      <c r="M2466" s="8">
        <f t="shared" si="2"/>
        <v>0.99</v>
      </c>
      <c r="N2466" s="6" t="s">
        <v>172</v>
      </c>
      <c r="P2466" s="9"/>
    </row>
    <row r="2467">
      <c r="A2467" s="6" t="s">
        <v>5567</v>
      </c>
      <c r="B2467" s="6" t="s">
        <v>143</v>
      </c>
      <c r="C2467" s="6" t="s">
        <v>23</v>
      </c>
      <c r="D2467" s="6" t="s">
        <v>5568</v>
      </c>
      <c r="E2467" s="6" t="s">
        <v>36</v>
      </c>
      <c r="F2467" s="6" t="s">
        <v>37</v>
      </c>
      <c r="G2467" s="7">
        <v>0.03</v>
      </c>
      <c r="H2467" s="6" t="s">
        <v>636</v>
      </c>
      <c r="I2467" s="6" t="s">
        <v>20</v>
      </c>
      <c r="J2467" s="6">
        <v>2015.0</v>
      </c>
      <c r="L2467" s="6">
        <v>1.0</v>
      </c>
      <c r="M2467" s="8">
        <f t="shared" si="2"/>
        <v>0.03</v>
      </c>
      <c r="P2467" s="9"/>
    </row>
    <row r="2468">
      <c r="A2468" s="6" t="s">
        <v>5569</v>
      </c>
      <c r="B2468" s="6" t="s">
        <v>5570</v>
      </c>
      <c r="C2468" s="6" t="s">
        <v>23</v>
      </c>
      <c r="D2468" s="6" t="s">
        <v>974</v>
      </c>
      <c r="E2468" s="6" t="s">
        <v>175</v>
      </c>
      <c r="F2468" s="6" t="s">
        <v>51</v>
      </c>
      <c r="G2468" s="7">
        <v>0.06</v>
      </c>
      <c r="H2468" s="6" t="s">
        <v>621</v>
      </c>
      <c r="I2468" s="6" t="s">
        <v>20</v>
      </c>
      <c r="J2468" s="6">
        <v>2015.0</v>
      </c>
      <c r="K2468" s="10">
        <v>46023.0</v>
      </c>
      <c r="L2468" s="6">
        <v>1.0</v>
      </c>
      <c r="M2468" s="8">
        <f t="shared" si="2"/>
        <v>0.06</v>
      </c>
      <c r="P2468" s="9"/>
    </row>
    <row r="2469">
      <c r="A2469" s="6" t="s">
        <v>5571</v>
      </c>
      <c r="B2469" s="6" t="s">
        <v>5572</v>
      </c>
      <c r="C2469" s="6" t="s">
        <v>41</v>
      </c>
      <c r="D2469" s="6" t="s">
        <v>5573</v>
      </c>
      <c r="E2469" s="6" t="s">
        <v>345</v>
      </c>
      <c r="F2469" s="6" t="s">
        <v>18</v>
      </c>
      <c r="G2469" s="7">
        <v>0.94</v>
      </c>
      <c r="H2469" s="6" t="s">
        <v>192</v>
      </c>
      <c r="I2469" s="6" t="s">
        <v>20</v>
      </c>
      <c r="J2469" s="6">
        <v>2026.0</v>
      </c>
      <c r="K2469" s="10">
        <v>46179.0</v>
      </c>
      <c r="L2469" s="6">
        <v>1.0</v>
      </c>
      <c r="M2469" s="8">
        <f t="shared" si="2"/>
        <v>0.94</v>
      </c>
      <c r="P2469" s="9"/>
    </row>
    <row r="2470">
      <c r="A2470" s="6" t="s">
        <v>5574</v>
      </c>
      <c r="B2470" s="6" t="s">
        <v>5575</v>
      </c>
      <c r="C2470" s="6" t="s">
        <v>23</v>
      </c>
      <c r="D2470" s="6" t="s">
        <v>5576</v>
      </c>
      <c r="E2470" s="6" t="s">
        <v>167</v>
      </c>
      <c r="F2470" s="6" t="s">
        <v>103</v>
      </c>
      <c r="G2470" s="7">
        <v>0.1</v>
      </c>
      <c r="H2470" s="6" t="s">
        <v>245</v>
      </c>
      <c r="I2470" s="6" t="s">
        <v>20</v>
      </c>
      <c r="J2470" s="6">
        <v>1995.0</v>
      </c>
      <c r="K2470" s="10">
        <v>46025.0</v>
      </c>
      <c r="L2470" s="6">
        <v>1.0</v>
      </c>
      <c r="M2470" s="8">
        <f t="shared" si="2"/>
        <v>0.1</v>
      </c>
      <c r="P2470" s="9"/>
    </row>
    <row r="2471">
      <c r="A2471" s="6" t="s">
        <v>5577</v>
      </c>
      <c r="B2471" s="6" t="s">
        <v>5578</v>
      </c>
      <c r="C2471" s="6" t="s">
        <v>287</v>
      </c>
      <c r="D2471" s="6" t="s">
        <v>5579</v>
      </c>
      <c r="E2471" s="6" t="s">
        <v>395</v>
      </c>
      <c r="F2471" s="6" t="s">
        <v>51</v>
      </c>
      <c r="G2471" s="7">
        <v>0.05</v>
      </c>
      <c r="H2471" s="6" t="s">
        <v>289</v>
      </c>
      <c r="I2471" s="6" t="s">
        <v>20</v>
      </c>
      <c r="J2471" s="6">
        <v>1996.0</v>
      </c>
      <c r="K2471" s="10">
        <v>46083.0</v>
      </c>
      <c r="L2471" s="6">
        <v>1.0</v>
      </c>
      <c r="M2471" s="8">
        <f t="shared" si="2"/>
        <v>0.05</v>
      </c>
      <c r="P2471" s="9"/>
    </row>
    <row r="2472">
      <c r="A2472" s="6" t="s">
        <v>5580</v>
      </c>
      <c r="B2472" s="6" t="s">
        <v>5581</v>
      </c>
      <c r="C2472" s="6" t="s">
        <v>48</v>
      </c>
      <c r="D2472" s="6" t="s">
        <v>5582</v>
      </c>
      <c r="E2472" s="6" t="s">
        <v>4780</v>
      </c>
      <c r="F2472" s="6" t="s">
        <v>874</v>
      </c>
      <c r="G2472" s="7">
        <v>0.21</v>
      </c>
      <c r="H2472" s="6" t="s">
        <v>245</v>
      </c>
      <c r="I2472" s="6" t="s">
        <v>20</v>
      </c>
      <c r="J2472" s="6">
        <v>1995.0</v>
      </c>
      <c r="K2472" s="10">
        <v>46114.0</v>
      </c>
      <c r="L2472" s="6">
        <v>1.0</v>
      </c>
      <c r="M2472" s="8">
        <f t="shared" si="2"/>
        <v>0.21</v>
      </c>
      <c r="P2472" s="9"/>
    </row>
    <row r="2473">
      <c r="A2473" s="6" t="s">
        <v>5583</v>
      </c>
      <c r="B2473" s="6" t="s">
        <v>4220</v>
      </c>
      <c r="C2473" s="6" t="s">
        <v>15</v>
      </c>
      <c r="D2473" s="6" t="s">
        <v>5584</v>
      </c>
      <c r="E2473" s="6" t="s">
        <v>377</v>
      </c>
      <c r="F2473" s="6" t="s">
        <v>103</v>
      </c>
      <c r="G2473" s="7">
        <v>0.7</v>
      </c>
      <c r="H2473" s="6" t="s">
        <v>38</v>
      </c>
      <c r="I2473" s="6" t="s">
        <v>20</v>
      </c>
      <c r="J2473" s="6">
        <v>2026.0</v>
      </c>
      <c r="K2473" s="10">
        <v>46055.0</v>
      </c>
      <c r="L2473" s="6">
        <v>1.0</v>
      </c>
      <c r="M2473" s="8">
        <f t="shared" si="2"/>
        <v>0.7</v>
      </c>
      <c r="P2473" s="9"/>
    </row>
    <row r="2474">
      <c r="A2474" s="6" t="s">
        <v>5585</v>
      </c>
      <c r="B2474" s="6" t="s">
        <v>139</v>
      </c>
      <c r="C2474" s="6" t="s">
        <v>48</v>
      </c>
      <c r="D2474" s="6" t="s">
        <v>5586</v>
      </c>
      <c r="E2474" s="6" t="s">
        <v>118</v>
      </c>
      <c r="F2474" s="6" t="s">
        <v>51</v>
      </c>
      <c r="G2474" s="7">
        <v>0.15</v>
      </c>
      <c r="H2474" s="6" t="s">
        <v>136</v>
      </c>
      <c r="I2474" s="6" t="s">
        <v>20</v>
      </c>
      <c r="J2474" s="6">
        <v>2022.0</v>
      </c>
      <c r="K2474" s="10">
        <v>46055.0</v>
      </c>
      <c r="L2474" s="6">
        <v>2.0</v>
      </c>
      <c r="M2474" s="8">
        <f t="shared" si="2"/>
        <v>0.3</v>
      </c>
      <c r="P2474" s="9"/>
    </row>
    <row r="2475">
      <c r="A2475" s="6" t="s">
        <v>5587</v>
      </c>
      <c r="B2475" s="6" t="s">
        <v>139</v>
      </c>
      <c r="C2475" s="6" t="s">
        <v>48</v>
      </c>
      <c r="D2475" s="6" t="s">
        <v>5588</v>
      </c>
      <c r="E2475" s="6" t="s">
        <v>102</v>
      </c>
      <c r="F2475" s="6" t="s">
        <v>103</v>
      </c>
      <c r="G2475" s="7">
        <v>0.25</v>
      </c>
      <c r="H2475" s="6" t="s">
        <v>136</v>
      </c>
      <c r="I2475" s="6" t="s">
        <v>20</v>
      </c>
      <c r="J2475" s="6">
        <v>2022.0</v>
      </c>
      <c r="K2475" s="10">
        <v>46055.0</v>
      </c>
      <c r="L2475" s="6">
        <v>1.0</v>
      </c>
      <c r="M2475" s="8">
        <f t="shared" si="2"/>
        <v>0.25</v>
      </c>
      <c r="P2475" s="9"/>
    </row>
    <row r="2476">
      <c r="A2476" s="6" t="s">
        <v>5589</v>
      </c>
      <c r="B2476" s="6" t="s">
        <v>139</v>
      </c>
      <c r="C2476" s="6" t="s">
        <v>23</v>
      </c>
      <c r="D2476" s="6" t="s">
        <v>5590</v>
      </c>
      <c r="E2476" s="6" t="s">
        <v>573</v>
      </c>
      <c r="F2476" s="6" t="s">
        <v>51</v>
      </c>
      <c r="G2476" s="7">
        <v>0.03</v>
      </c>
      <c r="H2476" s="6" t="s">
        <v>185</v>
      </c>
      <c r="I2476" s="6" t="s">
        <v>20</v>
      </c>
      <c r="J2476" s="6">
        <v>2019.0</v>
      </c>
      <c r="K2476" s="10">
        <v>46084.0</v>
      </c>
      <c r="L2476" s="6">
        <v>1.0</v>
      </c>
      <c r="M2476" s="8">
        <f t="shared" si="2"/>
        <v>0.03</v>
      </c>
      <c r="P2476" s="9"/>
    </row>
    <row r="2477">
      <c r="A2477" s="6" t="s">
        <v>5591</v>
      </c>
      <c r="B2477" s="6" t="s">
        <v>5592</v>
      </c>
      <c r="C2477" s="6" t="s">
        <v>521</v>
      </c>
      <c r="D2477" s="6" t="s">
        <v>5593</v>
      </c>
      <c r="E2477" s="6" t="s">
        <v>410</v>
      </c>
      <c r="F2477" s="6" t="s">
        <v>904</v>
      </c>
      <c r="G2477" s="7">
        <v>0.25</v>
      </c>
      <c r="H2477" s="6" t="s">
        <v>2680</v>
      </c>
      <c r="I2477" s="6" t="s">
        <v>20</v>
      </c>
      <c r="J2477" s="6">
        <v>1998.0</v>
      </c>
      <c r="K2477" s="10">
        <v>46055.0</v>
      </c>
      <c r="L2477" s="6">
        <v>2.0</v>
      </c>
      <c r="M2477" s="8">
        <f t="shared" si="2"/>
        <v>0.5</v>
      </c>
      <c r="P2477" s="9"/>
    </row>
    <row r="2478">
      <c r="A2478" s="6" t="s">
        <v>5594</v>
      </c>
      <c r="B2478" s="6" t="s">
        <v>5595</v>
      </c>
      <c r="C2478" s="6" t="s">
        <v>48</v>
      </c>
      <c r="D2478" s="6" t="s">
        <v>5596</v>
      </c>
      <c r="E2478" s="6" t="s">
        <v>410</v>
      </c>
      <c r="F2478" s="6" t="s">
        <v>51</v>
      </c>
      <c r="G2478" s="7">
        <v>0.3</v>
      </c>
      <c r="H2478" s="6" t="s">
        <v>5597</v>
      </c>
      <c r="I2478" s="6" t="s">
        <v>20</v>
      </c>
      <c r="J2478" s="6">
        <v>2017.0</v>
      </c>
      <c r="K2478" s="10">
        <v>46055.0</v>
      </c>
      <c r="L2478" s="6">
        <v>5.0</v>
      </c>
      <c r="M2478" s="8">
        <f t="shared" si="2"/>
        <v>1.5</v>
      </c>
      <c r="P2478" s="9"/>
    </row>
    <row r="2479">
      <c r="A2479" s="6" t="s">
        <v>5598</v>
      </c>
      <c r="B2479" s="6" t="s">
        <v>5599</v>
      </c>
      <c r="C2479" s="6" t="s">
        <v>48</v>
      </c>
      <c r="D2479" s="6" t="s">
        <v>5600</v>
      </c>
      <c r="E2479" s="6" t="s">
        <v>5601</v>
      </c>
      <c r="F2479" s="6" t="s">
        <v>98</v>
      </c>
      <c r="G2479" s="7">
        <v>0.03</v>
      </c>
      <c r="H2479" s="6" t="s">
        <v>185</v>
      </c>
      <c r="I2479" s="6" t="s">
        <v>20</v>
      </c>
      <c r="J2479" s="6">
        <v>2019.0</v>
      </c>
      <c r="K2479" s="10">
        <v>46116.0</v>
      </c>
      <c r="L2479" s="6">
        <v>1.0</v>
      </c>
      <c r="M2479" s="8">
        <f t="shared" si="2"/>
        <v>0.03</v>
      </c>
      <c r="P2479" s="9"/>
    </row>
    <row r="2480">
      <c r="A2480" s="6" t="s">
        <v>5602</v>
      </c>
      <c r="B2480" s="6" t="s">
        <v>139</v>
      </c>
      <c r="C2480" s="6" t="s">
        <v>23</v>
      </c>
      <c r="D2480" s="6" t="s">
        <v>5603</v>
      </c>
      <c r="E2480" s="6" t="s">
        <v>79</v>
      </c>
      <c r="F2480" s="6" t="s">
        <v>51</v>
      </c>
      <c r="G2480" s="7">
        <v>0.06</v>
      </c>
      <c r="H2480" s="6" t="s">
        <v>184</v>
      </c>
      <c r="I2480" s="6" t="s">
        <v>20</v>
      </c>
      <c r="J2480" s="6">
        <v>2015.0</v>
      </c>
      <c r="K2480" s="10">
        <v>46056.0</v>
      </c>
      <c r="L2480" s="6">
        <v>9.0</v>
      </c>
      <c r="M2480" s="8">
        <f t="shared" si="2"/>
        <v>0.54</v>
      </c>
      <c r="P2480" s="9"/>
    </row>
    <row r="2481">
      <c r="A2481" s="6" t="s">
        <v>5602</v>
      </c>
      <c r="B2481" s="6" t="s">
        <v>139</v>
      </c>
      <c r="C2481" s="6" t="s">
        <v>23</v>
      </c>
      <c r="D2481" s="6" t="s">
        <v>5603</v>
      </c>
      <c r="E2481" s="6" t="s">
        <v>79</v>
      </c>
      <c r="F2481" s="6" t="s">
        <v>51</v>
      </c>
      <c r="G2481" s="7">
        <v>0.06</v>
      </c>
      <c r="H2481" s="6" t="s">
        <v>184</v>
      </c>
      <c r="I2481" s="6" t="s">
        <v>20</v>
      </c>
      <c r="J2481" s="6">
        <v>2015.0</v>
      </c>
      <c r="K2481" s="10">
        <v>46056.0</v>
      </c>
      <c r="L2481" s="6">
        <v>2.0</v>
      </c>
      <c r="M2481" s="8">
        <f t="shared" si="2"/>
        <v>0.12</v>
      </c>
      <c r="P2481" s="9"/>
    </row>
    <row r="2482">
      <c r="A2482" s="6" t="s">
        <v>5604</v>
      </c>
      <c r="B2482" s="6" t="s">
        <v>182</v>
      </c>
      <c r="C2482" s="6" t="s">
        <v>23</v>
      </c>
      <c r="D2482" s="6" t="s">
        <v>5605</v>
      </c>
      <c r="E2482" s="6" t="s">
        <v>573</v>
      </c>
      <c r="F2482" s="6" t="s">
        <v>51</v>
      </c>
      <c r="G2482" s="7">
        <v>0.05</v>
      </c>
      <c r="H2482" s="6" t="s">
        <v>88</v>
      </c>
      <c r="I2482" s="6" t="s">
        <v>20</v>
      </c>
      <c r="J2482" s="6">
        <v>2013.0</v>
      </c>
      <c r="L2482" s="6">
        <v>1.0</v>
      </c>
      <c r="M2482" s="8">
        <f t="shared" si="2"/>
        <v>0.05</v>
      </c>
      <c r="P2482" s="9"/>
    </row>
    <row r="2483">
      <c r="A2483" s="6" t="s">
        <v>5606</v>
      </c>
      <c r="B2483" s="6" t="s">
        <v>372</v>
      </c>
      <c r="C2483" s="6" t="s">
        <v>23</v>
      </c>
      <c r="D2483" s="6" t="s">
        <v>5607</v>
      </c>
      <c r="E2483" s="6" t="s">
        <v>573</v>
      </c>
      <c r="F2483" s="6" t="s">
        <v>51</v>
      </c>
      <c r="G2483" s="7">
        <v>0.05</v>
      </c>
      <c r="H2483" s="6" t="s">
        <v>271</v>
      </c>
      <c r="I2483" s="6" t="s">
        <v>20</v>
      </c>
      <c r="J2483" s="6">
        <v>2012.0</v>
      </c>
      <c r="L2483" s="6">
        <v>1.0</v>
      </c>
      <c r="M2483" s="8">
        <f t="shared" si="2"/>
        <v>0.05</v>
      </c>
      <c r="P2483" s="9"/>
    </row>
    <row r="2484">
      <c r="A2484" s="6" t="s">
        <v>5608</v>
      </c>
      <c r="B2484" s="6" t="s">
        <v>307</v>
      </c>
      <c r="C2484" s="6" t="s">
        <v>48</v>
      </c>
      <c r="D2484" s="6" t="s">
        <v>5609</v>
      </c>
      <c r="E2484" s="6" t="s">
        <v>625</v>
      </c>
      <c r="F2484" s="6" t="s">
        <v>37</v>
      </c>
      <c r="G2484" s="7">
        <v>0.06</v>
      </c>
      <c r="H2484" s="6" t="s">
        <v>1361</v>
      </c>
      <c r="I2484" s="6" t="s">
        <v>20</v>
      </c>
      <c r="J2484" s="6">
        <v>2008.0</v>
      </c>
      <c r="L2484" s="6">
        <v>1.0</v>
      </c>
      <c r="M2484" s="8">
        <f t="shared" si="2"/>
        <v>0.06</v>
      </c>
      <c r="P2484" s="9"/>
    </row>
    <row r="2485">
      <c r="A2485" s="6" t="s">
        <v>5610</v>
      </c>
      <c r="B2485" s="6" t="s">
        <v>5611</v>
      </c>
      <c r="C2485" s="6" t="s">
        <v>48</v>
      </c>
      <c r="D2485" s="6" t="s">
        <v>5612</v>
      </c>
      <c r="E2485" s="6" t="s">
        <v>149</v>
      </c>
      <c r="F2485" s="6" t="s">
        <v>18</v>
      </c>
      <c r="G2485" s="7">
        <v>0.15</v>
      </c>
      <c r="H2485" s="6" t="s">
        <v>45</v>
      </c>
      <c r="I2485" s="6" t="s">
        <v>20</v>
      </c>
      <c r="J2485" s="6">
        <v>2025.0</v>
      </c>
      <c r="K2485" s="10">
        <v>46024.0</v>
      </c>
      <c r="L2485" s="6">
        <v>1.0</v>
      </c>
      <c r="M2485" s="8">
        <f t="shared" si="2"/>
        <v>0.15</v>
      </c>
      <c r="P2485" s="9"/>
    </row>
    <row r="2486">
      <c r="A2486" s="6" t="s">
        <v>5613</v>
      </c>
      <c r="B2486" s="6" t="s">
        <v>5614</v>
      </c>
      <c r="C2486" s="6" t="s">
        <v>23</v>
      </c>
      <c r="D2486" s="6" t="s">
        <v>5615</v>
      </c>
      <c r="E2486" s="6" t="s">
        <v>79</v>
      </c>
      <c r="F2486" s="6" t="s">
        <v>51</v>
      </c>
      <c r="G2486" s="7">
        <v>0.15</v>
      </c>
      <c r="H2486" s="6" t="s">
        <v>176</v>
      </c>
      <c r="I2486" s="6" t="s">
        <v>20</v>
      </c>
      <c r="J2486" s="6">
        <v>2025.0</v>
      </c>
      <c r="K2486" s="10">
        <v>46056.0</v>
      </c>
      <c r="L2486" s="6">
        <v>1.0</v>
      </c>
      <c r="M2486" s="8">
        <f t="shared" si="2"/>
        <v>0.15</v>
      </c>
      <c r="P2486" s="9"/>
    </row>
    <row r="2487">
      <c r="A2487" s="6" t="s">
        <v>5616</v>
      </c>
      <c r="B2487" s="6" t="s">
        <v>5617</v>
      </c>
      <c r="C2487" s="6" t="s">
        <v>23</v>
      </c>
      <c r="D2487" s="6" t="s">
        <v>5618</v>
      </c>
      <c r="E2487" s="6" t="s">
        <v>118</v>
      </c>
      <c r="F2487" s="6" t="s">
        <v>51</v>
      </c>
      <c r="G2487" s="7">
        <v>0.06</v>
      </c>
      <c r="H2487" s="6" t="s">
        <v>621</v>
      </c>
      <c r="I2487" s="6" t="s">
        <v>20</v>
      </c>
      <c r="J2487" s="6">
        <v>2015.0</v>
      </c>
      <c r="K2487" s="10">
        <v>46025.0</v>
      </c>
      <c r="L2487" s="6">
        <v>1.0</v>
      </c>
      <c r="M2487" s="8">
        <f t="shared" si="2"/>
        <v>0.06</v>
      </c>
      <c r="P2487" s="9"/>
    </row>
    <row r="2488">
      <c r="A2488" s="6" t="s">
        <v>5619</v>
      </c>
      <c r="B2488" s="6" t="s">
        <v>5620</v>
      </c>
      <c r="C2488" s="6" t="s">
        <v>34</v>
      </c>
      <c r="D2488" s="6" t="s">
        <v>5621</v>
      </c>
      <c r="E2488" s="6" t="s">
        <v>2642</v>
      </c>
      <c r="F2488" s="6" t="s">
        <v>51</v>
      </c>
      <c r="G2488" s="7">
        <v>0.06</v>
      </c>
      <c r="H2488" s="6" t="s">
        <v>180</v>
      </c>
      <c r="I2488" s="6" t="s">
        <v>20</v>
      </c>
      <c r="J2488" s="6">
        <v>2014.0</v>
      </c>
      <c r="K2488" s="10">
        <v>46055.0</v>
      </c>
      <c r="L2488" s="6">
        <v>1.0</v>
      </c>
      <c r="M2488" s="8">
        <f t="shared" si="2"/>
        <v>0.06</v>
      </c>
      <c r="P2488" s="9"/>
    </row>
    <row r="2489">
      <c r="A2489" s="6" t="s">
        <v>5622</v>
      </c>
      <c r="B2489" s="6" t="s">
        <v>5623</v>
      </c>
      <c r="C2489" s="6" t="s">
        <v>23</v>
      </c>
      <c r="D2489" s="6" t="s">
        <v>5624</v>
      </c>
      <c r="E2489" s="6" t="s">
        <v>79</v>
      </c>
      <c r="F2489" s="6" t="s">
        <v>51</v>
      </c>
      <c r="G2489" s="7">
        <v>0.05</v>
      </c>
      <c r="H2489" s="6" t="s">
        <v>336</v>
      </c>
      <c r="I2489" s="6" t="s">
        <v>20</v>
      </c>
      <c r="J2489" s="6">
        <v>2016.0</v>
      </c>
      <c r="K2489" s="10">
        <v>46025.0</v>
      </c>
      <c r="L2489" s="6">
        <v>5.0</v>
      </c>
      <c r="M2489" s="8">
        <f t="shared" si="2"/>
        <v>0.25</v>
      </c>
      <c r="P2489" s="9"/>
    </row>
    <row r="2490">
      <c r="A2490" s="6" t="s">
        <v>5625</v>
      </c>
      <c r="B2490" s="6" t="s">
        <v>5623</v>
      </c>
      <c r="C2490" s="6" t="s">
        <v>23</v>
      </c>
      <c r="D2490" s="6" t="s">
        <v>5626</v>
      </c>
      <c r="E2490" s="6" t="s">
        <v>79</v>
      </c>
      <c r="F2490" s="6" t="s">
        <v>51</v>
      </c>
      <c r="G2490" s="7">
        <v>0.05</v>
      </c>
      <c r="H2490" s="6" t="s">
        <v>336</v>
      </c>
      <c r="I2490" s="6" t="s">
        <v>20</v>
      </c>
      <c r="J2490" s="6">
        <v>2016.0</v>
      </c>
      <c r="K2490" s="10">
        <v>46056.0</v>
      </c>
      <c r="L2490" s="6">
        <v>2.0</v>
      </c>
      <c r="M2490" s="8">
        <f t="shared" si="2"/>
        <v>0.1</v>
      </c>
      <c r="P2490" s="9"/>
    </row>
    <row r="2491">
      <c r="A2491" s="6" t="s">
        <v>5627</v>
      </c>
      <c r="B2491" s="6" t="s">
        <v>3443</v>
      </c>
      <c r="C2491" s="6" t="s">
        <v>287</v>
      </c>
      <c r="D2491" s="6" t="s">
        <v>5628</v>
      </c>
      <c r="E2491" s="6" t="s">
        <v>153</v>
      </c>
      <c r="F2491" s="6" t="s">
        <v>103</v>
      </c>
      <c r="G2491" s="7">
        <v>0.06</v>
      </c>
      <c r="H2491" s="6" t="s">
        <v>3017</v>
      </c>
      <c r="I2491" s="6" t="s">
        <v>20</v>
      </c>
      <c r="J2491" s="6">
        <v>2008.0</v>
      </c>
      <c r="K2491" s="10">
        <v>46023.0</v>
      </c>
      <c r="L2491" s="6">
        <v>2.0</v>
      </c>
      <c r="M2491" s="8">
        <f t="shared" si="2"/>
        <v>0.12</v>
      </c>
      <c r="P2491" s="9"/>
    </row>
    <row r="2492">
      <c r="A2492" s="6" t="s">
        <v>5629</v>
      </c>
      <c r="B2492" s="6" t="s">
        <v>5630</v>
      </c>
      <c r="C2492" s="6" t="s">
        <v>41</v>
      </c>
      <c r="D2492" s="6" t="s">
        <v>5631</v>
      </c>
      <c r="E2492" s="6" t="s">
        <v>1321</v>
      </c>
      <c r="F2492" s="6" t="s">
        <v>103</v>
      </c>
      <c r="G2492" s="7">
        <v>3.29</v>
      </c>
      <c r="H2492" s="6" t="s">
        <v>184</v>
      </c>
      <c r="I2492" s="6" t="s">
        <v>55</v>
      </c>
      <c r="J2492" s="6">
        <v>2015.0</v>
      </c>
      <c r="K2492" s="10">
        <v>46179.0</v>
      </c>
      <c r="L2492" s="6">
        <v>1.0</v>
      </c>
      <c r="M2492" s="8">
        <f t="shared" si="2"/>
        <v>3.29</v>
      </c>
      <c r="N2492" s="6" t="s">
        <v>172</v>
      </c>
      <c r="P2492" s="9"/>
    </row>
    <row r="2493">
      <c r="A2493" s="6" t="s">
        <v>5629</v>
      </c>
      <c r="B2493" s="6" t="s">
        <v>5630</v>
      </c>
      <c r="C2493" s="6" t="s">
        <v>41</v>
      </c>
      <c r="D2493" s="6" t="s">
        <v>5631</v>
      </c>
      <c r="E2493" s="6" t="s">
        <v>1321</v>
      </c>
      <c r="F2493" s="6" t="s">
        <v>103</v>
      </c>
      <c r="G2493" s="7">
        <v>0.35</v>
      </c>
      <c r="H2493" s="6" t="s">
        <v>184</v>
      </c>
      <c r="I2493" s="6" t="s">
        <v>20</v>
      </c>
      <c r="J2493" s="6">
        <v>2015.0</v>
      </c>
      <c r="K2493" s="10">
        <v>46179.0</v>
      </c>
      <c r="L2493" s="6">
        <v>1.0</v>
      </c>
      <c r="M2493" s="8">
        <f t="shared" si="2"/>
        <v>0.35</v>
      </c>
      <c r="N2493" s="6" t="s">
        <v>172</v>
      </c>
      <c r="P2493" s="9"/>
    </row>
    <row r="2494">
      <c r="A2494" s="6" t="s">
        <v>5632</v>
      </c>
      <c r="B2494" s="6" t="s">
        <v>5633</v>
      </c>
      <c r="C2494" s="6" t="s">
        <v>48</v>
      </c>
      <c r="D2494" s="6" t="s">
        <v>5634</v>
      </c>
      <c r="E2494" s="6" t="s">
        <v>79</v>
      </c>
      <c r="F2494" s="6" t="s">
        <v>51</v>
      </c>
      <c r="G2494" s="7">
        <v>0.08</v>
      </c>
      <c r="H2494" s="6" t="s">
        <v>192</v>
      </c>
      <c r="I2494" s="6" t="s">
        <v>20</v>
      </c>
      <c r="J2494" s="6">
        <v>2026.0</v>
      </c>
      <c r="K2494" s="10">
        <v>46024.0</v>
      </c>
      <c r="L2494" s="6">
        <v>1.0</v>
      </c>
      <c r="M2494" s="8">
        <f t="shared" si="2"/>
        <v>0.08</v>
      </c>
      <c r="P2494" s="9"/>
    </row>
    <row r="2495">
      <c r="A2495" s="6" t="s">
        <v>5635</v>
      </c>
      <c r="B2495" s="6" t="s">
        <v>1234</v>
      </c>
      <c r="C2495" s="6" t="s">
        <v>23</v>
      </c>
      <c r="D2495" s="6" t="s">
        <v>5636</v>
      </c>
      <c r="E2495" s="6" t="s">
        <v>112</v>
      </c>
      <c r="F2495" s="6" t="s">
        <v>37</v>
      </c>
      <c r="G2495" s="7">
        <v>0.06</v>
      </c>
      <c r="H2495" s="6" t="s">
        <v>621</v>
      </c>
      <c r="I2495" s="6" t="s">
        <v>20</v>
      </c>
      <c r="J2495" s="6">
        <v>2015.0</v>
      </c>
      <c r="K2495" s="10">
        <v>46113.0</v>
      </c>
      <c r="L2495" s="6">
        <v>4.0</v>
      </c>
      <c r="M2495" s="8">
        <f t="shared" si="2"/>
        <v>0.24</v>
      </c>
      <c r="P2495" s="9"/>
    </row>
    <row r="2496">
      <c r="A2496" s="6" t="s">
        <v>5637</v>
      </c>
      <c r="B2496" s="6" t="s">
        <v>5638</v>
      </c>
      <c r="C2496" s="6" t="s">
        <v>48</v>
      </c>
      <c r="D2496" s="6" t="s">
        <v>5639</v>
      </c>
      <c r="E2496" s="6" t="s">
        <v>2520</v>
      </c>
      <c r="F2496" s="6" t="s">
        <v>18</v>
      </c>
      <c r="G2496" s="7">
        <v>0.06</v>
      </c>
      <c r="H2496" s="6" t="s">
        <v>276</v>
      </c>
      <c r="I2496" s="6" t="s">
        <v>20</v>
      </c>
      <c r="J2496" s="6">
        <v>2014.0</v>
      </c>
      <c r="K2496" s="10">
        <v>46179.0</v>
      </c>
      <c r="L2496" s="6">
        <v>1.0</v>
      </c>
      <c r="M2496" s="8">
        <f t="shared" si="2"/>
        <v>0.06</v>
      </c>
      <c r="P2496" s="9"/>
    </row>
    <row r="2497">
      <c r="A2497" s="6" t="s">
        <v>5640</v>
      </c>
      <c r="B2497" s="6" t="s">
        <v>5641</v>
      </c>
      <c r="C2497" s="6" t="s">
        <v>41</v>
      </c>
      <c r="D2497" s="6" t="s">
        <v>5642</v>
      </c>
      <c r="E2497" s="6" t="s">
        <v>4698</v>
      </c>
      <c r="F2497" s="6" t="s">
        <v>717</v>
      </c>
      <c r="G2497" s="7">
        <v>1.33</v>
      </c>
      <c r="H2497" s="6" t="s">
        <v>192</v>
      </c>
      <c r="I2497" s="6" t="s">
        <v>20</v>
      </c>
      <c r="J2497" s="6">
        <v>2026.0</v>
      </c>
      <c r="K2497" s="10">
        <v>46209.0</v>
      </c>
      <c r="L2497" s="6">
        <v>1.0</v>
      </c>
      <c r="M2497" s="8">
        <f t="shared" si="2"/>
        <v>1.33</v>
      </c>
      <c r="P2497" s="9"/>
    </row>
    <row r="2498">
      <c r="A2498" s="6" t="s">
        <v>5643</v>
      </c>
      <c r="B2498" s="6" t="s">
        <v>5644</v>
      </c>
      <c r="C2498" s="6" t="s">
        <v>41</v>
      </c>
      <c r="D2498" s="6" t="s">
        <v>5645</v>
      </c>
      <c r="E2498" s="6" t="s">
        <v>1635</v>
      </c>
      <c r="F2498" s="6" t="s">
        <v>18</v>
      </c>
      <c r="G2498" s="7">
        <v>14.3</v>
      </c>
      <c r="H2498" s="6" t="s">
        <v>192</v>
      </c>
      <c r="I2498" s="6" t="s">
        <v>20</v>
      </c>
      <c r="J2498" s="6">
        <v>2026.0</v>
      </c>
      <c r="K2498" s="10">
        <v>46113.0</v>
      </c>
      <c r="L2498" s="6">
        <v>1.0</v>
      </c>
      <c r="M2498" s="8">
        <f t="shared" si="2"/>
        <v>14.3</v>
      </c>
      <c r="P2498" s="9"/>
    </row>
    <row r="2499">
      <c r="A2499" s="6" t="s">
        <v>5646</v>
      </c>
      <c r="B2499" s="6" t="s">
        <v>4366</v>
      </c>
      <c r="C2499" s="6" t="s">
        <v>48</v>
      </c>
      <c r="D2499" s="6" t="s">
        <v>5647</v>
      </c>
      <c r="E2499" s="6" t="s">
        <v>533</v>
      </c>
      <c r="F2499" s="6" t="s">
        <v>65</v>
      </c>
      <c r="G2499" s="7">
        <v>0.13</v>
      </c>
      <c r="H2499" s="6" t="s">
        <v>4377</v>
      </c>
      <c r="I2499" s="6" t="s">
        <v>20</v>
      </c>
      <c r="J2499" s="6">
        <v>2004.0</v>
      </c>
      <c r="K2499" s="10">
        <v>46055.0</v>
      </c>
      <c r="L2499" s="6">
        <v>1.0</v>
      </c>
      <c r="M2499" s="8">
        <f t="shared" si="2"/>
        <v>0.13</v>
      </c>
      <c r="P2499" s="9"/>
    </row>
    <row r="2500">
      <c r="A2500" s="6" t="s">
        <v>5648</v>
      </c>
      <c r="B2500" s="6" t="s">
        <v>2439</v>
      </c>
      <c r="C2500" s="6" t="s">
        <v>23</v>
      </c>
      <c r="D2500" s="6" t="s">
        <v>5649</v>
      </c>
      <c r="E2500" s="6" t="s">
        <v>64</v>
      </c>
      <c r="F2500" s="6" t="s">
        <v>65</v>
      </c>
      <c r="G2500" s="7">
        <v>1.75</v>
      </c>
      <c r="H2500" s="6" t="s">
        <v>305</v>
      </c>
      <c r="I2500" s="6" t="s">
        <v>55</v>
      </c>
      <c r="J2500" s="6">
        <v>2003.0</v>
      </c>
      <c r="K2500" s="10">
        <v>46055.0</v>
      </c>
      <c r="L2500" s="6">
        <v>1.0</v>
      </c>
      <c r="M2500" s="8">
        <f t="shared" si="2"/>
        <v>1.75</v>
      </c>
      <c r="P2500" s="9"/>
    </row>
    <row r="2501">
      <c r="A2501" s="6" t="s">
        <v>5650</v>
      </c>
      <c r="B2501" s="6" t="s">
        <v>5651</v>
      </c>
      <c r="C2501" s="6" t="s">
        <v>23</v>
      </c>
      <c r="D2501" s="6" t="s">
        <v>5652</v>
      </c>
      <c r="E2501" s="6" t="s">
        <v>196</v>
      </c>
      <c r="F2501" s="6" t="s">
        <v>65</v>
      </c>
      <c r="G2501" s="7">
        <v>39.21</v>
      </c>
      <c r="H2501" s="6" t="s">
        <v>305</v>
      </c>
      <c r="I2501" s="6" t="s">
        <v>20</v>
      </c>
      <c r="J2501" s="6">
        <v>2003.0</v>
      </c>
      <c r="K2501" s="10">
        <v>46023.0</v>
      </c>
      <c r="L2501" s="6">
        <v>1.0</v>
      </c>
      <c r="M2501" s="8">
        <f t="shared" si="2"/>
        <v>39.21</v>
      </c>
      <c r="P2501" s="9"/>
    </row>
    <row r="2502">
      <c r="A2502" s="6" t="s">
        <v>5653</v>
      </c>
      <c r="B2502" s="6" t="s">
        <v>5651</v>
      </c>
      <c r="C2502" s="6" t="s">
        <v>23</v>
      </c>
      <c r="D2502" s="6" t="s">
        <v>5654</v>
      </c>
      <c r="E2502" s="6" t="s">
        <v>64</v>
      </c>
      <c r="F2502" s="6" t="s">
        <v>65</v>
      </c>
      <c r="G2502" s="7">
        <v>0.05</v>
      </c>
      <c r="H2502" s="6" t="s">
        <v>2441</v>
      </c>
      <c r="I2502" s="6" t="s">
        <v>20</v>
      </c>
      <c r="J2502" s="6">
        <v>2004.0</v>
      </c>
      <c r="K2502" s="10">
        <v>46055.0</v>
      </c>
      <c r="L2502" s="6">
        <v>1.0</v>
      </c>
      <c r="M2502" s="8">
        <f t="shared" si="2"/>
        <v>0.05</v>
      </c>
      <c r="P2502" s="9"/>
    </row>
    <row r="2503">
      <c r="A2503" s="6" t="s">
        <v>5655</v>
      </c>
      <c r="B2503" s="6" t="s">
        <v>5656</v>
      </c>
      <c r="C2503" s="6" t="s">
        <v>23</v>
      </c>
      <c r="D2503" s="6" t="s">
        <v>5657</v>
      </c>
      <c r="E2503" s="6" t="s">
        <v>270</v>
      </c>
      <c r="F2503" s="6" t="s">
        <v>159</v>
      </c>
      <c r="G2503" s="7">
        <v>0.05</v>
      </c>
      <c r="H2503" s="6" t="s">
        <v>406</v>
      </c>
      <c r="I2503" s="6" t="s">
        <v>20</v>
      </c>
      <c r="J2503" s="6">
        <v>2019.0</v>
      </c>
      <c r="K2503" s="10">
        <v>46055.0</v>
      </c>
      <c r="L2503" s="6">
        <v>1.0</v>
      </c>
      <c r="M2503" s="8">
        <f t="shared" si="2"/>
        <v>0.05</v>
      </c>
      <c r="P2503" s="9"/>
    </row>
    <row r="2504">
      <c r="A2504" s="6" t="s">
        <v>5658</v>
      </c>
      <c r="B2504" s="6" t="s">
        <v>5659</v>
      </c>
      <c r="C2504" s="6" t="s">
        <v>48</v>
      </c>
      <c r="D2504" s="6" t="s">
        <v>5660</v>
      </c>
      <c r="E2504" s="6" t="s">
        <v>611</v>
      </c>
      <c r="F2504" s="6" t="s">
        <v>103</v>
      </c>
      <c r="G2504" s="7">
        <v>0.05</v>
      </c>
      <c r="H2504" s="6" t="s">
        <v>1084</v>
      </c>
      <c r="I2504" s="6" t="s">
        <v>20</v>
      </c>
      <c r="J2504" s="6">
        <v>2018.0</v>
      </c>
      <c r="K2504" s="10">
        <v>46026.0</v>
      </c>
      <c r="L2504" s="6">
        <v>1.0</v>
      </c>
      <c r="M2504" s="8">
        <f t="shared" si="2"/>
        <v>0.05</v>
      </c>
      <c r="P2504" s="9"/>
    </row>
    <row r="2505">
      <c r="A2505" s="6" t="s">
        <v>5661</v>
      </c>
      <c r="B2505" s="6" t="s">
        <v>5662</v>
      </c>
      <c r="C2505" s="6" t="s">
        <v>41</v>
      </c>
      <c r="D2505" s="6" t="s">
        <v>5663</v>
      </c>
      <c r="E2505" s="6" t="s">
        <v>64</v>
      </c>
      <c r="F2505" s="6" t="s">
        <v>65</v>
      </c>
      <c r="G2505" s="7">
        <v>0.59</v>
      </c>
      <c r="H2505" s="6" t="s">
        <v>346</v>
      </c>
      <c r="I2505" s="6" t="s">
        <v>20</v>
      </c>
      <c r="J2505" s="6">
        <v>2024.0</v>
      </c>
      <c r="K2505" s="10">
        <v>46084.0</v>
      </c>
      <c r="L2505" s="6">
        <v>1.0</v>
      </c>
      <c r="M2505" s="8">
        <f t="shared" si="2"/>
        <v>0.59</v>
      </c>
      <c r="P2505" s="9"/>
    </row>
    <row r="2506">
      <c r="A2506" s="6" t="s">
        <v>5664</v>
      </c>
      <c r="B2506" s="6" t="s">
        <v>5665</v>
      </c>
      <c r="C2506" s="6" t="s">
        <v>212</v>
      </c>
      <c r="D2506" s="6" t="s">
        <v>5666</v>
      </c>
      <c r="E2506" s="6" t="s">
        <v>1185</v>
      </c>
      <c r="F2506" s="6" t="s">
        <v>65</v>
      </c>
      <c r="G2506" s="7">
        <v>9.5</v>
      </c>
      <c r="H2506" s="6" t="s">
        <v>180</v>
      </c>
      <c r="I2506" s="6" t="s">
        <v>20</v>
      </c>
      <c r="J2506" s="6">
        <v>2014.0</v>
      </c>
      <c r="K2506" s="10">
        <v>46084.0</v>
      </c>
      <c r="L2506" s="6">
        <v>1.0</v>
      </c>
      <c r="M2506" s="8">
        <f t="shared" si="2"/>
        <v>9.5</v>
      </c>
      <c r="P2506" s="9"/>
    </row>
    <row r="2507">
      <c r="A2507" s="6" t="s">
        <v>5667</v>
      </c>
      <c r="B2507" s="6" t="s">
        <v>182</v>
      </c>
      <c r="C2507" s="6" t="s">
        <v>23</v>
      </c>
      <c r="D2507" s="6" t="s">
        <v>5668</v>
      </c>
      <c r="E2507" s="6" t="s">
        <v>112</v>
      </c>
      <c r="F2507" s="6" t="s">
        <v>65</v>
      </c>
      <c r="G2507" s="7">
        <v>0.23</v>
      </c>
      <c r="H2507" s="6" t="s">
        <v>786</v>
      </c>
      <c r="I2507" s="6" t="s">
        <v>20</v>
      </c>
      <c r="J2507" s="6">
        <v>2024.0</v>
      </c>
      <c r="L2507" s="6">
        <v>1.0</v>
      </c>
      <c r="M2507" s="8">
        <f t="shared" si="2"/>
        <v>0.23</v>
      </c>
      <c r="P2507" s="9"/>
    </row>
    <row r="2508">
      <c r="A2508" s="6" t="s">
        <v>5669</v>
      </c>
      <c r="B2508" s="6" t="s">
        <v>5670</v>
      </c>
      <c r="C2508" s="6" t="s">
        <v>23</v>
      </c>
      <c r="D2508" s="6" t="s">
        <v>5671</v>
      </c>
      <c r="E2508" s="6" t="s">
        <v>270</v>
      </c>
      <c r="F2508" s="6" t="s">
        <v>159</v>
      </c>
      <c r="G2508" s="7">
        <v>0.03</v>
      </c>
      <c r="H2508" s="6" t="s">
        <v>200</v>
      </c>
      <c r="I2508" s="6" t="s">
        <v>20</v>
      </c>
      <c r="J2508" s="6">
        <v>2018.0</v>
      </c>
      <c r="K2508" s="10">
        <v>46083.0</v>
      </c>
      <c r="L2508" s="6">
        <v>1.0</v>
      </c>
      <c r="M2508" s="8">
        <f t="shared" si="2"/>
        <v>0.03</v>
      </c>
      <c r="P2508" s="9"/>
    </row>
    <row r="2509">
      <c r="A2509" s="6" t="s">
        <v>5672</v>
      </c>
      <c r="B2509" s="6" t="s">
        <v>5673</v>
      </c>
      <c r="C2509" s="6" t="s">
        <v>23</v>
      </c>
      <c r="D2509" s="6" t="s">
        <v>5674</v>
      </c>
      <c r="E2509" s="6" t="s">
        <v>724</v>
      </c>
      <c r="F2509" s="6" t="s">
        <v>159</v>
      </c>
      <c r="G2509" s="7">
        <v>0.15</v>
      </c>
      <c r="H2509" s="6" t="s">
        <v>163</v>
      </c>
      <c r="I2509" s="6" t="s">
        <v>20</v>
      </c>
      <c r="J2509" s="6">
        <v>2023.0</v>
      </c>
      <c r="K2509" s="10">
        <v>46148.0</v>
      </c>
      <c r="L2509" s="6">
        <v>1.0</v>
      </c>
      <c r="M2509" s="8">
        <f t="shared" si="2"/>
        <v>0.15</v>
      </c>
      <c r="P2509" s="9"/>
    </row>
    <row r="2510">
      <c r="A2510" s="6" t="s">
        <v>5675</v>
      </c>
      <c r="B2510" s="6" t="s">
        <v>5676</v>
      </c>
      <c r="C2510" s="6" t="s">
        <v>48</v>
      </c>
      <c r="D2510" s="6" t="s">
        <v>5677</v>
      </c>
      <c r="E2510" s="6" t="s">
        <v>1092</v>
      </c>
      <c r="F2510" s="6" t="s">
        <v>103</v>
      </c>
      <c r="G2510" s="7">
        <v>0.03</v>
      </c>
      <c r="H2510" s="6" t="s">
        <v>245</v>
      </c>
      <c r="I2510" s="6" t="s">
        <v>20</v>
      </c>
      <c r="J2510" s="6">
        <v>1995.0</v>
      </c>
      <c r="K2510" s="10">
        <v>46023.0</v>
      </c>
      <c r="L2510" s="6">
        <v>2.0</v>
      </c>
      <c r="M2510" s="8">
        <f t="shared" si="2"/>
        <v>0.06</v>
      </c>
      <c r="P2510" s="9"/>
    </row>
    <row r="2511">
      <c r="A2511" s="6" t="s">
        <v>5678</v>
      </c>
      <c r="B2511" s="6" t="s">
        <v>366</v>
      </c>
      <c r="C2511" s="6" t="s">
        <v>23</v>
      </c>
      <c r="D2511" s="6" t="s">
        <v>5679</v>
      </c>
      <c r="E2511" s="6" t="s">
        <v>235</v>
      </c>
      <c r="F2511" s="6" t="s">
        <v>103</v>
      </c>
      <c r="G2511" s="7">
        <v>0.08</v>
      </c>
      <c r="H2511" s="6" t="s">
        <v>245</v>
      </c>
      <c r="I2511" s="6" t="s">
        <v>20</v>
      </c>
      <c r="J2511" s="6">
        <v>1995.0</v>
      </c>
      <c r="L2511" s="6">
        <v>1.0</v>
      </c>
      <c r="M2511" s="8">
        <f t="shared" si="2"/>
        <v>0.08</v>
      </c>
      <c r="P2511" s="9"/>
    </row>
    <row r="2512">
      <c r="A2512" s="6" t="s">
        <v>5680</v>
      </c>
      <c r="B2512" s="6" t="s">
        <v>366</v>
      </c>
      <c r="C2512" s="6" t="s">
        <v>48</v>
      </c>
      <c r="D2512" s="6" t="s">
        <v>5681</v>
      </c>
      <c r="E2512" s="6" t="s">
        <v>235</v>
      </c>
      <c r="F2512" s="6" t="s">
        <v>103</v>
      </c>
      <c r="G2512" s="7">
        <v>0.12</v>
      </c>
      <c r="H2512" s="6" t="s">
        <v>289</v>
      </c>
      <c r="I2512" s="6" t="s">
        <v>20</v>
      </c>
      <c r="J2512" s="6">
        <v>1996.0</v>
      </c>
      <c r="L2512" s="6">
        <v>1.0</v>
      </c>
      <c r="M2512" s="8">
        <f t="shared" si="2"/>
        <v>0.12</v>
      </c>
      <c r="P2512" s="9"/>
    </row>
    <row r="2513">
      <c r="A2513" s="6" t="s">
        <v>5682</v>
      </c>
      <c r="B2513" s="6" t="s">
        <v>854</v>
      </c>
      <c r="C2513" s="6" t="s">
        <v>855</v>
      </c>
      <c r="D2513" s="6" t="s">
        <v>5683</v>
      </c>
      <c r="E2513" s="6" t="s">
        <v>5684</v>
      </c>
      <c r="F2513" s="6" t="s">
        <v>858</v>
      </c>
      <c r="G2513" s="7">
        <v>5.95</v>
      </c>
      <c r="H2513" s="6" t="s">
        <v>483</v>
      </c>
      <c r="I2513" s="6" t="s">
        <v>20</v>
      </c>
      <c r="J2513" s="6">
        <v>2014.0</v>
      </c>
      <c r="K2513" s="10">
        <v>46207.0</v>
      </c>
      <c r="L2513" s="6">
        <v>1.0</v>
      </c>
      <c r="M2513" s="8">
        <f t="shared" si="2"/>
        <v>5.95</v>
      </c>
      <c r="P2513" s="9"/>
    </row>
    <row r="2514">
      <c r="A2514" s="6" t="s">
        <v>5685</v>
      </c>
      <c r="B2514" s="6" t="s">
        <v>182</v>
      </c>
      <c r="C2514" s="6" t="s">
        <v>23</v>
      </c>
      <c r="D2514" s="6" t="s">
        <v>5686</v>
      </c>
      <c r="E2514" s="6" t="s">
        <v>270</v>
      </c>
      <c r="F2514" s="6" t="s">
        <v>159</v>
      </c>
      <c r="G2514" s="7">
        <v>0.09</v>
      </c>
      <c r="H2514" s="6" t="s">
        <v>359</v>
      </c>
      <c r="I2514" s="6" t="s">
        <v>20</v>
      </c>
      <c r="J2514" s="6">
        <v>2014.0</v>
      </c>
      <c r="L2514" s="6">
        <v>4.0</v>
      </c>
      <c r="M2514" s="8">
        <f t="shared" si="2"/>
        <v>0.36</v>
      </c>
      <c r="P2514" s="9"/>
    </row>
    <row r="2515">
      <c r="A2515" s="6" t="s">
        <v>5685</v>
      </c>
      <c r="B2515" s="6" t="s">
        <v>182</v>
      </c>
      <c r="C2515" s="6" t="s">
        <v>23</v>
      </c>
      <c r="D2515" s="6" t="s">
        <v>5686</v>
      </c>
      <c r="E2515" s="6" t="s">
        <v>270</v>
      </c>
      <c r="F2515" s="6" t="s">
        <v>159</v>
      </c>
      <c r="G2515" s="7">
        <v>0.09</v>
      </c>
      <c r="H2515" s="6" t="s">
        <v>359</v>
      </c>
      <c r="I2515" s="6" t="s">
        <v>20</v>
      </c>
      <c r="J2515" s="6">
        <v>2014.0</v>
      </c>
      <c r="L2515" s="6">
        <v>1.0</v>
      </c>
      <c r="M2515" s="8">
        <f t="shared" si="2"/>
        <v>0.09</v>
      </c>
      <c r="P2515" s="9"/>
    </row>
    <row r="2516">
      <c r="A2516" s="6" t="s">
        <v>5687</v>
      </c>
      <c r="B2516" s="6" t="s">
        <v>3828</v>
      </c>
      <c r="C2516" s="6" t="s">
        <v>521</v>
      </c>
      <c r="D2516" s="6" t="s">
        <v>5688</v>
      </c>
      <c r="E2516" s="6" t="s">
        <v>1950</v>
      </c>
      <c r="F2516" s="6" t="s">
        <v>3701</v>
      </c>
      <c r="G2516" s="7">
        <v>0.09</v>
      </c>
      <c r="H2516" s="6" t="s">
        <v>641</v>
      </c>
      <c r="I2516" s="6" t="s">
        <v>20</v>
      </c>
      <c r="J2516" s="6">
        <v>2026.0</v>
      </c>
      <c r="K2516" s="10">
        <v>46148.0</v>
      </c>
      <c r="L2516" s="6">
        <v>1.0</v>
      </c>
      <c r="M2516" s="8">
        <f t="shared" si="2"/>
        <v>0.09</v>
      </c>
      <c r="P2516" s="9"/>
    </row>
    <row r="2517">
      <c r="A2517" s="6" t="s">
        <v>5689</v>
      </c>
      <c r="B2517" s="6" t="s">
        <v>800</v>
      </c>
      <c r="C2517" s="6" t="s">
        <v>48</v>
      </c>
      <c r="D2517" s="6" t="s">
        <v>5690</v>
      </c>
      <c r="E2517" s="6" t="s">
        <v>50</v>
      </c>
      <c r="F2517" s="6" t="s">
        <v>51</v>
      </c>
      <c r="G2517" s="7">
        <v>0.05</v>
      </c>
      <c r="H2517" s="6" t="s">
        <v>200</v>
      </c>
      <c r="I2517" s="6" t="s">
        <v>20</v>
      </c>
      <c r="J2517" s="6">
        <v>2018.0</v>
      </c>
      <c r="K2517" s="10">
        <v>46055.0</v>
      </c>
      <c r="L2517" s="6">
        <v>2.0</v>
      </c>
      <c r="M2517" s="8">
        <f t="shared" si="2"/>
        <v>0.1</v>
      </c>
      <c r="P2517" s="9"/>
    </row>
    <row r="2518">
      <c r="A2518" s="6" t="s">
        <v>5691</v>
      </c>
      <c r="B2518" s="6" t="s">
        <v>1052</v>
      </c>
      <c r="C2518" s="6" t="s">
        <v>23</v>
      </c>
      <c r="D2518" s="6" t="s">
        <v>5692</v>
      </c>
      <c r="E2518" s="6" t="s">
        <v>36</v>
      </c>
      <c r="F2518" s="6" t="s">
        <v>37</v>
      </c>
      <c r="G2518" s="7">
        <v>0.04</v>
      </c>
      <c r="H2518" s="6" t="s">
        <v>45</v>
      </c>
      <c r="I2518" s="6" t="s">
        <v>20</v>
      </c>
      <c r="J2518" s="6">
        <v>2025.0</v>
      </c>
      <c r="L2518" s="6">
        <v>2.0</v>
      </c>
      <c r="M2518" s="8">
        <f t="shared" si="2"/>
        <v>0.08</v>
      </c>
      <c r="P2518" s="9"/>
    </row>
    <row r="2519">
      <c r="A2519" s="6" t="s">
        <v>5693</v>
      </c>
      <c r="B2519" s="6" t="s">
        <v>5694</v>
      </c>
      <c r="C2519" s="6" t="s">
        <v>48</v>
      </c>
      <c r="D2519" s="6" t="s">
        <v>5695</v>
      </c>
      <c r="E2519" s="6" t="s">
        <v>298</v>
      </c>
      <c r="F2519" s="6" t="s">
        <v>159</v>
      </c>
      <c r="G2519" s="7">
        <v>0.1</v>
      </c>
      <c r="H2519" s="6" t="s">
        <v>45</v>
      </c>
      <c r="I2519" s="6" t="s">
        <v>20</v>
      </c>
      <c r="J2519" s="6">
        <v>2025.0</v>
      </c>
      <c r="L2519" s="6">
        <v>1.0</v>
      </c>
      <c r="M2519" s="8">
        <f t="shared" si="2"/>
        <v>0.1</v>
      </c>
      <c r="P2519" s="9"/>
    </row>
    <row r="2520">
      <c r="A2520" s="6" t="s">
        <v>5696</v>
      </c>
      <c r="B2520" s="6" t="s">
        <v>68</v>
      </c>
      <c r="C2520" s="6" t="s">
        <v>23</v>
      </c>
      <c r="D2520" s="6" t="s">
        <v>5697</v>
      </c>
      <c r="F2520" s="6" t="s">
        <v>874</v>
      </c>
      <c r="G2520" s="7">
        <v>0.1</v>
      </c>
      <c r="H2520" s="6" t="s">
        <v>45</v>
      </c>
      <c r="I2520" s="6" t="s">
        <v>20</v>
      </c>
      <c r="J2520" s="6">
        <v>2025.0</v>
      </c>
      <c r="L2520" s="6">
        <v>1.0</v>
      </c>
      <c r="M2520" s="8">
        <f t="shared" si="2"/>
        <v>0.1</v>
      </c>
      <c r="P2520" s="9"/>
    </row>
    <row r="2521">
      <c r="A2521" s="6" t="s">
        <v>5698</v>
      </c>
      <c r="B2521" s="6" t="s">
        <v>3890</v>
      </c>
      <c r="C2521" s="6" t="s">
        <v>23</v>
      </c>
      <c r="D2521" s="6" t="s">
        <v>5699</v>
      </c>
      <c r="E2521" s="6" t="s">
        <v>50</v>
      </c>
      <c r="F2521" s="6" t="s">
        <v>51</v>
      </c>
      <c r="G2521" s="7">
        <v>0.08</v>
      </c>
      <c r="H2521" s="6" t="s">
        <v>45</v>
      </c>
      <c r="I2521" s="6" t="s">
        <v>20</v>
      </c>
      <c r="J2521" s="6">
        <v>2025.0</v>
      </c>
      <c r="K2521" s="10">
        <v>46084.0</v>
      </c>
      <c r="L2521" s="6">
        <v>1.0</v>
      </c>
      <c r="M2521" s="8">
        <f t="shared" si="2"/>
        <v>0.08</v>
      </c>
      <c r="P2521" s="9"/>
    </row>
    <row r="2522">
      <c r="A2522" s="6" t="s">
        <v>5698</v>
      </c>
      <c r="B2522" s="6" t="s">
        <v>3890</v>
      </c>
      <c r="C2522" s="6" t="s">
        <v>23</v>
      </c>
      <c r="D2522" s="6" t="s">
        <v>5699</v>
      </c>
      <c r="E2522" s="6" t="s">
        <v>50</v>
      </c>
      <c r="F2522" s="6" t="s">
        <v>51</v>
      </c>
      <c r="G2522" s="7">
        <v>0.08</v>
      </c>
      <c r="H2522" s="6" t="s">
        <v>45</v>
      </c>
      <c r="I2522" s="6" t="s">
        <v>20</v>
      </c>
      <c r="J2522" s="6">
        <v>2025.0</v>
      </c>
      <c r="K2522" s="10">
        <v>46084.0</v>
      </c>
      <c r="L2522" s="6">
        <v>9.0</v>
      </c>
      <c r="M2522" s="8">
        <f t="shared" si="2"/>
        <v>0.72</v>
      </c>
      <c r="P2522" s="9"/>
    </row>
    <row r="2523">
      <c r="A2523" s="6" t="s">
        <v>5700</v>
      </c>
      <c r="B2523" s="6" t="s">
        <v>131</v>
      </c>
      <c r="C2523" s="6" t="s">
        <v>41</v>
      </c>
      <c r="D2523" s="6" t="s">
        <v>5701</v>
      </c>
      <c r="E2523" s="6" t="s">
        <v>395</v>
      </c>
      <c r="F2523" s="6" t="s">
        <v>51</v>
      </c>
      <c r="G2523" s="7">
        <v>0.12</v>
      </c>
      <c r="H2523" s="6" t="s">
        <v>184</v>
      </c>
      <c r="I2523" s="6" t="s">
        <v>20</v>
      </c>
      <c r="J2523" s="6">
        <v>2015.0</v>
      </c>
      <c r="K2523" s="10">
        <v>46085.0</v>
      </c>
      <c r="L2523" s="6">
        <v>1.0</v>
      </c>
      <c r="M2523" s="8">
        <f t="shared" si="2"/>
        <v>0.12</v>
      </c>
      <c r="P2523" s="9"/>
    </row>
    <row r="2524">
      <c r="A2524" s="6" t="s">
        <v>5702</v>
      </c>
      <c r="B2524" s="6" t="s">
        <v>182</v>
      </c>
      <c r="C2524" s="6" t="s">
        <v>23</v>
      </c>
      <c r="D2524" s="6" t="s">
        <v>5703</v>
      </c>
      <c r="E2524" s="6" t="s">
        <v>738</v>
      </c>
      <c r="F2524" s="6" t="s">
        <v>51</v>
      </c>
      <c r="G2524" s="7">
        <v>0.06</v>
      </c>
      <c r="H2524" s="6" t="s">
        <v>184</v>
      </c>
      <c r="I2524" s="6" t="s">
        <v>20</v>
      </c>
      <c r="J2524" s="6">
        <v>2015.0</v>
      </c>
      <c r="L2524" s="6">
        <v>6.0</v>
      </c>
      <c r="M2524" s="8">
        <f t="shared" si="2"/>
        <v>0.36</v>
      </c>
      <c r="P2524" s="9"/>
    </row>
    <row r="2525">
      <c r="A2525" s="6" t="s">
        <v>5704</v>
      </c>
      <c r="B2525" s="6" t="s">
        <v>5705</v>
      </c>
      <c r="C2525" s="6" t="s">
        <v>212</v>
      </c>
      <c r="D2525" s="6" t="s">
        <v>5706</v>
      </c>
      <c r="E2525" s="6" t="s">
        <v>2535</v>
      </c>
      <c r="F2525" s="6" t="s">
        <v>18</v>
      </c>
      <c r="G2525" s="7">
        <v>0.03</v>
      </c>
      <c r="H2525" s="6" t="s">
        <v>483</v>
      </c>
      <c r="I2525" s="6" t="s">
        <v>20</v>
      </c>
      <c r="J2525" s="6">
        <v>2014.0</v>
      </c>
      <c r="K2525" s="10">
        <v>46083.0</v>
      </c>
      <c r="L2525" s="6">
        <v>1.0</v>
      </c>
      <c r="M2525" s="8">
        <f t="shared" si="2"/>
        <v>0.03</v>
      </c>
      <c r="P2525" s="9"/>
    </row>
    <row r="2526">
      <c r="A2526" s="6" t="s">
        <v>5707</v>
      </c>
      <c r="B2526" s="6" t="s">
        <v>5708</v>
      </c>
      <c r="C2526" s="6" t="s">
        <v>34</v>
      </c>
      <c r="D2526" s="6" t="s">
        <v>5709</v>
      </c>
      <c r="E2526" s="6" t="s">
        <v>681</v>
      </c>
      <c r="F2526" s="6" t="s">
        <v>1732</v>
      </c>
      <c r="G2526" s="7">
        <v>0.04</v>
      </c>
      <c r="H2526" s="6" t="s">
        <v>483</v>
      </c>
      <c r="I2526" s="6" t="s">
        <v>20</v>
      </c>
      <c r="J2526" s="6">
        <v>2014.0</v>
      </c>
      <c r="K2526" s="10">
        <v>46024.0</v>
      </c>
      <c r="L2526" s="6">
        <v>2.0</v>
      </c>
      <c r="M2526" s="8">
        <f t="shared" si="2"/>
        <v>0.08</v>
      </c>
      <c r="P2526" s="9"/>
    </row>
    <row r="2527">
      <c r="A2527" s="6" t="s">
        <v>5710</v>
      </c>
      <c r="B2527" s="6" t="s">
        <v>5711</v>
      </c>
      <c r="C2527" s="6" t="s">
        <v>48</v>
      </c>
      <c r="D2527" s="6" t="s">
        <v>5712</v>
      </c>
      <c r="E2527" s="6" t="s">
        <v>5713</v>
      </c>
      <c r="F2527" s="6" t="s">
        <v>426</v>
      </c>
      <c r="G2527" s="7">
        <v>0.16</v>
      </c>
      <c r="H2527" s="6" t="s">
        <v>136</v>
      </c>
      <c r="I2527" s="6" t="s">
        <v>20</v>
      </c>
      <c r="J2527" s="6">
        <v>2022.0</v>
      </c>
      <c r="K2527" s="10">
        <v>46082.0</v>
      </c>
      <c r="L2527" s="6">
        <v>1.0</v>
      </c>
      <c r="M2527" s="8">
        <f t="shared" si="2"/>
        <v>0.16</v>
      </c>
      <c r="P2527" s="9"/>
    </row>
    <row r="2528">
      <c r="A2528" s="6" t="s">
        <v>5714</v>
      </c>
      <c r="B2528" s="6" t="s">
        <v>5715</v>
      </c>
      <c r="C2528" s="6" t="s">
        <v>23</v>
      </c>
      <c r="D2528" s="6" t="s">
        <v>5716</v>
      </c>
      <c r="E2528" s="6" t="s">
        <v>175</v>
      </c>
      <c r="F2528" s="6" t="s">
        <v>51</v>
      </c>
      <c r="G2528" s="7">
        <v>0.64</v>
      </c>
      <c r="H2528" s="6" t="s">
        <v>359</v>
      </c>
      <c r="I2528" s="6" t="s">
        <v>20</v>
      </c>
      <c r="J2528" s="6">
        <v>2014.0</v>
      </c>
      <c r="K2528" s="6" t="s">
        <v>597</v>
      </c>
      <c r="L2528" s="6">
        <v>5.0</v>
      </c>
      <c r="M2528" s="8">
        <f t="shared" si="2"/>
        <v>3.2</v>
      </c>
      <c r="P2528" s="9"/>
    </row>
    <row r="2529">
      <c r="A2529" s="6" t="s">
        <v>5717</v>
      </c>
      <c r="B2529" s="6" t="s">
        <v>1885</v>
      </c>
      <c r="C2529" s="6" t="s">
        <v>23</v>
      </c>
      <c r="D2529" s="6" t="s">
        <v>5718</v>
      </c>
      <c r="E2529" s="6" t="s">
        <v>102</v>
      </c>
      <c r="F2529" s="6" t="s">
        <v>103</v>
      </c>
      <c r="G2529" s="7">
        <v>0.06</v>
      </c>
      <c r="H2529" s="6" t="s">
        <v>526</v>
      </c>
      <c r="I2529" s="6" t="s">
        <v>20</v>
      </c>
      <c r="J2529" s="6">
        <v>2020.0</v>
      </c>
      <c r="K2529" s="10">
        <v>46082.0</v>
      </c>
      <c r="L2529" s="6">
        <v>2.0</v>
      </c>
      <c r="M2529" s="8">
        <f t="shared" si="2"/>
        <v>0.12</v>
      </c>
      <c r="P2529" s="9"/>
    </row>
    <row r="2530">
      <c r="A2530" s="6" t="s">
        <v>5719</v>
      </c>
      <c r="B2530" s="6" t="s">
        <v>366</v>
      </c>
      <c r="C2530" s="6" t="s">
        <v>48</v>
      </c>
      <c r="D2530" s="6" t="s">
        <v>5720</v>
      </c>
      <c r="E2530" s="6" t="s">
        <v>175</v>
      </c>
      <c r="F2530" s="6" t="s">
        <v>51</v>
      </c>
      <c r="G2530" s="7">
        <v>0.3</v>
      </c>
      <c r="H2530" s="6" t="s">
        <v>607</v>
      </c>
      <c r="I2530" s="6" t="s">
        <v>20</v>
      </c>
      <c r="J2530" s="6">
        <v>1994.0</v>
      </c>
      <c r="L2530" s="6">
        <v>1.0</v>
      </c>
      <c r="M2530" s="8">
        <f t="shared" si="2"/>
        <v>0.3</v>
      </c>
      <c r="P2530" s="9"/>
    </row>
    <row r="2531">
      <c r="A2531" s="6" t="s">
        <v>5721</v>
      </c>
      <c r="B2531" s="6" t="s">
        <v>5722</v>
      </c>
      <c r="C2531" s="6" t="s">
        <v>48</v>
      </c>
      <c r="D2531" s="6" t="s">
        <v>5723</v>
      </c>
      <c r="E2531" s="6" t="s">
        <v>573</v>
      </c>
      <c r="F2531" s="6" t="s">
        <v>51</v>
      </c>
      <c r="G2531" s="7">
        <v>0.14</v>
      </c>
      <c r="H2531" s="6" t="s">
        <v>19</v>
      </c>
      <c r="I2531" s="6" t="s">
        <v>20</v>
      </c>
      <c r="J2531" s="6">
        <v>2023.0</v>
      </c>
      <c r="K2531" s="10">
        <v>46115.0</v>
      </c>
      <c r="L2531" s="6">
        <v>1.0</v>
      </c>
      <c r="M2531" s="8">
        <f t="shared" si="2"/>
        <v>0.14</v>
      </c>
      <c r="P2531" s="9"/>
    </row>
    <row r="2532">
      <c r="A2532" s="6" t="s">
        <v>5724</v>
      </c>
      <c r="B2532" s="6" t="s">
        <v>2744</v>
      </c>
      <c r="C2532" s="6" t="s">
        <v>23</v>
      </c>
      <c r="D2532" s="6" t="s">
        <v>5725</v>
      </c>
      <c r="E2532" s="6" t="s">
        <v>149</v>
      </c>
      <c r="F2532" s="6" t="s">
        <v>18</v>
      </c>
      <c r="G2532" s="7">
        <v>0.04</v>
      </c>
      <c r="H2532" s="6" t="s">
        <v>204</v>
      </c>
      <c r="I2532" s="6" t="s">
        <v>20</v>
      </c>
      <c r="J2532" s="6">
        <v>2026.0</v>
      </c>
      <c r="K2532" s="10">
        <v>46024.0</v>
      </c>
      <c r="L2532" s="6">
        <v>3.0</v>
      </c>
      <c r="M2532" s="8">
        <f t="shared" si="2"/>
        <v>0.12</v>
      </c>
      <c r="P2532" s="9"/>
    </row>
    <row r="2533">
      <c r="A2533" s="6" t="s">
        <v>5726</v>
      </c>
      <c r="B2533" s="6" t="s">
        <v>3378</v>
      </c>
      <c r="C2533" s="6" t="s">
        <v>15</v>
      </c>
      <c r="D2533" s="6" t="s">
        <v>5727</v>
      </c>
      <c r="E2533" s="6" t="s">
        <v>618</v>
      </c>
      <c r="F2533" s="6" t="s">
        <v>159</v>
      </c>
      <c r="G2533" s="7">
        <v>0.15</v>
      </c>
      <c r="H2533" s="6" t="s">
        <v>1043</v>
      </c>
      <c r="I2533" s="6" t="s">
        <v>20</v>
      </c>
      <c r="J2533" s="6">
        <v>2025.0</v>
      </c>
      <c r="K2533" s="10">
        <v>46084.0</v>
      </c>
      <c r="L2533" s="6">
        <v>1.0</v>
      </c>
      <c r="M2533" s="8">
        <f t="shared" si="2"/>
        <v>0.15</v>
      </c>
      <c r="P2533" s="9"/>
    </row>
    <row r="2534">
      <c r="A2534" s="6" t="s">
        <v>5728</v>
      </c>
      <c r="B2534" s="6" t="s">
        <v>62</v>
      </c>
      <c r="C2534" s="6" t="s">
        <v>23</v>
      </c>
      <c r="D2534" s="6" t="s">
        <v>3858</v>
      </c>
      <c r="E2534" s="6" t="s">
        <v>611</v>
      </c>
      <c r="F2534" s="6" t="s">
        <v>103</v>
      </c>
      <c r="G2534" s="7">
        <v>0.05</v>
      </c>
      <c r="H2534" s="6" t="s">
        <v>626</v>
      </c>
      <c r="I2534" s="6" t="s">
        <v>20</v>
      </c>
      <c r="J2534" s="6">
        <v>2013.0</v>
      </c>
      <c r="L2534" s="6">
        <v>6.0</v>
      </c>
      <c r="M2534" s="8">
        <f t="shared" si="2"/>
        <v>0.3</v>
      </c>
      <c r="P2534" s="9"/>
    </row>
    <row r="2535">
      <c r="A2535" s="6" t="s">
        <v>5729</v>
      </c>
      <c r="B2535" s="6" t="s">
        <v>372</v>
      </c>
      <c r="C2535" s="6" t="s">
        <v>23</v>
      </c>
      <c r="D2535" s="6" t="s">
        <v>5730</v>
      </c>
      <c r="E2535" s="6" t="s">
        <v>118</v>
      </c>
      <c r="F2535" s="6" t="s">
        <v>51</v>
      </c>
      <c r="G2535" s="7">
        <v>0.1</v>
      </c>
      <c r="H2535" s="6" t="s">
        <v>2756</v>
      </c>
      <c r="I2535" s="6" t="s">
        <v>20</v>
      </c>
      <c r="J2535" s="6">
        <v>2000.0</v>
      </c>
      <c r="L2535" s="6">
        <v>1.0</v>
      </c>
      <c r="M2535" s="8">
        <f t="shared" si="2"/>
        <v>0.1</v>
      </c>
      <c r="P2535" s="9"/>
    </row>
    <row r="2536">
      <c r="A2536" s="6" t="s">
        <v>5731</v>
      </c>
      <c r="B2536" s="6" t="s">
        <v>5732</v>
      </c>
      <c r="C2536" s="6" t="s">
        <v>48</v>
      </c>
      <c r="D2536" s="6" t="s">
        <v>5733</v>
      </c>
      <c r="E2536" s="6" t="s">
        <v>458</v>
      </c>
      <c r="F2536" s="6" t="s">
        <v>284</v>
      </c>
      <c r="G2536" s="7">
        <v>0.06</v>
      </c>
      <c r="H2536" s="6" t="s">
        <v>66</v>
      </c>
      <c r="I2536" s="6" t="s">
        <v>20</v>
      </c>
      <c r="J2536" s="6">
        <v>2016.0</v>
      </c>
      <c r="K2536" s="10">
        <v>46117.0</v>
      </c>
      <c r="L2536" s="6">
        <v>2.0</v>
      </c>
      <c r="M2536" s="8">
        <f t="shared" si="2"/>
        <v>0.12</v>
      </c>
      <c r="P2536" s="9"/>
    </row>
    <row r="2537">
      <c r="A2537" s="6" t="s">
        <v>5734</v>
      </c>
      <c r="B2537" s="6" t="s">
        <v>62</v>
      </c>
      <c r="C2537" s="6" t="s">
        <v>23</v>
      </c>
      <c r="D2537" s="6" t="s">
        <v>5735</v>
      </c>
      <c r="E2537" s="6" t="s">
        <v>118</v>
      </c>
      <c r="F2537" s="6" t="s">
        <v>51</v>
      </c>
      <c r="G2537" s="7">
        <v>0.35</v>
      </c>
      <c r="H2537" s="6" t="s">
        <v>384</v>
      </c>
      <c r="I2537" s="6" t="s">
        <v>55</v>
      </c>
      <c r="J2537" s="6">
        <v>2022.0</v>
      </c>
      <c r="L2537" s="6">
        <v>2.0</v>
      </c>
      <c r="M2537" s="8">
        <f t="shared" si="2"/>
        <v>0.7</v>
      </c>
      <c r="P2537" s="9"/>
    </row>
    <row r="2538">
      <c r="A2538" s="6" t="s">
        <v>5734</v>
      </c>
      <c r="B2538" s="6" t="s">
        <v>62</v>
      </c>
      <c r="C2538" s="6" t="s">
        <v>23</v>
      </c>
      <c r="D2538" s="6" t="s">
        <v>5735</v>
      </c>
      <c r="E2538" s="6" t="s">
        <v>118</v>
      </c>
      <c r="F2538" s="6" t="s">
        <v>51</v>
      </c>
      <c r="G2538" s="7">
        <v>0.05</v>
      </c>
      <c r="H2538" s="6" t="s">
        <v>626</v>
      </c>
      <c r="I2538" s="6" t="s">
        <v>20</v>
      </c>
      <c r="J2538" s="6">
        <v>2013.0</v>
      </c>
      <c r="L2538" s="6">
        <v>1.0</v>
      </c>
      <c r="M2538" s="8">
        <f t="shared" si="2"/>
        <v>0.05</v>
      </c>
      <c r="P2538" s="9"/>
    </row>
    <row r="2539">
      <c r="A2539" s="6" t="s">
        <v>5736</v>
      </c>
      <c r="B2539" s="6" t="s">
        <v>592</v>
      </c>
      <c r="C2539" s="6" t="s">
        <v>571</v>
      </c>
      <c r="D2539" s="6" t="s">
        <v>5737</v>
      </c>
      <c r="E2539" s="6" t="s">
        <v>112</v>
      </c>
      <c r="F2539" s="6" t="s">
        <v>3701</v>
      </c>
      <c r="G2539" s="7">
        <v>0.15</v>
      </c>
      <c r="H2539" s="6" t="s">
        <v>641</v>
      </c>
      <c r="I2539" s="6" t="s">
        <v>20</v>
      </c>
      <c r="J2539" s="6">
        <v>2026.0</v>
      </c>
      <c r="L2539" s="6">
        <v>1.0</v>
      </c>
      <c r="M2539" s="8">
        <f t="shared" si="2"/>
        <v>0.15</v>
      </c>
      <c r="P2539" s="9"/>
    </row>
    <row r="2540">
      <c r="A2540" s="6" t="s">
        <v>5738</v>
      </c>
      <c r="B2540" s="6" t="s">
        <v>1199</v>
      </c>
      <c r="C2540" s="6" t="s">
        <v>23</v>
      </c>
      <c r="E2540" s="6" t="s">
        <v>502</v>
      </c>
      <c r="F2540" s="6" t="s">
        <v>65</v>
      </c>
      <c r="G2540" s="7">
        <v>0.03</v>
      </c>
      <c r="H2540" s="6" t="s">
        <v>299</v>
      </c>
      <c r="I2540" s="6" t="s">
        <v>20</v>
      </c>
      <c r="J2540" s="6">
        <v>2017.0</v>
      </c>
      <c r="K2540" s="10">
        <v>46117.0</v>
      </c>
      <c r="L2540" s="6">
        <v>5.0</v>
      </c>
      <c r="M2540" s="8">
        <f t="shared" si="2"/>
        <v>0.15</v>
      </c>
      <c r="P2540" s="9"/>
    </row>
    <row r="2541">
      <c r="A2541" s="6" t="s">
        <v>5739</v>
      </c>
      <c r="B2541" s="6" t="s">
        <v>796</v>
      </c>
      <c r="C2541" s="6" t="s">
        <v>34</v>
      </c>
      <c r="D2541" s="6" t="s">
        <v>5740</v>
      </c>
      <c r="E2541" s="6" t="s">
        <v>179</v>
      </c>
      <c r="F2541" s="6" t="s">
        <v>65</v>
      </c>
      <c r="G2541" s="7">
        <v>0.1</v>
      </c>
      <c r="H2541" s="6" t="s">
        <v>209</v>
      </c>
      <c r="I2541" s="6" t="s">
        <v>20</v>
      </c>
      <c r="J2541" s="6">
        <v>2025.0</v>
      </c>
      <c r="L2541" s="6">
        <v>7.0</v>
      </c>
      <c r="M2541" s="8">
        <f t="shared" si="2"/>
        <v>0.7</v>
      </c>
      <c r="P2541" s="9"/>
    </row>
    <row r="2542">
      <c r="A2542" s="6" t="s">
        <v>5741</v>
      </c>
      <c r="B2542" s="6" t="s">
        <v>182</v>
      </c>
      <c r="C2542" s="6" t="s">
        <v>41</v>
      </c>
      <c r="D2542" s="6" t="s">
        <v>5742</v>
      </c>
      <c r="E2542" s="6" t="s">
        <v>175</v>
      </c>
      <c r="F2542" s="6" t="s">
        <v>51</v>
      </c>
      <c r="G2542" s="7">
        <v>0.3</v>
      </c>
      <c r="H2542" s="6" t="s">
        <v>359</v>
      </c>
      <c r="I2542" s="6" t="s">
        <v>20</v>
      </c>
      <c r="J2542" s="6">
        <v>2014.0</v>
      </c>
      <c r="L2542" s="6">
        <v>2.0</v>
      </c>
      <c r="M2542" s="8">
        <f t="shared" si="2"/>
        <v>0.6</v>
      </c>
      <c r="P2542" s="9"/>
    </row>
    <row r="2543">
      <c r="A2543" s="6" t="s">
        <v>5743</v>
      </c>
      <c r="B2543" s="6" t="s">
        <v>182</v>
      </c>
      <c r="C2543" s="6" t="s">
        <v>23</v>
      </c>
      <c r="D2543" s="6" t="s">
        <v>5744</v>
      </c>
      <c r="E2543" s="6" t="s">
        <v>502</v>
      </c>
      <c r="F2543" s="6" t="s">
        <v>65</v>
      </c>
      <c r="G2543" s="7">
        <v>0.26</v>
      </c>
      <c r="H2543" s="6" t="s">
        <v>5745</v>
      </c>
      <c r="I2543" s="6" t="s">
        <v>20</v>
      </c>
      <c r="J2543" s="6">
        <v>1997.0</v>
      </c>
      <c r="L2543" s="6">
        <v>1.0</v>
      </c>
      <c r="M2543" s="8">
        <f t="shared" si="2"/>
        <v>0.26</v>
      </c>
      <c r="P2543" s="9"/>
    </row>
    <row r="2544">
      <c r="A2544" s="6" t="s">
        <v>5746</v>
      </c>
      <c r="B2544" s="6" t="s">
        <v>543</v>
      </c>
      <c r="C2544" s="6" t="s">
        <v>23</v>
      </c>
      <c r="D2544" s="6" t="s">
        <v>5747</v>
      </c>
      <c r="E2544" s="6" t="s">
        <v>2838</v>
      </c>
      <c r="F2544" s="6" t="s">
        <v>65</v>
      </c>
      <c r="G2544" s="7">
        <v>0.05</v>
      </c>
      <c r="H2544" s="6" t="s">
        <v>245</v>
      </c>
      <c r="I2544" s="6" t="s">
        <v>20</v>
      </c>
      <c r="J2544" s="6">
        <v>1995.0</v>
      </c>
      <c r="L2544" s="6">
        <v>1.0</v>
      </c>
      <c r="M2544" s="8">
        <f t="shared" si="2"/>
        <v>0.05</v>
      </c>
      <c r="P2544" s="9"/>
    </row>
    <row r="2545">
      <c r="A2545" s="6" t="s">
        <v>5748</v>
      </c>
      <c r="B2545" s="6" t="s">
        <v>165</v>
      </c>
      <c r="C2545" s="6" t="s">
        <v>15</v>
      </c>
      <c r="D2545" s="6" t="s">
        <v>5749</v>
      </c>
      <c r="E2545" s="6" t="s">
        <v>1307</v>
      </c>
      <c r="F2545" s="6" t="s">
        <v>65</v>
      </c>
      <c r="G2545" s="7">
        <v>0.08</v>
      </c>
      <c r="H2545" s="6" t="s">
        <v>3523</v>
      </c>
      <c r="I2545" s="6" t="s">
        <v>20</v>
      </c>
      <c r="J2545" s="6">
        <v>2018.0</v>
      </c>
      <c r="L2545" s="6">
        <v>2.0</v>
      </c>
      <c r="M2545" s="8">
        <f t="shared" si="2"/>
        <v>0.16</v>
      </c>
      <c r="P2545" s="9"/>
    </row>
    <row r="2546">
      <c r="A2546" s="6" t="s">
        <v>5750</v>
      </c>
      <c r="B2546" s="6" t="s">
        <v>761</v>
      </c>
      <c r="C2546" s="6" t="s">
        <v>287</v>
      </c>
      <c r="D2546" s="6" t="s">
        <v>5751</v>
      </c>
      <c r="E2546" s="6" t="s">
        <v>175</v>
      </c>
      <c r="F2546" s="6" t="s">
        <v>51</v>
      </c>
      <c r="G2546" s="7">
        <v>0.09</v>
      </c>
      <c r="H2546" s="6" t="s">
        <v>119</v>
      </c>
      <c r="I2546" s="6" t="s">
        <v>20</v>
      </c>
      <c r="J2546" s="6">
        <v>1995.0</v>
      </c>
      <c r="L2546" s="6">
        <v>4.0</v>
      </c>
      <c r="M2546" s="8">
        <f t="shared" si="2"/>
        <v>0.36</v>
      </c>
      <c r="P2546" s="9"/>
    </row>
    <row r="2547">
      <c r="A2547" s="6" t="s">
        <v>5750</v>
      </c>
      <c r="B2547" s="6" t="s">
        <v>747</v>
      </c>
      <c r="C2547" s="6" t="s">
        <v>34</v>
      </c>
      <c r="D2547" s="6" t="s">
        <v>5752</v>
      </c>
      <c r="E2547" s="6" t="s">
        <v>175</v>
      </c>
      <c r="F2547" s="6" t="s">
        <v>51</v>
      </c>
      <c r="G2547" s="7">
        <v>0.13</v>
      </c>
      <c r="H2547" s="6" t="s">
        <v>453</v>
      </c>
      <c r="I2547" s="6" t="s">
        <v>20</v>
      </c>
      <c r="J2547" s="6">
        <v>1995.0</v>
      </c>
      <c r="L2547" s="6">
        <v>1.0</v>
      </c>
      <c r="M2547" s="8">
        <f t="shared" si="2"/>
        <v>0.13</v>
      </c>
      <c r="P2547" s="9"/>
    </row>
    <row r="2548">
      <c r="A2548" s="6" t="s">
        <v>5750</v>
      </c>
      <c r="B2548" s="6" t="s">
        <v>747</v>
      </c>
      <c r="C2548" s="6" t="s">
        <v>34</v>
      </c>
      <c r="D2548" s="6" t="s">
        <v>5752</v>
      </c>
      <c r="E2548" s="6" t="s">
        <v>175</v>
      </c>
      <c r="F2548" s="6" t="s">
        <v>51</v>
      </c>
      <c r="G2548" s="7">
        <v>0.09</v>
      </c>
      <c r="H2548" s="6" t="s">
        <v>2089</v>
      </c>
      <c r="I2548" s="6" t="s">
        <v>20</v>
      </c>
      <c r="J2548" s="6">
        <v>1995.0</v>
      </c>
      <c r="L2548" s="6">
        <v>1.0</v>
      </c>
      <c r="M2548" s="8">
        <f t="shared" si="2"/>
        <v>0.09</v>
      </c>
      <c r="P2548" s="9"/>
    </row>
    <row r="2549">
      <c r="A2549" s="6" t="s">
        <v>5750</v>
      </c>
      <c r="B2549" s="6" t="s">
        <v>761</v>
      </c>
      <c r="C2549" s="6" t="s">
        <v>287</v>
      </c>
      <c r="D2549" s="6" t="s">
        <v>5751</v>
      </c>
      <c r="E2549" s="6" t="s">
        <v>175</v>
      </c>
      <c r="F2549" s="6" t="s">
        <v>51</v>
      </c>
      <c r="G2549" s="7">
        <v>0.13</v>
      </c>
      <c r="H2549" s="6" t="s">
        <v>120</v>
      </c>
      <c r="I2549" s="6" t="s">
        <v>20</v>
      </c>
      <c r="J2549" s="6">
        <v>1995.0</v>
      </c>
      <c r="L2549" s="6">
        <v>3.0</v>
      </c>
      <c r="M2549" s="8">
        <f t="shared" si="2"/>
        <v>0.39</v>
      </c>
      <c r="P2549" s="9"/>
    </row>
    <row r="2550">
      <c r="A2550" s="6" t="s">
        <v>5753</v>
      </c>
      <c r="B2550" s="6" t="s">
        <v>372</v>
      </c>
      <c r="C2550" s="6" t="s">
        <v>23</v>
      </c>
      <c r="D2550" s="6" t="s">
        <v>5754</v>
      </c>
      <c r="E2550" s="6" t="s">
        <v>2039</v>
      </c>
      <c r="F2550" s="6" t="s">
        <v>261</v>
      </c>
      <c r="G2550" s="7">
        <v>0.03</v>
      </c>
      <c r="H2550" s="6" t="s">
        <v>185</v>
      </c>
      <c r="I2550" s="6" t="s">
        <v>20</v>
      </c>
      <c r="J2550" s="6">
        <v>2019.0</v>
      </c>
      <c r="L2550" s="6">
        <v>1.0</v>
      </c>
      <c r="M2550" s="8">
        <f t="shared" si="2"/>
        <v>0.03</v>
      </c>
      <c r="P2550" s="9"/>
    </row>
    <row r="2551">
      <c r="A2551" s="6" t="s">
        <v>5755</v>
      </c>
      <c r="B2551" s="6" t="s">
        <v>182</v>
      </c>
      <c r="C2551" s="6" t="s">
        <v>23</v>
      </c>
      <c r="D2551" s="6" t="s">
        <v>5756</v>
      </c>
      <c r="E2551" s="6" t="s">
        <v>238</v>
      </c>
      <c r="F2551" s="6" t="s">
        <v>159</v>
      </c>
      <c r="G2551" s="7">
        <v>0.08</v>
      </c>
      <c r="H2551" s="6" t="s">
        <v>154</v>
      </c>
      <c r="I2551" s="6" t="s">
        <v>20</v>
      </c>
      <c r="J2551" s="6">
        <v>2013.0</v>
      </c>
      <c r="L2551" s="6">
        <v>2.0</v>
      </c>
      <c r="M2551" s="8">
        <f t="shared" si="2"/>
        <v>0.16</v>
      </c>
      <c r="P2551" s="9"/>
    </row>
    <row r="2552">
      <c r="A2552" s="6" t="s">
        <v>5757</v>
      </c>
      <c r="B2552" s="6" t="s">
        <v>5758</v>
      </c>
      <c r="C2552" s="6" t="s">
        <v>23</v>
      </c>
      <c r="D2552" s="6" t="s">
        <v>5759</v>
      </c>
      <c r="E2552" s="6" t="s">
        <v>102</v>
      </c>
      <c r="F2552" s="6" t="s">
        <v>103</v>
      </c>
      <c r="G2552" s="7">
        <v>0.04</v>
      </c>
      <c r="H2552" s="6" t="s">
        <v>406</v>
      </c>
      <c r="I2552" s="6" t="s">
        <v>20</v>
      </c>
      <c r="J2552" s="6">
        <v>2019.0</v>
      </c>
      <c r="K2552" s="10">
        <v>46054.0</v>
      </c>
      <c r="L2552" s="6">
        <v>1.0</v>
      </c>
      <c r="M2552" s="8">
        <f t="shared" si="2"/>
        <v>0.04</v>
      </c>
      <c r="P2552" s="9"/>
    </row>
    <row r="2553">
      <c r="A2553" s="6" t="s">
        <v>5760</v>
      </c>
      <c r="B2553" s="6" t="s">
        <v>2342</v>
      </c>
      <c r="C2553" s="6" t="s">
        <v>23</v>
      </c>
      <c r="D2553" s="6" t="s">
        <v>5761</v>
      </c>
      <c r="E2553" s="6" t="s">
        <v>36</v>
      </c>
      <c r="F2553" s="6" t="s">
        <v>103</v>
      </c>
      <c r="G2553" s="7">
        <v>0.48</v>
      </c>
      <c r="H2553" s="6" t="s">
        <v>146</v>
      </c>
      <c r="I2553" s="6" t="s">
        <v>20</v>
      </c>
      <c r="J2553" s="6">
        <v>2010.0</v>
      </c>
      <c r="K2553" s="10">
        <v>46023.0</v>
      </c>
      <c r="L2553" s="6">
        <v>3.0</v>
      </c>
      <c r="M2553" s="8">
        <f t="shared" si="2"/>
        <v>1.44</v>
      </c>
      <c r="N2553" s="6" t="s">
        <v>172</v>
      </c>
      <c r="P2553" s="9"/>
    </row>
    <row r="2554">
      <c r="A2554" s="6" t="s">
        <v>5762</v>
      </c>
      <c r="B2554" s="6" t="s">
        <v>291</v>
      </c>
      <c r="C2554" s="6" t="s">
        <v>48</v>
      </c>
      <c r="D2554" s="6" t="s">
        <v>5763</v>
      </c>
      <c r="E2554" s="6" t="s">
        <v>4307</v>
      </c>
      <c r="F2554" s="6" t="s">
        <v>60</v>
      </c>
      <c r="G2554" s="7">
        <v>0.04</v>
      </c>
      <c r="H2554" s="6" t="s">
        <v>1084</v>
      </c>
      <c r="I2554" s="6" t="s">
        <v>20</v>
      </c>
      <c r="J2554" s="6">
        <v>2018.0</v>
      </c>
      <c r="K2554" s="10">
        <v>46055.0</v>
      </c>
      <c r="L2554" s="6">
        <v>1.0</v>
      </c>
      <c r="M2554" s="8">
        <f t="shared" si="2"/>
        <v>0.04</v>
      </c>
      <c r="P2554" s="9"/>
    </row>
    <row r="2555">
      <c r="A2555" s="6" t="s">
        <v>5764</v>
      </c>
      <c r="B2555" s="6" t="s">
        <v>5765</v>
      </c>
      <c r="C2555" s="6" t="s">
        <v>23</v>
      </c>
      <c r="D2555" s="6" t="s">
        <v>5766</v>
      </c>
      <c r="E2555" s="6" t="s">
        <v>25</v>
      </c>
      <c r="F2555" s="6" t="s">
        <v>18</v>
      </c>
      <c r="G2555" s="7">
        <v>0.03</v>
      </c>
      <c r="H2555" s="6" t="s">
        <v>1084</v>
      </c>
      <c r="I2555" s="6" t="s">
        <v>20</v>
      </c>
      <c r="J2555" s="6">
        <v>2018.0</v>
      </c>
      <c r="K2555" s="10">
        <v>46025.0</v>
      </c>
      <c r="L2555" s="6">
        <v>2.0</v>
      </c>
      <c r="M2555" s="8">
        <f t="shared" si="2"/>
        <v>0.06</v>
      </c>
      <c r="P2555" s="9"/>
    </row>
    <row r="2556">
      <c r="A2556" s="6" t="s">
        <v>5767</v>
      </c>
      <c r="B2556" s="6" t="s">
        <v>62</v>
      </c>
      <c r="C2556" s="6" t="s">
        <v>48</v>
      </c>
      <c r="D2556" s="6" t="s">
        <v>5768</v>
      </c>
      <c r="E2556" s="6" t="s">
        <v>30</v>
      </c>
      <c r="F2556" s="6" t="s">
        <v>18</v>
      </c>
      <c r="G2556" s="7">
        <v>0.15</v>
      </c>
      <c r="H2556" s="6" t="s">
        <v>559</v>
      </c>
      <c r="I2556" s="6" t="s">
        <v>20</v>
      </c>
      <c r="J2556" s="6">
        <v>2015.0</v>
      </c>
      <c r="L2556" s="6">
        <v>1.0</v>
      </c>
      <c r="M2556" s="8">
        <f t="shared" si="2"/>
        <v>0.15</v>
      </c>
      <c r="P2556" s="9"/>
    </row>
    <row r="2557">
      <c r="A2557" s="6" t="s">
        <v>5769</v>
      </c>
      <c r="B2557" s="6" t="s">
        <v>5770</v>
      </c>
      <c r="C2557" s="6" t="s">
        <v>41</v>
      </c>
      <c r="D2557" s="6" t="s">
        <v>5771</v>
      </c>
      <c r="E2557" s="6" t="s">
        <v>937</v>
      </c>
      <c r="F2557" s="6" t="s">
        <v>159</v>
      </c>
      <c r="G2557" s="7">
        <v>3.44</v>
      </c>
      <c r="H2557" s="6" t="s">
        <v>192</v>
      </c>
      <c r="I2557" s="6" t="s">
        <v>20</v>
      </c>
      <c r="J2557" s="6">
        <v>2026.0</v>
      </c>
      <c r="K2557" s="10">
        <v>46117.0</v>
      </c>
      <c r="L2557" s="6">
        <v>1.0</v>
      </c>
      <c r="M2557" s="8">
        <f t="shared" si="2"/>
        <v>3.44</v>
      </c>
      <c r="P2557" s="9"/>
    </row>
    <row r="2558">
      <c r="A2558" s="6" t="s">
        <v>5772</v>
      </c>
      <c r="B2558" s="6" t="s">
        <v>1790</v>
      </c>
      <c r="C2558" s="6" t="s">
        <v>41</v>
      </c>
      <c r="D2558" s="6" t="s">
        <v>5773</v>
      </c>
      <c r="E2558" s="6" t="s">
        <v>5774</v>
      </c>
      <c r="F2558" s="6" t="s">
        <v>986</v>
      </c>
      <c r="G2558" s="7">
        <v>0.2</v>
      </c>
      <c r="H2558" s="6" t="s">
        <v>265</v>
      </c>
      <c r="I2558" s="6" t="s">
        <v>20</v>
      </c>
      <c r="J2558" s="6">
        <v>2017.0</v>
      </c>
      <c r="L2558" s="6">
        <v>1.0</v>
      </c>
      <c r="M2558" s="8">
        <f t="shared" si="2"/>
        <v>0.2</v>
      </c>
      <c r="P2558" s="9"/>
    </row>
    <row r="2559">
      <c r="A2559" s="6" t="s">
        <v>5775</v>
      </c>
      <c r="B2559" s="6" t="s">
        <v>62</v>
      </c>
      <c r="C2559" s="6" t="s">
        <v>23</v>
      </c>
      <c r="D2559" s="6" t="s">
        <v>5776</v>
      </c>
      <c r="E2559" s="6" t="s">
        <v>30</v>
      </c>
      <c r="F2559" s="6" t="s">
        <v>18</v>
      </c>
      <c r="G2559" s="7">
        <v>0.03</v>
      </c>
      <c r="H2559" s="6" t="s">
        <v>299</v>
      </c>
      <c r="I2559" s="6" t="s">
        <v>20</v>
      </c>
      <c r="J2559" s="6">
        <v>2017.0</v>
      </c>
      <c r="L2559" s="6">
        <v>2.0</v>
      </c>
      <c r="M2559" s="8">
        <f t="shared" si="2"/>
        <v>0.06</v>
      </c>
      <c r="P2559" s="9"/>
    </row>
    <row r="2560">
      <c r="A2560" s="6" t="s">
        <v>5777</v>
      </c>
      <c r="B2560" s="6" t="s">
        <v>62</v>
      </c>
      <c r="C2560" s="6" t="s">
        <v>23</v>
      </c>
      <c r="D2560" s="6" t="s">
        <v>5778</v>
      </c>
      <c r="E2560" s="6" t="s">
        <v>118</v>
      </c>
      <c r="F2560" s="6" t="s">
        <v>51</v>
      </c>
      <c r="G2560" s="7">
        <v>0.4</v>
      </c>
      <c r="H2560" s="6" t="s">
        <v>1519</v>
      </c>
      <c r="I2560" s="6" t="s">
        <v>20</v>
      </c>
      <c r="J2560" s="6">
        <v>2005.0</v>
      </c>
      <c r="L2560" s="6">
        <v>3.0</v>
      </c>
      <c r="M2560" s="8">
        <f t="shared" si="2"/>
        <v>1.2</v>
      </c>
      <c r="P2560" s="9"/>
    </row>
    <row r="2561">
      <c r="A2561" s="6" t="s">
        <v>5779</v>
      </c>
      <c r="B2561" s="6" t="s">
        <v>5780</v>
      </c>
      <c r="C2561" s="6" t="s">
        <v>48</v>
      </c>
      <c r="D2561" s="6" t="s">
        <v>5781</v>
      </c>
      <c r="E2561" s="6" t="s">
        <v>223</v>
      </c>
      <c r="F2561" s="6" t="s">
        <v>159</v>
      </c>
      <c r="G2561" s="7">
        <v>0.2</v>
      </c>
      <c r="H2561" s="6" t="s">
        <v>45</v>
      </c>
      <c r="I2561" s="6" t="s">
        <v>20</v>
      </c>
      <c r="J2561" s="6">
        <v>2025.0</v>
      </c>
      <c r="L2561" s="6">
        <v>1.0</v>
      </c>
      <c r="M2561" s="8">
        <f t="shared" si="2"/>
        <v>0.2</v>
      </c>
      <c r="P2561" s="9"/>
    </row>
    <row r="2562">
      <c r="A2562" s="6" t="s">
        <v>5782</v>
      </c>
      <c r="B2562" s="6" t="s">
        <v>5783</v>
      </c>
      <c r="C2562" s="6" t="s">
        <v>48</v>
      </c>
      <c r="D2562" s="6" t="s">
        <v>5784</v>
      </c>
      <c r="E2562" s="6" t="s">
        <v>873</v>
      </c>
      <c r="F2562" s="6" t="s">
        <v>874</v>
      </c>
      <c r="G2562" s="7">
        <v>0.06</v>
      </c>
      <c r="H2562" s="6" t="s">
        <v>1084</v>
      </c>
      <c r="I2562" s="6" t="s">
        <v>20</v>
      </c>
      <c r="J2562" s="6">
        <v>2018.0</v>
      </c>
      <c r="K2562" s="10">
        <v>46055.0</v>
      </c>
      <c r="L2562" s="6">
        <v>1.0</v>
      </c>
      <c r="M2562" s="8">
        <f t="shared" si="2"/>
        <v>0.06</v>
      </c>
      <c r="P2562" s="9"/>
    </row>
    <row r="2563">
      <c r="A2563" s="6" t="s">
        <v>5785</v>
      </c>
      <c r="B2563" s="6" t="s">
        <v>4545</v>
      </c>
      <c r="C2563" s="6" t="s">
        <v>48</v>
      </c>
      <c r="D2563" s="6" t="s">
        <v>5786</v>
      </c>
      <c r="E2563" s="6" t="s">
        <v>25</v>
      </c>
      <c r="F2563" s="6" t="s">
        <v>18</v>
      </c>
      <c r="G2563" s="7">
        <v>0.08</v>
      </c>
      <c r="H2563" s="6" t="s">
        <v>1361</v>
      </c>
      <c r="I2563" s="6" t="s">
        <v>20</v>
      </c>
      <c r="J2563" s="6">
        <v>2008.0</v>
      </c>
      <c r="K2563" s="10">
        <v>46084.0</v>
      </c>
      <c r="L2563" s="6">
        <v>1.0</v>
      </c>
      <c r="M2563" s="8">
        <f t="shared" si="2"/>
        <v>0.08</v>
      </c>
      <c r="P2563" s="9"/>
    </row>
    <row r="2564">
      <c r="A2564" s="6" t="s">
        <v>5787</v>
      </c>
      <c r="B2564" s="6" t="s">
        <v>543</v>
      </c>
      <c r="C2564" s="6" t="s">
        <v>41</v>
      </c>
      <c r="D2564" s="6" t="s">
        <v>5788</v>
      </c>
      <c r="E2564" s="6" t="s">
        <v>738</v>
      </c>
      <c r="F2564" s="6" t="s">
        <v>51</v>
      </c>
      <c r="G2564" s="7">
        <v>2.79</v>
      </c>
      <c r="H2564" s="6" t="s">
        <v>75</v>
      </c>
      <c r="I2564" s="6" t="s">
        <v>20</v>
      </c>
      <c r="J2564" s="6">
        <v>1995.0</v>
      </c>
      <c r="L2564" s="6">
        <v>1.0</v>
      </c>
      <c r="M2564" s="8">
        <f t="shared" si="2"/>
        <v>2.79</v>
      </c>
      <c r="N2564" s="6" t="s">
        <v>172</v>
      </c>
      <c r="P2564" s="9"/>
    </row>
    <row r="2565">
      <c r="A2565" s="6" t="s">
        <v>5789</v>
      </c>
      <c r="B2565" s="6" t="s">
        <v>3148</v>
      </c>
      <c r="C2565" s="6" t="s">
        <v>23</v>
      </c>
      <c r="D2565" s="6" t="s">
        <v>5790</v>
      </c>
      <c r="E2565" s="6" t="s">
        <v>79</v>
      </c>
      <c r="F2565" s="6" t="s">
        <v>51</v>
      </c>
      <c r="G2565" s="7">
        <v>0.03</v>
      </c>
      <c r="H2565" s="6" t="s">
        <v>555</v>
      </c>
      <c r="I2565" s="6" t="s">
        <v>20</v>
      </c>
      <c r="J2565" s="6">
        <v>2017.0</v>
      </c>
      <c r="K2565" s="10">
        <v>46055.0</v>
      </c>
      <c r="L2565" s="6">
        <v>1.0</v>
      </c>
      <c r="M2565" s="8">
        <f t="shared" si="2"/>
        <v>0.03</v>
      </c>
      <c r="P2565" s="9"/>
    </row>
    <row r="2566">
      <c r="A2566" s="6" t="s">
        <v>5789</v>
      </c>
      <c r="B2566" s="6" t="s">
        <v>3148</v>
      </c>
      <c r="C2566" s="6" t="s">
        <v>23</v>
      </c>
      <c r="D2566" s="6" t="s">
        <v>5790</v>
      </c>
      <c r="E2566" s="6" t="s">
        <v>79</v>
      </c>
      <c r="F2566" s="6" t="s">
        <v>51</v>
      </c>
      <c r="G2566" s="7">
        <v>0.03</v>
      </c>
      <c r="H2566" s="6" t="s">
        <v>875</v>
      </c>
      <c r="I2566" s="6" t="s">
        <v>20</v>
      </c>
      <c r="J2566" s="6">
        <v>2018.0</v>
      </c>
      <c r="K2566" s="10">
        <v>46055.0</v>
      </c>
      <c r="L2566" s="6">
        <v>7.0</v>
      </c>
      <c r="M2566" s="8">
        <f t="shared" si="2"/>
        <v>0.21</v>
      </c>
      <c r="P2566" s="9"/>
    </row>
    <row r="2567">
      <c r="A2567" s="6" t="s">
        <v>5789</v>
      </c>
      <c r="B2567" s="6" t="s">
        <v>3148</v>
      </c>
      <c r="C2567" s="6" t="s">
        <v>23</v>
      </c>
      <c r="D2567" s="6" t="s">
        <v>5790</v>
      </c>
      <c r="E2567" s="6" t="s">
        <v>79</v>
      </c>
      <c r="F2567" s="6" t="s">
        <v>51</v>
      </c>
      <c r="G2567" s="7">
        <v>0.03</v>
      </c>
      <c r="H2567" s="6" t="s">
        <v>875</v>
      </c>
      <c r="I2567" s="6" t="s">
        <v>20</v>
      </c>
      <c r="J2567" s="6">
        <v>2018.0</v>
      </c>
      <c r="K2567" s="10">
        <v>46055.0</v>
      </c>
      <c r="L2567" s="6">
        <v>2.0</v>
      </c>
      <c r="M2567" s="8">
        <f t="shared" si="2"/>
        <v>0.06</v>
      </c>
      <c r="P2567" s="9"/>
    </row>
    <row r="2568">
      <c r="A2568" s="6" t="s">
        <v>5791</v>
      </c>
      <c r="B2568" s="6" t="s">
        <v>815</v>
      </c>
      <c r="C2568" s="6" t="s">
        <v>23</v>
      </c>
      <c r="D2568" s="6" t="s">
        <v>5792</v>
      </c>
      <c r="E2568" s="6" t="s">
        <v>1336</v>
      </c>
      <c r="F2568" s="6" t="s">
        <v>103</v>
      </c>
      <c r="G2568" s="7">
        <v>0.05</v>
      </c>
      <c r="H2568" s="6" t="s">
        <v>245</v>
      </c>
      <c r="I2568" s="6" t="s">
        <v>20</v>
      </c>
      <c r="J2568" s="6">
        <v>1995.0</v>
      </c>
      <c r="K2568" s="10">
        <v>46083.0</v>
      </c>
      <c r="L2568" s="6">
        <v>2.0</v>
      </c>
      <c r="M2568" s="8">
        <f t="shared" si="2"/>
        <v>0.1</v>
      </c>
      <c r="P2568" s="9"/>
    </row>
    <row r="2569">
      <c r="A2569" s="6" t="s">
        <v>5793</v>
      </c>
      <c r="B2569" s="6" t="s">
        <v>5794</v>
      </c>
      <c r="C2569" s="6" t="s">
        <v>15</v>
      </c>
      <c r="D2569" s="6" t="s">
        <v>5795</v>
      </c>
      <c r="G2569" s="7">
        <v>0.25</v>
      </c>
      <c r="H2569" s="6" t="s">
        <v>19</v>
      </c>
      <c r="I2569" s="6" t="s">
        <v>20</v>
      </c>
      <c r="J2569" s="6">
        <v>2023.0</v>
      </c>
      <c r="K2569" s="10">
        <v>46083.0</v>
      </c>
      <c r="L2569" s="6">
        <v>2.0</v>
      </c>
      <c r="M2569" s="8">
        <f t="shared" si="2"/>
        <v>0.5</v>
      </c>
      <c r="P2569" s="9"/>
    </row>
    <row r="2570">
      <c r="A2570" s="6" t="s">
        <v>5793</v>
      </c>
      <c r="B2570" s="6" t="s">
        <v>5794</v>
      </c>
      <c r="C2570" s="6" t="s">
        <v>15</v>
      </c>
      <c r="D2570" s="6" t="s">
        <v>5795</v>
      </c>
      <c r="G2570" s="7">
        <v>0.18</v>
      </c>
      <c r="H2570" s="6" t="s">
        <v>19</v>
      </c>
      <c r="I2570" s="6" t="s">
        <v>20</v>
      </c>
      <c r="J2570" s="6">
        <v>2023.0</v>
      </c>
      <c r="K2570" s="10">
        <v>46083.0</v>
      </c>
      <c r="L2570" s="6">
        <v>1.0</v>
      </c>
      <c r="M2570" s="8">
        <f t="shared" si="2"/>
        <v>0.18</v>
      </c>
      <c r="P2570" s="9"/>
    </row>
    <row r="2571">
      <c r="A2571" s="6" t="s">
        <v>5796</v>
      </c>
      <c r="B2571" s="6" t="s">
        <v>169</v>
      </c>
      <c r="C2571" s="6" t="s">
        <v>287</v>
      </c>
      <c r="D2571" s="6" t="s">
        <v>5797</v>
      </c>
      <c r="E2571" s="6" t="s">
        <v>235</v>
      </c>
      <c r="F2571" s="6" t="s">
        <v>103</v>
      </c>
      <c r="G2571" s="7">
        <v>0.32</v>
      </c>
      <c r="H2571" s="6" t="s">
        <v>184</v>
      </c>
      <c r="I2571" s="6" t="s">
        <v>20</v>
      </c>
      <c r="J2571" s="6">
        <v>2015.0</v>
      </c>
      <c r="L2571" s="6">
        <v>3.0</v>
      </c>
      <c r="M2571" s="8">
        <f t="shared" si="2"/>
        <v>0.96</v>
      </c>
      <c r="P2571" s="9"/>
    </row>
    <row r="2572">
      <c r="A2572" s="6" t="s">
        <v>5798</v>
      </c>
      <c r="B2572" s="6" t="s">
        <v>62</v>
      </c>
      <c r="C2572" s="6" t="s">
        <v>23</v>
      </c>
      <c r="D2572" s="6" t="s">
        <v>5799</v>
      </c>
      <c r="E2572" s="6" t="s">
        <v>573</v>
      </c>
      <c r="F2572" s="6" t="s">
        <v>51</v>
      </c>
      <c r="G2572" s="7">
        <v>0.04</v>
      </c>
      <c r="H2572" s="6" t="s">
        <v>171</v>
      </c>
      <c r="I2572" s="6" t="s">
        <v>20</v>
      </c>
      <c r="J2572" s="6">
        <v>2021.0</v>
      </c>
      <c r="L2572" s="6">
        <v>1.0</v>
      </c>
      <c r="M2572" s="8">
        <f t="shared" si="2"/>
        <v>0.04</v>
      </c>
      <c r="P2572" s="9"/>
    </row>
    <row r="2573">
      <c r="A2573" s="6" t="s">
        <v>5800</v>
      </c>
      <c r="B2573" s="6" t="s">
        <v>307</v>
      </c>
      <c r="C2573" s="6" t="s">
        <v>23</v>
      </c>
      <c r="D2573" s="6" t="s">
        <v>5801</v>
      </c>
      <c r="E2573" s="6" t="s">
        <v>243</v>
      </c>
      <c r="F2573" s="6" t="s">
        <v>37</v>
      </c>
      <c r="G2573" s="7">
        <v>0.09</v>
      </c>
      <c r="H2573" s="6" t="s">
        <v>346</v>
      </c>
      <c r="I2573" s="6" t="s">
        <v>20</v>
      </c>
      <c r="J2573" s="6">
        <v>2024.0</v>
      </c>
      <c r="L2573" s="6">
        <v>1.0</v>
      </c>
      <c r="M2573" s="8">
        <f t="shared" si="2"/>
        <v>0.09</v>
      </c>
      <c r="P2573" s="9"/>
    </row>
    <row r="2574">
      <c r="A2574" s="6" t="s">
        <v>5802</v>
      </c>
      <c r="B2574" s="6" t="s">
        <v>796</v>
      </c>
      <c r="C2574" s="6" t="s">
        <v>15</v>
      </c>
      <c r="D2574" s="6" t="s">
        <v>5803</v>
      </c>
      <c r="E2574" s="6" t="s">
        <v>364</v>
      </c>
      <c r="F2574" s="6" t="s">
        <v>51</v>
      </c>
      <c r="G2574" s="7">
        <v>1.3</v>
      </c>
      <c r="H2574" s="6" t="s">
        <v>2326</v>
      </c>
      <c r="I2574" s="6" t="s">
        <v>20</v>
      </c>
      <c r="J2574" s="6">
        <v>2026.0</v>
      </c>
      <c r="L2574" s="6">
        <v>2.0</v>
      </c>
      <c r="M2574" s="8">
        <f t="shared" si="2"/>
        <v>2.6</v>
      </c>
      <c r="P2574" s="9"/>
    </row>
    <row r="2575">
      <c r="A2575" s="6" t="s">
        <v>5804</v>
      </c>
      <c r="B2575" s="6" t="s">
        <v>2994</v>
      </c>
      <c r="C2575" s="6" t="s">
        <v>23</v>
      </c>
      <c r="D2575" s="6" t="s">
        <v>5805</v>
      </c>
      <c r="E2575" s="6" t="s">
        <v>79</v>
      </c>
      <c r="F2575" s="6" t="s">
        <v>51</v>
      </c>
      <c r="G2575" s="7">
        <v>1.7</v>
      </c>
      <c r="H2575" s="6" t="s">
        <v>192</v>
      </c>
      <c r="I2575" s="6" t="s">
        <v>20</v>
      </c>
      <c r="J2575" s="6">
        <v>2026.0</v>
      </c>
      <c r="K2575" s="10">
        <v>46082.0</v>
      </c>
      <c r="L2575" s="6">
        <v>1.0</v>
      </c>
      <c r="M2575" s="8">
        <f t="shared" si="2"/>
        <v>1.7</v>
      </c>
      <c r="P2575" s="9"/>
    </row>
    <row r="2576">
      <c r="A2576" s="6" t="s">
        <v>5806</v>
      </c>
      <c r="B2576" s="6" t="s">
        <v>2994</v>
      </c>
      <c r="C2576" s="6" t="s">
        <v>48</v>
      </c>
      <c r="D2576" s="6" t="s">
        <v>5807</v>
      </c>
      <c r="E2576" s="6" t="s">
        <v>175</v>
      </c>
      <c r="F2576" s="6" t="s">
        <v>51</v>
      </c>
      <c r="G2576" s="7">
        <v>0.6</v>
      </c>
      <c r="H2576" s="6" t="s">
        <v>192</v>
      </c>
      <c r="I2576" s="6" t="s">
        <v>55</v>
      </c>
      <c r="J2576" s="6">
        <v>2026.0</v>
      </c>
      <c r="K2576" s="10">
        <v>46024.0</v>
      </c>
      <c r="L2576" s="6">
        <v>1.0</v>
      </c>
      <c r="M2576" s="8">
        <f t="shared" si="2"/>
        <v>0.6</v>
      </c>
      <c r="P2576" s="9"/>
    </row>
    <row r="2577">
      <c r="A2577" s="6" t="s">
        <v>5808</v>
      </c>
      <c r="B2577" s="6" t="s">
        <v>143</v>
      </c>
      <c r="C2577" s="6" t="s">
        <v>23</v>
      </c>
      <c r="D2577" s="6" t="s">
        <v>5809</v>
      </c>
      <c r="E2577" s="6" t="s">
        <v>303</v>
      </c>
      <c r="F2577" s="6" t="s">
        <v>37</v>
      </c>
      <c r="G2577" s="7">
        <v>0.06</v>
      </c>
      <c r="H2577" s="6" t="s">
        <v>2441</v>
      </c>
      <c r="I2577" s="6" t="s">
        <v>20</v>
      </c>
      <c r="J2577" s="6">
        <v>2004.0</v>
      </c>
      <c r="L2577" s="6">
        <v>1.0</v>
      </c>
      <c r="M2577" s="8">
        <f t="shared" si="2"/>
        <v>0.06</v>
      </c>
      <c r="P2577" s="9"/>
    </row>
    <row r="2578">
      <c r="A2578" s="6" t="s">
        <v>5810</v>
      </c>
      <c r="B2578" s="6" t="s">
        <v>5811</v>
      </c>
      <c r="C2578" s="6" t="s">
        <v>34</v>
      </c>
      <c r="D2578" s="6" t="s">
        <v>5812</v>
      </c>
      <c r="E2578" s="6" t="s">
        <v>3163</v>
      </c>
      <c r="F2578" s="6" t="s">
        <v>51</v>
      </c>
      <c r="G2578" s="7">
        <v>0.06</v>
      </c>
      <c r="H2578" s="6" t="s">
        <v>180</v>
      </c>
      <c r="I2578" s="6" t="s">
        <v>20</v>
      </c>
      <c r="J2578" s="6">
        <v>2014.0</v>
      </c>
      <c r="K2578" s="10">
        <v>46024.0</v>
      </c>
      <c r="L2578" s="6">
        <v>2.0</v>
      </c>
      <c r="M2578" s="8">
        <f t="shared" si="2"/>
        <v>0.12</v>
      </c>
      <c r="P2578" s="9"/>
    </row>
    <row r="2579">
      <c r="A2579" s="6" t="s">
        <v>5813</v>
      </c>
      <c r="B2579" s="6" t="s">
        <v>62</v>
      </c>
      <c r="C2579" s="6" t="s">
        <v>23</v>
      </c>
      <c r="D2579" s="6" t="s">
        <v>5814</v>
      </c>
      <c r="E2579" s="6" t="s">
        <v>102</v>
      </c>
      <c r="F2579" s="6" t="s">
        <v>103</v>
      </c>
      <c r="G2579" s="7">
        <v>0.06</v>
      </c>
      <c r="H2579" s="6" t="s">
        <v>418</v>
      </c>
      <c r="I2579" s="6" t="s">
        <v>20</v>
      </c>
      <c r="J2579" s="6">
        <v>2022.0</v>
      </c>
      <c r="L2579" s="6">
        <v>1.0</v>
      </c>
      <c r="M2579" s="8">
        <f t="shared" si="2"/>
        <v>0.06</v>
      </c>
      <c r="P2579" s="9"/>
    </row>
    <row r="2580">
      <c r="A2580" s="6" t="s">
        <v>5815</v>
      </c>
      <c r="B2580" s="6" t="s">
        <v>202</v>
      </c>
      <c r="C2580" s="6" t="s">
        <v>48</v>
      </c>
      <c r="D2580" s="6" t="s">
        <v>5816</v>
      </c>
      <c r="E2580" s="6" t="s">
        <v>700</v>
      </c>
      <c r="F2580" s="6" t="s">
        <v>18</v>
      </c>
      <c r="G2580" s="7">
        <v>0.23</v>
      </c>
      <c r="H2580" s="6" t="s">
        <v>1514</v>
      </c>
      <c r="I2580" s="6" t="s">
        <v>20</v>
      </c>
      <c r="J2580" s="6">
        <v>2009.0</v>
      </c>
      <c r="L2580" s="6">
        <v>1.0</v>
      </c>
      <c r="M2580" s="8">
        <f t="shared" si="2"/>
        <v>0.23</v>
      </c>
      <c r="P2580" s="9"/>
    </row>
    <row r="2581">
      <c r="A2581" s="6" t="s">
        <v>5817</v>
      </c>
      <c r="B2581" s="6" t="s">
        <v>5818</v>
      </c>
      <c r="C2581" s="6" t="s">
        <v>84</v>
      </c>
      <c r="D2581" s="6" t="s">
        <v>5819</v>
      </c>
      <c r="E2581" s="6" t="s">
        <v>937</v>
      </c>
      <c r="F2581" s="6" t="s">
        <v>159</v>
      </c>
      <c r="G2581" s="7">
        <v>0.6</v>
      </c>
      <c r="H2581" s="6" t="s">
        <v>294</v>
      </c>
      <c r="I2581" s="6" t="s">
        <v>20</v>
      </c>
      <c r="J2581" s="6">
        <v>2010.0</v>
      </c>
      <c r="K2581" s="6" t="s">
        <v>2384</v>
      </c>
      <c r="L2581" s="6">
        <v>1.0</v>
      </c>
      <c r="M2581" s="8">
        <f t="shared" si="2"/>
        <v>0.6</v>
      </c>
      <c r="P2581" s="9"/>
    </row>
    <row r="2582">
      <c r="A2582" s="6" t="s">
        <v>5820</v>
      </c>
      <c r="B2582" s="6" t="s">
        <v>182</v>
      </c>
      <c r="C2582" s="6" t="s">
        <v>23</v>
      </c>
      <c r="D2582" s="6" t="s">
        <v>5821</v>
      </c>
      <c r="E2582" s="6" t="s">
        <v>108</v>
      </c>
      <c r="F2582" s="6" t="s">
        <v>103</v>
      </c>
      <c r="G2582" s="7">
        <v>0.03</v>
      </c>
      <c r="H2582" s="6" t="s">
        <v>104</v>
      </c>
      <c r="I2582" s="6" t="s">
        <v>20</v>
      </c>
      <c r="J2582" s="6">
        <v>2018.0</v>
      </c>
      <c r="L2582" s="6">
        <v>1.0</v>
      </c>
      <c r="M2582" s="8">
        <f t="shared" si="2"/>
        <v>0.03</v>
      </c>
      <c r="P2582" s="9"/>
    </row>
    <row r="2583">
      <c r="A2583" s="6" t="s">
        <v>5822</v>
      </c>
      <c r="B2583" s="6" t="s">
        <v>5823</v>
      </c>
      <c r="C2583" s="6" t="s">
        <v>41</v>
      </c>
      <c r="D2583" s="6" t="s">
        <v>5824</v>
      </c>
      <c r="E2583" s="6" t="s">
        <v>2380</v>
      </c>
      <c r="F2583" s="6" t="s">
        <v>103</v>
      </c>
      <c r="G2583" s="7">
        <v>0.34</v>
      </c>
      <c r="H2583" s="6" t="s">
        <v>200</v>
      </c>
      <c r="I2583" s="6" t="s">
        <v>20</v>
      </c>
      <c r="J2583" s="6">
        <v>2018.0</v>
      </c>
      <c r="L2583" s="6">
        <v>1.0</v>
      </c>
      <c r="M2583" s="8">
        <f t="shared" si="2"/>
        <v>0.34</v>
      </c>
      <c r="P2583" s="9"/>
    </row>
    <row r="2584">
      <c r="A2584" s="6" t="s">
        <v>5822</v>
      </c>
      <c r="B2584" s="6" t="s">
        <v>5823</v>
      </c>
      <c r="C2584" s="6" t="s">
        <v>41</v>
      </c>
      <c r="D2584" s="6" t="s">
        <v>5824</v>
      </c>
      <c r="E2584" s="6" t="s">
        <v>2380</v>
      </c>
      <c r="F2584" s="6" t="s">
        <v>103</v>
      </c>
      <c r="G2584" s="7">
        <v>0.3</v>
      </c>
      <c r="H2584" s="6" t="s">
        <v>200</v>
      </c>
      <c r="I2584" s="6" t="s">
        <v>20</v>
      </c>
      <c r="J2584" s="6">
        <v>2018.0</v>
      </c>
      <c r="L2584" s="6">
        <v>1.0</v>
      </c>
      <c r="M2584" s="8">
        <f t="shared" si="2"/>
        <v>0.3</v>
      </c>
      <c r="P2584" s="9"/>
    </row>
    <row r="2585">
      <c r="A2585" s="6" t="s">
        <v>5825</v>
      </c>
      <c r="B2585" s="6" t="s">
        <v>62</v>
      </c>
      <c r="C2585" s="6" t="s">
        <v>23</v>
      </c>
      <c r="D2585" s="6" t="s">
        <v>5826</v>
      </c>
      <c r="E2585" s="6" t="s">
        <v>238</v>
      </c>
      <c r="F2585" s="6" t="s">
        <v>159</v>
      </c>
      <c r="G2585" s="7">
        <v>0.13</v>
      </c>
      <c r="H2585" s="6" t="s">
        <v>265</v>
      </c>
      <c r="I2585" s="6" t="s">
        <v>20</v>
      </c>
      <c r="J2585" s="6">
        <v>2017.0</v>
      </c>
      <c r="L2585" s="6">
        <v>2.0</v>
      </c>
      <c r="M2585" s="8">
        <f t="shared" si="2"/>
        <v>0.26</v>
      </c>
      <c r="P2585" s="9"/>
    </row>
    <row r="2586">
      <c r="A2586" s="6" t="s">
        <v>5827</v>
      </c>
      <c r="B2586" s="6" t="s">
        <v>3178</v>
      </c>
      <c r="C2586" s="6" t="s">
        <v>23</v>
      </c>
      <c r="D2586" s="6" t="s">
        <v>5828</v>
      </c>
      <c r="E2586" s="6" t="s">
        <v>602</v>
      </c>
      <c r="F2586" s="6" t="s">
        <v>159</v>
      </c>
      <c r="G2586" s="7">
        <v>0.03</v>
      </c>
      <c r="H2586" s="6" t="s">
        <v>299</v>
      </c>
      <c r="I2586" s="6" t="s">
        <v>20</v>
      </c>
      <c r="J2586" s="6">
        <v>2017.0</v>
      </c>
      <c r="K2586" s="10">
        <v>46116.0</v>
      </c>
      <c r="L2586" s="6">
        <v>1.0</v>
      </c>
      <c r="M2586" s="8">
        <f t="shared" si="2"/>
        <v>0.03</v>
      </c>
      <c r="P2586" s="9"/>
    </row>
    <row r="2587">
      <c r="A2587" s="6" t="s">
        <v>5829</v>
      </c>
      <c r="B2587" s="6" t="s">
        <v>5830</v>
      </c>
      <c r="C2587" s="6" t="s">
        <v>23</v>
      </c>
      <c r="D2587" s="6" t="s">
        <v>5831</v>
      </c>
      <c r="E2587" s="6" t="s">
        <v>118</v>
      </c>
      <c r="F2587" s="6" t="s">
        <v>51</v>
      </c>
      <c r="G2587" s="7">
        <v>0.25</v>
      </c>
      <c r="H2587" s="6" t="s">
        <v>994</v>
      </c>
      <c r="I2587" s="6" t="s">
        <v>55</v>
      </c>
      <c r="J2587" s="6">
        <v>2024.0</v>
      </c>
      <c r="K2587" s="10">
        <v>46054.0</v>
      </c>
      <c r="L2587" s="6">
        <v>4.0</v>
      </c>
      <c r="M2587" s="8">
        <f t="shared" si="2"/>
        <v>1</v>
      </c>
      <c r="P2587" s="9"/>
    </row>
    <row r="2588">
      <c r="A2588" s="6" t="s">
        <v>5832</v>
      </c>
      <c r="B2588" s="6" t="s">
        <v>372</v>
      </c>
      <c r="C2588" s="6" t="s">
        <v>23</v>
      </c>
      <c r="D2588" s="6" t="s">
        <v>5833</v>
      </c>
      <c r="E2588" s="6" t="s">
        <v>175</v>
      </c>
      <c r="F2588" s="6" t="s">
        <v>51</v>
      </c>
      <c r="G2588" s="7">
        <v>1.48</v>
      </c>
      <c r="H2588" s="6" t="s">
        <v>1514</v>
      </c>
      <c r="I2588" s="6" t="s">
        <v>20</v>
      </c>
      <c r="J2588" s="6">
        <v>2009.0</v>
      </c>
      <c r="L2588" s="6">
        <v>2.0</v>
      </c>
      <c r="M2588" s="8">
        <f t="shared" si="2"/>
        <v>2.96</v>
      </c>
      <c r="P2588" s="9"/>
    </row>
    <row r="2589">
      <c r="A2589" s="6" t="s">
        <v>5834</v>
      </c>
      <c r="B2589" s="6" t="s">
        <v>796</v>
      </c>
      <c r="C2589" s="6" t="s">
        <v>34</v>
      </c>
      <c r="D2589" s="6" t="s">
        <v>5835</v>
      </c>
      <c r="E2589" s="6" t="s">
        <v>2051</v>
      </c>
      <c r="F2589" s="6" t="s">
        <v>65</v>
      </c>
      <c r="G2589" s="7">
        <v>0.05</v>
      </c>
      <c r="H2589" s="6" t="s">
        <v>209</v>
      </c>
      <c r="I2589" s="6" t="s">
        <v>20</v>
      </c>
      <c r="J2589" s="6">
        <v>2025.0</v>
      </c>
      <c r="L2589" s="6">
        <v>11.0</v>
      </c>
      <c r="M2589" s="8">
        <f t="shared" si="2"/>
        <v>0.55</v>
      </c>
      <c r="P2589" s="9"/>
    </row>
    <row r="2590">
      <c r="A2590" s="6" t="s">
        <v>5836</v>
      </c>
      <c r="B2590" s="6" t="s">
        <v>5837</v>
      </c>
      <c r="C2590" s="6" t="s">
        <v>212</v>
      </c>
      <c r="D2590" s="6" t="s">
        <v>5838</v>
      </c>
      <c r="E2590" s="6" t="s">
        <v>5839</v>
      </c>
      <c r="F2590" s="6" t="s">
        <v>858</v>
      </c>
      <c r="G2590" s="7">
        <v>0.9</v>
      </c>
      <c r="H2590" s="6" t="s">
        <v>180</v>
      </c>
      <c r="I2590" s="6" t="s">
        <v>20</v>
      </c>
      <c r="J2590" s="6">
        <v>2014.0</v>
      </c>
      <c r="K2590" s="10">
        <v>46115.0</v>
      </c>
      <c r="L2590" s="6">
        <v>1.0</v>
      </c>
      <c r="M2590" s="8">
        <f t="shared" si="2"/>
        <v>0.9</v>
      </c>
      <c r="P2590" s="9"/>
    </row>
    <row r="2591">
      <c r="A2591" s="6" t="s">
        <v>5840</v>
      </c>
      <c r="B2591" s="6" t="s">
        <v>796</v>
      </c>
      <c r="C2591" s="6" t="s">
        <v>15</v>
      </c>
      <c r="D2591" s="6" t="s">
        <v>5841</v>
      </c>
      <c r="E2591" s="6" t="s">
        <v>4273</v>
      </c>
      <c r="F2591" s="6" t="s">
        <v>858</v>
      </c>
      <c r="G2591" s="7">
        <v>0.44</v>
      </c>
      <c r="H2591" s="6" t="s">
        <v>180</v>
      </c>
      <c r="I2591" s="6" t="s">
        <v>20</v>
      </c>
      <c r="J2591" s="6">
        <v>2014.0</v>
      </c>
      <c r="L2591" s="6">
        <v>1.0</v>
      </c>
      <c r="M2591" s="8">
        <f t="shared" si="2"/>
        <v>0.44</v>
      </c>
      <c r="P2591" s="9"/>
    </row>
    <row r="2592">
      <c r="A2592" s="6" t="s">
        <v>5842</v>
      </c>
      <c r="B2592" s="6" t="s">
        <v>182</v>
      </c>
      <c r="C2592" s="6" t="s">
        <v>23</v>
      </c>
      <c r="D2592" s="6" t="s">
        <v>5843</v>
      </c>
      <c r="E2592" s="6" t="s">
        <v>533</v>
      </c>
      <c r="F2592" s="6" t="s">
        <v>65</v>
      </c>
      <c r="G2592" s="7">
        <v>0.06</v>
      </c>
      <c r="H2592" s="6" t="s">
        <v>184</v>
      </c>
      <c r="I2592" s="6" t="s">
        <v>20</v>
      </c>
      <c r="J2592" s="6">
        <v>2015.0</v>
      </c>
      <c r="L2592" s="6">
        <v>6.0</v>
      </c>
      <c r="M2592" s="8">
        <f t="shared" si="2"/>
        <v>0.36</v>
      </c>
      <c r="P2592" s="9"/>
    </row>
    <row r="2593">
      <c r="A2593" s="6" t="s">
        <v>5844</v>
      </c>
      <c r="B2593" s="6" t="s">
        <v>5845</v>
      </c>
      <c r="C2593" s="6" t="s">
        <v>48</v>
      </c>
      <c r="D2593" s="6" t="s">
        <v>5846</v>
      </c>
      <c r="E2593" s="6" t="s">
        <v>112</v>
      </c>
      <c r="F2593" s="6" t="s">
        <v>65</v>
      </c>
      <c r="G2593" s="7">
        <v>0.1</v>
      </c>
      <c r="H2593" s="6" t="s">
        <v>380</v>
      </c>
      <c r="I2593" s="6" t="s">
        <v>20</v>
      </c>
      <c r="J2593" s="6">
        <v>2025.0</v>
      </c>
      <c r="K2593" s="10">
        <v>46024.0</v>
      </c>
      <c r="L2593" s="6">
        <v>1.0</v>
      </c>
      <c r="M2593" s="8">
        <f t="shared" si="2"/>
        <v>0.1</v>
      </c>
      <c r="P2593" s="9"/>
    </row>
    <row r="2594">
      <c r="A2594" s="6" t="s">
        <v>5847</v>
      </c>
      <c r="B2594" s="6" t="s">
        <v>62</v>
      </c>
      <c r="C2594" s="6" t="s">
        <v>23</v>
      </c>
      <c r="D2594" s="6" t="s">
        <v>5848</v>
      </c>
      <c r="E2594" s="6" t="s">
        <v>112</v>
      </c>
      <c r="F2594" s="6" t="s">
        <v>65</v>
      </c>
      <c r="G2594" s="7">
        <v>0.15</v>
      </c>
      <c r="H2594" s="6" t="s">
        <v>136</v>
      </c>
      <c r="I2594" s="6" t="s">
        <v>20</v>
      </c>
      <c r="J2594" s="6">
        <v>2022.0</v>
      </c>
      <c r="L2594" s="6">
        <v>1.0</v>
      </c>
      <c r="M2594" s="8">
        <f t="shared" si="2"/>
        <v>0.15</v>
      </c>
      <c r="P2594" s="9"/>
    </row>
    <row r="2595">
      <c r="A2595" s="6" t="s">
        <v>5847</v>
      </c>
      <c r="B2595" s="6" t="s">
        <v>62</v>
      </c>
      <c r="C2595" s="6" t="s">
        <v>48</v>
      </c>
      <c r="D2595" s="6" t="s">
        <v>5848</v>
      </c>
      <c r="E2595" s="6" t="s">
        <v>112</v>
      </c>
      <c r="F2595" s="6" t="s">
        <v>65</v>
      </c>
      <c r="G2595" s="7">
        <v>0.1</v>
      </c>
      <c r="H2595" s="6" t="s">
        <v>555</v>
      </c>
      <c r="I2595" s="6" t="s">
        <v>20</v>
      </c>
      <c r="J2595" s="6">
        <v>2017.0</v>
      </c>
      <c r="L2595" s="6">
        <v>2.0</v>
      </c>
      <c r="M2595" s="8">
        <f t="shared" si="2"/>
        <v>0.2</v>
      </c>
      <c r="P2595" s="9"/>
    </row>
    <row r="2596">
      <c r="A2596" s="6" t="s">
        <v>5847</v>
      </c>
      <c r="B2596" s="6" t="s">
        <v>62</v>
      </c>
      <c r="C2596" s="6" t="s">
        <v>23</v>
      </c>
      <c r="D2596" s="6" t="s">
        <v>5848</v>
      </c>
      <c r="E2596" s="6" t="s">
        <v>112</v>
      </c>
      <c r="F2596" s="6" t="s">
        <v>65</v>
      </c>
      <c r="G2596" s="7">
        <v>0.04</v>
      </c>
      <c r="H2596" s="6" t="s">
        <v>31</v>
      </c>
      <c r="I2596" s="6" t="s">
        <v>20</v>
      </c>
      <c r="J2596" s="6">
        <v>2026.0</v>
      </c>
      <c r="L2596" s="6">
        <v>1.0</v>
      </c>
      <c r="M2596" s="8">
        <f t="shared" si="2"/>
        <v>0.04</v>
      </c>
      <c r="P2596" s="9"/>
    </row>
    <row r="2597">
      <c r="A2597" s="6" t="s">
        <v>5847</v>
      </c>
      <c r="B2597" s="6" t="s">
        <v>62</v>
      </c>
      <c r="C2597" s="6" t="s">
        <v>23</v>
      </c>
      <c r="D2597" s="6" t="s">
        <v>5848</v>
      </c>
      <c r="E2597" s="6" t="s">
        <v>112</v>
      </c>
      <c r="F2597" s="6" t="s">
        <v>65</v>
      </c>
      <c r="G2597" s="7">
        <v>0.09</v>
      </c>
      <c r="H2597" s="6" t="s">
        <v>626</v>
      </c>
      <c r="I2597" s="6" t="s">
        <v>20</v>
      </c>
      <c r="J2597" s="6">
        <v>2013.0</v>
      </c>
      <c r="L2597" s="6">
        <v>4.0</v>
      </c>
      <c r="M2597" s="8">
        <f t="shared" si="2"/>
        <v>0.36</v>
      </c>
      <c r="P2597" s="9"/>
    </row>
    <row r="2598">
      <c r="A2598" s="6" t="s">
        <v>5849</v>
      </c>
      <c r="B2598" s="6" t="s">
        <v>796</v>
      </c>
      <c r="C2598" s="6" t="s">
        <v>34</v>
      </c>
      <c r="D2598" s="6" t="s">
        <v>5850</v>
      </c>
      <c r="E2598" s="6" t="s">
        <v>1307</v>
      </c>
      <c r="F2598" s="6" t="s">
        <v>65</v>
      </c>
      <c r="G2598" s="7">
        <v>0.13</v>
      </c>
      <c r="H2598" s="6" t="s">
        <v>38</v>
      </c>
      <c r="I2598" s="6" t="s">
        <v>20</v>
      </c>
      <c r="J2598" s="6">
        <v>2026.0</v>
      </c>
      <c r="L2598" s="6">
        <v>2.0</v>
      </c>
      <c r="M2598" s="8">
        <f t="shared" si="2"/>
        <v>0.26</v>
      </c>
      <c r="P2598" s="9"/>
    </row>
    <row r="2599">
      <c r="A2599" s="6" t="s">
        <v>5851</v>
      </c>
      <c r="B2599" s="6" t="s">
        <v>5852</v>
      </c>
      <c r="C2599" s="6" t="s">
        <v>521</v>
      </c>
      <c r="D2599" s="6" t="s">
        <v>5853</v>
      </c>
      <c r="E2599" s="6" t="s">
        <v>1336</v>
      </c>
      <c r="F2599" s="6" t="s">
        <v>103</v>
      </c>
      <c r="G2599" s="7">
        <v>0.46</v>
      </c>
      <c r="H2599" s="6" t="s">
        <v>188</v>
      </c>
      <c r="I2599" s="6" t="s">
        <v>20</v>
      </c>
      <c r="J2599" s="6">
        <v>2014.0</v>
      </c>
      <c r="K2599" s="10">
        <v>46024.0</v>
      </c>
      <c r="L2599" s="6">
        <v>4.0</v>
      </c>
      <c r="M2599" s="8">
        <f t="shared" si="2"/>
        <v>1.84</v>
      </c>
      <c r="P2599" s="9"/>
    </row>
    <row r="2600">
      <c r="A2600" s="6" t="s">
        <v>5854</v>
      </c>
      <c r="B2600" s="6" t="s">
        <v>62</v>
      </c>
      <c r="C2600" s="6" t="s">
        <v>48</v>
      </c>
      <c r="D2600" s="6" t="s">
        <v>5855</v>
      </c>
      <c r="E2600" s="6" t="s">
        <v>102</v>
      </c>
      <c r="F2600" s="6" t="s">
        <v>103</v>
      </c>
      <c r="G2600" s="7">
        <v>0.29</v>
      </c>
      <c r="H2600" s="6" t="s">
        <v>406</v>
      </c>
      <c r="I2600" s="6" t="s">
        <v>20</v>
      </c>
      <c r="J2600" s="6">
        <v>2019.0</v>
      </c>
      <c r="L2600" s="6">
        <v>2.0</v>
      </c>
      <c r="M2600" s="8">
        <f t="shared" si="2"/>
        <v>0.58</v>
      </c>
      <c r="P2600" s="9"/>
    </row>
    <row r="2601">
      <c r="A2601" s="6" t="s">
        <v>5856</v>
      </c>
      <c r="B2601" s="6" t="s">
        <v>815</v>
      </c>
      <c r="C2601" s="6" t="s">
        <v>23</v>
      </c>
      <c r="D2601" s="6" t="s">
        <v>5857</v>
      </c>
      <c r="E2601" s="6" t="s">
        <v>1336</v>
      </c>
      <c r="F2601" s="6" t="s">
        <v>103</v>
      </c>
      <c r="G2601" s="7">
        <v>0.05</v>
      </c>
      <c r="H2601" s="6" t="s">
        <v>245</v>
      </c>
      <c r="I2601" s="6" t="s">
        <v>20</v>
      </c>
      <c r="J2601" s="6">
        <v>1995.0</v>
      </c>
      <c r="K2601" s="10">
        <v>46083.0</v>
      </c>
      <c r="L2601" s="6">
        <v>1.0</v>
      </c>
      <c r="M2601" s="8">
        <f t="shared" si="2"/>
        <v>0.05</v>
      </c>
      <c r="P2601" s="9"/>
    </row>
    <row r="2602">
      <c r="A2602" s="6" t="s">
        <v>5858</v>
      </c>
      <c r="B2602" s="6" t="s">
        <v>850</v>
      </c>
      <c r="C2602" s="6" t="s">
        <v>15</v>
      </c>
      <c r="D2602" s="6" t="s">
        <v>5859</v>
      </c>
      <c r="E2602" s="6">
        <v>4.0</v>
      </c>
      <c r="F2602" s="6" t="s">
        <v>37</v>
      </c>
      <c r="G2602" s="7">
        <v>0.15</v>
      </c>
      <c r="H2602" s="6" t="s">
        <v>209</v>
      </c>
      <c r="I2602" s="6" t="s">
        <v>20</v>
      </c>
      <c r="J2602" s="6">
        <v>2025.0</v>
      </c>
      <c r="L2602" s="6">
        <v>1.0</v>
      </c>
      <c r="M2602" s="8">
        <f t="shared" si="2"/>
        <v>0.15</v>
      </c>
      <c r="P2602" s="9"/>
    </row>
    <row r="2603">
      <c r="A2603" s="6" t="s">
        <v>5860</v>
      </c>
      <c r="B2603" s="6" t="s">
        <v>2994</v>
      </c>
      <c r="C2603" s="6" t="s">
        <v>48</v>
      </c>
      <c r="D2603" s="6" t="s">
        <v>5861</v>
      </c>
      <c r="E2603" s="6" t="s">
        <v>118</v>
      </c>
      <c r="F2603" s="6" t="s">
        <v>51</v>
      </c>
      <c r="G2603" s="7">
        <v>0.1</v>
      </c>
      <c r="H2603" s="6" t="s">
        <v>192</v>
      </c>
      <c r="I2603" s="6" t="s">
        <v>20</v>
      </c>
      <c r="J2603" s="6">
        <v>2026.0</v>
      </c>
      <c r="K2603" s="10">
        <v>46024.0</v>
      </c>
      <c r="L2603" s="6">
        <v>4.0</v>
      </c>
      <c r="M2603" s="8">
        <f t="shared" si="2"/>
        <v>0.4</v>
      </c>
      <c r="P2603" s="9"/>
    </row>
    <row r="2604">
      <c r="A2604" s="6" t="s">
        <v>5862</v>
      </c>
      <c r="B2604" s="6" t="s">
        <v>182</v>
      </c>
      <c r="C2604" s="6" t="s">
        <v>23</v>
      </c>
      <c r="D2604" s="6" t="s">
        <v>5863</v>
      </c>
      <c r="E2604" s="6" t="s">
        <v>108</v>
      </c>
      <c r="F2604" s="6" t="s">
        <v>103</v>
      </c>
      <c r="G2604" s="7">
        <v>0.05</v>
      </c>
      <c r="H2604" s="6" t="s">
        <v>154</v>
      </c>
      <c r="I2604" s="6" t="s">
        <v>20</v>
      </c>
      <c r="J2604" s="6">
        <v>2013.0</v>
      </c>
      <c r="L2604" s="6">
        <v>2.0</v>
      </c>
      <c r="M2604" s="8">
        <f t="shared" si="2"/>
        <v>0.1</v>
      </c>
      <c r="P2604" s="9"/>
    </row>
    <row r="2605">
      <c r="A2605" s="6" t="s">
        <v>5862</v>
      </c>
      <c r="B2605" s="6" t="s">
        <v>182</v>
      </c>
      <c r="C2605" s="6" t="s">
        <v>23</v>
      </c>
      <c r="D2605" s="6" t="s">
        <v>5863</v>
      </c>
      <c r="E2605" s="6" t="s">
        <v>108</v>
      </c>
      <c r="F2605" s="6" t="s">
        <v>103</v>
      </c>
      <c r="G2605" s="7">
        <v>0.05</v>
      </c>
      <c r="H2605" s="6" t="s">
        <v>154</v>
      </c>
      <c r="I2605" s="6" t="s">
        <v>20</v>
      </c>
      <c r="J2605" s="6">
        <v>2013.0</v>
      </c>
      <c r="L2605" s="6">
        <v>1.0</v>
      </c>
      <c r="M2605" s="8">
        <f t="shared" si="2"/>
        <v>0.05</v>
      </c>
      <c r="P2605" s="9"/>
    </row>
    <row r="2606">
      <c r="A2606" s="6" t="s">
        <v>5862</v>
      </c>
      <c r="B2606" s="6" t="s">
        <v>182</v>
      </c>
      <c r="C2606" s="6" t="s">
        <v>23</v>
      </c>
      <c r="D2606" s="6" t="s">
        <v>5863</v>
      </c>
      <c r="E2606" s="6" t="s">
        <v>108</v>
      </c>
      <c r="F2606" s="6" t="s">
        <v>103</v>
      </c>
      <c r="G2606" s="7">
        <v>0.05</v>
      </c>
      <c r="H2606" s="6" t="s">
        <v>154</v>
      </c>
      <c r="I2606" s="6" t="s">
        <v>20</v>
      </c>
      <c r="J2606" s="6">
        <v>2013.0</v>
      </c>
      <c r="L2606" s="6">
        <v>1.0</v>
      </c>
      <c r="M2606" s="8">
        <f t="shared" si="2"/>
        <v>0.05</v>
      </c>
      <c r="P2606" s="9"/>
    </row>
    <row r="2607">
      <c r="A2607" s="6" t="s">
        <v>5864</v>
      </c>
      <c r="B2607" s="6" t="s">
        <v>307</v>
      </c>
      <c r="C2607" s="6" t="s">
        <v>48</v>
      </c>
      <c r="D2607" s="6" t="s">
        <v>5865</v>
      </c>
      <c r="E2607" s="6" t="s">
        <v>625</v>
      </c>
      <c r="F2607" s="6" t="s">
        <v>37</v>
      </c>
      <c r="G2607" s="7">
        <v>0.09</v>
      </c>
      <c r="H2607" s="6" t="s">
        <v>197</v>
      </c>
      <c r="I2607" s="6" t="s">
        <v>20</v>
      </c>
      <c r="J2607" s="6">
        <v>1995.0</v>
      </c>
      <c r="L2607" s="6">
        <v>2.0</v>
      </c>
      <c r="M2607" s="8">
        <f t="shared" si="2"/>
        <v>0.18</v>
      </c>
      <c r="P2607" s="9"/>
    </row>
    <row r="2608">
      <c r="A2608" s="6" t="s">
        <v>5866</v>
      </c>
      <c r="B2608" s="6" t="s">
        <v>202</v>
      </c>
      <c r="C2608" s="6" t="s">
        <v>48</v>
      </c>
      <c r="D2608" s="6" t="s">
        <v>5867</v>
      </c>
      <c r="E2608" s="6" t="s">
        <v>112</v>
      </c>
      <c r="F2608" s="6" t="s">
        <v>65</v>
      </c>
      <c r="G2608" s="7">
        <v>0.14</v>
      </c>
      <c r="H2608" s="6" t="s">
        <v>204</v>
      </c>
      <c r="I2608" s="6" t="s">
        <v>20</v>
      </c>
      <c r="J2608" s="6">
        <v>2026.0</v>
      </c>
      <c r="L2608" s="6">
        <v>1.0</v>
      </c>
      <c r="M2608" s="8">
        <f t="shared" si="2"/>
        <v>0.14</v>
      </c>
      <c r="P2608" s="9"/>
    </row>
    <row r="2609">
      <c r="A2609" s="6" t="s">
        <v>5868</v>
      </c>
      <c r="B2609" s="6" t="s">
        <v>2539</v>
      </c>
      <c r="C2609" s="6" t="s">
        <v>23</v>
      </c>
      <c r="D2609" s="6" t="s">
        <v>5869</v>
      </c>
      <c r="E2609" s="6" t="s">
        <v>533</v>
      </c>
      <c r="F2609" s="6" t="s">
        <v>65</v>
      </c>
      <c r="G2609" s="7">
        <v>0.13</v>
      </c>
      <c r="H2609" s="6" t="s">
        <v>163</v>
      </c>
      <c r="I2609" s="6" t="s">
        <v>20</v>
      </c>
      <c r="J2609" s="6">
        <v>2023.0</v>
      </c>
      <c r="K2609" s="10">
        <v>46056.0</v>
      </c>
      <c r="L2609" s="6">
        <v>1.0</v>
      </c>
      <c r="M2609" s="8">
        <f t="shared" si="2"/>
        <v>0.13</v>
      </c>
      <c r="P2609" s="9"/>
    </row>
    <row r="2610">
      <c r="A2610" s="6" t="s">
        <v>5870</v>
      </c>
      <c r="B2610" s="6" t="s">
        <v>5871</v>
      </c>
      <c r="C2610" s="6" t="s">
        <v>23</v>
      </c>
      <c r="D2610" s="6" t="s">
        <v>5872</v>
      </c>
      <c r="E2610" s="6" t="s">
        <v>79</v>
      </c>
      <c r="F2610" s="6" t="s">
        <v>51</v>
      </c>
      <c r="G2610" s="7">
        <v>0.05</v>
      </c>
      <c r="H2610" s="6" t="s">
        <v>645</v>
      </c>
      <c r="I2610" s="6" t="s">
        <v>20</v>
      </c>
      <c r="J2610" s="6">
        <v>2024.0</v>
      </c>
      <c r="K2610" s="10">
        <v>46024.0</v>
      </c>
      <c r="L2610" s="6">
        <v>1.0</v>
      </c>
      <c r="M2610" s="8">
        <f t="shared" si="2"/>
        <v>0.05</v>
      </c>
      <c r="P2610" s="9"/>
    </row>
    <row r="2611">
      <c r="A2611" s="6" t="s">
        <v>5873</v>
      </c>
      <c r="B2611" s="6" t="s">
        <v>3786</v>
      </c>
      <c r="C2611" s="6" t="s">
        <v>48</v>
      </c>
      <c r="D2611" s="6" t="s">
        <v>5874</v>
      </c>
      <c r="E2611" s="6" t="s">
        <v>625</v>
      </c>
      <c r="F2611" s="6" t="s">
        <v>37</v>
      </c>
      <c r="G2611" s="7">
        <v>0.75</v>
      </c>
      <c r="H2611" s="6" t="s">
        <v>607</v>
      </c>
      <c r="I2611" s="6" t="s">
        <v>20</v>
      </c>
      <c r="J2611" s="6">
        <v>1994.0</v>
      </c>
      <c r="K2611" s="6" t="s">
        <v>5875</v>
      </c>
      <c r="L2611" s="6">
        <v>1.0</v>
      </c>
      <c r="M2611" s="8">
        <f t="shared" si="2"/>
        <v>0.75</v>
      </c>
      <c r="P2611" s="9"/>
    </row>
    <row r="2612">
      <c r="A2612" s="6" t="s">
        <v>5876</v>
      </c>
      <c r="B2612" s="6" t="s">
        <v>14</v>
      </c>
      <c r="C2612" s="6" t="s">
        <v>15</v>
      </c>
      <c r="D2612" s="6" t="s">
        <v>5877</v>
      </c>
      <c r="E2612" s="6" t="s">
        <v>1475</v>
      </c>
      <c r="F2612" s="6" t="s">
        <v>65</v>
      </c>
      <c r="G2612" s="7">
        <v>0.21</v>
      </c>
      <c r="H2612" s="6" t="s">
        <v>19</v>
      </c>
      <c r="I2612" s="6" t="s">
        <v>20</v>
      </c>
      <c r="J2612" s="6">
        <v>2023.0</v>
      </c>
      <c r="L2612" s="6">
        <v>2.0</v>
      </c>
      <c r="M2612" s="8">
        <f t="shared" si="2"/>
        <v>0.42</v>
      </c>
      <c r="P2612" s="9"/>
    </row>
    <row r="2613">
      <c r="A2613" s="6" t="s">
        <v>5878</v>
      </c>
      <c r="B2613" s="6" t="s">
        <v>1420</v>
      </c>
      <c r="C2613" s="6" t="s">
        <v>23</v>
      </c>
      <c r="D2613" s="6" t="s">
        <v>5879</v>
      </c>
      <c r="E2613" s="6" t="s">
        <v>238</v>
      </c>
      <c r="F2613" s="6" t="s">
        <v>159</v>
      </c>
      <c r="G2613" s="7">
        <v>1.0</v>
      </c>
      <c r="H2613" s="6" t="s">
        <v>200</v>
      </c>
      <c r="I2613" s="6" t="s">
        <v>20</v>
      </c>
      <c r="J2613" s="6">
        <v>2018.0</v>
      </c>
      <c r="K2613" s="10">
        <v>46023.0</v>
      </c>
      <c r="L2613" s="6">
        <v>4.0</v>
      </c>
      <c r="M2613" s="8">
        <f t="shared" si="2"/>
        <v>4</v>
      </c>
      <c r="N2613" s="6" t="s">
        <v>172</v>
      </c>
      <c r="P2613" s="9"/>
    </row>
    <row r="2614">
      <c r="A2614" s="6" t="s">
        <v>5880</v>
      </c>
      <c r="B2614" s="6" t="s">
        <v>2673</v>
      </c>
      <c r="C2614" s="6" t="s">
        <v>23</v>
      </c>
      <c r="D2614" s="6" t="s">
        <v>5881</v>
      </c>
      <c r="E2614" s="6" t="s">
        <v>298</v>
      </c>
      <c r="F2614" s="6" t="s">
        <v>159</v>
      </c>
      <c r="G2614" s="7">
        <v>0.09</v>
      </c>
      <c r="H2614" s="6" t="s">
        <v>184</v>
      </c>
      <c r="I2614" s="6" t="s">
        <v>20</v>
      </c>
      <c r="J2614" s="6">
        <v>2015.0</v>
      </c>
      <c r="K2614" s="10">
        <v>46055.0</v>
      </c>
      <c r="L2614" s="6">
        <v>2.0</v>
      </c>
      <c r="M2614" s="8">
        <f t="shared" si="2"/>
        <v>0.18</v>
      </c>
      <c r="P2614" s="9"/>
    </row>
    <row r="2615">
      <c r="A2615" s="6" t="s">
        <v>5882</v>
      </c>
      <c r="B2615" s="6" t="s">
        <v>1907</v>
      </c>
      <c r="C2615" s="6" t="s">
        <v>23</v>
      </c>
      <c r="D2615" s="6" t="s">
        <v>5883</v>
      </c>
      <c r="E2615" s="6" t="s">
        <v>270</v>
      </c>
      <c r="F2615" s="6" t="s">
        <v>159</v>
      </c>
      <c r="G2615" s="7">
        <v>0.04</v>
      </c>
      <c r="H2615" s="6" t="s">
        <v>574</v>
      </c>
      <c r="I2615" s="6" t="s">
        <v>20</v>
      </c>
      <c r="J2615" s="6">
        <v>2000.0</v>
      </c>
      <c r="K2615" s="10">
        <v>46055.0</v>
      </c>
      <c r="L2615" s="6">
        <v>1.0</v>
      </c>
      <c r="M2615" s="8">
        <f t="shared" si="2"/>
        <v>0.04</v>
      </c>
      <c r="P2615" s="9"/>
    </row>
    <row r="2616">
      <c r="A2616" s="6" t="s">
        <v>5884</v>
      </c>
      <c r="B2616" s="6" t="s">
        <v>5885</v>
      </c>
      <c r="C2616" s="6" t="s">
        <v>449</v>
      </c>
      <c r="D2616" s="6" t="s">
        <v>5886</v>
      </c>
      <c r="E2616" s="6" t="s">
        <v>5887</v>
      </c>
      <c r="F2616" s="6" t="s">
        <v>215</v>
      </c>
      <c r="G2616" s="7">
        <v>1.35</v>
      </c>
      <c r="H2616" s="6" t="s">
        <v>5888</v>
      </c>
      <c r="I2616" s="6" t="s">
        <v>20</v>
      </c>
      <c r="K2616" s="10">
        <v>46082.0</v>
      </c>
      <c r="L2616" s="6">
        <v>1.0</v>
      </c>
      <c r="M2616" s="8">
        <f t="shared" si="2"/>
        <v>1.35</v>
      </c>
      <c r="P2616" s="9"/>
    </row>
    <row r="2617">
      <c r="A2617" s="6" t="s">
        <v>5889</v>
      </c>
      <c r="B2617" s="6" t="s">
        <v>677</v>
      </c>
      <c r="C2617" s="6" t="s">
        <v>23</v>
      </c>
      <c r="D2617" s="6" t="s">
        <v>5890</v>
      </c>
      <c r="E2617" s="6" t="s">
        <v>2312</v>
      </c>
      <c r="F2617" s="6" t="s">
        <v>103</v>
      </c>
      <c r="G2617" s="7">
        <v>0.05</v>
      </c>
      <c r="H2617" s="6" t="s">
        <v>626</v>
      </c>
      <c r="I2617" s="6" t="s">
        <v>20</v>
      </c>
      <c r="J2617" s="6">
        <v>2013.0</v>
      </c>
      <c r="K2617" s="10">
        <v>46084.0</v>
      </c>
      <c r="L2617" s="6">
        <v>5.0</v>
      </c>
      <c r="M2617" s="8">
        <f t="shared" si="2"/>
        <v>0.25</v>
      </c>
      <c r="P2617" s="9"/>
    </row>
    <row r="2618">
      <c r="A2618" s="6" t="s">
        <v>5891</v>
      </c>
      <c r="B2618" s="6" t="s">
        <v>3660</v>
      </c>
      <c r="C2618" s="6" t="s">
        <v>48</v>
      </c>
      <c r="D2618" s="6" t="s">
        <v>5892</v>
      </c>
      <c r="E2618" s="6" t="s">
        <v>298</v>
      </c>
      <c r="F2618" s="6" t="s">
        <v>159</v>
      </c>
      <c r="G2618" s="7">
        <v>0.04</v>
      </c>
      <c r="H2618" s="6" t="s">
        <v>1675</v>
      </c>
      <c r="I2618" s="6" t="s">
        <v>20</v>
      </c>
      <c r="J2618" s="6">
        <v>2021.0</v>
      </c>
      <c r="K2618" s="10">
        <v>46059.0</v>
      </c>
      <c r="L2618" s="6">
        <v>1.0</v>
      </c>
      <c r="M2618" s="8">
        <f t="shared" si="2"/>
        <v>0.04</v>
      </c>
      <c r="P2618" s="9"/>
    </row>
    <row r="2619">
      <c r="A2619" s="6" t="s">
        <v>5893</v>
      </c>
      <c r="B2619" s="6" t="s">
        <v>1449</v>
      </c>
      <c r="C2619" s="6" t="s">
        <v>23</v>
      </c>
      <c r="D2619" s="6" t="s">
        <v>5894</v>
      </c>
      <c r="E2619" s="6" t="s">
        <v>64</v>
      </c>
      <c r="F2619" s="6" t="s">
        <v>65</v>
      </c>
      <c r="G2619" s="7">
        <v>0.06</v>
      </c>
      <c r="H2619" s="6" t="s">
        <v>271</v>
      </c>
      <c r="I2619" s="6" t="s">
        <v>20</v>
      </c>
      <c r="J2619" s="6">
        <v>2012.0</v>
      </c>
      <c r="K2619" s="6" t="s">
        <v>597</v>
      </c>
      <c r="L2619" s="6">
        <v>1.0</v>
      </c>
      <c r="M2619" s="8">
        <f t="shared" si="2"/>
        <v>0.06</v>
      </c>
      <c r="P2619" s="9"/>
    </row>
    <row r="2620">
      <c r="A2620" s="6" t="s">
        <v>5895</v>
      </c>
      <c r="B2620" s="6" t="s">
        <v>1253</v>
      </c>
      <c r="C2620" s="6" t="s">
        <v>15</v>
      </c>
      <c r="D2620" s="6" t="s">
        <v>5896</v>
      </c>
      <c r="E2620" s="6" t="s">
        <v>5897</v>
      </c>
      <c r="F2620" s="6" t="s">
        <v>87</v>
      </c>
      <c r="G2620" s="7">
        <v>0.23</v>
      </c>
      <c r="H2620" s="6" t="s">
        <v>209</v>
      </c>
      <c r="I2620" s="6" t="s">
        <v>20</v>
      </c>
      <c r="J2620" s="6">
        <v>2025.0</v>
      </c>
      <c r="K2620" s="10">
        <v>46083.0</v>
      </c>
      <c r="L2620" s="6">
        <v>4.0</v>
      </c>
      <c r="M2620" s="8">
        <f t="shared" si="2"/>
        <v>0.92</v>
      </c>
      <c r="P2620" s="9"/>
    </row>
    <row r="2621">
      <c r="A2621" s="6" t="s">
        <v>5898</v>
      </c>
      <c r="B2621" s="6" t="s">
        <v>2342</v>
      </c>
      <c r="C2621" s="6" t="s">
        <v>41</v>
      </c>
      <c r="D2621" s="6" t="s">
        <v>5899</v>
      </c>
      <c r="E2621" s="6" t="s">
        <v>625</v>
      </c>
      <c r="F2621" s="6" t="s">
        <v>37</v>
      </c>
      <c r="G2621" s="7">
        <v>0.5</v>
      </c>
      <c r="H2621" s="6" t="s">
        <v>636</v>
      </c>
      <c r="I2621" s="6" t="s">
        <v>20</v>
      </c>
      <c r="J2621" s="6">
        <v>2015.0</v>
      </c>
      <c r="K2621" s="10">
        <v>46055.0</v>
      </c>
      <c r="L2621" s="6">
        <v>1.0</v>
      </c>
      <c r="M2621" s="8">
        <f t="shared" si="2"/>
        <v>0.5</v>
      </c>
      <c r="P2621" s="9"/>
    </row>
    <row r="2622">
      <c r="A2622" s="6" t="s">
        <v>5900</v>
      </c>
      <c r="B2622" s="6" t="s">
        <v>5901</v>
      </c>
      <c r="C2622" s="6" t="s">
        <v>34</v>
      </c>
      <c r="D2622" s="6" t="s">
        <v>5902</v>
      </c>
      <c r="E2622" s="6" t="s">
        <v>3163</v>
      </c>
      <c r="F2622" s="6" t="s">
        <v>51</v>
      </c>
      <c r="G2622" s="7">
        <v>0.94</v>
      </c>
      <c r="H2622" s="6" t="s">
        <v>180</v>
      </c>
      <c r="I2622" s="6" t="s">
        <v>20</v>
      </c>
      <c r="J2622" s="6">
        <v>2014.0</v>
      </c>
      <c r="K2622" s="10">
        <v>46024.0</v>
      </c>
      <c r="L2622" s="6">
        <v>1.0</v>
      </c>
      <c r="M2622" s="8">
        <f t="shared" si="2"/>
        <v>0.94</v>
      </c>
      <c r="P2622" s="9"/>
    </row>
    <row r="2623">
      <c r="A2623" s="6" t="s">
        <v>5903</v>
      </c>
      <c r="B2623" s="6" t="s">
        <v>5904</v>
      </c>
      <c r="C2623" s="6" t="s">
        <v>48</v>
      </c>
      <c r="D2623" s="6" t="s">
        <v>5905</v>
      </c>
      <c r="E2623" s="6" t="s">
        <v>1166</v>
      </c>
      <c r="F2623" s="6" t="s">
        <v>215</v>
      </c>
      <c r="G2623" s="7">
        <v>0.15</v>
      </c>
      <c r="H2623" s="6" t="s">
        <v>45</v>
      </c>
      <c r="I2623" s="6" t="s">
        <v>20</v>
      </c>
      <c r="J2623" s="6">
        <v>2025.0</v>
      </c>
      <c r="K2623" s="10">
        <v>46083.0</v>
      </c>
      <c r="L2623" s="6">
        <v>1.0</v>
      </c>
      <c r="M2623" s="8">
        <f t="shared" si="2"/>
        <v>0.15</v>
      </c>
      <c r="P2623" s="9"/>
    </row>
    <row r="2624">
      <c r="A2624" s="6" t="s">
        <v>5906</v>
      </c>
      <c r="B2624" s="6" t="s">
        <v>62</v>
      </c>
      <c r="C2624" s="6" t="s">
        <v>48</v>
      </c>
      <c r="D2624" s="6" t="s">
        <v>5907</v>
      </c>
      <c r="E2624" s="6" t="s">
        <v>102</v>
      </c>
      <c r="F2624" s="6" t="s">
        <v>103</v>
      </c>
      <c r="G2624" s="7">
        <v>0.25</v>
      </c>
      <c r="H2624" s="6" t="s">
        <v>346</v>
      </c>
      <c r="I2624" s="6" t="s">
        <v>20</v>
      </c>
      <c r="J2624" s="6">
        <v>2024.0</v>
      </c>
      <c r="L2624" s="6">
        <v>1.0</v>
      </c>
      <c r="M2624" s="8">
        <f t="shared" si="2"/>
        <v>0.25</v>
      </c>
      <c r="P2624" s="9"/>
    </row>
    <row r="2625">
      <c r="A2625" s="6" t="s">
        <v>5908</v>
      </c>
      <c r="B2625" s="6" t="s">
        <v>62</v>
      </c>
      <c r="C2625" s="6" t="s">
        <v>48</v>
      </c>
      <c r="D2625" s="6" t="s">
        <v>5909</v>
      </c>
      <c r="E2625" s="6" t="s">
        <v>118</v>
      </c>
      <c r="F2625" s="6" t="s">
        <v>51</v>
      </c>
      <c r="G2625" s="7">
        <v>0.09</v>
      </c>
      <c r="H2625" s="6" t="s">
        <v>66</v>
      </c>
      <c r="I2625" s="6" t="s">
        <v>20</v>
      </c>
      <c r="J2625" s="6">
        <v>2016.0</v>
      </c>
      <c r="L2625" s="6">
        <v>1.0</v>
      </c>
      <c r="M2625" s="8">
        <f t="shared" si="2"/>
        <v>0.09</v>
      </c>
      <c r="P2625" s="9"/>
    </row>
    <row r="2626">
      <c r="A2626" s="6" t="s">
        <v>5910</v>
      </c>
      <c r="B2626" s="6" t="s">
        <v>14</v>
      </c>
      <c r="C2626" s="6" t="s">
        <v>15</v>
      </c>
      <c r="D2626" s="6" t="s">
        <v>5911</v>
      </c>
      <c r="E2626" s="6" t="s">
        <v>238</v>
      </c>
      <c r="F2626" s="6" t="s">
        <v>159</v>
      </c>
      <c r="G2626" s="7">
        <v>0.2</v>
      </c>
      <c r="H2626" s="6" t="s">
        <v>19</v>
      </c>
      <c r="I2626" s="6" t="s">
        <v>20</v>
      </c>
      <c r="J2626" s="6">
        <v>2023.0</v>
      </c>
      <c r="L2626" s="6">
        <v>1.0</v>
      </c>
      <c r="M2626" s="8">
        <f t="shared" si="2"/>
        <v>0.2</v>
      </c>
      <c r="P2626" s="9"/>
    </row>
    <row r="2627">
      <c r="A2627" s="6" t="s">
        <v>5912</v>
      </c>
      <c r="B2627" s="6" t="s">
        <v>543</v>
      </c>
      <c r="C2627" s="6" t="s">
        <v>449</v>
      </c>
      <c r="D2627" s="6" t="s">
        <v>5913</v>
      </c>
      <c r="E2627" s="6" t="s">
        <v>5914</v>
      </c>
      <c r="F2627" s="6" t="s">
        <v>904</v>
      </c>
      <c r="G2627" s="7">
        <v>6.8</v>
      </c>
      <c r="H2627" s="6" t="s">
        <v>2680</v>
      </c>
      <c r="I2627" s="6" t="s">
        <v>20</v>
      </c>
      <c r="J2627" s="6">
        <v>1998.0</v>
      </c>
      <c r="L2627" s="6">
        <v>1.0</v>
      </c>
      <c r="M2627" s="8">
        <f t="shared" si="2"/>
        <v>6.8</v>
      </c>
      <c r="P2627" s="9"/>
    </row>
    <row r="2628">
      <c r="A2628" s="6" t="s">
        <v>5915</v>
      </c>
      <c r="B2628" s="6" t="s">
        <v>507</v>
      </c>
      <c r="C2628" s="6" t="s">
        <v>23</v>
      </c>
      <c r="E2628" s="6" t="s">
        <v>50</v>
      </c>
      <c r="F2628" s="6" t="s">
        <v>51</v>
      </c>
      <c r="G2628" s="7">
        <v>0.03</v>
      </c>
      <c r="H2628" s="6" t="s">
        <v>555</v>
      </c>
      <c r="I2628" s="6" t="s">
        <v>20</v>
      </c>
      <c r="J2628" s="6">
        <v>2017.0</v>
      </c>
      <c r="K2628" s="10">
        <v>46204.0</v>
      </c>
      <c r="L2628" s="6">
        <v>1.0</v>
      </c>
      <c r="M2628" s="8">
        <f t="shared" si="2"/>
        <v>0.03</v>
      </c>
      <c r="P2628" s="9"/>
    </row>
    <row r="2629">
      <c r="A2629" s="6" t="s">
        <v>5916</v>
      </c>
      <c r="B2629" s="6" t="s">
        <v>424</v>
      </c>
      <c r="C2629" s="6" t="s">
        <v>23</v>
      </c>
      <c r="D2629" s="6" t="s">
        <v>5917</v>
      </c>
      <c r="F2629" s="6" t="s">
        <v>65</v>
      </c>
      <c r="G2629" s="7">
        <v>0.09</v>
      </c>
      <c r="H2629" s="6" t="s">
        <v>621</v>
      </c>
      <c r="I2629" s="6" t="s">
        <v>20</v>
      </c>
      <c r="J2629" s="6">
        <v>2015.0</v>
      </c>
      <c r="L2629" s="6">
        <v>1.0</v>
      </c>
      <c r="M2629" s="8">
        <f t="shared" si="2"/>
        <v>0.09</v>
      </c>
      <c r="P2629" s="9"/>
    </row>
    <row r="2630">
      <c r="A2630" s="6" t="s">
        <v>5916</v>
      </c>
      <c r="B2630" s="6" t="s">
        <v>424</v>
      </c>
      <c r="C2630" s="6" t="s">
        <v>23</v>
      </c>
      <c r="D2630" s="6" t="s">
        <v>5917</v>
      </c>
      <c r="F2630" s="6" t="s">
        <v>37</v>
      </c>
      <c r="G2630" s="7">
        <v>0.09</v>
      </c>
      <c r="H2630" s="6" t="s">
        <v>621</v>
      </c>
      <c r="I2630" s="6" t="s">
        <v>20</v>
      </c>
      <c r="J2630" s="6">
        <v>2015.0</v>
      </c>
      <c r="L2630" s="6">
        <v>7.0</v>
      </c>
      <c r="M2630" s="8">
        <f t="shared" si="2"/>
        <v>0.63</v>
      </c>
      <c r="P2630" s="9"/>
    </row>
    <row r="2631">
      <c r="A2631" s="6" t="s">
        <v>5918</v>
      </c>
      <c r="B2631" s="6" t="s">
        <v>5919</v>
      </c>
      <c r="C2631" s="6" t="s">
        <v>34</v>
      </c>
      <c r="D2631" s="6" t="s">
        <v>5920</v>
      </c>
      <c r="E2631" s="6" t="s">
        <v>618</v>
      </c>
      <c r="F2631" s="6" t="s">
        <v>159</v>
      </c>
      <c r="G2631" s="7">
        <v>0.1</v>
      </c>
      <c r="H2631" s="6" t="s">
        <v>209</v>
      </c>
      <c r="I2631" s="6" t="s">
        <v>20</v>
      </c>
      <c r="J2631" s="6">
        <v>2025.0</v>
      </c>
      <c r="K2631" s="10">
        <v>46056.0</v>
      </c>
      <c r="L2631" s="6">
        <v>2.0</v>
      </c>
      <c r="M2631" s="8">
        <f t="shared" si="2"/>
        <v>0.2</v>
      </c>
      <c r="P2631" s="9"/>
    </row>
    <row r="2632">
      <c r="A2632" s="6" t="s">
        <v>5921</v>
      </c>
      <c r="B2632" s="6" t="s">
        <v>5922</v>
      </c>
      <c r="C2632" s="6" t="s">
        <v>48</v>
      </c>
      <c r="D2632" s="6" t="s">
        <v>5923</v>
      </c>
      <c r="E2632" s="6" t="s">
        <v>153</v>
      </c>
      <c r="F2632" s="6" t="s">
        <v>103</v>
      </c>
      <c r="G2632" s="7">
        <v>0.11</v>
      </c>
      <c r="H2632" s="6" t="s">
        <v>192</v>
      </c>
      <c r="I2632" s="6" t="s">
        <v>20</v>
      </c>
      <c r="J2632" s="6">
        <v>2026.0</v>
      </c>
      <c r="K2632" s="10">
        <v>46056.0</v>
      </c>
      <c r="L2632" s="6">
        <v>2.0</v>
      </c>
      <c r="M2632" s="8">
        <f t="shared" si="2"/>
        <v>0.22</v>
      </c>
      <c r="P2632" s="9"/>
    </row>
    <row r="2633">
      <c r="A2633" s="6" t="s">
        <v>5924</v>
      </c>
      <c r="B2633" s="6" t="s">
        <v>709</v>
      </c>
      <c r="C2633" s="6" t="s">
        <v>41</v>
      </c>
      <c r="D2633" s="6" t="s">
        <v>5925</v>
      </c>
      <c r="E2633" s="6" t="s">
        <v>5926</v>
      </c>
      <c r="F2633" s="6" t="s">
        <v>103</v>
      </c>
      <c r="G2633" s="7">
        <v>2.49</v>
      </c>
      <c r="H2633" s="6" t="s">
        <v>109</v>
      </c>
      <c r="I2633" s="6" t="s">
        <v>20</v>
      </c>
      <c r="J2633" s="6">
        <v>1995.0</v>
      </c>
      <c r="K2633" s="10">
        <v>46210.0</v>
      </c>
      <c r="L2633" s="6">
        <v>1.0</v>
      </c>
      <c r="M2633" s="8">
        <f t="shared" si="2"/>
        <v>2.49</v>
      </c>
      <c r="P2633" s="9"/>
    </row>
    <row r="2634">
      <c r="A2634" s="6" t="s">
        <v>5927</v>
      </c>
      <c r="B2634" s="6" t="s">
        <v>5928</v>
      </c>
      <c r="C2634" s="6" t="s">
        <v>41</v>
      </c>
      <c r="D2634" s="6" t="s">
        <v>5929</v>
      </c>
      <c r="E2634" s="6" t="s">
        <v>5930</v>
      </c>
      <c r="F2634" s="6" t="s">
        <v>5931</v>
      </c>
      <c r="G2634" s="7">
        <v>5.74</v>
      </c>
      <c r="H2634" s="6" t="s">
        <v>289</v>
      </c>
      <c r="I2634" s="6" t="s">
        <v>20</v>
      </c>
      <c r="J2634" s="6">
        <v>1996.0</v>
      </c>
      <c r="K2634" s="10">
        <v>46122.0</v>
      </c>
      <c r="L2634" s="6">
        <v>1.0</v>
      </c>
      <c r="M2634" s="8">
        <f t="shared" si="2"/>
        <v>5.74</v>
      </c>
      <c r="N2634" s="6" t="s">
        <v>172</v>
      </c>
      <c r="P2634" s="9"/>
    </row>
    <row r="2635">
      <c r="A2635" s="6" t="s">
        <v>5932</v>
      </c>
      <c r="B2635" s="6" t="s">
        <v>5933</v>
      </c>
      <c r="C2635" s="6" t="s">
        <v>48</v>
      </c>
      <c r="D2635" s="6" t="s">
        <v>5934</v>
      </c>
      <c r="E2635" s="6" t="s">
        <v>79</v>
      </c>
      <c r="F2635" s="6" t="s">
        <v>51</v>
      </c>
      <c r="G2635" s="7">
        <v>13.95</v>
      </c>
      <c r="H2635" s="6" t="s">
        <v>163</v>
      </c>
      <c r="I2635" s="6" t="s">
        <v>20</v>
      </c>
      <c r="J2635" s="6">
        <v>2023.0</v>
      </c>
      <c r="K2635" s="10">
        <v>46114.0</v>
      </c>
      <c r="L2635" s="6">
        <v>1.0</v>
      </c>
      <c r="M2635" s="8">
        <f t="shared" si="2"/>
        <v>13.95</v>
      </c>
      <c r="N2635" s="6" t="s">
        <v>172</v>
      </c>
      <c r="P2635" s="9"/>
    </row>
    <row r="2636">
      <c r="A2636" s="6" t="s">
        <v>5935</v>
      </c>
      <c r="B2636" s="6" t="s">
        <v>57</v>
      </c>
      <c r="C2636" s="6" t="s">
        <v>23</v>
      </c>
      <c r="D2636" s="6" t="s">
        <v>5936</v>
      </c>
      <c r="E2636" s="6" t="s">
        <v>558</v>
      </c>
      <c r="F2636" s="6" t="s">
        <v>18</v>
      </c>
      <c r="G2636" s="7">
        <v>0.1</v>
      </c>
      <c r="H2636" s="6" t="s">
        <v>45</v>
      </c>
      <c r="I2636" s="6" t="s">
        <v>20</v>
      </c>
      <c r="J2636" s="6">
        <v>2025.0</v>
      </c>
      <c r="L2636" s="6">
        <v>2.0</v>
      </c>
      <c r="M2636" s="8">
        <f t="shared" si="2"/>
        <v>0.2</v>
      </c>
      <c r="P2636" s="9"/>
    </row>
    <row r="2637">
      <c r="A2637" s="6" t="s">
        <v>5937</v>
      </c>
      <c r="B2637" s="6" t="s">
        <v>194</v>
      </c>
      <c r="C2637" s="6" t="s">
        <v>23</v>
      </c>
      <c r="D2637" s="6" t="s">
        <v>5938</v>
      </c>
      <c r="E2637" s="6" t="s">
        <v>30</v>
      </c>
      <c r="F2637" s="6" t="s">
        <v>18</v>
      </c>
      <c r="G2637" s="7">
        <v>0.1</v>
      </c>
      <c r="H2637" s="6" t="s">
        <v>1269</v>
      </c>
      <c r="I2637" s="6" t="s">
        <v>20</v>
      </c>
      <c r="J2637" s="6">
        <v>2025.0</v>
      </c>
      <c r="L2637" s="6">
        <v>1.0</v>
      </c>
      <c r="M2637" s="8">
        <f t="shared" si="2"/>
        <v>0.1</v>
      </c>
      <c r="P2637" s="9"/>
    </row>
    <row r="2638">
      <c r="A2638" s="6" t="s">
        <v>5939</v>
      </c>
      <c r="B2638" s="6" t="s">
        <v>5940</v>
      </c>
      <c r="C2638" s="6" t="s">
        <v>23</v>
      </c>
      <c r="D2638" s="6" t="s">
        <v>5941</v>
      </c>
      <c r="E2638" s="6" t="s">
        <v>1336</v>
      </c>
      <c r="F2638" s="6" t="s">
        <v>103</v>
      </c>
      <c r="G2638" s="7">
        <v>0.05</v>
      </c>
      <c r="H2638" s="6" t="s">
        <v>141</v>
      </c>
      <c r="I2638" s="6" t="s">
        <v>20</v>
      </c>
      <c r="J2638" s="6">
        <v>2019.0</v>
      </c>
      <c r="K2638" s="10">
        <v>46083.0</v>
      </c>
      <c r="L2638" s="6">
        <v>1.0</v>
      </c>
      <c r="M2638" s="8">
        <f t="shared" si="2"/>
        <v>0.05</v>
      </c>
      <c r="P2638" s="9"/>
    </row>
    <row r="2639">
      <c r="A2639" s="6" t="s">
        <v>5942</v>
      </c>
      <c r="B2639" s="6" t="s">
        <v>5943</v>
      </c>
      <c r="C2639" s="6" t="s">
        <v>23</v>
      </c>
      <c r="D2639" s="6" t="s">
        <v>5944</v>
      </c>
      <c r="E2639" s="6" t="s">
        <v>1336</v>
      </c>
      <c r="F2639" s="6" t="s">
        <v>103</v>
      </c>
      <c r="G2639" s="7">
        <v>0.05</v>
      </c>
      <c r="H2639" s="6" t="s">
        <v>109</v>
      </c>
      <c r="I2639" s="6" t="s">
        <v>20</v>
      </c>
      <c r="J2639" s="6">
        <v>1995.0</v>
      </c>
      <c r="K2639" s="10">
        <v>46024.0</v>
      </c>
      <c r="L2639" s="6">
        <v>2.0</v>
      </c>
      <c r="M2639" s="8">
        <f t="shared" si="2"/>
        <v>0.1</v>
      </c>
      <c r="P2639" s="9"/>
    </row>
    <row r="2640">
      <c r="A2640" s="6" t="s">
        <v>5942</v>
      </c>
      <c r="B2640" s="6" t="s">
        <v>5943</v>
      </c>
      <c r="C2640" s="6" t="s">
        <v>23</v>
      </c>
      <c r="D2640" s="6" t="s">
        <v>5944</v>
      </c>
      <c r="E2640" s="6" t="s">
        <v>1336</v>
      </c>
      <c r="F2640" s="6" t="s">
        <v>103</v>
      </c>
      <c r="G2640" s="7">
        <v>0.06</v>
      </c>
      <c r="H2640" s="6" t="s">
        <v>1382</v>
      </c>
      <c r="I2640" s="6" t="s">
        <v>20</v>
      </c>
      <c r="J2640" s="6">
        <v>1995.0</v>
      </c>
      <c r="K2640" s="10">
        <v>46024.0</v>
      </c>
      <c r="L2640" s="6">
        <v>2.0</v>
      </c>
      <c r="M2640" s="8">
        <f t="shared" si="2"/>
        <v>0.12</v>
      </c>
      <c r="P2640" s="9"/>
    </row>
    <row r="2641">
      <c r="A2641" s="6" t="s">
        <v>5945</v>
      </c>
      <c r="B2641" s="6" t="s">
        <v>5946</v>
      </c>
      <c r="C2641" s="6" t="s">
        <v>23</v>
      </c>
      <c r="D2641" s="6" t="s">
        <v>5947</v>
      </c>
      <c r="E2641" s="6" t="s">
        <v>79</v>
      </c>
      <c r="F2641" s="6" t="s">
        <v>51</v>
      </c>
      <c r="G2641" s="7">
        <v>0.05</v>
      </c>
      <c r="H2641" s="6" t="s">
        <v>324</v>
      </c>
      <c r="I2641" s="6" t="s">
        <v>20</v>
      </c>
      <c r="J2641" s="6">
        <v>2025.0</v>
      </c>
      <c r="K2641" s="10">
        <v>46055.0</v>
      </c>
      <c r="L2641" s="6">
        <v>1.0</v>
      </c>
      <c r="M2641" s="8">
        <f t="shared" si="2"/>
        <v>0.05</v>
      </c>
      <c r="P2641" s="9"/>
    </row>
    <row r="2642">
      <c r="A2642" s="6" t="s">
        <v>5948</v>
      </c>
      <c r="B2642" s="6" t="s">
        <v>5949</v>
      </c>
      <c r="C2642" s="6" t="s">
        <v>23</v>
      </c>
      <c r="D2642" s="6" t="s">
        <v>5950</v>
      </c>
      <c r="E2642" s="6" t="s">
        <v>2288</v>
      </c>
      <c r="F2642" s="6" t="s">
        <v>51</v>
      </c>
      <c r="G2642" s="7">
        <v>0.03</v>
      </c>
      <c r="H2642" s="6" t="s">
        <v>1084</v>
      </c>
      <c r="I2642" s="6" t="s">
        <v>20</v>
      </c>
      <c r="J2642" s="6">
        <v>2018.0</v>
      </c>
      <c r="K2642" s="10">
        <v>46115.0</v>
      </c>
      <c r="L2642" s="6">
        <v>1.0</v>
      </c>
      <c r="M2642" s="8">
        <f t="shared" si="2"/>
        <v>0.03</v>
      </c>
      <c r="P2642" s="9"/>
    </row>
    <row r="2643">
      <c r="A2643" s="6" t="s">
        <v>5951</v>
      </c>
      <c r="B2643" s="6" t="s">
        <v>2113</v>
      </c>
      <c r="C2643" s="6" t="s">
        <v>23</v>
      </c>
      <c r="D2643" s="6" t="s">
        <v>5952</v>
      </c>
      <c r="E2643" s="6" t="s">
        <v>50</v>
      </c>
      <c r="F2643" s="6" t="s">
        <v>51</v>
      </c>
      <c r="G2643" s="7">
        <v>0.03</v>
      </c>
      <c r="H2643" s="6" t="s">
        <v>406</v>
      </c>
      <c r="I2643" s="6" t="s">
        <v>20</v>
      </c>
      <c r="J2643" s="6">
        <v>2019.0</v>
      </c>
      <c r="K2643" s="10">
        <v>46084.0</v>
      </c>
      <c r="L2643" s="6">
        <v>1.0</v>
      </c>
      <c r="M2643" s="8">
        <f t="shared" si="2"/>
        <v>0.03</v>
      </c>
      <c r="P2643" s="9"/>
    </row>
    <row r="2644">
      <c r="A2644" s="6" t="s">
        <v>5953</v>
      </c>
      <c r="B2644" s="6" t="s">
        <v>1981</v>
      </c>
      <c r="C2644" s="6" t="s">
        <v>48</v>
      </c>
      <c r="D2644" s="6" t="s">
        <v>5954</v>
      </c>
      <c r="E2644" s="6" t="s">
        <v>602</v>
      </c>
      <c r="F2644" s="6" t="s">
        <v>159</v>
      </c>
      <c r="G2644" s="7">
        <v>1.32</v>
      </c>
      <c r="H2644" s="6" t="s">
        <v>163</v>
      </c>
      <c r="I2644" s="6" t="s">
        <v>20</v>
      </c>
      <c r="J2644" s="6">
        <v>2023.0</v>
      </c>
      <c r="K2644" s="10">
        <v>46116.0</v>
      </c>
      <c r="L2644" s="6">
        <v>1.0</v>
      </c>
      <c r="M2644" s="8">
        <f t="shared" si="2"/>
        <v>1.32</v>
      </c>
      <c r="N2644" s="6" t="s">
        <v>172</v>
      </c>
      <c r="P2644" s="9"/>
    </row>
    <row r="2645">
      <c r="A2645" s="6" t="s">
        <v>5955</v>
      </c>
      <c r="B2645" s="6" t="s">
        <v>301</v>
      </c>
      <c r="C2645" s="6" t="s">
        <v>15</v>
      </c>
      <c r="D2645" s="6" t="s">
        <v>5956</v>
      </c>
      <c r="E2645" s="6">
        <v>3.0</v>
      </c>
      <c r="F2645" s="6" t="s">
        <v>37</v>
      </c>
      <c r="G2645" s="7">
        <v>0.85</v>
      </c>
      <c r="H2645" s="6" t="s">
        <v>209</v>
      </c>
      <c r="I2645" s="6" t="s">
        <v>20</v>
      </c>
      <c r="J2645" s="6">
        <v>2025.0</v>
      </c>
      <c r="L2645" s="6">
        <v>1.0</v>
      </c>
      <c r="M2645" s="8">
        <f t="shared" si="2"/>
        <v>0.85</v>
      </c>
      <c r="P2645" s="9"/>
    </row>
    <row r="2646">
      <c r="A2646" s="6" t="s">
        <v>5957</v>
      </c>
      <c r="B2646" s="6" t="s">
        <v>3572</v>
      </c>
      <c r="C2646" s="6" t="s">
        <v>15</v>
      </c>
      <c r="D2646" s="6" t="s">
        <v>5958</v>
      </c>
      <c r="E2646" s="6" t="s">
        <v>279</v>
      </c>
      <c r="F2646" s="6" t="s">
        <v>51</v>
      </c>
      <c r="G2646" s="7">
        <v>0.44</v>
      </c>
      <c r="H2646" s="6" t="s">
        <v>38</v>
      </c>
      <c r="I2646" s="6" t="s">
        <v>20</v>
      </c>
      <c r="J2646" s="6">
        <v>2026.0</v>
      </c>
      <c r="K2646" s="10">
        <v>46144.0</v>
      </c>
      <c r="L2646" s="6">
        <v>1.0</v>
      </c>
      <c r="M2646" s="8">
        <f t="shared" si="2"/>
        <v>0.44</v>
      </c>
      <c r="P2646" s="9"/>
    </row>
    <row r="2647">
      <c r="A2647" s="6" t="s">
        <v>5959</v>
      </c>
      <c r="B2647" s="6" t="s">
        <v>62</v>
      </c>
      <c r="C2647" s="6" t="s">
        <v>23</v>
      </c>
      <c r="D2647" s="6" t="s">
        <v>5960</v>
      </c>
      <c r="E2647" s="6" t="s">
        <v>223</v>
      </c>
      <c r="F2647" s="6" t="s">
        <v>159</v>
      </c>
      <c r="G2647" s="7">
        <v>0.15</v>
      </c>
      <c r="H2647" s="6" t="s">
        <v>663</v>
      </c>
      <c r="I2647" s="6" t="s">
        <v>20</v>
      </c>
      <c r="J2647" s="6">
        <v>2023.0</v>
      </c>
      <c r="L2647" s="6">
        <v>1.0</v>
      </c>
      <c r="M2647" s="8">
        <f t="shared" si="2"/>
        <v>0.15</v>
      </c>
      <c r="P2647" s="9"/>
    </row>
    <row r="2648">
      <c r="A2648" s="6" t="s">
        <v>5961</v>
      </c>
      <c r="B2648" s="6" t="s">
        <v>263</v>
      </c>
      <c r="C2648" s="6" t="s">
        <v>23</v>
      </c>
      <c r="D2648" s="6" t="s">
        <v>5962</v>
      </c>
      <c r="E2648" s="6" t="s">
        <v>30</v>
      </c>
      <c r="F2648" s="6" t="s">
        <v>18</v>
      </c>
      <c r="G2648" s="7">
        <v>0.06</v>
      </c>
      <c r="H2648" s="6" t="s">
        <v>146</v>
      </c>
      <c r="I2648" s="6" t="s">
        <v>20</v>
      </c>
      <c r="J2648" s="6">
        <v>2010.0</v>
      </c>
      <c r="K2648" s="10">
        <v>46055.0</v>
      </c>
      <c r="L2648" s="6">
        <v>1.0</v>
      </c>
      <c r="M2648" s="8">
        <f t="shared" si="2"/>
        <v>0.06</v>
      </c>
      <c r="P2648" s="9"/>
    </row>
    <row r="2649">
      <c r="A2649" s="6" t="s">
        <v>5963</v>
      </c>
      <c r="B2649" s="6" t="s">
        <v>372</v>
      </c>
      <c r="C2649" s="6" t="s">
        <v>23</v>
      </c>
      <c r="D2649" s="6" t="s">
        <v>1550</v>
      </c>
      <c r="E2649" s="6" t="s">
        <v>79</v>
      </c>
      <c r="F2649" s="6" t="s">
        <v>51</v>
      </c>
      <c r="G2649" s="7">
        <v>0.03</v>
      </c>
      <c r="H2649" s="6" t="s">
        <v>875</v>
      </c>
      <c r="I2649" s="6" t="s">
        <v>20</v>
      </c>
      <c r="J2649" s="6">
        <v>2018.0</v>
      </c>
      <c r="L2649" s="6">
        <v>3.0</v>
      </c>
      <c r="M2649" s="8">
        <f t="shared" si="2"/>
        <v>0.09</v>
      </c>
      <c r="P2649" s="9"/>
    </row>
    <row r="2650">
      <c r="A2650" s="6" t="s">
        <v>5964</v>
      </c>
      <c r="B2650" s="6" t="s">
        <v>194</v>
      </c>
      <c r="C2650" s="6" t="s">
        <v>23</v>
      </c>
      <c r="D2650" s="6" t="s">
        <v>4638</v>
      </c>
      <c r="E2650" s="6" t="s">
        <v>573</v>
      </c>
      <c r="F2650" s="6" t="s">
        <v>51</v>
      </c>
      <c r="G2650" s="7">
        <v>0.05</v>
      </c>
      <c r="H2650" s="6" t="s">
        <v>113</v>
      </c>
      <c r="I2650" s="6" t="s">
        <v>20</v>
      </c>
      <c r="J2650" s="6">
        <v>2024.0</v>
      </c>
      <c r="L2650" s="6">
        <v>1.0</v>
      </c>
      <c r="M2650" s="8">
        <f t="shared" si="2"/>
        <v>0.05</v>
      </c>
      <c r="P2650" s="9"/>
    </row>
    <row r="2651">
      <c r="A2651" s="6" t="s">
        <v>5965</v>
      </c>
      <c r="B2651" s="6" t="s">
        <v>202</v>
      </c>
      <c r="C2651" s="6" t="s">
        <v>48</v>
      </c>
      <c r="D2651" s="6" t="s">
        <v>5966</v>
      </c>
      <c r="E2651" s="6" t="s">
        <v>25</v>
      </c>
      <c r="F2651" s="6" t="s">
        <v>18</v>
      </c>
      <c r="G2651" s="7">
        <v>0.09</v>
      </c>
      <c r="H2651" s="6" t="s">
        <v>66</v>
      </c>
      <c r="I2651" s="6" t="s">
        <v>20</v>
      </c>
      <c r="J2651" s="6">
        <v>2016.0</v>
      </c>
      <c r="L2651" s="6">
        <v>1.0</v>
      </c>
      <c r="M2651" s="8">
        <f t="shared" si="2"/>
        <v>0.09</v>
      </c>
      <c r="P2651" s="9"/>
    </row>
    <row r="2652">
      <c r="A2652" s="6" t="s">
        <v>5967</v>
      </c>
      <c r="B2652" s="6" t="s">
        <v>62</v>
      </c>
      <c r="C2652" s="6" t="s">
        <v>48</v>
      </c>
      <c r="D2652" s="6" t="s">
        <v>5968</v>
      </c>
      <c r="E2652" s="6" t="s">
        <v>2838</v>
      </c>
      <c r="F2652" s="6" t="s">
        <v>65</v>
      </c>
      <c r="G2652" s="7">
        <v>0.15</v>
      </c>
      <c r="H2652" s="6" t="s">
        <v>1692</v>
      </c>
      <c r="I2652" s="6" t="s">
        <v>20</v>
      </c>
      <c r="J2652" s="6">
        <v>2021.0</v>
      </c>
      <c r="L2652" s="6">
        <v>1.0</v>
      </c>
      <c r="M2652" s="8">
        <f t="shared" si="2"/>
        <v>0.15</v>
      </c>
      <c r="P2652" s="9"/>
    </row>
    <row r="2653">
      <c r="A2653" s="6" t="s">
        <v>5969</v>
      </c>
      <c r="B2653" s="6" t="s">
        <v>291</v>
      </c>
      <c r="C2653" s="6" t="s">
        <v>41</v>
      </c>
      <c r="D2653" s="6" t="s">
        <v>5970</v>
      </c>
      <c r="E2653" s="6" t="s">
        <v>700</v>
      </c>
      <c r="F2653" s="6" t="s">
        <v>18</v>
      </c>
      <c r="G2653" s="7">
        <v>0.17</v>
      </c>
      <c r="H2653" s="6" t="s">
        <v>596</v>
      </c>
      <c r="I2653" s="6" t="s">
        <v>20</v>
      </c>
      <c r="J2653" s="6">
        <v>2012.0</v>
      </c>
      <c r="K2653" s="10">
        <v>46055.0</v>
      </c>
      <c r="L2653" s="6">
        <v>1.0</v>
      </c>
      <c r="M2653" s="8">
        <f t="shared" si="2"/>
        <v>0.17</v>
      </c>
      <c r="P2653" s="9"/>
    </row>
    <row r="2654">
      <c r="A2654" s="6" t="s">
        <v>5971</v>
      </c>
      <c r="B2654" s="6" t="s">
        <v>5972</v>
      </c>
      <c r="C2654" s="6" t="s">
        <v>34</v>
      </c>
      <c r="D2654" s="6" t="s">
        <v>5973</v>
      </c>
      <c r="E2654" s="6">
        <v>1.0</v>
      </c>
      <c r="F2654" s="6" t="s">
        <v>37</v>
      </c>
      <c r="G2654" s="7">
        <v>0.1</v>
      </c>
      <c r="H2654" s="6" t="s">
        <v>209</v>
      </c>
      <c r="I2654" s="6" t="s">
        <v>20</v>
      </c>
      <c r="J2654" s="6">
        <v>2025.0</v>
      </c>
      <c r="L2654" s="6">
        <v>12.0</v>
      </c>
      <c r="M2654" s="8">
        <f t="shared" si="2"/>
        <v>1.2</v>
      </c>
      <c r="P2654" s="9"/>
    </row>
    <row r="2655">
      <c r="A2655" s="6" t="s">
        <v>5971</v>
      </c>
      <c r="B2655" s="6" t="s">
        <v>5972</v>
      </c>
      <c r="C2655" s="6" t="s">
        <v>34</v>
      </c>
      <c r="D2655" s="6" t="s">
        <v>5973</v>
      </c>
      <c r="E2655" s="6">
        <v>1.0</v>
      </c>
      <c r="F2655" s="6" t="s">
        <v>37</v>
      </c>
      <c r="G2655" s="7">
        <v>0.4</v>
      </c>
      <c r="H2655" s="6" t="s">
        <v>209</v>
      </c>
      <c r="I2655" s="6" t="s">
        <v>55</v>
      </c>
      <c r="J2655" s="6">
        <v>2025.0</v>
      </c>
      <c r="L2655" s="6">
        <v>8.0</v>
      </c>
      <c r="M2655" s="8">
        <f t="shared" si="2"/>
        <v>3.2</v>
      </c>
      <c r="P2655" s="9"/>
    </row>
    <row r="2656">
      <c r="A2656" s="6" t="s">
        <v>5974</v>
      </c>
      <c r="B2656" s="6" t="s">
        <v>5758</v>
      </c>
      <c r="C2656" s="6" t="s">
        <v>23</v>
      </c>
      <c r="D2656" s="6" t="s">
        <v>5975</v>
      </c>
      <c r="E2656" s="6" t="s">
        <v>153</v>
      </c>
      <c r="F2656" s="6" t="s">
        <v>103</v>
      </c>
      <c r="G2656" s="7">
        <v>0.03</v>
      </c>
      <c r="H2656" s="6" t="s">
        <v>265</v>
      </c>
      <c r="I2656" s="6" t="s">
        <v>20</v>
      </c>
      <c r="J2656" s="6">
        <v>2017.0</v>
      </c>
      <c r="K2656" s="10">
        <v>46057.0</v>
      </c>
      <c r="L2656" s="6">
        <v>1.0</v>
      </c>
      <c r="M2656" s="8">
        <f t="shared" si="2"/>
        <v>0.03</v>
      </c>
      <c r="P2656" s="9"/>
    </row>
    <row r="2657">
      <c r="A2657" s="6" t="s">
        <v>5976</v>
      </c>
      <c r="B2657" s="6" t="s">
        <v>3151</v>
      </c>
      <c r="C2657" s="6" t="s">
        <v>48</v>
      </c>
      <c r="D2657" s="6" t="s">
        <v>5977</v>
      </c>
      <c r="E2657" s="6" t="s">
        <v>270</v>
      </c>
      <c r="F2657" s="6" t="s">
        <v>159</v>
      </c>
      <c r="G2657" s="7">
        <v>0.04</v>
      </c>
      <c r="H2657" s="6" t="s">
        <v>1675</v>
      </c>
      <c r="I2657" s="6" t="s">
        <v>20</v>
      </c>
      <c r="J2657" s="6">
        <v>2021.0</v>
      </c>
      <c r="K2657" s="10">
        <v>46146.0</v>
      </c>
      <c r="L2657" s="6">
        <v>1.0</v>
      </c>
      <c r="M2657" s="8">
        <f t="shared" si="2"/>
        <v>0.04</v>
      </c>
      <c r="P2657" s="9"/>
    </row>
    <row r="2658">
      <c r="A2658" s="6" t="s">
        <v>5978</v>
      </c>
      <c r="B2658" s="6" t="s">
        <v>1013</v>
      </c>
      <c r="C2658" s="6" t="s">
        <v>48</v>
      </c>
      <c r="D2658" s="6" t="s">
        <v>5979</v>
      </c>
      <c r="E2658" s="6" t="s">
        <v>890</v>
      </c>
      <c r="F2658" s="6" t="s">
        <v>37</v>
      </c>
      <c r="G2658" s="7">
        <v>0.1</v>
      </c>
      <c r="H2658" s="6" t="s">
        <v>216</v>
      </c>
      <c r="I2658" s="6" t="s">
        <v>20</v>
      </c>
      <c r="J2658" s="6">
        <v>2024.0</v>
      </c>
      <c r="K2658" s="10">
        <v>46148.0</v>
      </c>
      <c r="L2658" s="6">
        <v>1.0</v>
      </c>
      <c r="M2658" s="8">
        <f t="shared" si="2"/>
        <v>0.1</v>
      </c>
      <c r="P2658" s="9"/>
    </row>
    <row r="2659">
      <c r="A2659" s="6" t="s">
        <v>5980</v>
      </c>
      <c r="B2659" s="6" t="s">
        <v>5981</v>
      </c>
      <c r="C2659" s="6" t="s">
        <v>23</v>
      </c>
      <c r="D2659" s="6" t="s">
        <v>5982</v>
      </c>
      <c r="E2659" s="6" t="s">
        <v>270</v>
      </c>
      <c r="F2659" s="6" t="s">
        <v>159</v>
      </c>
      <c r="G2659" s="7">
        <v>0.05</v>
      </c>
      <c r="H2659" s="6" t="s">
        <v>552</v>
      </c>
      <c r="I2659" s="6" t="s">
        <v>20</v>
      </c>
      <c r="J2659" s="6">
        <v>2020.0</v>
      </c>
      <c r="K2659" s="10">
        <v>46055.0</v>
      </c>
      <c r="L2659" s="6">
        <v>2.0</v>
      </c>
      <c r="M2659" s="8">
        <f t="shared" si="2"/>
        <v>0.1</v>
      </c>
      <c r="P2659" s="9"/>
    </row>
    <row r="2660">
      <c r="A2660" s="6" t="s">
        <v>5983</v>
      </c>
      <c r="B2660" s="6" t="s">
        <v>5984</v>
      </c>
      <c r="C2660" s="6" t="s">
        <v>521</v>
      </c>
      <c r="D2660" s="6" t="s">
        <v>5985</v>
      </c>
      <c r="E2660" s="6" t="s">
        <v>223</v>
      </c>
      <c r="F2660" s="6" t="s">
        <v>159</v>
      </c>
      <c r="G2660" s="7">
        <v>0.12</v>
      </c>
      <c r="H2660" s="7" t="s">
        <v>5986</v>
      </c>
      <c r="I2660" s="6" t="s">
        <v>20</v>
      </c>
      <c r="J2660" s="6">
        <v>2026.0</v>
      </c>
      <c r="K2660" s="10">
        <v>46025.0</v>
      </c>
      <c r="L2660" s="6">
        <v>4.0</v>
      </c>
      <c r="M2660" s="8">
        <f t="shared" si="2"/>
        <v>0.48</v>
      </c>
      <c r="P2660" s="9"/>
    </row>
    <row r="2661">
      <c r="A2661" s="6" t="s">
        <v>5987</v>
      </c>
      <c r="B2661" s="6" t="s">
        <v>62</v>
      </c>
      <c r="C2661" s="6" t="s">
        <v>48</v>
      </c>
      <c r="D2661" s="6" t="s">
        <v>5988</v>
      </c>
      <c r="E2661" s="6" t="s">
        <v>1311</v>
      </c>
      <c r="F2661" s="6" t="s">
        <v>426</v>
      </c>
      <c r="G2661" s="7">
        <v>0.05</v>
      </c>
      <c r="H2661" s="6" t="s">
        <v>185</v>
      </c>
      <c r="I2661" s="6" t="s">
        <v>20</v>
      </c>
      <c r="J2661" s="6">
        <v>2019.0</v>
      </c>
      <c r="L2661" s="6">
        <v>1.0</v>
      </c>
      <c r="M2661" s="8">
        <f t="shared" si="2"/>
        <v>0.05</v>
      </c>
      <c r="P2661" s="9"/>
    </row>
    <row r="2662">
      <c r="A2662" s="6" t="s">
        <v>5989</v>
      </c>
      <c r="B2662" s="6" t="s">
        <v>182</v>
      </c>
      <c r="C2662" s="6" t="s">
        <v>23</v>
      </c>
      <c r="D2662" s="6" t="s">
        <v>5990</v>
      </c>
      <c r="E2662" s="6" t="s">
        <v>102</v>
      </c>
      <c r="F2662" s="6" t="s">
        <v>103</v>
      </c>
      <c r="G2662" s="7">
        <v>0.08</v>
      </c>
      <c r="H2662" s="6" t="s">
        <v>113</v>
      </c>
      <c r="I2662" s="6" t="s">
        <v>20</v>
      </c>
      <c r="J2662" s="6">
        <v>2024.0</v>
      </c>
      <c r="L2662" s="6">
        <v>1.0</v>
      </c>
      <c r="M2662" s="8">
        <f t="shared" si="2"/>
        <v>0.08</v>
      </c>
      <c r="P2662" s="9"/>
    </row>
    <row r="2663">
      <c r="A2663" s="6" t="s">
        <v>5989</v>
      </c>
      <c r="B2663" s="6" t="s">
        <v>182</v>
      </c>
      <c r="C2663" s="6" t="s">
        <v>23</v>
      </c>
      <c r="D2663" s="6" t="s">
        <v>5990</v>
      </c>
      <c r="E2663" s="6" t="s">
        <v>102</v>
      </c>
      <c r="F2663" s="6" t="s">
        <v>103</v>
      </c>
      <c r="G2663" s="7">
        <v>0.06</v>
      </c>
      <c r="H2663" s="6" t="s">
        <v>184</v>
      </c>
      <c r="I2663" s="6" t="s">
        <v>20</v>
      </c>
      <c r="J2663" s="6">
        <v>2015.0</v>
      </c>
      <c r="L2663" s="6">
        <v>9.0</v>
      </c>
      <c r="M2663" s="8">
        <f t="shared" si="2"/>
        <v>0.54</v>
      </c>
      <c r="P2663" s="9"/>
    </row>
    <row r="2664">
      <c r="A2664" s="6" t="s">
        <v>5991</v>
      </c>
      <c r="B2664" s="6" t="s">
        <v>62</v>
      </c>
      <c r="C2664" s="6" t="s">
        <v>23</v>
      </c>
      <c r="D2664" s="6" t="s">
        <v>5992</v>
      </c>
      <c r="E2664" s="6" t="s">
        <v>149</v>
      </c>
      <c r="F2664" s="6" t="s">
        <v>18</v>
      </c>
      <c r="G2664" s="7">
        <v>0.05</v>
      </c>
      <c r="H2664" s="6" t="s">
        <v>1301</v>
      </c>
      <c r="I2664" s="6" t="s">
        <v>20</v>
      </c>
      <c r="J2664" s="6">
        <v>2022.0</v>
      </c>
      <c r="L2664" s="6">
        <v>1.0</v>
      </c>
      <c r="M2664" s="8">
        <f t="shared" si="2"/>
        <v>0.05</v>
      </c>
      <c r="P2664" s="9"/>
    </row>
    <row r="2665">
      <c r="A2665" s="6" t="s">
        <v>5993</v>
      </c>
      <c r="B2665" s="6" t="s">
        <v>850</v>
      </c>
      <c r="C2665" s="6" t="s">
        <v>212</v>
      </c>
      <c r="D2665" s="6" t="s">
        <v>5994</v>
      </c>
      <c r="E2665" s="6" t="s">
        <v>806</v>
      </c>
      <c r="F2665" s="6" t="s">
        <v>51</v>
      </c>
      <c r="G2665" s="7">
        <v>1.0</v>
      </c>
      <c r="H2665" s="6" t="s">
        <v>209</v>
      </c>
      <c r="I2665" s="6" t="s">
        <v>20</v>
      </c>
      <c r="J2665" s="6">
        <v>2025.0</v>
      </c>
      <c r="L2665" s="6">
        <v>1.0</v>
      </c>
      <c r="M2665" s="8">
        <f t="shared" si="2"/>
        <v>1</v>
      </c>
      <c r="P2665" s="9"/>
    </row>
    <row r="2666">
      <c r="A2666" s="6" t="s">
        <v>5995</v>
      </c>
      <c r="B2666" s="6" t="s">
        <v>372</v>
      </c>
      <c r="C2666" s="6" t="s">
        <v>23</v>
      </c>
      <c r="D2666" s="6" t="s">
        <v>5996</v>
      </c>
      <c r="E2666" s="6" t="s">
        <v>112</v>
      </c>
      <c r="F2666" s="6" t="s">
        <v>65</v>
      </c>
      <c r="G2666" s="7">
        <v>0.06</v>
      </c>
      <c r="H2666" s="6" t="s">
        <v>88</v>
      </c>
      <c r="I2666" s="6" t="s">
        <v>20</v>
      </c>
      <c r="J2666" s="6">
        <v>2013.0</v>
      </c>
      <c r="L2666" s="6">
        <v>1.0</v>
      </c>
      <c r="M2666" s="8">
        <f t="shared" si="2"/>
        <v>0.06</v>
      </c>
      <c r="P2666" s="9"/>
    </row>
    <row r="2667">
      <c r="A2667" s="6" t="s">
        <v>5997</v>
      </c>
      <c r="B2667" s="6" t="s">
        <v>424</v>
      </c>
      <c r="C2667" s="6" t="s">
        <v>23</v>
      </c>
      <c r="D2667" s="6" t="s">
        <v>5998</v>
      </c>
      <c r="F2667" s="6" t="s">
        <v>37</v>
      </c>
      <c r="G2667" s="7">
        <v>1.09</v>
      </c>
      <c r="H2667" s="6" t="s">
        <v>978</v>
      </c>
      <c r="I2667" s="6" t="s">
        <v>20</v>
      </c>
      <c r="J2667" s="6">
        <v>2022.0</v>
      </c>
      <c r="L2667" s="6">
        <v>2.0</v>
      </c>
      <c r="M2667" s="8">
        <f t="shared" si="2"/>
        <v>2.18</v>
      </c>
      <c r="P2667" s="9"/>
    </row>
    <row r="2668">
      <c r="A2668" s="6" t="s">
        <v>5999</v>
      </c>
      <c r="B2668" s="6" t="s">
        <v>182</v>
      </c>
      <c r="C2668" s="6" t="s">
        <v>23</v>
      </c>
      <c r="D2668" s="6" t="s">
        <v>6000</v>
      </c>
      <c r="E2668" s="6" t="s">
        <v>124</v>
      </c>
      <c r="F2668" s="6" t="s">
        <v>103</v>
      </c>
      <c r="G2668" s="7">
        <v>0.05</v>
      </c>
      <c r="H2668" s="6" t="s">
        <v>5219</v>
      </c>
      <c r="I2668" s="6" t="s">
        <v>20</v>
      </c>
      <c r="J2668" s="6">
        <v>2021.0</v>
      </c>
      <c r="L2668" s="6">
        <v>1.0</v>
      </c>
      <c r="M2668" s="8">
        <f t="shared" si="2"/>
        <v>0.05</v>
      </c>
      <c r="P2668" s="9"/>
    </row>
    <row r="2669">
      <c r="A2669" s="6" t="s">
        <v>6001</v>
      </c>
      <c r="B2669" s="6" t="s">
        <v>1509</v>
      </c>
      <c r="C2669" s="6" t="s">
        <v>23</v>
      </c>
      <c r="D2669" s="6" t="s">
        <v>6002</v>
      </c>
      <c r="E2669" s="6" t="s">
        <v>112</v>
      </c>
      <c r="F2669" s="6" t="s">
        <v>65</v>
      </c>
      <c r="G2669" s="7">
        <v>0.09</v>
      </c>
      <c r="H2669" s="6" t="s">
        <v>184</v>
      </c>
      <c r="I2669" s="6" t="s">
        <v>20</v>
      </c>
      <c r="J2669" s="6">
        <v>2015.0</v>
      </c>
      <c r="K2669" s="10">
        <v>46055.0</v>
      </c>
      <c r="L2669" s="6">
        <v>7.0</v>
      </c>
      <c r="M2669" s="8">
        <f t="shared" si="2"/>
        <v>0.63</v>
      </c>
      <c r="P2669" s="9"/>
    </row>
    <row r="2670">
      <c r="A2670" s="6" t="s">
        <v>6003</v>
      </c>
      <c r="B2670" s="6" t="s">
        <v>424</v>
      </c>
      <c r="C2670" s="6" t="s">
        <v>48</v>
      </c>
      <c r="D2670" s="6" t="s">
        <v>6004</v>
      </c>
      <c r="F2670" s="6" t="s">
        <v>37</v>
      </c>
      <c r="G2670" s="7">
        <v>0.2</v>
      </c>
      <c r="H2670" s="6" t="s">
        <v>184</v>
      </c>
      <c r="I2670" s="6" t="s">
        <v>20</v>
      </c>
      <c r="J2670" s="6">
        <v>2015.0</v>
      </c>
      <c r="L2670" s="6">
        <v>1.0</v>
      </c>
      <c r="M2670" s="8">
        <f t="shared" si="2"/>
        <v>0.2</v>
      </c>
      <c r="P2670" s="9"/>
    </row>
    <row r="2671">
      <c r="A2671" s="6" t="s">
        <v>6005</v>
      </c>
      <c r="B2671" s="6" t="s">
        <v>194</v>
      </c>
      <c r="C2671" s="6" t="s">
        <v>34</v>
      </c>
      <c r="D2671" s="6" t="s">
        <v>6006</v>
      </c>
      <c r="E2671" s="6" t="s">
        <v>3558</v>
      </c>
      <c r="F2671" s="6" t="s">
        <v>18</v>
      </c>
      <c r="G2671" s="7">
        <v>0.2</v>
      </c>
      <c r="H2671" s="6" t="s">
        <v>6007</v>
      </c>
      <c r="I2671" s="6" t="s">
        <v>20</v>
      </c>
      <c r="J2671" s="6">
        <v>2025.0</v>
      </c>
      <c r="L2671" s="6">
        <v>6.0</v>
      </c>
      <c r="M2671" s="8">
        <f t="shared" si="2"/>
        <v>1.2</v>
      </c>
      <c r="P2671" s="9"/>
    </row>
    <row r="2672">
      <c r="A2672" s="6" t="s">
        <v>6008</v>
      </c>
      <c r="B2672" s="6" t="s">
        <v>182</v>
      </c>
      <c r="C2672" s="6" t="s">
        <v>48</v>
      </c>
      <c r="D2672" s="6" t="s">
        <v>6009</v>
      </c>
      <c r="E2672" s="6" t="s">
        <v>1001</v>
      </c>
      <c r="F2672" s="6" t="s">
        <v>65</v>
      </c>
      <c r="G2672" s="7">
        <v>0.13</v>
      </c>
      <c r="H2672" s="6" t="s">
        <v>1675</v>
      </c>
      <c r="I2672" s="6" t="s">
        <v>20</v>
      </c>
      <c r="J2672" s="6">
        <v>2021.0</v>
      </c>
      <c r="L2672" s="6">
        <v>1.0</v>
      </c>
      <c r="M2672" s="8">
        <f t="shared" si="2"/>
        <v>0.13</v>
      </c>
      <c r="P2672" s="9"/>
    </row>
    <row r="2673">
      <c r="A2673" s="6" t="s">
        <v>6010</v>
      </c>
      <c r="B2673" s="6" t="s">
        <v>6011</v>
      </c>
      <c r="C2673" s="6" t="s">
        <v>34</v>
      </c>
      <c r="D2673" s="6" t="s">
        <v>6012</v>
      </c>
      <c r="E2673" s="6">
        <v>3.0</v>
      </c>
      <c r="F2673" s="6" t="s">
        <v>37</v>
      </c>
      <c r="G2673" s="7">
        <v>0.03</v>
      </c>
      <c r="H2673" s="6" t="s">
        <v>209</v>
      </c>
      <c r="I2673" s="6" t="s">
        <v>20</v>
      </c>
      <c r="J2673" s="6">
        <v>2025.0</v>
      </c>
      <c r="K2673" s="10">
        <v>46113.0</v>
      </c>
      <c r="L2673" s="6">
        <v>10.0</v>
      </c>
      <c r="M2673" s="8">
        <f t="shared" si="2"/>
        <v>0.3</v>
      </c>
      <c r="P2673" s="9"/>
    </row>
    <row r="2674">
      <c r="A2674" s="6" t="s">
        <v>6013</v>
      </c>
      <c r="B2674" s="6" t="s">
        <v>226</v>
      </c>
      <c r="C2674" s="6" t="s">
        <v>15</v>
      </c>
      <c r="D2674" s="6" t="s">
        <v>6014</v>
      </c>
      <c r="E2674" s="6" t="s">
        <v>279</v>
      </c>
      <c r="F2674" s="6" t="s">
        <v>51</v>
      </c>
      <c r="G2674" s="7">
        <v>0.15</v>
      </c>
      <c r="H2674" s="6" t="s">
        <v>209</v>
      </c>
      <c r="I2674" s="6" t="s">
        <v>20</v>
      </c>
      <c r="J2674" s="6">
        <v>2025.0</v>
      </c>
      <c r="K2674" s="10">
        <v>46116.0</v>
      </c>
      <c r="L2674" s="6">
        <v>1.0</v>
      </c>
      <c r="M2674" s="8">
        <f t="shared" si="2"/>
        <v>0.15</v>
      </c>
      <c r="P2674" s="9"/>
    </row>
    <row r="2675">
      <c r="A2675" s="6" t="s">
        <v>6015</v>
      </c>
      <c r="B2675" s="6" t="s">
        <v>5489</v>
      </c>
      <c r="C2675" s="6" t="s">
        <v>34</v>
      </c>
      <c r="D2675" s="6" t="s">
        <v>6016</v>
      </c>
      <c r="E2675" s="6" t="s">
        <v>175</v>
      </c>
      <c r="F2675" s="6" t="s">
        <v>51</v>
      </c>
      <c r="G2675" s="7">
        <v>0.05</v>
      </c>
      <c r="H2675" s="6" t="s">
        <v>209</v>
      </c>
      <c r="I2675" s="6" t="s">
        <v>20</v>
      </c>
      <c r="J2675" s="6">
        <v>2025.0</v>
      </c>
      <c r="K2675" s="10">
        <v>46023.0</v>
      </c>
      <c r="L2675" s="6">
        <v>9.0</v>
      </c>
      <c r="M2675" s="8">
        <f t="shared" si="2"/>
        <v>0.45</v>
      </c>
      <c r="P2675" s="9"/>
    </row>
    <row r="2676">
      <c r="A2676" s="6" t="s">
        <v>6015</v>
      </c>
      <c r="B2676" s="6" t="s">
        <v>5489</v>
      </c>
      <c r="C2676" s="6" t="s">
        <v>34</v>
      </c>
      <c r="D2676" s="6" t="s">
        <v>6016</v>
      </c>
      <c r="E2676" s="6" t="s">
        <v>175</v>
      </c>
      <c r="F2676" s="6" t="s">
        <v>51</v>
      </c>
      <c r="G2676" s="7">
        <v>0.4</v>
      </c>
      <c r="H2676" s="6" t="s">
        <v>209</v>
      </c>
      <c r="I2676" s="6" t="s">
        <v>55</v>
      </c>
      <c r="J2676" s="6">
        <v>2025.0</v>
      </c>
      <c r="K2676" s="10">
        <v>46023.0</v>
      </c>
      <c r="L2676" s="6">
        <v>1.0</v>
      </c>
      <c r="M2676" s="8">
        <f t="shared" si="2"/>
        <v>0.4</v>
      </c>
      <c r="P2676" s="9"/>
    </row>
    <row r="2677">
      <c r="A2677" s="6" t="s">
        <v>6017</v>
      </c>
      <c r="B2677" s="6" t="s">
        <v>194</v>
      </c>
      <c r="C2677" s="6" t="s">
        <v>521</v>
      </c>
      <c r="D2677" s="6" t="s">
        <v>6018</v>
      </c>
      <c r="E2677" s="6" t="s">
        <v>112</v>
      </c>
      <c r="F2677" s="6" t="s">
        <v>3701</v>
      </c>
      <c r="G2677" s="7">
        <v>0.15</v>
      </c>
      <c r="H2677" s="6" t="s">
        <v>6019</v>
      </c>
      <c r="I2677" s="6" t="s">
        <v>20</v>
      </c>
      <c r="J2677" s="6">
        <v>2014.0</v>
      </c>
      <c r="L2677" s="6">
        <v>4.0</v>
      </c>
      <c r="M2677" s="8">
        <f t="shared" si="2"/>
        <v>0.6</v>
      </c>
      <c r="P2677" s="9"/>
    </row>
    <row r="2678">
      <c r="A2678" s="6" t="s">
        <v>6020</v>
      </c>
      <c r="B2678" s="6" t="s">
        <v>62</v>
      </c>
      <c r="C2678" s="6" t="s">
        <v>48</v>
      </c>
      <c r="D2678" s="6" t="s">
        <v>6021</v>
      </c>
      <c r="E2678" s="6" t="s">
        <v>112</v>
      </c>
      <c r="F2678" s="6" t="s">
        <v>65</v>
      </c>
      <c r="G2678" s="7">
        <v>0.09</v>
      </c>
      <c r="H2678" s="6" t="s">
        <v>626</v>
      </c>
      <c r="I2678" s="6" t="s">
        <v>20</v>
      </c>
      <c r="J2678" s="6">
        <v>2013.0</v>
      </c>
      <c r="L2678" s="6">
        <v>3.0</v>
      </c>
      <c r="M2678" s="8">
        <f t="shared" si="2"/>
        <v>0.27</v>
      </c>
      <c r="P2678" s="9"/>
    </row>
    <row r="2679">
      <c r="A2679" s="6" t="s">
        <v>6020</v>
      </c>
      <c r="B2679" s="6" t="s">
        <v>62</v>
      </c>
      <c r="C2679" s="6" t="s">
        <v>48</v>
      </c>
      <c r="D2679" s="6" t="s">
        <v>6021</v>
      </c>
      <c r="E2679" s="6" t="s">
        <v>112</v>
      </c>
      <c r="F2679" s="6" t="s">
        <v>65</v>
      </c>
      <c r="G2679" s="7">
        <v>0.09</v>
      </c>
      <c r="H2679" s="6" t="s">
        <v>626</v>
      </c>
      <c r="I2679" s="6" t="s">
        <v>20</v>
      </c>
      <c r="J2679" s="6">
        <v>2013.0</v>
      </c>
      <c r="L2679" s="6">
        <v>1.0</v>
      </c>
      <c r="M2679" s="8">
        <f t="shared" si="2"/>
        <v>0.09</v>
      </c>
      <c r="P2679" s="9"/>
    </row>
    <row r="2680">
      <c r="A2680" s="6" t="s">
        <v>6022</v>
      </c>
      <c r="B2680" s="6" t="s">
        <v>307</v>
      </c>
      <c r="C2680" s="6" t="s">
        <v>41</v>
      </c>
      <c r="D2680" s="6" t="s">
        <v>6023</v>
      </c>
      <c r="E2680" s="6" t="s">
        <v>303</v>
      </c>
      <c r="F2680" s="6" t="s">
        <v>37</v>
      </c>
      <c r="G2680" s="7">
        <v>0.13</v>
      </c>
      <c r="H2680" s="6" t="s">
        <v>4015</v>
      </c>
      <c r="I2680" s="6" t="s">
        <v>20</v>
      </c>
      <c r="J2680" s="6">
        <v>1997.0</v>
      </c>
      <c r="L2680" s="6">
        <v>1.0</v>
      </c>
      <c r="M2680" s="8">
        <f t="shared" si="2"/>
        <v>0.13</v>
      </c>
      <c r="P2680" s="9"/>
    </row>
    <row r="2681">
      <c r="A2681" s="6" t="s">
        <v>6024</v>
      </c>
      <c r="B2681" s="6" t="s">
        <v>62</v>
      </c>
      <c r="C2681" s="6" t="s">
        <v>23</v>
      </c>
      <c r="D2681" s="6" t="s">
        <v>6025</v>
      </c>
      <c r="E2681" s="6" t="s">
        <v>196</v>
      </c>
      <c r="F2681" s="6" t="s">
        <v>65</v>
      </c>
      <c r="G2681" s="7">
        <v>0.06</v>
      </c>
      <c r="H2681" s="6" t="s">
        <v>562</v>
      </c>
      <c r="I2681" s="6" t="s">
        <v>20</v>
      </c>
      <c r="J2681" s="6">
        <v>2017.0</v>
      </c>
      <c r="L2681" s="6">
        <v>1.0</v>
      </c>
      <c r="M2681" s="8">
        <f t="shared" si="2"/>
        <v>0.06</v>
      </c>
      <c r="N2681" s="6" t="s">
        <v>518</v>
      </c>
      <c r="P2681" s="9"/>
    </row>
    <row r="2682">
      <c r="A2682" s="6" t="s">
        <v>6024</v>
      </c>
      <c r="B2682" s="6" t="s">
        <v>62</v>
      </c>
      <c r="C2682" s="6" t="s">
        <v>23</v>
      </c>
      <c r="D2682" s="6" t="s">
        <v>6025</v>
      </c>
      <c r="E2682" s="6" t="s">
        <v>196</v>
      </c>
      <c r="F2682" s="6" t="s">
        <v>65</v>
      </c>
      <c r="G2682" s="7">
        <v>0.05</v>
      </c>
      <c r="H2682" s="6" t="s">
        <v>359</v>
      </c>
      <c r="I2682" s="6" t="s">
        <v>20</v>
      </c>
      <c r="J2682" s="6">
        <v>2014.0</v>
      </c>
      <c r="L2682" s="6">
        <v>3.0</v>
      </c>
      <c r="M2682" s="8">
        <f t="shared" si="2"/>
        <v>0.15</v>
      </c>
      <c r="P2682" s="9"/>
    </row>
    <row r="2683">
      <c r="A2683" s="6" t="s">
        <v>6024</v>
      </c>
      <c r="B2683" s="6" t="s">
        <v>62</v>
      </c>
      <c r="C2683" s="6" t="s">
        <v>23</v>
      </c>
      <c r="D2683" s="6" t="s">
        <v>6025</v>
      </c>
      <c r="E2683" s="6" t="s">
        <v>196</v>
      </c>
      <c r="F2683" s="6" t="s">
        <v>65</v>
      </c>
      <c r="G2683" s="7">
        <v>0.05</v>
      </c>
      <c r="H2683" s="6" t="s">
        <v>359</v>
      </c>
      <c r="I2683" s="6" t="s">
        <v>20</v>
      </c>
      <c r="J2683" s="6">
        <v>2014.0</v>
      </c>
      <c r="L2683" s="6">
        <v>1.0</v>
      </c>
      <c r="M2683" s="8">
        <f t="shared" si="2"/>
        <v>0.05</v>
      </c>
      <c r="P2683" s="9"/>
    </row>
    <row r="2684">
      <c r="A2684" s="6" t="s">
        <v>6026</v>
      </c>
      <c r="B2684" s="6" t="s">
        <v>2072</v>
      </c>
      <c r="C2684" s="6" t="s">
        <v>48</v>
      </c>
      <c r="D2684" s="6" t="s">
        <v>6027</v>
      </c>
      <c r="E2684" s="6" t="s">
        <v>64</v>
      </c>
      <c r="F2684" s="6" t="s">
        <v>65</v>
      </c>
      <c r="G2684" s="7">
        <v>0.04</v>
      </c>
      <c r="H2684" s="6" t="s">
        <v>1050</v>
      </c>
      <c r="I2684" s="6" t="s">
        <v>20</v>
      </c>
      <c r="J2684" s="6">
        <v>2023.0</v>
      </c>
      <c r="K2684" s="10">
        <v>46056.0</v>
      </c>
      <c r="L2684" s="6">
        <v>1.0</v>
      </c>
      <c r="M2684" s="8">
        <f t="shared" si="2"/>
        <v>0.04</v>
      </c>
      <c r="P2684" s="9"/>
    </row>
    <row r="2685">
      <c r="A2685" s="6" t="s">
        <v>6028</v>
      </c>
      <c r="B2685" s="6" t="s">
        <v>592</v>
      </c>
      <c r="C2685" s="6" t="s">
        <v>48</v>
      </c>
      <c r="D2685" s="6" t="s">
        <v>6029</v>
      </c>
      <c r="E2685" s="6" t="s">
        <v>1001</v>
      </c>
      <c r="F2685" s="6" t="s">
        <v>65</v>
      </c>
      <c r="G2685" s="7">
        <v>0.7</v>
      </c>
      <c r="H2685" s="6" t="s">
        <v>109</v>
      </c>
      <c r="I2685" s="6" t="s">
        <v>20</v>
      </c>
      <c r="J2685" s="6">
        <v>1995.0</v>
      </c>
      <c r="L2685" s="6">
        <v>1.0</v>
      </c>
      <c r="M2685" s="8">
        <f t="shared" si="2"/>
        <v>0.7</v>
      </c>
      <c r="P2685" s="9"/>
    </row>
    <row r="2686">
      <c r="A2686" s="6" t="s">
        <v>6028</v>
      </c>
      <c r="B2686" s="6" t="s">
        <v>592</v>
      </c>
      <c r="C2686" s="6" t="s">
        <v>48</v>
      </c>
      <c r="D2686" s="6" t="s">
        <v>6029</v>
      </c>
      <c r="E2686" s="6" t="s">
        <v>1001</v>
      </c>
      <c r="F2686" s="6" t="s">
        <v>65</v>
      </c>
      <c r="G2686" s="7">
        <v>1.85</v>
      </c>
      <c r="H2686" s="6" t="s">
        <v>1382</v>
      </c>
      <c r="I2686" s="6" t="s">
        <v>20</v>
      </c>
      <c r="J2686" s="6">
        <v>1995.0</v>
      </c>
      <c r="L2686" s="6">
        <v>1.0</v>
      </c>
      <c r="M2686" s="8">
        <f t="shared" si="2"/>
        <v>1.85</v>
      </c>
      <c r="P2686" s="9"/>
    </row>
    <row r="2687">
      <c r="A2687" s="6" t="s">
        <v>6030</v>
      </c>
      <c r="B2687" s="6" t="s">
        <v>307</v>
      </c>
      <c r="C2687" s="6" t="s">
        <v>48</v>
      </c>
      <c r="D2687" s="6" t="s">
        <v>6031</v>
      </c>
      <c r="E2687" s="6" t="s">
        <v>243</v>
      </c>
      <c r="F2687" s="6" t="s">
        <v>37</v>
      </c>
      <c r="G2687" s="7">
        <v>0.03</v>
      </c>
      <c r="H2687" s="6" t="s">
        <v>93</v>
      </c>
      <c r="I2687" s="6" t="s">
        <v>20</v>
      </c>
      <c r="J2687" s="6">
        <v>2016.0</v>
      </c>
      <c r="L2687" s="6">
        <v>1.0</v>
      </c>
      <c r="M2687" s="8">
        <f t="shared" si="2"/>
        <v>0.03</v>
      </c>
      <c r="P2687" s="9"/>
    </row>
    <row r="2688">
      <c r="A2688" s="6" t="s">
        <v>6032</v>
      </c>
      <c r="B2688" s="6" t="s">
        <v>6033</v>
      </c>
      <c r="C2688" s="6" t="s">
        <v>287</v>
      </c>
      <c r="D2688" s="6" t="s">
        <v>6034</v>
      </c>
      <c r="E2688" s="6" t="s">
        <v>283</v>
      </c>
      <c r="F2688" s="6" t="s">
        <v>4194</v>
      </c>
      <c r="G2688" s="7">
        <v>0.05</v>
      </c>
      <c r="H2688" s="6" t="s">
        <v>6035</v>
      </c>
      <c r="I2688" s="6" t="s">
        <v>20</v>
      </c>
      <c r="J2688" s="6">
        <v>2013.0</v>
      </c>
      <c r="K2688" s="10">
        <v>46055.0</v>
      </c>
      <c r="L2688" s="6">
        <v>1.0</v>
      </c>
      <c r="M2688" s="8">
        <f t="shared" si="2"/>
        <v>0.05</v>
      </c>
      <c r="P2688" s="9"/>
    </row>
    <row r="2689">
      <c r="A2689" s="6" t="s">
        <v>6036</v>
      </c>
      <c r="B2689" s="6" t="s">
        <v>6037</v>
      </c>
      <c r="C2689" s="6" t="s">
        <v>48</v>
      </c>
      <c r="D2689" s="6" t="s">
        <v>6038</v>
      </c>
      <c r="E2689" s="6" t="s">
        <v>112</v>
      </c>
      <c r="F2689" s="6" t="s">
        <v>65</v>
      </c>
      <c r="G2689" s="7">
        <v>0.15</v>
      </c>
      <c r="H2689" s="6" t="s">
        <v>45</v>
      </c>
      <c r="I2689" s="6" t="s">
        <v>20</v>
      </c>
      <c r="J2689" s="6">
        <v>2025.0</v>
      </c>
      <c r="K2689" s="10">
        <v>46082.0</v>
      </c>
      <c r="L2689" s="6">
        <v>1.0</v>
      </c>
      <c r="M2689" s="8">
        <f t="shared" si="2"/>
        <v>0.15</v>
      </c>
      <c r="P2689" s="9"/>
    </row>
    <row r="2690">
      <c r="A2690" s="6" t="s">
        <v>6039</v>
      </c>
      <c r="B2690" s="6" t="s">
        <v>62</v>
      </c>
      <c r="C2690" s="6" t="s">
        <v>23</v>
      </c>
      <c r="D2690" s="6" t="s">
        <v>6040</v>
      </c>
      <c r="E2690" s="6" t="s">
        <v>149</v>
      </c>
      <c r="F2690" s="6" t="s">
        <v>18</v>
      </c>
      <c r="G2690" s="7">
        <v>0.4</v>
      </c>
      <c r="H2690" s="6" t="s">
        <v>978</v>
      </c>
      <c r="I2690" s="6" t="s">
        <v>55</v>
      </c>
      <c r="J2690" s="6">
        <v>2022.0</v>
      </c>
      <c r="L2690" s="6">
        <v>4.0</v>
      </c>
      <c r="M2690" s="8">
        <f t="shared" si="2"/>
        <v>1.6</v>
      </c>
      <c r="P2690" s="9"/>
    </row>
    <row r="2691">
      <c r="A2691" s="6" t="s">
        <v>6041</v>
      </c>
      <c r="B2691" s="6" t="s">
        <v>62</v>
      </c>
      <c r="C2691" s="6" t="s">
        <v>23</v>
      </c>
      <c r="D2691" s="6" t="s">
        <v>6042</v>
      </c>
      <c r="E2691" s="6" t="s">
        <v>79</v>
      </c>
      <c r="F2691" s="6" t="s">
        <v>51</v>
      </c>
      <c r="G2691" s="7">
        <v>0.05</v>
      </c>
      <c r="H2691" s="6" t="s">
        <v>192</v>
      </c>
      <c r="I2691" s="6" t="s">
        <v>20</v>
      </c>
      <c r="J2691" s="6">
        <v>2026.0</v>
      </c>
      <c r="L2691" s="6">
        <v>6.0</v>
      </c>
      <c r="M2691" s="8">
        <f t="shared" si="2"/>
        <v>0.3</v>
      </c>
      <c r="P2691" s="9"/>
    </row>
    <row r="2692">
      <c r="A2692" s="6" t="s">
        <v>6041</v>
      </c>
      <c r="B2692" s="6" t="s">
        <v>62</v>
      </c>
      <c r="C2692" s="6" t="s">
        <v>23</v>
      </c>
      <c r="D2692" s="6" t="s">
        <v>6042</v>
      </c>
      <c r="E2692" s="6" t="s">
        <v>79</v>
      </c>
      <c r="F2692" s="6" t="s">
        <v>51</v>
      </c>
      <c r="G2692" s="7">
        <v>0.05</v>
      </c>
      <c r="H2692" s="6" t="s">
        <v>192</v>
      </c>
      <c r="I2692" s="6" t="s">
        <v>20</v>
      </c>
      <c r="J2692" s="6">
        <v>2026.0</v>
      </c>
      <c r="L2692" s="6">
        <v>2.0</v>
      </c>
      <c r="M2692" s="8">
        <f t="shared" si="2"/>
        <v>0.1</v>
      </c>
      <c r="P2692" s="9"/>
    </row>
    <row r="2693">
      <c r="A2693" s="6" t="s">
        <v>6043</v>
      </c>
      <c r="B2693" s="6" t="s">
        <v>131</v>
      </c>
      <c r="C2693" s="6" t="s">
        <v>23</v>
      </c>
      <c r="D2693" s="6" t="s">
        <v>6044</v>
      </c>
      <c r="E2693" s="6" t="s">
        <v>79</v>
      </c>
      <c r="F2693" s="6" t="s">
        <v>51</v>
      </c>
      <c r="G2693" s="7">
        <v>0.02</v>
      </c>
      <c r="H2693" s="6" t="s">
        <v>406</v>
      </c>
      <c r="I2693" s="6" t="s">
        <v>20</v>
      </c>
      <c r="J2693" s="6">
        <v>2019.0</v>
      </c>
      <c r="K2693" s="10">
        <v>46056.0</v>
      </c>
      <c r="L2693" s="6">
        <v>1.0</v>
      </c>
      <c r="M2693" s="8">
        <f t="shared" si="2"/>
        <v>0.02</v>
      </c>
      <c r="P2693" s="9"/>
    </row>
    <row r="2694">
      <c r="A2694" s="6" t="s">
        <v>6045</v>
      </c>
      <c r="B2694" s="6" t="s">
        <v>202</v>
      </c>
      <c r="C2694" s="6" t="s">
        <v>23</v>
      </c>
      <c r="D2694" s="6" t="s">
        <v>6046</v>
      </c>
      <c r="E2694" s="6" t="s">
        <v>112</v>
      </c>
      <c r="F2694" s="6" t="s">
        <v>65</v>
      </c>
      <c r="G2694" s="7">
        <v>0.9</v>
      </c>
      <c r="H2694" s="6" t="s">
        <v>163</v>
      </c>
      <c r="I2694" s="6" t="s">
        <v>20</v>
      </c>
      <c r="J2694" s="6">
        <v>2023.0</v>
      </c>
      <c r="L2694" s="6">
        <v>1.0</v>
      </c>
      <c r="M2694" s="8">
        <f t="shared" si="2"/>
        <v>0.9</v>
      </c>
      <c r="P2694" s="9"/>
    </row>
    <row r="2695">
      <c r="A2695" s="6" t="s">
        <v>6047</v>
      </c>
      <c r="B2695" s="6" t="s">
        <v>413</v>
      </c>
      <c r="C2695" s="6" t="s">
        <v>287</v>
      </c>
      <c r="D2695" s="6" t="s">
        <v>6048</v>
      </c>
      <c r="E2695" s="6" t="s">
        <v>167</v>
      </c>
      <c r="F2695" s="6" t="s">
        <v>103</v>
      </c>
      <c r="G2695" s="7">
        <v>0.55</v>
      </c>
      <c r="H2695" s="6" t="s">
        <v>1494</v>
      </c>
      <c r="I2695" s="6" t="s">
        <v>20</v>
      </c>
      <c r="J2695" s="6">
        <v>2012.0</v>
      </c>
      <c r="L2695" s="6">
        <v>3.0</v>
      </c>
      <c r="M2695" s="8">
        <f t="shared" si="2"/>
        <v>1.65</v>
      </c>
      <c r="P2695" s="9"/>
    </row>
    <row r="2696">
      <c r="A2696" s="6" t="s">
        <v>6049</v>
      </c>
      <c r="B2696" s="6" t="s">
        <v>1408</v>
      </c>
      <c r="C2696" s="6" t="s">
        <v>48</v>
      </c>
      <c r="D2696" s="6" t="s">
        <v>6050</v>
      </c>
      <c r="E2696" s="6" t="s">
        <v>102</v>
      </c>
      <c r="F2696" s="6" t="s">
        <v>103</v>
      </c>
      <c r="G2696" s="7">
        <v>0.15</v>
      </c>
      <c r="H2696" s="6" t="s">
        <v>184</v>
      </c>
      <c r="I2696" s="6" t="s">
        <v>20</v>
      </c>
      <c r="J2696" s="6">
        <v>2015.0</v>
      </c>
      <c r="K2696" s="10">
        <v>46023.0</v>
      </c>
      <c r="L2696" s="6">
        <v>2.0</v>
      </c>
      <c r="M2696" s="8">
        <f t="shared" si="2"/>
        <v>0.3</v>
      </c>
      <c r="P2696" s="9"/>
    </row>
    <row r="2697">
      <c r="A2697" s="6" t="s">
        <v>6051</v>
      </c>
      <c r="B2697" s="6" t="s">
        <v>6052</v>
      </c>
      <c r="C2697" s="6" t="s">
        <v>48</v>
      </c>
      <c r="D2697" s="6" t="s">
        <v>6053</v>
      </c>
      <c r="E2697" s="6" t="s">
        <v>611</v>
      </c>
      <c r="F2697" s="6" t="s">
        <v>103</v>
      </c>
      <c r="G2697" s="7">
        <v>0.08</v>
      </c>
      <c r="H2697" s="6" t="s">
        <v>336</v>
      </c>
      <c r="I2697" s="6" t="s">
        <v>20</v>
      </c>
      <c r="J2697" s="6">
        <v>2016.0</v>
      </c>
      <c r="K2697" s="10">
        <v>46116.0</v>
      </c>
      <c r="L2697" s="6">
        <v>1.0</v>
      </c>
      <c r="M2697" s="8">
        <f t="shared" si="2"/>
        <v>0.08</v>
      </c>
      <c r="P2697" s="9"/>
    </row>
    <row r="2698">
      <c r="A2698" s="6" t="s">
        <v>6054</v>
      </c>
      <c r="B2698" s="6" t="s">
        <v>6055</v>
      </c>
      <c r="C2698" s="6" t="s">
        <v>34</v>
      </c>
      <c r="D2698" s="6" t="s">
        <v>6056</v>
      </c>
      <c r="E2698" s="6" t="s">
        <v>3719</v>
      </c>
      <c r="F2698" s="6" t="s">
        <v>103</v>
      </c>
      <c r="G2698" s="7">
        <v>0.1</v>
      </c>
      <c r="H2698" s="6" t="s">
        <v>209</v>
      </c>
      <c r="I2698" s="6" t="s">
        <v>20</v>
      </c>
      <c r="J2698" s="6">
        <v>2025.0</v>
      </c>
      <c r="K2698" s="10">
        <v>46116.0</v>
      </c>
      <c r="L2698" s="6">
        <v>13.0</v>
      </c>
      <c r="M2698" s="8">
        <f t="shared" si="2"/>
        <v>1.3</v>
      </c>
      <c r="P2698" s="9"/>
    </row>
    <row r="2699">
      <c r="A2699" s="6" t="s">
        <v>6057</v>
      </c>
      <c r="B2699" s="6" t="s">
        <v>6058</v>
      </c>
      <c r="C2699" s="6" t="s">
        <v>72</v>
      </c>
      <c r="D2699" s="6" t="s">
        <v>6059</v>
      </c>
      <c r="E2699" s="6" t="s">
        <v>611</v>
      </c>
      <c r="F2699" s="6" t="s">
        <v>103</v>
      </c>
      <c r="G2699" s="7">
        <v>0.1</v>
      </c>
      <c r="H2699" s="6" t="s">
        <v>1494</v>
      </c>
      <c r="I2699" s="6" t="s">
        <v>20</v>
      </c>
      <c r="J2699" s="6">
        <v>2012.0</v>
      </c>
      <c r="L2699" s="6">
        <v>1.0</v>
      </c>
      <c r="M2699" s="8">
        <f t="shared" si="2"/>
        <v>0.1</v>
      </c>
      <c r="P2699" s="9"/>
    </row>
    <row r="2700">
      <c r="A2700" s="6" t="s">
        <v>6060</v>
      </c>
      <c r="B2700" s="6" t="s">
        <v>1577</v>
      </c>
      <c r="C2700" s="6" t="s">
        <v>23</v>
      </c>
      <c r="D2700" s="6" t="s">
        <v>6061</v>
      </c>
      <c r="E2700" s="6" t="s">
        <v>696</v>
      </c>
      <c r="F2700" s="6" t="s">
        <v>37</v>
      </c>
      <c r="G2700" s="7">
        <v>0.03</v>
      </c>
      <c r="H2700" s="6" t="s">
        <v>645</v>
      </c>
      <c r="I2700" s="6" t="s">
        <v>20</v>
      </c>
      <c r="J2700" s="6">
        <v>2024.0</v>
      </c>
      <c r="K2700" s="10">
        <v>46116.0</v>
      </c>
      <c r="L2700" s="6">
        <v>1.0</v>
      </c>
      <c r="M2700" s="8">
        <f t="shared" si="2"/>
        <v>0.03</v>
      </c>
      <c r="P2700" s="9"/>
    </row>
    <row r="2701">
      <c r="A2701" s="6" t="s">
        <v>6062</v>
      </c>
      <c r="B2701" s="6" t="s">
        <v>372</v>
      </c>
      <c r="C2701" s="6" t="s">
        <v>23</v>
      </c>
      <c r="D2701" s="6" t="s">
        <v>6063</v>
      </c>
      <c r="E2701" s="6" t="s">
        <v>30</v>
      </c>
      <c r="F2701" s="6" t="s">
        <v>18</v>
      </c>
      <c r="G2701" s="7">
        <v>0.03</v>
      </c>
      <c r="H2701" s="6" t="s">
        <v>316</v>
      </c>
      <c r="I2701" s="6" t="s">
        <v>20</v>
      </c>
      <c r="J2701" s="6">
        <v>2016.0</v>
      </c>
      <c r="L2701" s="6">
        <v>1.0</v>
      </c>
      <c r="M2701" s="8">
        <f t="shared" si="2"/>
        <v>0.03</v>
      </c>
      <c r="P2701" s="9"/>
    </row>
    <row r="2702">
      <c r="A2702" s="6" t="s">
        <v>6064</v>
      </c>
      <c r="B2702" s="6" t="s">
        <v>182</v>
      </c>
      <c r="C2702" s="6" t="s">
        <v>48</v>
      </c>
      <c r="D2702" s="6" t="s">
        <v>6065</v>
      </c>
      <c r="E2702" s="6" t="s">
        <v>1336</v>
      </c>
      <c r="F2702" s="6" t="s">
        <v>103</v>
      </c>
      <c r="G2702" s="7">
        <v>0.09</v>
      </c>
      <c r="H2702" s="6" t="s">
        <v>418</v>
      </c>
      <c r="I2702" s="6" t="s">
        <v>20</v>
      </c>
      <c r="J2702" s="6">
        <v>2022.0</v>
      </c>
      <c r="L2702" s="6">
        <v>1.0</v>
      </c>
      <c r="M2702" s="8">
        <f t="shared" si="2"/>
        <v>0.09</v>
      </c>
      <c r="P2702" s="9"/>
    </row>
    <row r="2703">
      <c r="A2703" s="6" t="s">
        <v>6066</v>
      </c>
      <c r="B2703" s="6" t="s">
        <v>62</v>
      </c>
      <c r="C2703" s="6" t="s">
        <v>23</v>
      </c>
      <c r="D2703" s="6" t="s">
        <v>6067</v>
      </c>
      <c r="E2703" s="6" t="s">
        <v>270</v>
      </c>
      <c r="F2703" s="6" t="s">
        <v>159</v>
      </c>
      <c r="G2703" s="7">
        <v>0.06</v>
      </c>
      <c r="H2703" s="6" t="s">
        <v>881</v>
      </c>
      <c r="I2703" s="6" t="s">
        <v>20</v>
      </c>
      <c r="J2703" s="6">
        <v>2021.0</v>
      </c>
      <c r="L2703" s="6">
        <v>1.0</v>
      </c>
      <c r="M2703" s="8">
        <f t="shared" si="2"/>
        <v>0.06</v>
      </c>
      <c r="P2703" s="9"/>
    </row>
    <row r="2704">
      <c r="A2704" s="6" t="s">
        <v>6068</v>
      </c>
      <c r="B2704" s="6" t="s">
        <v>156</v>
      </c>
      <c r="C2704" s="6" t="s">
        <v>23</v>
      </c>
      <c r="D2704" s="6" t="s">
        <v>6069</v>
      </c>
      <c r="E2704" s="6" t="s">
        <v>602</v>
      </c>
      <c r="F2704" s="6" t="s">
        <v>159</v>
      </c>
      <c r="G2704" s="7">
        <v>0.03</v>
      </c>
      <c r="H2704" s="6" t="s">
        <v>541</v>
      </c>
      <c r="I2704" s="6" t="s">
        <v>20</v>
      </c>
      <c r="J2704" s="6">
        <v>2019.0</v>
      </c>
      <c r="K2704" s="10">
        <v>46145.0</v>
      </c>
      <c r="L2704" s="6">
        <v>1.0</v>
      </c>
      <c r="M2704" s="8">
        <f t="shared" si="2"/>
        <v>0.03</v>
      </c>
      <c r="P2704" s="9"/>
    </row>
    <row r="2705">
      <c r="A2705" s="6" t="s">
        <v>6070</v>
      </c>
      <c r="B2705" s="6" t="s">
        <v>796</v>
      </c>
      <c r="C2705" s="6" t="s">
        <v>34</v>
      </c>
      <c r="D2705" s="6" t="s">
        <v>6071</v>
      </c>
      <c r="E2705" s="6" t="s">
        <v>1129</v>
      </c>
      <c r="F2705" s="6" t="s">
        <v>18</v>
      </c>
      <c r="G2705" s="7">
        <v>1.05</v>
      </c>
      <c r="H2705" s="6" t="s">
        <v>180</v>
      </c>
      <c r="I2705" s="6" t="s">
        <v>20</v>
      </c>
      <c r="J2705" s="6">
        <v>2014.0</v>
      </c>
      <c r="L2705" s="6">
        <v>1.0</v>
      </c>
      <c r="M2705" s="8">
        <f t="shared" si="2"/>
        <v>1.05</v>
      </c>
      <c r="P2705" s="9"/>
    </row>
    <row r="2706">
      <c r="A2706" s="6" t="s">
        <v>6070</v>
      </c>
      <c r="B2706" s="6" t="s">
        <v>62</v>
      </c>
      <c r="C2706" s="6" t="s">
        <v>23</v>
      </c>
      <c r="D2706" s="6" t="s">
        <v>6072</v>
      </c>
      <c r="E2706" s="6" t="s">
        <v>149</v>
      </c>
      <c r="F2706" s="6" t="s">
        <v>18</v>
      </c>
      <c r="G2706" s="7">
        <v>0.5</v>
      </c>
      <c r="H2706" s="6" t="s">
        <v>914</v>
      </c>
      <c r="I2706" s="6" t="s">
        <v>20</v>
      </c>
      <c r="J2706" s="6">
        <v>2011.0</v>
      </c>
      <c r="L2706" s="6">
        <v>4.0</v>
      </c>
      <c r="M2706" s="8">
        <f t="shared" si="2"/>
        <v>2</v>
      </c>
      <c r="P2706" s="9"/>
    </row>
    <row r="2707">
      <c r="A2707" s="6" t="s">
        <v>6073</v>
      </c>
      <c r="B2707" s="6" t="s">
        <v>372</v>
      </c>
      <c r="C2707" s="6" t="s">
        <v>48</v>
      </c>
      <c r="D2707" s="6" t="s">
        <v>6074</v>
      </c>
      <c r="E2707" s="6" t="s">
        <v>118</v>
      </c>
      <c r="F2707" s="6" t="s">
        <v>51</v>
      </c>
      <c r="G2707" s="7">
        <v>0.05</v>
      </c>
      <c r="H2707" s="6" t="s">
        <v>2203</v>
      </c>
      <c r="I2707" s="6" t="s">
        <v>20</v>
      </c>
      <c r="J2707" s="6">
        <v>2001.0</v>
      </c>
      <c r="L2707" s="6">
        <v>1.0</v>
      </c>
      <c r="M2707" s="8">
        <f t="shared" si="2"/>
        <v>0.05</v>
      </c>
      <c r="P2707" s="9"/>
    </row>
    <row r="2708">
      <c r="A2708" s="6" t="s">
        <v>6075</v>
      </c>
      <c r="B2708" s="6" t="s">
        <v>143</v>
      </c>
      <c r="C2708" s="6" t="s">
        <v>23</v>
      </c>
      <c r="D2708" s="6" t="s">
        <v>6076</v>
      </c>
      <c r="E2708" s="6" t="s">
        <v>175</v>
      </c>
      <c r="F2708" s="6" t="s">
        <v>51</v>
      </c>
      <c r="G2708" s="7">
        <v>0.05</v>
      </c>
      <c r="H2708" s="6" t="s">
        <v>509</v>
      </c>
      <c r="I2708" s="6" t="s">
        <v>20</v>
      </c>
      <c r="J2708" s="6">
        <v>2024.0</v>
      </c>
      <c r="L2708" s="6">
        <v>2.0</v>
      </c>
      <c r="M2708" s="8">
        <f t="shared" si="2"/>
        <v>0.1</v>
      </c>
      <c r="P2708" s="9"/>
    </row>
    <row r="2709">
      <c r="A2709" s="6" t="s">
        <v>6077</v>
      </c>
      <c r="B2709" s="6" t="s">
        <v>6078</v>
      </c>
      <c r="C2709" s="6" t="s">
        <v>23</v>
      </c>
      <c r="D2709" s="6" t="s">
        <v>6079</v>
      </c>
      <c r="E2709" s="6" t="s">
        <v>118</v>
      </c>
      <c r="F2709" s="6" t="s">
        <v>51</v>
      </c>
      <c r="G2709" s="7">
        <v>1.0</v>
      </c>
      <c r="H2709" s="6" t="s">
        <v>26</v>
      </c>
      <c r="I2709" s="6" t="s">
        <v>20</v>
      </c>
      <c r="J2709" s="6">
        <v>2026.0</v>
      </c>
      <c r="K2709" s="6" t="s">
        <v>597</v>
      </c>
      <c r="L2709" s="6">
        <v>1.0</v>
      </c>
      <c r="M2709" s="8">
        <f t="shared" si="2"/>
        <v>1</v>
      </c>
      <c r="P2709" s="9"/>
    </row>
    <row r="2710">
      <c r="A2710" s="6" t="s">
        <v>6080</v>
      </c>
      <c r="B2710" s="6" t="s">
        <v>301</v>
      </c>
      <c r="C2710" s="6" t="s">
        <v>15</v>
      </c>
      <c r="D2710" s="6" t="s">
        <v>6081</v>
      </c>
      <c r="E2710" s="6" t="s">
        <v>36</v>
      </c>
      <c r="F2710" s="6" t="s">
        <v>37</v>
      </c>
      <c r="G2710" s="7">
        <v>0.9</v>
      </c>
      <c r="H2710" s="6" t="s">
        <v>2326</v>
      </c>
      <c r="I2710" s="6" t="s">
        <v>20</v>
      </c>
      <c r="J2710" s="6">
        <v>2026.0</v>
      </c>
      <c r="L2710" s="6">
        <v>1.0</v>
      </c>
      <c r="M2710" s="8">
        <f t="shared" si="2"/>
        <v>0.9</v>
      </c>
      <c r="P2710" s="9"/>
    </row>
    <row r="2711">
      <c r="A2711" s="6" t="s">
        <v>6082</v>
      </c>
      <c r="B2711" s="6" t="s">
        <v>194</v>
      </c>
      <c r="C2711" s="6" t="s">
        <v>23</v>
      </c>
      <c r="D2711" s="6" t="s">
        <v>6083</v>
      </c>
      <c r="E2711" s="6" t="s">
        <v>112</v>
      </c>
      <c r="F2711" s="6" t="s">
        <v>65</v>
      </c>
      <c r="G2711" s="7">
        <v>0.1</v>
      </c>
      <c r="H2711" s="6" t="s">
        <v>192</v>
      </c>
      <c r="I2711" s="6" t="s">
        <v>20</v>
      </c>
      <c r="J2711" s="6">
        <v>2026.0</v>
      </c>
      <c r="L2711" s="6">
        <v>7.0</v>
      </c>
      <c r="M2711" s="8">
        <f t="shared" si="2"/>
        <v>0.7</v>
      </c>
      <c r="P2711" s="9"/>
    </row>
    <row r="2712">
      <c r="A2712" s="6" t="s">
        <v>6084</v>
      </c>
      <c r="B2712" s="6" t="s">
        <v>543</v>
      </c>
      <c r="C2712" s="6" t="s">
        <v>23</v>
      </c>
      <c r="D2712" s="6" t="s">
        <v>6085</v>
      </c>
      <c r="E2712" s="6" t="s">
        <v>223</v>
      </c>
      <c r="F2712" s="6" t="s">
        <v>159</v>
      </c>
      <c r="G2712" s="7">
        <v>0.05</v>
      </c>
      <c r="H2712" s="6" t="s">
        <v>645</v>
      </c>
      <c r="I2712" s="6" t="s">
        <v>20</v>
      </c>
      <c r="J2712" s="6">
        <v>2024.0</v>
      </c>
      <c r="L2712" s="6">
        <v>1.0</v>
      </c>
      <c r="M2712" s="8">
        <f t="shared" si="2"/>
        <v>0.05</v>
      </c>
      <c r="P2712" s="9"/>
    </row>
    <row r="2713">
      <c r="A2713" s="6" t="s">
        <v>6086</v>
      </c>
      <c r="B2713" s="6" t="s">
        <v>372</v>
      </c>
      <c r="C2713" s="6" t="s">
        <v>23</v>
      </c>
      <c r="D2713" s="6" t="s">
        <v>6087</v>
      </c>
      <c r="E2713" s="6" t="s">
        <v>223</v>
      </c>
      <c r="F2713" s="6" t="s">
        <v>159</v>
      </c>
      <c r="G2713" s="7">
        <v>0.06</v>
      </c>
      <c r="H2713" s="6" t="s">
        <v>184</v>
      </c>
      <c r="I2713" s="6" t="s">
        <v>20</v>
      </c>
      <c r="J2713" s="6">
        <v>2015.0</v>
      </c>
      <c r="L2713" s="6">
        <v>1.0</v>
      </c>
      <c r="M2713" s="8">
        <f t="shared" si="2"/>
        <v>0.06</v>
      </c>
      <c r="P2713" s="9"/>
    </row>
    <row r="2714">
      <c r="A2714" s="6" t="s">
        <v>6088</v>
      </c>
      <c r="B2714" s="6" t="s">
        <v>307</v>
      </c>
      <c r="C2714" s="6" t="s">
        <v>23</v>
      </c>
      <c r="D2714" s="6" t="s">
        <v>6089</v>
      </c>
      <c r="E2714" s="6" t="s">
        <v>36</v>
      </c>
      <c r="F2714" s="6" t="s">
        <v>37</v>
      </c>
      <c r="G2714" s="7">
        <v>0.06</v>
      </c>
      <c r="H2714" s="6" t="s">
        <v>188</v>
      </c>
      <c r="I2714" s="6" t="s">
        <v>20</v>
      </c>
      <c r="J2714" s="6">
        <v>2014.0</v>
      </c>
      <c r="L2714" s="6">
        <v>1.0</v>
      </c>
      <c r="M2714" s="8">
        <f t="shared" si="2"/>
        <v>0.06</v>
      </c>
      <c r="P2714" s="9"/>
    </row>
    <row r="2715">
      <c r="A2715" s="6" t="s">
        <v>6090</v>
      </c>
      <c r="B2715" s="6" t="s">
        <v>143</v>
      </c>
      <c r="C2715" s="6" t="s">
        <v>23</v>
      </c>
      <c r="D2715" s="6" t="s">
        <v>6091</v>
      </c>
      <c r="E2715" s="6" t="s">
        <v>36</v>
      </c>
      <c r="F2715" s="6" t="s">
        <v>37</v>
      </c>
      <c r="G2715" s="7">
        <v>0.03</v>
      </c>
      <c r="H2715" s="6" t="s">
        <v>104</v>
      </c>
      <c r="I2715" s="6" t="s">
        <v>20</v>
      </c>
      <c r="J2715" s="6">
        <v>2018.0</v>
      </c>
      <c r="L2715" s="6">
        <v>1.0</v>
      </c>
      <c r="M2715" s="8">
        <f t="shared" si="2"/>
        <v>0.03</v>
      </c>
      <c r="N2715" s="6" t="s">
        <v>518</v>
      </c>
      <c r="P2715" s="9"/>
    </row>
    <row r="2716">
      <c r="A2716" s="6" t="s">
        <v>6092</v>
      </c>
      <c r="B2716" s="6" t="s">
        <v>6093</v>
      </c>
      <c r="C2716" s="6" t="s">
        <v>23</v>
      </c>
      <c r="D2716" s="6" t="s">
        <v>6094</v>
      </c>
      <c r="E2716" s="6" t="s">
        <v>235</v>
      </c>
      <c r="F2716" s="6" t="s">
        <v>103</v>
      </c>
      <c r="G2716" s="7">
        <v>0.03</v>
      </c>
      <c r="H2716" s="6" t="s">
        <v>265</v>
      </c>
      <c r="I2716" s="6" t="s">
        <v>20</v>
      </c>
      <c r="J2716" s="6">
        <v>2017.0</v>
      </c>
      <c r="K2716" s="10">
        <v>46084.0</v>
      </c>
      <c r="L2716" s="6">
        <v>1.0</v>
      </c>
      <c r="M2716" s="8">
        <f t="shared" si="2"/>
        <v>0.03</v>
      </c>
      <c r="P2716" s="9"/>
    </row>
    <row r="2717">
      <c r="A2717" s="6" t="s">
        <v>6095</v>
      </c>
      <c r="B2717" s="6" t="s">
        <v>1597</v>
      </c>
      <c r="C2717" s="6" t="s">
        <v>48</v>
      </c>
      <c r="D2717" s="6" t="s">
        <v>6096</v>
      </c>
      <c r="E2717" s="6" t="s">
        <v>6097</v>
      </c>
      <c r="F2717" s="6" t="s">
        <v>60</v>
      </c>
      <c r="G2717" s="7">
        <v>0.03</v>
      </c>
      <c r="H2717" s="6" t="s">
        <v>555</v>
      </c>
      <c r="I2717" s="6" t="s">
        <v>20</v>
      </c>
      <c r="J2717" s="6">
        <v>2017.0</v>
      </c>
      <c r="K2717" s="10">
        <v>46085.0</v>
      </c>
      <c r="L2717" s="6">
        <v>1.0</v>
      </c>
      <c r="M2717" s="8">
        <f t="shared" si="2"/>
        <v>0.03</v>
      </c>
      <c r="P2717" s="9"/>
    </row>
    <row r="2718">
      <c r="A2718" s="6" t="s">
        <v>6098</v>
      </c>
      <c r="B2718" s="6" t="s">
        <v>182</v>
      </c>
      <c r="C2718" s="6" t="s">
        <v>23</v>
      </c>
      <c r="D2718" s="6" t="s">
        <v>6099</v>
      </c>
      <c r="E2718" s="6" t="s">
        <v>153</v>
      </c>
      <c r="F2718" s="6" t="s">
        <v>103</v>
      </c>
      <c r="G2718" s="7">
        <v>0.05</v>
      </c>
      <c r="H2718" s="6" t="s">
        <v>626</v>
      </c>
      <c r="I2718" s="6" t="s">
        <v>20</v>
      </c>
      <c r="J2718" s="6">
        <v>2013.0</v>
      </c>
      <c r="L2718" s="6">
        <v>3.0</v>
      </c>
      <c r="M2718" s="8">
        <f t="shared" si="2"/>
        <v>0.15</v>
      </c>
      <c r="P2718" s="9"/>
    </row>
    <row r="2719">
      <c r="A2719" s="6" t="s">
        <v>6098</v>
      </c>
      <c r="B2719" s="6" t="s">
        <v>182</v>
      </c>
      <c r="C2719" s="6" t="s">
        <v>23</v>
      </c>
      <c r="D2719" s="6" t="s">
        <v>6099</v>
      </c>
      <c r="E2719" s="6" t="s">
        <v>153</v>
      </c>
      <c r="F2719" s="6" t="s">
        <v>103</v>
      </c>
      <c r="G2719" s="7">
        <v>0.05</v>
      </c>
      <c r="H2719" s="6" t="s">
        <v>626</v>
      </c>
      <c r="I2719" s="6" t="s">
        <v>20</v>
      </c>
      <c r="J2719" s="6">
        <v>2013.0</v>
      </c>
      <c r="L2719" s="6">
        <v>1.0</v>
      </c>
      <c r="M2719" s="8">
        <f t="shared" si="2"/>
        <v>0.05</v>
      </c>
      <c r="P2719" s="9"/>
    </row>
    <row r="2720">
      <c r="A2720" s="6" t="s">
        <v>6100</v>
      </c>
      <c r="B2720" s="6" t="s">
        <v>463</v>
      </c>
      <c r="C2720" s="6" t="s">
        <v>48</v>
      </c>
      <c r="D2720" s="6" t="s">
        <v>6101</v>
      </c>
      <c r="E2720" s="6" t="s">
        <v>25</v>
      </c>
      <c r="F2720" s="6" t="s">
        <v>18</v>
      </c>
      <c r="G2720" s="7">
        <v>0.15</v>
      </c>
      <c r="H2720" s="6" t="s">
        <v>411</v>
      </c>
      <c r="I2720" s="6" t="s">
        <v>20</v>
      </c>
      <c r="J2720" s="6">
        <v>2014.0</v>
      </c>
      <c r="K2720" s="10">
        <v>46023.0</v>
      </c>
      <c r="L2720" s="6">
        <v>1.0</v>
      </c>
      <c r="M2720" s="8">
        <f t="shared" si="2"/>
        <v>0.15</v>
      </c>
      <c r="P2720" s="9"/>
    </row>
    <row r="2721">
      <c r="A2721" s="6" t="s">
        <v>6102</v>
      </c>
      <c r="B2721" s="6" t="s">
        <v>307</v>
      </c>
      <c r="C2721" s="6" t="s">
        <v>23</v>
      </c>
      <c r="D2721" s="6" t="s">
        <v>6103</v>
      </c>
      <c r="E2721" s="6" t="s">
        <v>243</v>
      </c>
      <c r="F2721" s="6" t="s">
        <v>6104</v>
      </c>
      <c r="G2721" s="7">
        <v>0.08</v>
      </c>
      <c r="H2721" s="6" t="s">
        <v>129</v>
      </c>
      <c r="I2721" s="6" t="s">
        <v>20</v>
      </c>
      <c r="J2721" s="6">
        <v>2014.0</v>
      </c>
      <c r="L2721" s="6">
        <v>1.0</v>
      </c>
      <c r="M2721" s="8">
        <f t="shared" si="2"/>
        <v>0.08</v>
      </c>
      <c r="N2721" s="6" t="s">
        <v>518</v>
      </c>
      <c r="P2721" s="9"/>
    </row>
    <row r="2722">
      <c r="A2722" s="6" t="s">
        <v>6105</v>
      </c>
      <c r="B2722" s="6" t="s">
        <v>1192</v>
      </c>
      <c r="C2722" s="6" t="s">
        <v>48</v>
      </c>
      <c r="D2722" s="6" t="s">
        <v>6106</v>
      </c>
      <c r="E2722" s="6" t="s">
        <v>64</v>
      </c>
      <c r="F2722" s="6" t="s">
        <v>65</v>
      </c>
      <c r="G2722" s="7">
        <v>0.06</v>
      </c>
      <c r="H2722" s="6" t="s">
        <v>129</v>
      </c>
      <c r="I2722" s="6" t="s">
        <v>20</v>
      </c>
      <c r="J2722" s="6">
        <v>2023.0</v>
      </c>
      <c r="K2722" s="10">
        <v>46116.0</v>
      </c>
      <c r="L2722" s="6">
        <v>1.0</v>
      </c>
      <c r="M2722" s="8">
        <f t="shared" si="2"/>
        <v>0.06</v>
      </c>
      <c r="P2722" s="9"/>
    </row>
    <row r="2723">
      <c r="A2723" s="6" t="s">
        <v>6107</v>
      </c>
      <c r="B2723" s="6" t="s">
        <v>6108</v>
      </c>
      <c r="C2723" s="6" t="s">
        <v>15</v>
      </c>
      <c r="D2723" s="6" t="s">
        <v>6109</v>
      </c>
      <c r="E2723" s="6" t="s">
        <v>1080</v>
      </c>
      <c r="F2723" s="6" t="s">
        <v>65</v>
      </c>
      <c r="G2723" s="7">
        <v>0.06</v>
      </c>
      <c r="H2723" s="6" t="s">
        <v>180</v>
      </c>
      <c r="I2723" s="6" t="s">
        <v>20</v>
      </c>
      <c r="J2723" s="6">
        <v>2014.0</v>
      </c>
      <c r="K2723" s="10">
        <v>46083.0</v>
      </c>
      <c r="L2723" s="6">
        <v>1.0</v>
      </c>
      <c r="M2723" s="8">
        <f t="shared" si="2"/>
        <v>0.06</v>
      </c>
      <c r="P2723" s="9"/>
    </row>
    <row r="2724">
      <c r="A2724" s="6" t="s">
        <v>6110</v>
      </c>
      <c r="B2724" s="6" t="s">
        <v>1509</v>
      </c>
      <c r="C2724" s="6" t="s">
        <v>23</v>
      </c>
      <c r="D2724" s="6" t="s">
        <v>6111</v>
      </c>
      <c r="E2724" s="6" t="s">
        <v>79</v>
      </c>
      <c r="F2724" s="6" t="s">
        <v>51</v>
      </c>
      <c r="G2724" s="7">
        <v>0.06</v>
      </c>
      <c r="H2724" s="6" t="s">
        <v>129</v>
      </c>
      <c r="I2724" s="6" t="s">
        <v>20</v>
      </c>
      <c r="J2724" s="6">
        <v>2014.0</v>
      </c>
      <c r="K2724" s="10">
        <v>46083.0</v>
      </c>
      <c r="L2724" s="6">
        <v>2.0</v>
      </c>
      <c r="M2724" s="8">
        <f t="shared" si="2"/>
        <v>0.12</v>
      </c>
      <c r="P2724" s="9"/>
    </row>
    <row r="2725">
      <c r="A2725" s="6" t="s">
        <v>6112</v>
      </c>
      <c r="B2725" s="6" t="s">
        <v>1509</v>
      </c>
      <c r="C2725" s="6" t="s">
        <v>23</v>
      </c>
      <c r="D2725" s="6" t="s">
        <v>6113</v>
      </c>
      <c r="E2725" s="6" t="s">
        <v>102</v>
      </c>
      <c r="F2725" s="6" t="s">
        <v>103</v>
      </c>
      <c r="G2725" s="7">
        <v>0.05</v>
      </c>
      <c r="H2725" s="6" t="s">
        <v>129</v>
      </c>
      <c r="I2725" s="6" t="s">
        <v>20</v>
      </c>
      <c r="J2725" s="6">
        <v>2014.0</v>
      </c>
      <c r="K2725" s="10">
        <v>46024.0</v>
      </c>
      <c r="L2725" s="6">
        <v>1.0</v>
      </c>
      <c r="M2725" s="8">
        <f t="shared" si="2"/>
        <v>0.05</v>
      </c>
      <c r="P2725" s="9"/>
    </row>
    <row r="2726">
      <c r="A2726" s="6" t="s">
        <v>6114</v>
      </c>
      <c r="B2726" s="6" t="s">
        <v>6115</v>
      </c>
      <c r="C2726" s="6" t="s">
        <v>23</v>
      </c>
      <c r="D2726" s="6" t="s">
        <v>6116</v>
      </c>
      <c r="E2726" s="6" t="s">
        <v>533</v>
      </c>
      <c r="F2726" s="6" t="s">
        <v>65</v>
      </c>
      <c r="G2726" s="7">
        <v>0.03</v>
      </c>
      <c r="H2726" s="6" t="s">
        <v>129</v>
      </c>
      <c r="I2726" s="6" t="s">
        <v>20</v>
      </c>
      <c r="J2726" s="6">
        <v>2014.0</v>
      </c>
      <c r="K2726" s="10">
        <v>46084.0</v>
      </c>
      <c r="L2726" s="6">
        <v>3.0</v>
      </c>
      <c r="M2726" s="8">
        <f t="shared" si="2"/>
        <v>0.09</v>
      </c>
      <c r="P2726" s="9"/>
    </row>
    <row r="2727">
      <c r="A2727" s="6" t="s">
        <v>6117</v>
      </c>
      <c r="B2727" s="6" t="s">
        <v>4545</v>
      </c>
      <c r="C2727" s="6" t="s">
        <v>23</v>
      </c>
      <c r="E2727" s="6" t="s">
        <v>149</v>
      </c>
      <c r="F2727" s="6" t="s">
        <v>18</v>
      </c>
      <c r="G2727" s="7">
        <v>0.05</v>
      </c>
      <c r="H2727" s="6" t="s">
        <v>184</v>
      </c>
      <c r="I2727" s="6" t="s">
        <v>20</v>
      </c>
      <c r="J2727" s="6">
        <v>2015.0</v>
      </c>
      <c r="K2727" s="10">
        <v>46082.0</v>
      </c>
      <c r="L2727" s="6">
        <v>5.0</v>
      </c>
      <c r="M2727" s="8">
        <f t="shared" si="2"/>
        <v>0.25</v>
      </c>
      <c r="P2727" s="9"/>
    </row>
    <row r="2728">
      <c r="A2728" s="6" t="s">
        <v>6117</v>
      </c>
      <c r="B2728" s="6" t="s">
        <v>4545</v>
      </c>
      <c r="C2728" s="6" t="s">
        <v>23</v>
      </c>
      <c r="E2728" s="6" t="s">
        <v>149</v>
      </c>
      <c r="F2728" s="6" t="s">
        <v>18</v>
      </c>
      <c r="G2728" s="7">
        <v>0.05</v>
      </c>
      <c r="H2728" s="6" t="s">
        <v>184</v>
      </c>
      <c r="I2728" s="6" t="s">
        <v>20</v>
      </c>
      <c r="J2728" s="6">
        <v>2015.0</v>
      </c>
      <c r="K2728" s="10">
        <v>46082.0</v>
      </c>
      <c r="L2728" s="6">
        <v>1.0</v>
      </c>
      <c r="M2728" s="8">
        <f t="shared" si="2"/>
        <v>0.05</v>
      </c>
      <c r="P2728" s="9"/>
    </row>
    <row r="2729">
      <c r="A2729" s="6" t="s">
        <v>6118</v>
      </c>
      <c r="B2729" s="6" t="s">
        <v>366</v>
      </c>
      <c r="C2729" s="6" t="s">
        <v>521</v>
      </c>
      <c r="D2729" s="6" t="s">
        <v>6119</v>
      </c>
      <c r="E2729" s="6" t="s">
        <v>153</v>
      </c>
      <c r="F2729" s="6" t="s">
        <v>2954</v>
      </c>
      <c r="G2729" s="7">
        <v>0.03</v>
      </c>
      <c r="H2729" s="6" t="s">
        <v>430</v>
      </c>
      <c r="I2729" s="6" t="s">
        <v>20</v>
      </c>
      <c r="J2729" s="6">
        <v>2018.0</v>
      </c>
      <c r="L2729" s="6">
        <v>4.0</v>
      </c>
      <c r="M2729" s="8">
        <f t="shared" si="2"/>
        <v>0.12</v>
      </c>
      <c r="P2729" s="9"/>
    </row>
    <row r="2730">
      <c r="A2730" s="6" t="s">
        <v>6120</v>
      </c>
      <c r="B2730" s="6" t="s">
        <v>2026</v>
      </c>
      <c r="C2730" s="6" t="s">
        <v>34</v>
      </c>
      <c r="D2730" s="6" t="s">
        <v>6121</v>
      </c>
      <c r="E2730" s="6" t="s">
        <v>4255</v>
      </c>
      <c r="F2730" s="6" t="s">
        <v>159</v>
      </c>
      <c r="G2730" s="7">
        <v>0.03</v>
      </c>
      <c r="H2730" s="6" t="s">
        <v>483</v>
      </c>
      <c r="I2730" s="6" t="s">
        <v>20</v>
      </c>
      <c r="J2730" s="6">
        <v>2014.0</v>
      </c>
      <c r="L2730" s="6">
        <v>4.0</v>
      </c>
      <c r="M2730" s="8">
        <f t="shared" si="2"/>
        <v>0.12</v>
      </c>
      <c r="P2730" s="9"/>
    </row>
    <row r="2731">
      <c r="A2731" s="6" t="s">
        <v>6122</v>
      </c>
      <c r="B2731" s="6" t="s">
        <v>194</v>
      </c>
      <c r="C2731" s="6" t="s">
        <v>23</v>
      </c>
      <c r="D2731" s="6" t="s">
        <v>6123</v>
      </c>
      <c r="E2731" s="6" t="s">
        <v>167</v>
      </c>
      <c r="F2731" s="6" t="s">
        <v>103</v>
      </c>
      <c r="G2731" s="7">
        <v>0.08</v>
      </c>
      <c r="H2731" s="6" t="s">
        <v>109</v>
      </c>
      <c r="I2731" s="6" t="s">
        <v>20</v>
      </c>
      <c r="J2731" s="6">
        <v>1995.0</v>
      </c>
      <c r="L2731" s="6">
        <v>4.0</v>
      </c>
      <c r="M2731" s="8">
        <f t="shared" si="2"/>
        <v>0.32</v>
      </c>
      <c r="P2731" s="9"/>
    </row>
    <row r="2732">
      <c r="A2732" s="6" t="s">
        <v>6122</v>
      </c>
      <c r="B2732" s="6" t="s">
        <v>194</v>
      </c>
      <c r="C2732" s="6" t="s">
        <v>23</v>
      </c>
      <c r="D2732" s="6" t="s">
        <v>6123</v>
      </c>
      <c r="E2732" s="6" t="s">
        <v>167</v>
      </c>
      <c r="F2732" s="6" t="s">
        <v>103</v>
      </c>
      <c r="G2732" s="7">
        <v>0.15</v>
      </c>
      <c r="H2732" s="6" t="s">
        <v>1382</v>
      </c>
      <c r="I2732" s="6" t="s">
        <v>20</v>
      </c>
      <c r="J2732" s="6">
        <v>1995.0</v>
      </c>
      <c r="L2732" s="6">
        <v>5.0</v>
      </c>
      <c r="M2732" s="8">
        <f t="shared" si="2"/>
        <v>0.75</v>
      </c>
      <c r="P2732" s="9"/>
    </row>
    <row r="2733">
      <c r="A2733" s="6" t="s">
        <v>6124</v>
      </c>
      <c r="B2733" s="6" t="s">
        <v>5570</v>
      </c>
      <c r="C2733" s="6" t="s">
        <v>23</v>
      </c>
      <c r="D2733" s="6" t="s">
        <v>6125</v>
      </c>
      <c r="E2733" s="6" t="s">
        <v>118</v>
      </c>
      <c r="F2733" s="6" t="s">
        <v>51</v>
      </c>
      <c r="G2733" s="7">
        <v>0.06</v>
      </c>
      <c r="H2733" s="6" t="s">
        <v>340</v>
      </c>
      <c r="I2733" s="6" t="s">
        <v>20</v>
      </c>
      <c r="J2733" s="6">
        <v>2010.0</v>
      </c>
      <c r="K2733" s="10">
        <v>46024.0</v>
      </c>
      <c r="L2733" s="6">
        <v>1.0</v>
      </c>
      <c r="M2733" s="8">
        <f t="shared" si="2"/>
        <v>0.06</v>
      </c>
      <c r="P2733" s="9"/>
    </row>
    <row r="2734">
      <c r="A2734" s="6" t="s">
        <v>6126</v>
      </c>
      <c r="B2734" s="6" t="s">
        <v>139</v>
      </c>
      <c r="C2734" s="6" t="s">
        <v>48</v>
      </c>
      <c r="D2734" s="6" t="s">
        <v>6127</v>
      </c>
      <c r="E2734" s="6" t="s">
        <v>1134</v>
      </c>
      <c r="F2734" s="6" t="s">
        <v>261</v>
      </c>
      <c r="G2734" s="7">
        <v>0.15</v>
      </c>
      <c r="H2734" s="6" t="s">
        <v>848</v>
      </c>
      <c r="I2734" s="6" t="s">
        <v>20</v>
      </c>
      <c r="J2734" s="6">
        <v>2023.0</v>
      </c>
      <c r="K2734" s="10">
        <v>46055.0</v>
      </c>
      <c r="L2734" s="6">
        <v>1.0</v>
      </c>
      <c r="M2734" s="8">
        <f t="shared" si="2"/>
        <v>0.15</v>
      </c>
      <c r="P2734" s="9"/>
    </row>
    <row r="2735">
      <c r="A2735" s="6" t="s">
        <v>6128</v>
      </c>
      <c r="B2735" s="6" t="s">
        <v>2193</v>
      </c>
      <c r="C2735" s="6" t="s">
        <v>48</v>
      </c>
      <c r="D2735" s="6" t="s">
        <v>6129</v>
      </c>
      <c r="E2735" s="6" t="s">
        <v>243</v>
      </c>
      <c r="F2735" s="6" t="s">
        <v>3489</v>
      </c>
      <c r="G2735" s="7">
        <v>0.15</v>
      </c>
      <c r="H2735" s="6" t="s">
        <v>324</v>
      </c>
      <c r="I2735" s="6" t="s">
        <v>20</v>
      </c>
      <c r="J2735" s="6">
        <v>2025.0</v>
      </c>
      <c r="K2735" s="10">
        <v>46148.0</v>
      </c>
      <c r="L2735" s="6">
        <v>2.0</v>
      </c>
      <c r="M2735" s="8">
        <f t="shared" si="2"/>
        <v>0.3</v>
      </c>
      <c r="P2735" s="9"/>
    </row>
    <row r="2736">
      <c r="A2736" s="6" t="s">
        <v>6130</v>
      </c>
      <c r="B2736" s="6" t="s">
        <v>1141</v>
      </c>
      <c r="C2736" s="6" t="s">
        <v>23</v>
      </c>
      <c r="D2736" s="6" t="s">
        <v>6131</v>
      </c>
      <c r="E2736" s="6" t="s">
        <v>2695</v>
      </c>
      <c r="F2736" s="6" t="s">
        <v>103</v>
      </c>
      <c r="G2736" s="7">
        <v>0.15</v>
      </c>
      <c r="H2736" s="6" t="s">
        <v>276</v>
      </c>
      <c r="I2736" s="6" t="s">
        <v>55</v>
      </c>
      <c r="J2736" s="6">
        <v>2014.0</v>
      </c>
      <c r="K2736" s="10">
        <v>46146.0</v>
      </c>
      <c r="L2736" s="6">
        <v>1.0</v>
      </c>
      <c r="M2736" s="8">
        <f t="shared" si="2"/>
        <v>0.15</v>
      </c>
      <c r="P2736" s="9"/>
    </row>
    <row r="2737">
      <c r="A2737" s="6" t="s">
        <v>6132</v>
      </c>
      <c r="B2737" s="6" t="s">
        <v>131</v>
      </c>
      <c r="C2737" s="6" t="s">
        <v>23</v>
      </c>
      <c r="D2737" s="6" t="s">
        <v>6133</v>
      </c>
      <c r="E2737" s="6" t="s">
        <v>118</v>
      </c>
      <c r="F2737" s="6" t="s">
        <v>51</v>
      </c>
      <c r="G2737" s="7">
        <v>0.02</v>
      </c>
      <c r="H2737" s="6" t="s">
        <v>406</v>
      </c>
      <c r="I2737" s="6" t="s">
        <v>20</v>
      </c>
      <c r="J2737" s="6">
        <v>2019.0</v>
      </c>
      <c r="K2737" s="10">
        <v>46055.0</v>
      </c>
      <c r="L2737" s="6">
        <v>1.0</v>
      </c>
      <c r="M2737" s="8">
        <f t="shared" si="2"/>
        <v>0.02</v>
      </c>
      <c r="P2737" s="9"/>
    </row>
    <row r="2738">
      <c r="A2738" s="6" t="s">
        <v>6134</v>
      </c>
      <c r="B2738" s="6" t="s">
        <v>6135</v>
      </c>
      <c r="C2738" s="6" t="s">
        <v>23</v>
      </c>
      <c r="D2738" s="6" t="s">
        <v>6136</v>
      </c>
      <c r="E2738" s="6" t="s">
        <v>248</v>
      </c>
      <c r="F2738" s="6" t="s">
        <v>18</v>
      </c>
      <c r="G2738" s="7">
        <v>0.15</v>
      </c>
      <c r="H2738" s="6" t="s">
        <v>1538</v>
      </c>
      <c r="I2738" s="6" t="s">
        <v>20</v>
      </c>
      <c r="J2738" s="6">
        <v>2014.0</v>
      </c>
      <c r="K2738" s="10">
        <v>46023.0</v>
      </c>
      <c r="L2738" s="6">
        <v>1.0</v>
      </c>
      <c r="M2738" s="8">
        <f t="shared" si="2"/>
        <v>0.15</v>
      </c>
      <c r="P2738" s="9"/>
    </row>
    <row r="2739">
      <c r="A2739" s="6" t="s">
        <v>6137</v>
      </c>
      <c r="B2739" s="6" t="s">
        <v>182</v>
      </c>
      <c r="C2739" s="6" t="s">
        <v>41</v>
      </c>
      <c r="D2739" s="6" t="s">
        <v>6138</v>
      </c>
      <c r="E2739" s="6" t="s">
        <v>696</v>
      </c>
      <c r="F2739" s="6" t="s">
        <v>37</v>
      </c>
      <c r="G2739" s="7">
        <v>0.14</v>
      </c>
      <c r="H2739" s="6" t="s">
        <v>621</v>
      </c>
      <c r="I2739" s="6" t="s">
        <v>20</v>
      </c>
      <c r="J2739" s="6">
        <v>2015.0</v>
      </c>
      <c r="L2739" s="6">
        <v>1.0</v>
      </c>
      <c r="M2739" s="8">
        <f t="shared" si="2"/>
        <v>0.14</v>
      </c>
      <c r="P2739" s="9"/>
    </row>
    <row r="2740">
      <c r="A2740" s="6" t="s">
        <v>6137</v>
      </c>
      <c r="B2740" s="6" t="s">
        <v>182</v>
      </c>
      <c r="C2740" s="6" t="s">
        <v>41</v>
      </c>
      <c r="D2740" s="6" t="s">
        <v>6139</v>
      </c>
      <c r="E2740" s="6" t="s">
        <v>696</v>
      </c>
      <c r="F2740" s="6" t="s">
        <v>37</v>
      </c>
      <c r="G2740" s="7">
        <v>0.14</v>
      </c>
      <c r="H2740" s="6" t="s">
        <v>621</v>
      </c>
      <c r="I2740" s="6" t="s">
        <v>20</v>
      </c>
      <c r="J2740" s="6">
        <v>2015.0</v>
      </c>
      <c r="L2740" s="6">
        <v>1.0</v>
      </c>
      <c r="M2740" s="8">
        <f t="shared" si="2"/>
        <v>0.14</v>
      </c>
      <c r="P2740" s="9"/>
    </row>
    <row r="2741">
      <c r="A2741" s="6" t="s">
        <v>6140</v>
      </c>
      <c r="B2741" s="6" t="s">
        <v>62</v>
      </c>
      <c r="C2741" s="6" t="s">
        <v>23</v>
      </c>
      <c r="D2741" s="6" t="s">
        <v>6141</v>
      </c>
      <c r="E2741" s="6" t="s">
        <v>238</v>
      </c>
      <c r="F2741" s="6" t="s">
        <v>159</v>
      </c>
      <c r="G2741" s="7">
        <v>0.13</v>
      </c>
      <c r="H2741" s="6" t="s">
        <v>114</v>
      </c>
      <c r="I2741" s="6" t="s">
        <v>20</v>
      </c>
      <c r="J2741" s="6">
        <v>2021.0</v>
      </c>
      <c r="L2741" s="6">
        <v>1.0</v>
      </c>
      <c r="M2741" s="8">
        <f t="shared" si="2"/>
        <v>0.13</v>
      </c>
      <c r="P2741" s="9"/>
    </row>
    <row r="2742">
      <c r="A2742" s="6" t="s">
        <v>6142</v>
      </c>
      <c r="B2742" s="6" t="s">
        <v>3893</v>
      </c>
      <c r="C2742" s="6" t="s">
        <v>34</v>
      </c>
      <c r="D2742" s="6" t="s">
        <v>6143</v>
      </c>
      <c r="E2742" s="6" t="s">
        <v>3163</v>
      </c>
      <c r="F2742" s="6" t="s">
        <v>51</v>
      </c>
      <c r="G2742" s="7">
        <v>0.06</v>
      </c>
      <c r="H2742" s="6" t="s">
        <v>180</v>
      </c>
      <c r="I2742" s="6" t="s">
        <v>20</v>
      </c>
      <c r="J2742" s="6">
        <v>2014.0</v>
      </c>
      <c r="K2742" s="10">
        <v>46054.0</v>
      </c>
      <c r="L2742" s="6">
        <v>1.0</v>
      </c>
      <c r="M2742" s="8">
        <f t="shared" si="2"/>
        <v>0.06</v>
      </c>
      <c r="P2742" s="9"/>
    </row>
    <row r="2743">
      <c r="A2743" s="6" t="s">
        <v>6144</v>
      </c>
      <c r="B2743" s="6" t="s">
        <v>6145</v>
      </c>
      <c r="C2743" s="6" t="s">
        <v>41</v>
      </c>
      <c r="D2743" s="6" t="s">
        <v>6146</v>
      </c>
      <c r="E2743" s="6" t="s">
        <v>1336</v>
      </c>
      <c r="F2743" s="6" t="s">
        <v>103</v>
      </c>
      <c r="G2743" s="7">
        <v>4.11</v>
      </c>
      <c r="H2743" s="6" t="s">
        <v>359</v>
      </c>
      <c r="I2743" s="6" t="s">
        <v>20</v>
      </c>
      <c r="J2743" s="6">
        <v>2014.0</v>
      </c>
      <c r="K2743" s="10">
        <v>46147.0</v>
      </c>
      <c r="L2743" s="6">
        <v>1.0</v>
      </c>
      <c r="M2743" s="8">
        <f t="shared" si="2"/>
        <v>4.11</v>
      </c>
      <c r="P2743" s="9"/>
    </row>
    <row r="2744">
      <c r="A2744" s="6" t="s">
        <v>6147</v>
      </c>
      <c r="B2744" s="6" t="s">
        <v>6148</v>
      </c>
      <c r="C2744" s="6" t="s">
        <v>48</v>
      </c>
      <c r="D2744" s="6" t="s">
        <v>6149</v>
      </c>
      <c r="E2744" s="6" t="s">
        <v>149</v>
      </c>
      <c r="F2744" s="6" t="s">
        <v>18</v>
      </c>
      <c r="G2744" s="7">
        <v>0.15</v>
      </c>
      <c r="H2744" s="6" t="s">
        <v>45</v>
      </c>
      <c r="I2744" s="6" t="s">
        <v>20</v>
      </c>
      <c r="J2744" s="6">
        <v>2025.0</v>
      </c>
      <c r="K2744" s="10">
        <v>46082.0</v>
      </c>
      <c r="L2744" s="6">
        <v>1.0</v>
      </c>
      <c r="M2744" s="8">
        <f t="shared" si="2"/>
        <v>0.15</v>
      </c>
      <c r="P2744" s="9"/>
    </row>
    <row r="2745">
      <c r="A2745" s="6" t="s">
        <v>6150</v>
      </c>
      <c r="B2745" s="6" t="s">
        <v>5483</v>
      </c>
      <c r="C2745" s="6" t="s">
        <v>48</v>
      </c>
      <c r="D2745" s="6" t="s">
        <v>6151</v>
      </c>
      <c r="E2745" s="6" t="s">
        <v>573</v>
      </c>
      <c r="F2745" s="6" t="s">
        <v>51</v>
      </c>
      <c r="G2745" s="7">
        <v>0.15</v>
      </c>
      <c r="H2745" s="6" t="s">
        <v>45</v>
      </c>
      <c r="I2745" s="6" t="s">
        <v>20</v>
      </c>
      <c r="J2745" s="6">
        <v>2025.0</v>
      </c>
      <c r="K2745" s="10">
        <v>46116.0</v>
      </c>
      <c r="L2745" s="6">
        <v>1.0</v>
      </c>
      <c r="M2745" s="8">
        <f t="shared" si="2"/>
        <v>0.15</v>
      </c>
      <c r="P2745" s="9"/>
    </row>
    <row r="2746">
      <c r="A2746" s="6" t="s">
        <v>6152</v>
      </c>
      <c r="B2746" s="6" t="s">
        <v>6153</v>
      </c>
      <c r="C2746" s="6" t="s">
        <v>48</v>
      </c>
      <c r="D2746" s="6" t="s">
        <v>6154</v>
      </c>
      <c r="E2746" s="6" t="s">
        <v>6155</v>
      </c>
      <c r="F2746" s="6" t="s">
        <v>261</v>
      </c>
      <c r="G2746" s="7">
        <v>0.1</v>
      </c>
      <c r="H2746" s="6" t="s">
        <v>769</v>
      </c>
      <c r="I2746" s="6" t="s">
        <v>20</v>
      </c>
      <c r="J2746" s="6">
        <v>2023.0</v>
      </c>
      <c r="L2746" s="6">
        <v>1.0</v>
      </c>
      <c r="M2746" s="8">
        <f t="shared" si="2"/>
        <v>0.1</v>
      </c>
      <c r="P2746" s="9"/>
    </row>
    <row r="2747">
      <c r="A2747" s="6" t="s">
        <v>6156</v>
      </c>
      <c r="B2747" s="6" t="s">
        <v>62</v>
      </c>
      <c r="C2747" s="6" t="s">
        <v>23</v>
      </c>
      <c r="D2747" s="6" t="s">
        <v>1278</v>
      </c>
      <c r="E2747" s="6" t="s">
        <v>223</v>
      </c>
      <c r="F2747" s="6" t="s">
        <v>159</v>
      </c>
      <c r="G2747" s="7">
        <v>0.16</v>
      </c>
      <c r="H2747" s="6" t="s">
        <v>418</v>
      </c>
      <c r="I2747" s="6" t="s">
        <v>20</v>
      </c>
      <c r="J2747" s="6">
        <v>2022.0</v>
      </c>
      <c r="L2747" s="6">
        <v>1.0</v>
      </c>
      <c r="M2747" s="8">
        <f t="shared" si="2"/>
        <v>0.16</v>
      </c>
      <c r="P2747" s="9"/>
    </row>
    <row r="2748">
      <c r="A2748" s="6" t="s">
        <v>6157</v>
      </c>
      <c r="B2748" s="6" t="s">
        <v>1990</v>
      </c>
      <c r="C2748" s="6" t="s">
        <v>23</v>
      </c>
      <c r="D2748" s="6" t="s">
        <v>6158</v>
      </c>
      <c r="E2748" s="6" t="s">
        <v>167</v>
      </c>
      <c r="F2748" s="6" t="s">
        <v>103</v>
      </c>
      <c r="G2748" s="7">
        <v>0.09</v>
      </c>
      <c r="H2748" s="6" t="s">
        <v>204</v>
      </c>
      <c r="I2748" s="6" t="s">
        <v>20</v>
      </c>
      <c r="J2748" s="6">
        <v>2026.0</v>
      </c>
      <c r="L2748" s="6">
        <v>1.0</v>
      </c>
      <c r="M2748" s="8">
        <f t="shared" si="2"/>
        <v>0.09</v>
      </c>
      <c r="P2748" s="9"/>
    </row>
    <row r="2749">
      <c r="A2749" s="6" t="s">
        <v>6159</v>
      </c>
      <c r="B2749" s="6" t="s">
        <v>291</v>
      </c>
      <c r="C2749" s="6" t="s">
        <v>48</v>
      </c>
      <c r="D2749" s="6" t="s">
        <v>6160</v>
      </c>
      <c r="E2749" s="6" t="s">
        <v>25</v>
      </c>
      <c r="F2749" s="6" t="s">
        <v>18</v>
      </c>
      <c r="G2749" s="7">
        <v>0.21</v>
      </c>
      <c r="H2749" s="6" t="s">
        <v>204</v>
      </c>
      <c r="I2749" s="6" t="s">
        <v>20</v>
      </c>
      <c r="J2749" s="6">
        <v>2026.0</v>
      </c>
      <c r="K2749" s="10">
        <v>46055.0</v>
      </c>
      <c r="L2749" s="6">
        <v>1.0</v>
      </c>
      <c r="M2749" s="8">
        <f t="shared" si="2"/>
        <v>0.21</v>
      </c>
      <c r="P2749" s="9"/>
    </row>
    <row r="2750">
      <c r="A2750" s="6" t="s">
        <v>6161</v>
      </c>
      <c r="B2750" s="6" t="s">
        <v>4491</v>
      </c>
      <c r="C2750" s="6" t="s">
        <v>15</v>
      </c>
      <c r="D2750" s="6" t="s">
        <v>6162</v>
      </c>
      <c r="E2750" s="6" t="s">
        <v>1454</v>
      </c>
      <c r="F2750" s="6" t="s">
        <v>3467</v>
      </c>
      <c r="G2750" s="7">
        <v>0.25</v>
      </c>
      <c r="H2750" s="6" t="s">
        <v>19</v>
      </c>
      <c r="I2750" s="6" t="s">
        <v>20</v>
      </c>
      <c r="J2750" s="6">
        <v>2023.0</v>
      </c>
      <c r="K2750" s="10">
        <v>46055.0</v>
      </c>
      <c r="L2750" s="6">
        <v>1.0</v>
      </c>
      <c r="M2750" s="8">
        <f t="shared" si="2"/>
        <v>0.25</v>
      </c>
      <c r="P2750" s="9"/>
    </row>
    <row r="2751">
      <c r="A2751" s="6" t="s">
        <v>6163</v>
      </c>
      <c r="B2751" s="6" t="s">
        <v>1234</v>
      </c>
      <c r="C2751" s="6" t="s">
        <v>23</v>
      </c>
      <c r="D2751" s="6" t="s">
        <v>6164</v>
      </c>
      <c r="E2751" s="6" t="s">
        <v>533</v>
      </c>
      <c r="F2751" s="6" t="s">
        <v>65</v>
      </c>
      <c r="G2751" s="7">
        <v>0.06</v>
      </c>
      <c r="H2751" s="6" t="s">
        <v>336</v>
      </c>
      <c r="I2751" s="6" t="s">
        <v>20</v>
      </c>
      <c r="J2751" s="6">
        <v>2016.0</v>
      </c>
      <c r="K2751" s="10">
        <v>46144.0</v>
      </c>
      <c r="L2751" s="6">
        <v>12.0</v>
      </c>
      <c r="M2751" s="8">
        <f t="shared" si="2"/>
        <v>0.72</v>
      </c>
      <c r="P2751" s="9"/>
    </row>
    <row r="2752">
      <c r="A2752" s="6" t="s">
        <v>6165</v>
      </c>
      <c r="B2752" s="6" t="s">
        <v>194</v>
      </c>
      <c r="C2752" s="6" t="s">
        <v>23</v>
      </c>
      <c r="D2752" s="6" t="s">
        <v>6166</v>
      </c>
      <c r="E2752" s="6" t="s">
        <v>102</v>
      </c>
      <c r="F2752" s="6" t="s">
        <v>103</v>
      </c>
      <c r="G2752" s="7">
        <v>0.15</v>
      </c>
      <c r="H2752" s="6" t="s">
        <v>324</v>
      </c>
      <c r="I2752" s="6" t="s">
        <v>20</v>
      </c>
      <c r="J2752" s="6">
        <v>2025.0</v>
      </c>
      <c r="L2752" s="6">
        <v>1.0</v>
      </c>
      <c r="M2752" s="8">
        <f t="shared" si="2"/>
        <v>0.15</v>
      </c>
      <c r="P2752" s="9"/>
    </row>
    <row r="2753">
      <c r="A2753" s="6" t="s">
        <v>6167</v>
      </c>
      <c r="B2753" s="6" t="s">
        <v>326</v>
      </c>
      <c r="C2753" s="6" t="s">
        <v>23</v>
      </c>
      <c r="D2753" s="6" t="s">
        <v>6168</v>
      </c>
      <c r="E2753" s="6" t="s">
        <v>328</v>
      </c>
      <c r="F2753" s="6" t="s">
        <v>18</v>
      </c>
      <c r="G2753" s="7">
        <v>0.04</v>
      </c>
      <c r="H2753" s="6" t="s">
        <v>1784</v>
      </c>
      <c r="I2753" s="6" t="s">
        <v>20</v>
      </c>
      <c r="J2753" s="6">
        <v>2013.0</v>
      </c>
      <c r="K2753" s="10">
        <v>46145.0</v>
      </c>
      <c r="L2753" s="6">
        <v>2.0</v>
      </c>
      <c r="M2753" s="8">
        <f t="shared" si="2"/>
        <v>0.08</v>
      </c>
      <c r="P2753" s="9"/>
    </row>
    <row r="2754">
      <c r="A2754" s="6" t="s">
        <v>6169</v>
      </c>
      <c r="B2754" s="6" t="s">
        <v>1540</v>
      </c>
      <c r="C2754" s="6" t="s">
        <v>23</v>
      </c>
      <c r="D2754" s="6" t="s">
        <v>6170</v>
      </c>
      <c r="E2754" s="6" t="s">
        <v>6171</v>
      </c>
      <c r="F2754" s="6" t="s">
        <v>18</v>
      </c>
      <c r="G2754" s="7">
        <v>0.05</v>
      </c>
      <c r="H2754" s="6" t="s">
        <v>645</v>
      </c>
      <c r="I2754" s="6" t="s">
        <v>20</v>
      </c>
      <c r="J2754" s="6">
        <v>2024.0</v>
      </c>
      <c r="L2754" s="6">
        <v>1.0</v>
      </c>
      <c r="M2754" s="8">
        <f t="shared" si="2"/>
        <v>0.05</v>
      </c>
      <c r="P2754" s="9"/>
    </row>
    <row r="2755">
      <c r="A2755" s="6" t="s">
        <v>6172</v>
      </c>
      <c r="B2755" s="6" t="s">
        <v>6173</v>
      </c>
      <c r="C2755" s="6" t="s">
        <v>15</v>
      </c>
      <c r="D2755" s="6" t="s">
        <v>6174</v>
      </c>
      <c r="E2755" s="6" t="s">
        <v>3574</v>
      </c>
      <c r="F2755" s="6" t="s">
        <v>18</v>
      </c>
      <c r="G2755" s="7">
        <v>0.1</v>
      </c>
      <c r="H2755" s="6" t="s">
        <v>1043</v>
      </c>
      <c r="I2755" s="6" t="s">
        <v>20</v>
      </c>
      <c r="J2755" s="6">
        <v>2025.0</v>
      </c>
      <c r="K2755" s="10">
        <v>46116.0</v>
      </c>
      <c r="L2755" s="6">
        <v>1.0</v>
      </c>
      <c r="M2755" s="8">
        <f t="shared" si="2"/>
        <v>0.1</v>
      </c>
      <c r="P2755" s="9"/>
    </row>
    <row r="2756">
      <c r="A2756" s="6" t="s">
        <v>6175</v>
      </c>
      <c r="B2756" s="6" t="s">
        <v>6176</v>
      </c>
      <c r="C2756" s="6" t="s">
        <v>34</v>
      </c>
      <c r="D2756" s="6" t="s">
        <v>6177</v>
      </c>
      <c r="E2756" s="6" t="s">
        <v>243</v>
      </c>
      <c r="F2756" s="6" t="s">
        <v>37</v>
      </c>
      <c r="G2756" s="7">
        <v>0.05</v>
      </c>
      <c r="H2756" s="6" t="s">
        <v>38</v>
      </c>
      <c r="I2756" s="6" t="s">
        <v>20</v>
      </c>
      <c r="J2756" s="6">
        <v>2025.0</v>
      </c>
      <c r="K2756" s="10">
        <v>46024.0</v>
      </c>
      <c r="L2756" s="6">
        <v>1.0</v>
      </c>
      <c r="M2756" s="8">
        <f t="shared" si="2"/>
        <v>0.05</v>
      </c>
      <c r="P2756" s="9"/>
    </row>
    <row r="2757">
      <c r="A2757" s="6" t="s">
        <v>6178</v>
      </c>
      <c r="B2757" s="6" t="s">
        <v>6179</v>
      </c>
      <c r="C2757" s="6" t="s">
        <v>23</v>
      </c>
      <c r="D2757" s="6" t="s">
        <v>6180</v>
      </c>
      <c r="E2757" s="6" t="s">
        <v>3016</v>
      </c>
      <c r="F2757" s="6" t="s">
        <v>986</v>
      </c>
      <c r="G2757" s="7">
        <v>0.1</v>
      </c>
      <c r="H2757" s="6" t="s">
        <v>192</v>
      </c>
      <c r="I2757" s="6" t="s">
        <v>20</v>
      </c>
      <c r="J2757" s="6">
        <v>2026.0</v>
      </c>
      <c r="K2757" s="10">
        <v>46023.0</v>
      </c>
      <c r="L2757" s="6">
        <v>10.0</v>
      </c>
      <c r="M2757" s="8">
        <f t="shared" si="2"/>
        <v>1</v>
      </c>
      <c r="P2757" s="9"/>
    </row>
    <row r="2758">
      <c r="A2758" s="6" t="s">
        <v>6181</v>
      </c>
      <c r="B2758" s="6" t="s">
        <v>6182</v>
      </c>
      <c r="C2758" s="6" t="s">
        <v>34</v>
      </c>
      <c r="D2758" s="6" t="s">
        <v>6183</v>
      </c>
      <c r="E2758" s="6" t="s">
        <v>3237</v>
      </c>
      <c r="F2758" s="6" t="s">
        <v>18</v>
      </c>
      <c r="G2758" s="7">
        <v>0.05</v>
      </c>
      <c r="H2758" s="6" t="s">
        <v>1043</v>
      </c>
      <c r="I2758" s="6" t="s">
        <v>20</v>
      </c>
      <c r="J2758" s="6">
        <v>2025.0</v>
      </c>
      <c r="K2758" s="10">
        <v>46147.0</v>
      </c>
      <c r="L2758" s="6">
        <v>1.0</v>
      </c>
      <c r="M2758" s="8">
        <f t="shared" si="2"/>
        <v>0.05</v>
      </c>
      <c r="P2758" s="9"/>
    </row>
    <row r="2759">
      <c r="A2759" s="6" t="s">
        <v>6181</v>
      </c>
      <c r="B2759" s="6" t="s">
        <v>6182</v>
      </c>
      <c r="C2759" s="6" t="s">
        <v>34</v>
      </c>
      <c r="D2759" s="6" t="s">
        <v>6183</v>
      </c>
      <c r="E2759" s="6" t="s">
        <v>3237</v>
      </c>
      <c r="F2759" s="6" t="s">
        <v>18</v>
      </c>
      <c r="G2759" s="7">
        <v>0.05</v>
      </c>
      <c r="H2759" s="6" t="s">
        <v>1043</v>
      </c>
      <c r="I2759" s="6" t="s">
        <v>55</v>
      </c>
      <c r="J2759" s="6">
        <v>2025.0</v>
      </c>
      <c r="K2759" s="10">
        <v>46147.0</v>
      </c>
      <c r="L2759" s="6">
        <v>1.0</v>
      </c>
      <c r="M2759" s="7">
        <v>0.2</v>
      </c>
      <c r="P2759" s="9"/>
    </row>
    <row r="2760">
      <c r="A2760" s="6" t="s">
        <v>6184</v>
      </c>
      <c r="B2760" s="6" t="s">
        <v>301</v>
      </c>
      <c r="C2760" s="6" t="s">
        <v>34</v>
      </c>
      <c r="D2760" s="6" t="s">
        <v>6185</v>
      </c>
      <c r="E2760" s="6" t="s">
        <v>243</v>
      </c>
      <c r="F2760" s="6" t="s">
        <v>37</v>
      </c>
      <c r="G2760" s="7">
        <v>0.06</v>
      </c>
      <c r="H2760" s="6" t="s">
        <v>185</v>
      </c>
      <c r="I2760" s="6" t="s">
        <v>20</v>
      </c>
      <c r="J2760" s="6">
        <v>2019.0</v>
      </c>
      <c r="L2760" s="6">
        <v>2.0</v>
      </c>
      <c r="M2760" s="8">
        <f t="shared" ref="M2760:M3845" si="3">L2760*G2760</f>
        <v>0.12</v>
      </c>
      <c r="P2760" s="9"/>
    </row>
    <row r="2761">
      <c r="A2761" s="6" t="s">
        <v>6186</v>
      </c>
      <c r="B2761" s="6" t="s">
        <v>301</v>
      </c>
      <c r="C2761" s="6" t="s">
        <v>34</v>
      </c>
      <c r="D2761" s="6" t="s">
        <v>6187</v>
      </c>
      <c r="E2761" s="6" t="s">
        <v>243</v>
      </c>
      <c r="F2761" s="6" t="s">
        <v>37</v>
      </c>
      <c r="G2761" s="7">
        <v>0.06</v>
      </c>
      <c r="H2761" s="6" t="s">
        <v>185</v>
      </c>
      <c r="I2761" s="6" t="s">
        <v>20</v>
      </c>
      <c r="J2761" s="6">
        <v>2019.0</v>
      </c>
      <c r="L2761" s="6">
        <v>2.0</v>
      </c>
      <c r="M2761" s="8">
        <f t="shared" si="3"/>
        <v>0.12</v>
      </c>
      <c r="P2761" s="9"/>
    </row>
    <row r="2762">
      <c r="A2762" s="6" t="s">
        <v>6188</v>
      </c>
      <c r="B2762" s="6" t="s">
        <v>301</v>
      </c>
      <c r="C2762" s="6" t="s">
        <v>34</v>
      </c>
      <c r="D2762" s="6" t="s">
        <v>6189</v>
      </c>
      <c r="E2762" s="6" t="s">
        <v>243</v>
      </c>
      <c r="F2762" s="6" t="s">
        <v>37</v>
      </c>
      <c r="G2762" s="7">
        <v>0.06</v>
      </c>
      <c r="H2762" s="6" t="s">
        <v>185</v>
      </c>
      <c r="I2762" s="6" t="s">
        <v>20</v>
      </c>
      <c r="J2762" s="6">
        <v>2019.0</v>
      </c>
      <c r="L2762" s="6">
        <v>3.0</v>
      </c>
      <c r="M2762" s="8">
        <f t="shared" si="3"/>
        <v>0.18</v>
      </c>
      <c r="P2762" s="9"/>
    </row>
    <row r="2763">
      <c r="A2763" s="6" t="s">
        <v>6190</v>
      </c>
      <c r="B2763" s="6" t="s">
        <v>301</v>
      </c>
      <c r="C2763" s="6" t="s">
        <v>34</v>
      </c>
      <c r="D2763" s="6" t="s">
        <v>6191</v>
      </c>
      <c r="E2763" s="6" t="s">
        <v>243</v>
      </c>
      <c r="F2763" s="6" t="s">
        <v>37</v>
      </c>
      <c r="G2763" s="7">
        <v>0.08</v>
      </c>
      <c r="H2763" s="6" t="s">
        <v>185</v>
      </c>
      <c r="I2763" s="6" t="s">
        <v>20</v>
      </c>
      <c r="J2763" s="6">
        <v>2019.0</v>
      </c>
      <c r="L2763" s="6">
        <v>2.0</v>
      </c>
      <c r="M2763" s="8">
        <f t="shared" si="3"/>
        <v>0.16</v>
      </c>
      <c r="P2763" s="9"/>
    </row>
    <row r="2764">
      <c r="A2764" s="6" t="s">
        <v>6192</v>
      </c>
      <c r="B2764" s="6" t="s">
        <v>301</v>
      </c>
      <c r="C2764" s="6" t="s">
        <v>34</v>
      </c>
      <c r="D2764" s="6" t="s">
        <v>6193</v>
      </c>
      <c r="E2764" s="6" t="s">
        <v>243</v>
      </c>
      <c r="F2764" s="6" t="s">
        <v>37</v>
      </c>
      <c r="G2764" s="7">
        <v>0.06</v>
      </c>
      <c r="H2764" s="6" t="s">
        <v>185</v>
      </c>
      <c r="I2764" s="6" t="s">
        <v>20</v>
      </c>
      <c r="J2764" s="6">
        <v>2019.0</v>
      </c>
      <c r="L2764" s="6">
        <v>4.0</v>
      </c>
      <c r="M2764" s="8">
        <f t="shared" si="3"/>
        <v>0.24</v>
      </c>
      <c r="P2764" s="9"/>
    </row>
    <row r="2765">
      <c r="A2765" s="6" t="s">
        <v>6194</v>
      </c>
      <c r="B2765" s="6" t="s">
        <v>6195</v>
      </c>
      <c r="C2765" s="6" t="s">
        <v>23</v>
      </c>
      <c r="D2765" s="6" t="s">
        <v>6196</v>
      </c>
      <c r="E2765" s="6" t="s">
        <v>102</v>
      </c>
      <c r="F2765" s="6" t="s">
        <v>103</v>
      </c>
      <c r="G2765" s="7">
        <v>0.08</v>
      </c>
      <c r="H2765" s="6" t="s">
        <v>99</v>
      </c>
      <c r="I2765" s="6" t="s">
        <v>20</v>
      </c>
      <c r="J2765" s="6">
        <v>2026.0</v>
      </c>
      <c r="K2765" s="10">
        <v>46055.0</v>
      </c>
      <c r="L2765" s="6">
        <v>1.0</v>
      </c>
      <c r="M2765" s="8">
        <f t="shared" si="3"/>
        <v>0.08</v>
      </c>
      <c r="P2765" s="9"/>
    </row>
    <row r="2766">
      <c r="A2766" s="6" t="s">
        <v>6197</v>
      </c>
      <c r="B2766" s="6" t="s">
        <v>6198</v>
      </c>
      <c r="C2766" s="6" t="s">
        <v>48</v>
      </c>
      <c r="D2766" s="6" t="s">
        <v>6199</v>
      </c>
      <c r="E2766" s="6" t="s">
        <v>1628</v>
      </c>
      <c r="F2766" s="6" t="s">
        <v>60</v>
      </c>
      <c r="G2766" s="7">
        <v>0.25</v>
      </c>
      <c r="H2766" s="6" t="s">
        <v>163</v>
      </c>
      <c r="I2766" s="6" t="s">
        <v>20</v>
      </c>
      <c r="J2766" s="6">
        <v>2023.0</v>
      </c>
      <c r="K2766" s="10">
        <v>46114.0</v>
      </c>
      <c r="L2766" s="6">
        <v>1.0</v>
      </c>
      <c r="M2766" s="8">
        <f t="shared" si="3"/>
        <v>0.25</v>
      </c>
      <c r="P2766" s="9"/>
    </row>
    <row r="2767">
      <c r="A2767" s="6" t="s">
        <v>6200</v>
      </c>
      <c r="B2767" s="6" t="s">
        <v>291</v>
      </c>
      <c r="C2767" s="6" t="s">
        <v>41</v>
      </c>
      <c r="D2767" s="6" t="s">
        <v>6201</v>
      </c>
      <c r="E2767" s="6" t="s">
        <v>25</v>
      </c>
      <c r="F2767" s="6" t="s">
        <v>18</v>
      </c>
      <c r="G2767" s="7">
        <v>0.22</v>
      </c>
      <c r="H2767" s="6" t="s">
        <v>626</v>
      </c>
      <c r="I2767" s="6" t="s">
        <v>20</v>
      </c>
      <c r="J2767" s="6">
        <v>2013.0</v>
      </c>
      <c r="K2767" s="10">
        <v>46083.0</v>
      </c>
      <c r="L2767" s="6">
        <v>1.0</v>
      </c>
      <c r="M2767" s="8">
        <f t="shared" si="3"/>
        <v>0.22</v>
      </c>
      <c r="P2767" s="9"/>
    </row>
    <row r="2768">
      <c r="A2768" s="6" t="s">
        <v>6202</v>
      </c>
      <c r="B2768" s="6" t="s">
        <v>592</v>
      </c>
      <c r="C2768" s="6" t="s">
        <v>48</v>
      </c>
      <c r="D2768" s="6" t="s">
        <v>6203</v>
      </c>
      <c r="E2768" s="6" t="s">
        <v>533</v>
      </c>
      <c r="F2768" s="6" t="s">
        <v>65</v>
      </c>
      <c r="G2768" s="7">
        <v>0.1</v>
      </c>
      <c r="H2768" s="6" t="s">
        <v>245</v>
      </c>
      <c r="I2768" s="6" t="s">
        <v>20</v>
      </c>
      <c r="J2768" s="6">
        <v>1995.0</v>
      </c>
      <c r="L2768" s="6">
        <v>1.0</v>
      </c>
      <c r="M2768" s="8">
        <f t="shared" si="3"/>
        <v>0.1</v>
      </c>
      <c r="P2768" s="9"/>
    </row>
    <row r="2769">
      <c r="A2769" s="6" t="s">
        <v>6204</v>
      </c>
      <c r="B2769" s="6" t="s">
        <v>850</v>
      </c>
      <c r="C2769" s="6" t="s">
        <v>34</v>
      </c>
      <c r="D2769" s="6" t="s">
        <v>6205</v>
      </c>
      <c r="E2769" s="6" t="s">
        <v>238</v>
      </c>
      <c r="F2769" s="6" t="s">
        <v>159</v>
      </c>
      <c r="G2769" s="7">
        <v>0.05</v>
      </c>
      <c r="H2769" s="6" t="s">
        <v>1043</v>
      </c>
      <c r="I2769" s="6" t="s">
        <v>20</v>
      </c>
      <c r="J2769" s="6">
        <v>2025.0</v>
      </c>
      <c r="L2769" s="6">
        <v>1.0</v>
      </c>
      <c r="M2769" s="8">
        <f t="shared" si="3"/>
        <v>0.05</v>
      </c>
      <c r="P2769" s="9"/>
    </row>
    <row r="2770">
      <c r="A2770" s="6" t="s">
        <v>6206</v>
      </c>
      <c r="B2770" s="6" t="s">
        <v>841</v>
      </c>
      <c r="C2770" s="6" t="s">
        <v>48</v>
      </c>
      <c r="E2770" s="6" t="s">
        <v>145</v>
      </c>
      <c r="F2770" s="6" t="s">
        <v>37</v>
      </c>
      <c r="G2770" s="7">
        <v>6.27</v>
      </c>
      <c r="H2770" s="6" t="s">
        <v>146</v>
      </c>
      <c r="I2770" s="6" t="s">
        <v>20</v>
      </c>
      <c r="J2770" s="6">
        <v>2010.0</v>
      </c>
      <c r="K2770" s="10">
        <v>46023.0</v>
      </c>
      <c r="L2770" s="6">
        <v>1.0</v>
      </c>
      <c r="M2770" s="8">
        <f t="shared" si="3"/>
        <v>6.27</v>
      </c>
      <c r="N2770" s="6" t="s">
        <v>172</v>
      </c>
      <c r="P2770" s="9"/>
    </row>
    <row r="2771">
      <c r="A2771" s="6" t="s">
        <v>6207</v>
      </c>
      <c r="B2771" s="6" t="s">
        <v>169</v>
      </c>
      <c r="C2771" s="6" t="s">
        <v>84</v>
      </c>
      <c r="D2771" s="6" t="s">
        <v>6208</v>
      </c>
      <c r="E2771" s="6" t="s">
        <v>153</v>
      </c>
      <c r="F2771" s="6" t="s">
        <v>103</v>
      </c>
      <c r="G2771" s="7">
        <v>0.4</v>
      </c>
      <c r="H2771" s="6" t="s">
        <v>146</v>
      </c>
      <c r="I2771" s="6" t="s">
        <v>20</v>
      </c>
      <c r="J2771" s="6">
        <v>2010.0</v>
      </c>
      <c r="L2771" s="6">
        <v>1.0</v>
      </c>
      <c r="M2771" s="8">
        <f t="shared" si="3"/>
        <v>0.4</v>
      </c>
      <c r="P2771" s="9"/>
    </row>
    <row r="2772">
      <c r="A2772" s="6" t="s">
        <v>6209</v>
      </c>
      <c r="B2772" s="6" t="s">
        <v>6210</v>
      </c>
      <c r="C2772" s="6" t="s">
        <v>15</v>
      </c>
      <c r="D2772" s="6" t="s">
        <v>6211</v>
      </c>
      <c r="E2772" s="6" t="s">
        <v>17</v>
      </c>
      <c r="F2772" s="6" t="s">
        <v>18</v>
      </c>
      <c r="G2772" s="7">
        <v>0.13</v>
      </c>
      <c r="H2772" s="6" t="s">
        <v>19</v>
      </c>
      <c r="I2772" s="6" t="s">
        <v>20</v>
      </c>
      <c r="J2772" s="6">
        <v>2023.0</v>
      </c>
      <c r="K2772" s="10">
        <v>46084.0</v>
      </c>
      <c r="L2772" s="6">
        <v>1.0</v>
      </c>
      <c r="M2772" s="8">
        <f t="shared" si="3"/>
        <v>0.13</v>
      </c>
      <c r="P2772" s="9"/>
    </row>
    <row r="2773">
      <c r="A2773" s="6" t="s">
        <v>6212</v>
      </c>
      <c r="B2773" s="6" t="s">
        <v>796</v>
      </c>
      <c r="C2773" s="6" t="s">
        <v>34</v>
      </c>
      <c r="D2773" s="6" t="s">
        <v>6213</v>
      </c>
      <c r="E2773" s="6" t="s">
        <v>852</v>
      </c>
      <c r="F2773" s="6" t="s">
        <v>18</v>
      </c>
      <c r="G2773" s="7">
        <v>0.05</v>
      </c>
      <c r="H2773" s="6" t="s">
        <v>1043</v>
      </c>
      <c r="I2773" s="6" t="s">
        <v>20</v>
      </c>
      <c r="J2773" s="6">
        <v>2025.0</v>
      </c>
      <c r="L2773" s="6">
        <v>2.0</v>
      </c>
      <c r="M2773" s="8">
        <f t="shared" si="3"/>
        <v>0.1</v>
      </c>
      <c r="P2773" s="9"/>
    </row>
    <row r="2774">
      <c r="A2774" s="6" t="s">
        <v>6212</v>
      </c>
      <c r="B2774" s="6" t="s">
        <v>796</v>
      </c>
      <c r="C2774" s="6" t="s">
        <v>34</v>
      </c>
      <c r="D2774" s="6" t="s">
        <v>6213</v>
      </c>
      <c r="E2774" s="6" t="s">
        <v>852</v>
      </c>
      <c r="F2774" s="6" t="s">
        <v>18</v>
      </c>
      <c r="G2774" s="7">
        <v>0.17</v>
      </c>
      <c r="H2774" s="6" t="s">
        <v>1043</v>
      </c>
      <c r="I2774" s="6" t="s">
        <v>55</v>
      </c>
      <c r="J2774" s="6">
        <v>2025.0</v>
      </c>
      <c r="L2774" s="6">
        <v>2.0</v>
      </c>
      <c r="M2774" s="8">
        <f t="shared" si="3"/>
        <v>0.34</v>
      </c>
      <c r="P2774" s="9"/>
    </row>
    <row r="2775">
      <c r="A2775" s="6" t="s">
        <v>6214</v>
      </c>
      <c r="B2775" s="6" t="s">
        <v>6215</v>
      </c>
      <c r="C2775" s="6" t="s">
        <v>48</v>
      </c>
      <c r="D2775" s="6" t="s">
        <v>6216</v>
      </c>
      <c r="E2775" s="6" t="s">
        <v>79</v>
      </c>
      <c r="F2775" s="6" t="s">
        <v>51</v>
      </c>
      <c r="G2775" s="7">
        <v>0.24</v>
      </c>
      <c r="H2775" s="6" t="s">
        <v>586</v>
      </c>
      <c r="I2775" s="6" t="s">
        <v>20</v>
      </c>
      <c r="J2775" s="6">
        <v>2000.0</v>
      </c>
      <c r="K2775" s="10">
        <v>46024.0</v>
      </c>
      <c r="L2775" s="6">
        <v>1.0</v>
      </c>
      <c r="M2775" s="8">
        <f t="shared" si="3"/>
        <v>0.24</v>
      </c>
      <c r="P2775" s="9"/>
    </row>
    <row r="2776">
      <c r="A2776" s="6" t="s">
        <v>6217</v>
      </c>
      <c r="B2776" s="6" t="s">
        <v>899</v>
      </c>
      <c r="C2776" s="6" t="s">
        <v>23</v>
      </c>
      <c r="D2776" s="6" t="s">
        <v>6218</v>
      </c>
      <c r="E2776" s="6" t="s">
        <v>102</v>
      </c>
      <c r="F2776" s="6" t="s">
        <v>103</v>
      </c>
      <c r="G2776" s="7">
        <v>0.05</v>
      </c>
      <c r="H2776" s="6" t="s">
        <v>45</v>
      </c>
      <c r="I2776" s="6" t="s">
        <v>20</v>
      </c>
      <c r="J2776" s="6">
        <v>2025.0</v>
      </c>
      <c r="K2776" s="10">
        <v>46055.0</v>
      </c>
      <c r="L2776" s="6">
        <v>2.0</v>
      </c>
      <c r="M2776" s="8">
        <f t="shared" si="3"/>
        <v>0.1</v>
      </c>
      <c r="P2776" s="9"/>
    </row>
    <row r="2777">
      <c r="A2777" s="6" t="s">
        <v>6219</v>
      </c>
      <c r="B2777" s="6" t="s">
        <v>3471</v>
      </c>
      <c r="C2777" s="6" t="s">
        <v>48</v>
      </c>
      <c r="D2777" s="6" t="s">
        <v>6220</v>
      </c>
      <c r="E2777" s="6" t="s">
        <v>235</v>
      </c>
      <c r="F2777" s="6" t="s">
        <v>103</v>
      </c>
      <c r="G2777" s="7">
        <v>0.03</v>
      </c>
      <c r="H2777" s="6" t="s">
        <v>265</v>
      </c>
      <c r="I2777" s="6" t="s">
        <v>20</v>
      </c>
      <c r="J2777" s="6">
        <v>2017.0</v>
      </c>
      <c r="K2777" s="10">
        <v>46055.0</v>
      </c>
      <c r="L2777" s="6">
        <v>1.0</v>
      </c>
      <c r="M2777" s="8">
        <f t="shared" si="3"/>
        <v>0.03</v>
      </c>
      <c r="P2777" s="9"/>
    </row>
    <row r="2778">
      <c r="A2778" s="6" t="s">
        <v>6221</v>
      </c>
      <c r="B2778" s="6" t="s">
        <v>62</v>
      </c>
      <c r="C2778" s="6" t="s">
        <v>48</v>
      </c>
      <c r="D2778" s="6" t="s">
        <v>6222</v>
      </c>
      <c r="E2778" s="6" t="s">
        <v>6223</v>
      </c>
      <c r="F2778" s="6" t="s">
        <v>874</v>
      </c>
      <c r="G2778" s="7">
        <v>0.79</v>
      </c>
      <c r="H2778" s="6" t="s">
        <v>1361</v>
      </c>
      <c r="I2778" s="6" t="s">
        <v>20</v>
      </c>
      <c r="J2778" s="6">
        <v>2008.0</v>
      </c>
      <c r="L2778" s="6">
        <v>3.0</v>
      </c>
      <c r="M2778" s="8">
        <f t="shared" si="3"/>
        <v>2.37</v>
      </c>
      <c r="P2778" s="9"/>
    </row>
    <row r="2779">
      <c r="A2779" s="6" t="s">
        <v>6224</v>
      </c>
      <c r="B2779" s="6" t="s">
        <v>2354</v>
      </c>
      <c r="C2779" s="6" t="s">
        <v>23</v>
      </c>
      <c r="D2779" s="6" t="s">
        <v>6225</v>
      </c>
      <c r="E2779" s="6" t="s">
        <v>149</v>
      </c>
      <c r="F2779" s="6" t="s">
        <v>18</v>
      </c>
      <c r="G2779" s="7">
        <v>0.06</v>
      </c>
      <c r="H2779" s="6" t="s">
        <v>1418</v>
      </c>
      <c r="I2779" s="6" t="s">
        <v>20</v>
      </c>
      <c r="J2779" s="6">
        <v>2010.0</v>
      </c>
      <c r="K2779" s="10">
        <v>46024.0</v>
      </c>
      <c r="L2779" s="6">
        <v>1.0</v>
      </c>
      <c r="M2779" s="8">
        <f t="shared" si="3"/>
        <v>0.06</v>
      </c>
      <c r="P2779" s="9"/>
    </row>
    <row r="2780">
      <c r="A2780" s="6" t="s">
        <v>6224</v>
      </c>
      <c r="B2780" s="6" t="s">
        <v>2354</v>
      </c>
      <c r="C2780" s="6" t="s">
        <v>23</v>
      </c>
      <c r="D2780" s="6" t="s">
        <v>6225</v>
      </c>
      <c r="E2780" s="6" t="s">
        <v>149</v>
      </c>
      <c r="F2780" s="6" t="s">
        <v>18</v>
      </c>
      <c r="G2780" s="7">
        <v>0.06</v>
      </c>
      <c r="H2780" s="6" t="s">
        <v>1418</v>
      </c>
      <c r="I2780" s="6" t="s">
        <v>20</v>
      </c>
      <c r="J2780" s="6">
        <v>2010.0</v>
      </c>
      <c r="K2780" s="10">
        <v>46024.0</v>
      </c>
      <c r="L2780" s="6">
        <v>1.0</v>
      </c>
      <c r="M2780" s="8">
        <f t="shared" si="3"/>
        <v>0.06</v>
      </c>
      <c r="P2780" s="9"/>
    </row>
    <row r="2781">
      <c r="A2781" s="6" t="s">
        <v>6226</v>
      </c>
      <c r="B2781" s="6" t="s">
        <v>2349</v>
      </c>
      <c r="C2781" s="6" t="s">
        <v>23</v>
      </c>
      <c r="E2781" s="6" t="s">
        <v>248</v>
      </c>
      <c r="F2781" s="6" t="s">
        <v>18</v>
      </c>
      <c r="G2781" s="7">
        <v>0.04</v>
      </c>
      <c r="H2781" s="6" t="s">
        <v>701</v>
      </c>
      <c r="I2781" s="6" t="s">
        <v>20</v>
      </c>
      <c r="J2781" s="6">
        <v>2012.0</v>
      </c>
      <c r="K2781" s="10">
        <v>46023.0</v>
      </c>
      <c r="L2781" s="6">
        <v>1.0</v>
      </c>
      <c r="M2781" s="8">
        <f t="shared" si="3"/>
        <v>0.04</v>
      </c>
      <c r="P2781" s="9"/>
    </row>
    <row r="2782">
      <c r="A2782" s="6" t="s">
        <v>6227</v>
      </c>
      <c r="B2782" s="6" t="s">
        <v>860</v>
      </c>
      <c r="C2782" s="6" t="s">
        <v>23</v>
      </c>
      <c r="D2782" s="6" t="s">
        <v>6228</v>
      </c>
      <c r="E2782" s="6" t="s">
        <v>149</v>
      </c>
      <c r="F2782" s="6" t="s">
        <v>18</v>
      </c>
      <c r="G2782" s="7">
        <v>0.1</v>
      </c>
      <c r="H2782" s="6" t="s">
        <v>370</v>
      </c>
      <c r="I2782" s="6" t="s">
        <v>20</v>
      </c>
      <c r="J2782" s="6">
        <v>1996.0</v>
      </c>
      <c r="K2782" s="10">
        <v>46083.0</v>
      </c>
      <c r="L2782" s="6">
        <v>1.0</v>
      </c>
      <c r="M2782" s="8">
        <f t="shared" si="3"/>
        <v>0.1</v>
      </c>
      <c r="P2782" s="9"/>
    </row>
    <row r="2783">
      <c r="A2783" s="6" t="s">
        <v>6229</v>
      </c>
      <c r="B2783" s="6" t="s">
        <v>2354</v>
      </c>
      <c r="C2783" s="6" t="s">
        <v>23</v>
      </c>
      <c r="D2783" s="6" t="s">
        <v>6230</v>
      </c>
      <c r="E2783" s="6" t="s">
        <v>248</v>
      </c>
      <c r="F2783" s="6" t="s">
        <v>18</v>
      </c>
      <c r="G2783" s="7">
        <v>0.04</v>
      </c>
      <c r="H2783" s="6" t="s">
        <v>294</v>
      </c>
      <c r="I2783" s="6" t="s">
        <v>20</v>
      </c>
      <c r="J2783" s="6">
        <v>2010.0</v>
      </c>
      <c r="K2783" s="10">
        <v>46023.0</v>
      </c>
      <c r="L2783" s="6">
        <v>1.0</v>
      </c>
      <c r="M2783" s="8">
        <f t="shared" si="3"/>
        <v>0.04</v>
      </c>
      <c r="P2783" s="9"/>
    </row>
    <row r="2784">
      <c r="A2784" s="6" t="s">
        <v>6229</v>
      </c>
      <c r="B2784" s="6" t="s">
        <v>2354</v>
      </c>
      <c r="C2784" s="6" t="s">
        <v>23</v>
      </c>
      <c r="D2784" s="6" t="s">
        <v>6230</v>
      </c>
      <c r="E2784" s="6" t="s">
        <v>248</v>
      </c>
      <c r="F2784" s="6" t="s">
        <v>18</v>
      </c>
      <c r="G2784" s="7">
        <v>0.06</v>
      </c>
      <c r="H2784" s="6" t="s">
        <v>154</v>
      </c>
      <c r="I2784" s="6" t="s">
        <v>20</v>
      </c>
      <c r="J2784" s="6">
        <v>2013.0</v>
      </c>
      <c r="K2784" s="10">
        <v>46023.0</v>
      </c>
      <c r="L2784" s="6">
        <v>1.0</v>
      </c>
      <c r="M2784" s="8">
        <f t="shared" si="3"/>
        <v>0.06</v>
      </c>
      <c r="P2784" s="9"/>
    </row>
    <row r="2785">
      <c r="A2785" s="6" t="s">
        <v>6231</v>
      </c>
      <c r="B2785" s="6" t="s">
        <v>6232</v>
      </c>
      <c r="C2785" s="6" t="s">
        <v>15</v>
      </c>
      <c r="D2785" s="6" t="s">
        <v>6233</v>
      </c>
      <c r="E2785" s="6" t="s">
        <v>1265</v>
      </c>
      <c r="F2785" s="6" t="s">
        <v>159</v>
      </c>
      <c r="G2785" s="7">
        <v>0.09</v>
      </c>
      <c r="H2785" s="6" t="s">
        <v>19</v>
      </c>
      <c r="I2785" s="6" t="s">
        <v>20</v>
      </c>
      <c r="J2785" s="6">
        <v>2023.0</v>
      </c>
      <c r="K2785" s="10">
        <v>46055.0</v>
      </c>
      <c r="L2785" s="6">
        <v>1.0</v>
      </c>
      <c r="M2785" s="8">
        <f t="shared" si="3"/>
        <v>0.09</v>
      </c>
      <c r="P2785" s="9"/>
    </row>
    <row r="2786">
      <c r="A2786" s="6" t="s">
        <v>6234</v>
      </c>
      <c r="B2786" s="6" t="s">
        <v>2744</v>
      </c>
      <c r="C2786" s="6" t="s">
        <v>48</v>
      </c>
      <c r="D2786" s="6" t="s">
        <v>6235</v>
      </c>
      <c r="E2786" s="6" t="s">
        <v>4818</v>
      </c>
      <c r="F2786" s="6" t="s">
        <v>717</v>
      </c>
      <c r="G2786" s="7">
        <v>0.06</v>
      </c>
      <c r="H2786" s="6" t="s">
        <v>1361</v>
      </c>
      <c r="I2786" s="6" t="s">
        <v>20</v>
      </c>
      <c r="J2786" s="6">
        <v>2008.0</v>
      </c>
      <c r="K2786" s="10">
        <v>46055.0</v>
      </c>
      <c r="L2786" s="6">
        <v>1.0</v>
      </c>
      <c r="M2786" s="8">
        <f t="shared" si="3"/>
        <v>0.06</v>
      </c>
      <c r="P2786" s="9"/>
    </row>
    <row r="2787">
      <c r="A2787" s="6" t="s">
        <v>6236</v>
      </c>
      <c r="B2787" s="6" t="s">
        <v>860</v>
      </c>
      <c r="C2787" s="6" t="s">
        <v>23</v>
      </c>
      <c r="D2787" s="6" t="s">
        <v>6237</v>
      </c>
      <c r="E2787" s="6" t="s">
        <v>6238</v>
      </c>
      <c r="F2787" s="6" t="s">
        <v>261</v>
      </c>
      <c r="G2787" s="7">
        <v>0.05</v>
      </c>
      <c r="H2787" s="6" t="s">
        <v>641</v>
      </c>
      <c r="I2787" s="6" t="s">
        <v>20</v>
      </c>
      <c r="J2787" s="6">
        <v>2026.0</v>
      </c>
      <c r="K2787" s="10">
        <v>46055.0</v>
      </c>
      <c r="L2787" s="6">
        <v>3.0</v>
      </c>
      <c r="M2787" s="8">
        <f t="shared" si="3"/>
        <v>0.15</v>
      </c>
      <c r="P2787" s="9"/>
    </row>
    <row r="2788">
      <c r="A2788" s="6" t="s">
        <v>6239</v>
      </c>
      <c r="B2788" s="6" t="s">
        <v>4545</v>
      </c>
      <c r="C2788" s="6" t="s">
        <v>23</v>
      </c>
      <c r="D2788" s="6" t="s">
        <v>6240</v>
      </c>
      <c r="E2788" s="6" t="s">
        <v>558</v>
      </c>
      <c r="F2788" s="6" t="s">
        <v>18</v>
      </c>
      <c r="G2788" s="7">
        <v>0.05</v>
      </c>
      <c r="H2788" s="6" t="s">
        <v>1361</v>
      </c>
      <c r="I2788" s="6" t="s">
        <v>20</v>
      </c>
      <c r="J2788" s="6">
        <v>2008.0</v>
      </c>
      <c r="K2788" s="10">
        <v>46084.0</v>
      </c>
      <c r="L2788" s="6">
        <v>1.0</v>
      </c>
      <c r="M2788" s="8">
        <f t="shared" si="3"/>
        <v>0.05</v>
      </c>
      <c r="P2788" s="9"/>
    </row>
    <row r="2789">
      <c r="A2789" s="6" t="s">
        <v>6241</v>
      </c>
      <c r="B2789" s="6" t="s">
        <v>6242</v>
      </c>
      <c r="C2789" s="6" t="s">
        <v>521</v>
      </c>
      <c r="D2789" s="6" t="s">
        <v>6243</v>
      </c>
      <c r="E2789" s="6" t="s">
        <v>410</v>
      </c>
      <c r="F2789" s="6" t="s">
        <v>904</v>
      </c>
      <c r="G2789" s="7">
        <v>0.25</v>
      </c>
      <c r="H2789" s="6" t="s">
        <v>2680</v>
      </c>
      <c r="I2789" s="6" t="s">
        <v>20</v>
      </c>
      <c r="J2789" s="6">
        <v>1998.0</v>
      </c>
      <c r="K2789" s="10">
        <v>46055.0</v>
      </c>
      <c r="L2789" s="6">
        <v>2.0</v>
      </c>
      <c r="M2789" s="8">
        <f t="shared" si="3"/>
        <v>0.5</v>
      </c>
      <c r="P2789" s="9"/>
    </row>
    <row r="2790">
      <c r="A2790" s="6" t="s">
        <v>6244</v>
      </c>
      <c r="B2790" s="6" t="s">
        <v>3083</v>
      </c>
      <c r="C2790" s="6" t="s">
        <v>23</v>
      </c>
      <c r="D2790" s="6" t="s">
        <v>6245</v>
      </c>
      <c r="E2790" s="6" t="s">
        <v>118</v>
      </c>
      <c r="F2790" s="6" t="s">
        <v>51</v>
      </c>
      <c r="G2790" s="7">
        <v>0.09</v>
      </c>
      <c r="H2790" s="6" t="s">
        <v>75</v>
      </c>
      <c r="I2790" s="6" t="s">
        <v>20</v>
      </c>
      <c r="J2790" s="6">
        <v>1995.0</v>
      </c>
      <c r="K2790" s="10">
        <v>46023.0</v>
      </c>
      <c r="L2790" s="6">
        <v>3.0</v>
      </c>
      <c r="M2790" s="8">
        <f t="shared" si="3"/>
        <v>0.27</v>
      </c>
      <c r="P2790" s="9"/>
    </row>
    <row r="2791">
      <c r="A2791" s="6" t="s">
        <v>6246</v>
      </c>
      <c r="B2791" s="6" t="s">
        <v>331</v>
      </c>
      <c r="C2791" s="6" t="s">
        <v>23</v>
      </c>
      <c r="D2791" s="6" t="s">
        <v>6247</v>
      </c>
      <c r="E2791" s="6" t="s">
        <v>118</v>
      </c>
      <c r="F2791" s="6" t="s">
        <v>51</v>
      </c>
      <c r="G2791" s="7">
        <v>0.05</v>
      </c>
      <c r="H2791" s="6" t="s">
        <v>224</v>
      </c>
      <c r="I2791" s="6" t="s">
        <v>20</v>
      </c>
      <c r="J2791" s="6">
        <v>2020.0</v>
      </c>
      <c r="K2791" s="10">
        <v>46024.0</v>
      </c>
      <c r="L2791" s="6">
        <v>2.0</v>
      </c>
      <c r="M2791" s="8">
        <f t="shared" si="3"/>
        <v>0.1</v>
      </c>
      <c r="P2791" s="9"/>
    </row>
    <row r="2792">
      <c r="A2792" s="6" t="s">
        <v>6248</v>
      </c>
      <c r="B2792" s="6" t="s">
        <v>6249</v>
      </c>
      <c r="C2792" s="6" t="s">
        <v>23</v>
      </c>
      <c r="D2792" s="6" t="s">
        <v>6250</v>
      </c>
      <c r="E2792" s="6" t="s">
        <v>118</v>
      </c>
      <c r="F2792" s="6" t="s">
        <v>51</v>
      </c>
      <c r="G2792" s="7">
        <v>0.07</v>
      </c>
      <c r="H2792" s="6" t="s">
        <v>821</v>
      </c>
      <c r="I2792" s="6" t="s">
        <v>20</v>
      </c>
      <c r="J2792" s="6">
        <v>1995.0</v>
      </c>
      <c r="K2792" s="10">
        <v>46023.0</v>
      </c>
      <c r="L2792" s="6">
        <v>1.0</v>
      </c>
      <c r="M2792" s="8">
        <f t="shared" si="3"/>
        <v>0.07</v>
      </c>
      <c r="P2792" s="9"/>
    </row>
    <row r="2793">
      <c r="A2793" s="6" t="s">
        <v>6251</v>
      </c>
      <c r="B2793" s="6" t="s">
        <v>6252</v>
      </c>
      <c r="C2793" s="6" t="s">
        <v>23</v>
      </c>
      <c r="D2793" s="6" t="s">
        <v>6253</v>
      </c>
      <c r="E2793" s="6" t="s">
        <v>118</v>
      </c>
      <c r="F2793" s="6" t="s">
        <v>51</v>
      </c>
      <c r="G2793" s="7">
        <v>0.21</v>
      </c>
      <c r="H2793" s="6" t="s">
        <v>607</v>
      </c>
      <c r="I2793" s="6" t="s">
        <v>20</v>
      </c>
      <c r="J2793" s="6">
        <v>1994.0</v>
      </c>
      <c r="K2793" s="10">
        <v>46023.0</v>
      </c>
      <c r="L2793" s="6">
        <v>1.0</v>
      </c>
      <c r="M2793" s="8">
        <f t="shared" si="3"/>
        <v>0.21</v>
      </c>
      <c r="P2793" s="9"/>
    </row>
    <row r="2794">
      <c r="A2794" s="6" t="s">
        <v>6254</v>
      </c>
      <c r="B2794" s="6" t="s">
        <v>6255</v>
      </c>
      <c r="C2794" s="6" t="s">
        <v>1956</v>
      </c>
      <c r="D2794" s="6" t="s">
        <v>6256</v>
      </c>
      <c r="E2794" s="6" t="s">
        <v>220</v>
      </c>
      <c r="F2794" s="6" t="s">
        <v>18</v>
      </c>
      <c r="G2794" s="7">
        <v>0.5</v>
      </c>
      <c r="H2794" s="6" t="s">
        <v>185</v>
      </c>
      <c r="I2794" s="6" t="s">
        <v>20</v>
      </c>
      <c r="J2794" s="6">
        <v>2019.0</v>
      </c>
      <c r="K2794" s="10">
        <v>46146.0</v>
      </c>
      <c r="L2794" s="6">
        <v>1.0</v>
      </c>
      <c r="M2794" s="8">
        <f t="shared" si="3"/>
        <v>0.5</v>
      </c>
      <c r="P2794" s="9"/>
    </row>
    <row r="2795">
      <c r="A2795" s="6" t="s">
        <v>6257</v>
      </c>
      <c r="B2795" s="6" t="s">
        <v>6258</v>
      </c>
      <c r="C2795" s="6" t="s">
        <v>23</v>
      </c>
      <c r="D2795" s="6" t="s">
        <v>6259</v>
      </c>
      <c r="E2795" s="6" t="s">
        <v>6260</v>
      </c>
      <c r="F2795" s="6" t="s">
        <v>717</v>
      </c>
      <c r="G2795" s="7">
        <v>0.04</v>
      </c>
      <c r="H2795" s="6" t="s">
        <v>45</v>
      </c>
      <c r="I2795" s="6" t="s">
        <v>20</v>
      </c>
      <c r="J2795" s="6">
        <v>2025.0</v>
      </c>
      <c r="K2795" s="10">
        <v>46054.0</v>
      </c>
      <c r="L2795" s="6">
        <v>3.0</v>
      </c>
      <c r="M2795" s="8">
        <f t="shared" si="3"/>
        <v>0.12</v>
      </c>
      <c r="P2795" s="9"/>
    </row>
    <row r="2796">
      <c r="A2796" s="6" t="s">
        <v>6261</v>
      </c>
      <c r="B2796" s="6" t="s">
        <v>62</v>
      </c>
      <c r="C2796" s="6" t="s">
        <v>23</v>
      </c>
      <c r="D2796" s="6" t="s">
        <v>6262</v>
      </c>
      <c r="E2796" s="6" t="s">
        <v>79</v>
      </c>
      <c r="F2796" s="6" t="s">
        <v>51</v>
      </c>
      <c r="G2796" s="7">
        <v>0.07</v>
      </c>
      <c r="H2796" s="6" t="s">
        <v>2441</v>
      </c>
      <c r="I2796" s="6" t="s">
        <v>20</v>
      </c>
      <c r="J2796" s="6">
        <v>2004.0</v>
      </c>
      <c r="L2796" s="6">
        <v>1.0</v>
      </c>
      <c r="M2796" s="8">
        <f t="shared" si="3"/>
        <v>0.07</v>
      </c>
      <c r="P2796" s="9"/>
    </row>
    <row r="2797">
      <c r="A2797" s="6" t="s">
        <v>6263</v>
      </c>
      <c r="B2797" s="6" t="s">
        <v>6264</v>
      </c>
      <c r="C2797" s="6" t="s">
        <v>48</v>
      </c>
      <c r="D2797" s="6" t="s">
        <v>6265</v>
      </c>
      <c r="E2797" s="6" t="s">
        <v>558</v>
      </c>
      <c r="F2797" s="6" t="s">
        <v>18</v>
      </c>
      <c r="G2797" s="7">
        <v>0.14</v>
      </c>
      <c r="H2797" s="6" t="s">
        <v>192</v>
      </c>
      <c r="I2797" s="6" t="s">
        <v>20</v>
      </c>
      <c r="J2797" s="6">
        <v>2026.0</v>
      </c>
      <c r="K2797" s="10">
        <v>46116.0</v>
      </c>
      <c r="L2797" s="6">
        <v>1.0</v>
      </c>
      <c r="M2797" s="8">
        <f t="shared" si="3"/>
        <v>0.14</v>
      </c>
      <c r="P2797" s="9"/>
    </row>
    <row r="2798">
      <c r="A2798" s="6" t="s">
        <v>6266</v>
      </c>
      <c r="B2798" s="6" t="s">
        <v>307</v>
      </c>
      <c r="C2798" s="6" t="s">
        <v>23</v>
      </c>
      <c r="D2798" s="6" t="s">
        <v>6267</v>
      </c>
      <c r="E2798" s="6" t="s">
        <v>36</v>
      </c>
      <c r="F2798" s="6" t="s">
        <v>103</v>
      </c>
      <c r="G2798" s="7">
        <v>0.06</v>
      </c>
      <c r="H2798" s="6" t="s">
        <v>316</v>
      </c>
      <c r="I2798" s="6" t="s">
        <v>20</v>
      </c>
      <c r="J2798" s="6">
        <v>2016.0</v>
      </c>
      <c r="L2798" s="6">
        <v>1.0</v>
      </c>
      <c r="M2798" s="8">
        <f t="shared" si="3"/>
        <v>0.06</v>
      </c>
      <c r="P2798" s="9"/>
    </row>
    <row r="2799">
      <c r="A2799" s="6" t="s">
        <v>6268</v>
      </c>
      <c r="B2799" s="6" t="s">
        <v>6269</v>
      </c>
      <c r="C2799" s="6" t="s">
        <v>41</v>
      </c>
      <c r="D2799" s="6" t="s">
        <v>6270</v>
      </c>
      <c r="E2799" s="6" t="s">
        <v>696</v>
      </c>
      <c r="F2799" s="6" t="s">
        <v>37</v>
      </c>
      <c r="G2799" s="7">
        <v>0.43</v>
      </c>
      <c r="H2799" s="6" t="s">
        <v>821</v>
      </c>
      <c r="I2799" s="6" t="s">
        <v>20</v>
      </c>
      <c r="J2799" s="6">
        <v>1995.0</v>
      </c>
      <c r="K2799" s="6" t="s">
        <v>6271</v>
      </c>
      <c r="L2799" s="6">
        <v>1.0</v>
      </c>
      <c r="M2799" s="8">
        <f t="shared" si="3"/>
        <v>0.43</v>
      </c>
      <c r="P2799" s="9"/>
    </row>
    <row r="2800">
      <c r="A2800" s="6" t="s">
        <v>6268</v>
      </c>
      <c r="B2800" s="6" t="s">
        <v>286</v>
      </c>
      <c r="C2800" s="6" t="s">
        <v>84</v>
      </c>
      <c r="D2800" s="6" t="s">
        <v>6272</v>
      </c>
      <c r="E2800" s="6" t="s">
        <v>696</v>
      </c>
      <c r="F2800" s="6" t="s">
        <v>37</v>
      </c>
      <c r="G2800" s="7">
        <v>0.43</v>
      </c>
      <c r="H2800" s="6" t="s">
        <v>119</v>
      </c>
      <c r="I2800" s="6" t="s">
        <v>20</v>
      </c>
      <c r="J2800" s="6">
        <v>1995.0</v>
      </c>
      <c r="K2800" s="6" t="s">
        <v>6271</v>
      </c>
      <c r="L2800" s="6">
        <v>1.0</v>
      </c>
      <c r="M2800" s="8">
        <f t="shared" si="3"/>
        <v>0.43</v>
      </c>
      <c r="P2800" s="9"/>
    </row>
    <row r="2801">
      <c r="A2801" s="6" t="s">
        <v>6273</v>
      </c>
      <c r="B2801" s="6" t="s">
        <v>62</v>
      </c>
      <c r="C2801" s="6" t="s">
        <v>48</v>
      </c>
      <c r="D2801" s="6" t="s">
        <v>6274</v>
      </c>
      <c r="E2801" s="6" t="s">
        <v>248</v>
      </c>
      <c r="F2801" s="6" t="s">
        <v>18</v>
      </c>
      <c r="G2801" s="7">
        <v>0.09</v>
      </c>
      <c r="H2801" s="6" t="s">
        <v>216</v>
      </c>
      <c r="I2801" s="6" t="s">
        <v>20</v>
      </c>
      <c r="J2801" s="6">
        <v>2024.0</v>
      </c>
      <c r="L2801" s="6">
        <v>1.0</v>
      </c>
      <c r="M2801" s="8">
        <f t="shared" si="3"/>
        <v>0.09</v>
      </c>
      <c r="P2801" s="9"/>
    </row>
    <row r="2802">
      <c r="A2802" s="6" t="s">
        <v>6275</v>
      </c>
      <c r="B2802" s="6" t="s">
        <v>62</v>
      </c>
      <c r="C2802" s="6" t="s">
        <v>48</v>
      </c>
      <c r="D2802" s="6" t="s">
        <v>6276</v>
      </c>
      <c r="E2802" s="6" t="s">
        <v>149</v>
      </c>
      <c r="F2802" s="6" t="s">
        <v>18</v>
      </c>
      <c r="G2802" s="7">
        <v>0.4</v>
      </c>
      <c r="H2802" s="6" t="s">
        <v>2701</v>
      </c>
      <c r="I2802" s="6" t="s">
        <v>20</v>
      </c>
      <c r="J2802" s="6">
        <v>2003.0</v>
      </c>
      <c r="L2802" s="6">
        <v>1.0</v>
      </c>
      <c r="M2802" s="8">
        <f t="shared" si="3"/>
        <v>0.4</v>
      </c>
      <c r="P2802" s="9"/>
    </row>
    <row r="2803">
      <c r="A2803" s="6" t="s">
        <v>6277</v>
      </c>
      <c r="B2803" s="6" t="s">
        <v>694</v>
      </c>
      <c r="C2803" s="6" t="s">
        <v>48</v>
      </c>
      <c r="D2803" s="6" t="s">
        <v>6278</v>
      </c>
      <c r="E2803" s="6" t="s">
        <v>2235</v>
      </c>
      <c r="F2803" s="6" t="s">
        <v>37</v>
      </c>
      <c r="G2803" s="7">
        <v>0.14</v>
      </c>
      <c r="H2803" s="6" t="s">
        <v>163</v>
      </c>
      <c r="I2803" s="6" t="s">
        <v>20</v>
      </c>
      <c r="J2803" s="6">
        <v>2023.0</v>
      </c>
      <c r="K2803" s="10">
        <v>46084.0</v>
      </c>
      <c r="L2803" s="6">
        <v>1.0</v>
      </c>
      <c r="M2803" s="8">
        <f t="shared" si="3"/>
        <v>0.14</v>
      </c>
      <c r="P2803" s="9"/>
    </row>
    <row r="2804">
      <c r="A2804" s="6" t="s">
        <v>6279</v>
      </c>
      <c r="B2804" s="6" t="s">
        <v>143</v>
      </c>
      <c r="C2804" s="6" t="s">
        <v>48</v>
      </c>
      <c r="D2804" s="6" t="s">
        <v>6280</v>
      </c>
      <c r="E2804" s="6" t="s">
        <v>3669</v>
      </c>
      <c r="F2804" s="6" t="s">
        <v>65</v>
      </c>
      <c r="G2804" s="7">
        <v>0.38</v>
      </c>
      <c r="H2804" s="6" t="s">
        <v>552</v>
      </c>
      <c r="I2804" s="6" t="s">
        <v>55</v>
      </c>
      <c r="J2804" s="6">
        <v>2020.0</v>
      </c>
      <c r="L2804" s="6">
        <v>1.0</v>
      </c>
      <c r="M2804" s="8">
        <f t="shared" si="3"/>
        <v>0.38</v>
      </c>
      <c r="P2804" s="9"/>
    </row>
    <row r="2805">
      <c r="A2805" s="6" t="s">
        <v>6281</v>
      </c>
      <c r="B2805" s="6" t="s">
        <v>1052</v>
      </c>
      <c r="C2805" s="6" t="s">
        <v>48</v>
      </c>
      <c r="D2805" s="6" t="s">
        <v>6282</v>
      </c>
      <c r="E2805" s="6" t="s">
        <v>2235</v>
      </c>
      <c r="F2805" s="6" t="s">
        <v>37</v>
      </c>
      <c r="G2805" s="7">
        <v>0.1</v>
      </c>
      <c r="H2805" s="6" t="s">
        <v>45</v>
      </c>
      <c r="I2805" s="6" t="s">
        <v>20</v>
      </c>
      <c r="J2805" s="6">
        <v>2025.0</v>
      </c>
      <c r="L2805" s="6">
        <v>1.0</v>
      </c>
      <c r="M2805" s="8">
        <f t="shared" si="3"/>
        <v>0.1</v>
      </c>
      <c r="P2805" s="9"/>
    </row>
    <row r="2806">
      <c r="A2806" s="6" t="s">
        <v>6283</v>
      </c>
      <c r="B2806" s="6" t="s">
        <v>6284</v>
      </c>
      <c r="C2806" s="6" t="s">
        <v>23</v>
      </c>
      <c r="D2806" s="6" t="s">
        <v>6285</v>
      </c>
      <c r="E2806" s="6" t="s">
        <v>102</v>
      </c>
      <c r="F2806" s="6" t="s">
        <v>103</v>
      </c>
      <c r="G2806" s="7">
        <v>0.03</v>
      </c>
      <c r="H2806" s="6" t="s">
        <v>562</v>
      </c>
      <c r="I2806" s="6" t="s">
        <v>20</v>
      </c>
      <c r="J2806" s="6">
        <v>2017.0</v>
      </c>
      <c r="K2806" s="10">
        <v>46055.0</v>
      </c>
      <c r="L2806" s="6">
        <v>1.0</v>
      </c>
      <c r="M2806" s="8">
        <f t="shared" si="3"/>
        <v>0.03</v>
      </c>
      <c r="P2806" s="9"/>
    </row>
    <row r="2807">
      <c r="A2807" s="6" t="s">
        <v>6286</v>
      </c>
      <c r="B2807" s="6" t="s">
        <v>2994</v>
      </c>
      <c r="C2807" s="6" t="s">
        <v>23</v>
      </c>
      <c r="D2807" s="6" t="s">
        <v>6287</v>
      </c>
      <c r="E2807" s="6" t="s">
        <v>270</v>
      </c>
      <c r="F2807" s="6" t="s">
        <v>159</v>
      </c>
      <c r="G2807" s="7">
        <v>0.05</v>
      </c>
      <c r="H2807" s="6" t="s">
        <v>192</v>
      </c>
      <c r="I2807" s="6" t="s">
        <v>20</v>
      </c>
      <c r="J2807" s="6">
        <v>2026.0</v>
      </c>
      <c r="K2807" s="10">
        <v>46084.0</v>
      </c>
      <c r="L2807" s="6">
        <v>2.0</v>
      </c>
      <c r="M2807" s="8">
        <f t="shared" si="3"/>
        <v>0.1</v>
      </c>
      <c r="P2807" s="9"/>
    </row>
    <row r="2808">
      <c r="A2808" s="6" t="s">
        <v>6288</v>
      </c>
      <c r="B2808" s="6" t="s">
        <v>2994</v>
      </c>
      <c r="C2808" s="6" t="s">
        <v>48</v>
      </c>
      <c r="D2808" s="6" t="s">
        <v>6289</v>
      </c>
      <c r="E2808" s="6" t="s">
        <v>937</v>
      </c>
      <c r="F2808" s="6" t="s">
        <v>159</v>
      </c>
      <c r="G2808" s="7">
        <v>0.23</v>
      </c>
      <c r="H2808" s="6" t="s">
        <v>192</v>
      </c>
      <c r="I2808" s="6" t="s">
        <v>20</v>
      </c>
      <c r="J2808" s="6">
        <v>2026.0</v>
      </c>
      <c r="K2808" s="10">
        <v>46116.0</v>
      </c>
      <c r="L2808" s="6">
        <v>1.0</v>
      </c>
      <c r="M2808" s="8">
        <f t="shared" si="3"/>
        <v>0.23</v>
      </c>
      <c r="P2808" s="9"/>
    </row>
    <row r="2809">
      <c r="A2809" s="6" t="s">
        <v>6290</v>
      </c>
      <c r="B2809" s="6" t="s">
        <v>291</v>
      </c>
      <c r="C2809" s="6" t="s">
        <v>48</v>
      </c>
      <c r="D2809" s="6" t="s">
        <v>6291</v>
      </c>
      <c r="E2809" s="6" t="s">
        <v>30</v>
      </c>
      <c r="F2809" s="6" t="s">
        <v>18</v>
      </c>
      <c r="G2809" s="7">
        <v>0.4</v>
      </c>
      <c r="H2809" s="6" t="s">
        <v>113</v>
      </c>
      <c r="I2809" s="6" t="s">
        <v>55</v>
      </c>
      <c r="J2809" s="6">
        <v>2024.0</v>
      </c>
      <c r="K2809" s="10">
        <v>46084.0</v>
      </c>
      <c r="L2809" s="6">
        <v>1.0</v>
      </c>
      <c r="M2809" s="8">
        <f t="shared" si="3"/>
        <v>0.4</v>
      </c>
      <c r="P2809" s="9"/>
    </row>
    <row r="2810">
      <c r="A2810" s="6" t="s">
        <v>6292</v>
      </c>
      <c r="B2810" s="6" t="s">
        <v>543</v>
      </c>
      <c r="C2810" s="6" t="s">
        <v>48</v>
      </c>
      <c r="D2810" s="6" t="s">
        <v>6293</v>
      </c>
      <c r="E2810" s="6" t="s">
        <v>50</v>
      </c>
      <c r="F2810" s="6" t="s">
        <v>51</v>
      </c>
      <c r="G2810" s="7">
        <v>0.18</v>
      </c>
      <c r="H2810" s="6" t="s">
        <v>5597</v>
      </c>
      <c r="I2810" s="6" t="s">
        <v>20</v>
      </c>
      <c r="J2810" s="6">
        <v>2017.0</v>
      </c>
      <c r="L2810" s="6">
        <v>1.0</v>
      </c>
      <c r="M2810" s="8">
        <f t="shared" si="3"/>
        <v>0.18</v>
      </c>
      <c r="P2810" s="9"/>
    </row>
    <row r="2811">
      <c r="A2811" s="6" t="s">
        <v>6294</v>
      </c>
      <c r="B2811" s="6" t="s">
        <v>2193</v>
      </c>
      <c r="C2811" s="6" t="s">
        <v>23</v>
      </c>
      <c r="D2811" s="6" t="s">
        <v>6295</v>
      </c>
      <c r="E2811" s="6" t="s">
        <v>149</v>
      </c>
      <c r="F2811" s="6" t="s">
        <v>18</v>
      </c>
      <c r="G2811" s="7">
        <v>0.1</v>
      </c>
      <c r="H2811" s="6" t="s">
        <v>324</v>
      </c>
      <c r="I2811" s="6" t="s">
        <v>20</v>
      </c>
      <c r="J2811" s="6">
        <v>2025.0</v>
      </c>
      <c r="K2811" s="10">
        <v>46084.0</v>
      </c>
      <c r="L2811" s="6">
        <v>1.0</v>
      </c>
      <c r="M2811" s="8">
        <f t="shared" si="3"/>
        <v>0.1</v>
      </c>
      <c r="P2811" s="9"/>
    </row>
    <row r="2812">
      <c r="A2812" s="6" t="s">
        <v>6296</v>
      </c>
      <c r="B2812" s="6" t="s">
        <v>543</v>
      </c>
      <c r="C2812" s="6" t="s">
        <v>48</v>
      </c>
      <c r="D2812" s="6" t="s">
        <v>6297</v>
      </c>
      <c r="E2812" s="6" t="s">
        <v>2195</v>
      </c>
      <c r="F2812" s="6" t="s">
        <v>986</v>
      </c>
      <c r="G2812" s="7">
        <v>0.25</v>
      </c>
      <c r="H2812" s="6" t="s">
        <v>645</v>
      </c>
      <c r="I2812" s="6" t="s">
        <v>55</v>
      </c>
      <c r="J2812" s="6">
        <v>2024.0</v>
      </c>
      <c r="L2812" s="6">
        <v>1.0</v>
      </c>
      <c r="M2812" s="8">
        <f t="shared" si="3"/>
        <v>0.25</v>
      </c>
      <c r="P2812" s="9"/>
    </row>
    <row r="2813">
      <c r="A2813" s="6" t="s">
        <v>6298</v>
      </c>
      <c r="B2813" s="6" t="s">
        <v>463</v>
      </c>
      <c r="C2813" s="6" t="s">
        <v>23</v>
      </c>
      <c r="D2813" s="6" t="s">
        <v>6299</v>
      </c>
      <c r="E2813" s="6" t="s">
        <v>611</v>
      </c>
      <c r="F2813" s="6" t="s">
        <v>103</v>
      </c>
      <c r="G2813" s="7">
        <v>0.05</v>
      </c>
      <c r="H2813" s="6" t="s">
        <v>380</v>
      </c>
      <c r="I2813" s="6" t="s">
        <v>20</v>
      </c>
      <c r="J2813" s="6">
        <v>2025.0</v>
      </c>
      <c r="K2813" s="10">
        <v>46084.0</v>
      </c>
      <c r="L2813" s="6">
        <v>1.0</v>
      </c>
      <c r="M2813" s="8">
        <f t="shared" si="3"/>
        <v>0.05</v>
      </c>
      <c r="P2813" s="9"/>
    </row>
    <row r="2814">
      <c r="A2814" s="6" t="s">
        <v>6300</v>
      </c>
      <c r="B2814" s="6" t="s">
        <v>62</v>
      </c>
      <c r="C2814" s="6" t="s">
        <v>48</v>
      </c>
      <c r="D2814" s="6" t="s">
        <v>6301</v>
      </c>
      <c r="E2814" s="6" t="s">
        <v>238</v>
      </c>
      <c r="F2814" s="6" t="s">
        <v>159</v>
      </c>
      <c r="G2814" s="7">
        <v>0.25</v>
      </c>
      <c r="H2814" s="6" t="s">
        <v>4243</v>
      </c>
      <c r="I2814" s="6" t="s">
        <v>20</v>
      </c>
      <c r="J2814" s="6">
        <v>2017.0</v>
      </c>
      <c r="L2814" s="6">
        <v>1.0</v>
      </c>
      <c r="M2814" s="8">
        <f t="shared" si="3"/>
        <v>0.25</v>
      </c>
      <c r="P2814" s="9"/>
    </row>
    <row r="2815">
      <c r="A2815" s="6" t="s">
        <v>6302</v>
      </c>
      <c r="B2815" s="6" t="s">
        <v>62</v>
      </c>
      <c r="C2815" s="6" t="s">
        <v>23</v>
      </c>
      <c r="D2815" s="6" t="s">
        <v>6303</v>
      </c>
      <c r="E2815" s="6" t="s">
        <v>238</v>
      </c>
      <c r="F2815" s="6" t="s">
        <v>159</v>
      </c>
      <c r="G2815" s="7">
        <v>0.06</v>
      </c>
      <c r="H2815" s="6" t="s">
        <v>184</v>
      </c>
      <c r="I2815" s="6" t="s">
        <v>20</v>
      </c>
      <c r="J2815" s="6">
        <v>2015.0</v>
      </c>
      <c r="L2815" s="6">
        <v>1.0</v>
      </c>
      <c r="M2815" s="8">
        <f t="shared" si="3"/>
        <v>0.06</v>
      </c>
      <c r="P2815" s="9"/>
    </row>
    <row r="2816">
      <c r="A2816" s="6" t="s">
        <v>6302</v>
      </c>
      <c r="B2816" s="6" t="s">
        <v>62</v>
      </c>
      <c r="C2816" s="6" t="s">
        <v>23</v>
      </c>
      <c r="D2816" s="6" t="s">
        <v>6303</v>
      </c>
      <c r="E2816" s="6" t="s">
        <v>238</v>
      </c>
      <c r="F2816" s="6" t="s">
        <v>159</v>
      </c>
      <c r="G2816" s="7">
        <v>0.06</v>
      </c>
      <c r="H2816" s="6" t="s">
        <v>184</v>
      </c>
      <c r="I2816" s="6" t="s">
        <v>20</v>
      </c>
      <c r="J2816" s="6">
        <v>2015.0</v>
      </c>
      <c r="L2816" s="6">
        <v>1.0</v>
      </c>
      <c r="M2816" s="8">
        <f t="shared" si="3"/>
        <v>0.06</v>
      </c>
      <c r="P2816" s="9"/>
    </row>
    <row r="2817">
      <c r="A2817" s="6" t="s">
        <v>6304</v>
      </c>
      <c r="B2817" s="6" t="s">
        <v>194</v>
      </c>
      <c r="C2817" s="6" t="s">
        <v>23</v>
      </c>
      <c r="D2817" s="6" t="s">
        <v>6305</v>
      </c>
      <c r="E2817" s="6" t="s">
        <v>196</v>
      </c>
      <c r="F2817" s="6" t="s">
        <v>65</v>
      </c>
      <c r="G2817" s="7">
        <v>0.1</v>
      </c>
      <c r="H2817" s="6" t="s">
        <v>994</v>
      </c>
      <c r="I2817" s="6" t="s">
        <v>20</v>
      </c>
      <c r="J2817" s="6">
        <v>2024.0</v>
      </c>
      <c r="L2817" s="6">
        <v>1.0</v>
      </c>
      <c r="M2817" s="8">
        <f t="shared" si="3"/>
        <v>0.1</v>
      </c>
      <c r="P2817" s="9"/>
    </row>
    <row r="2818">
      <c r="A2818" s="6" t="s">
        <v>6306</v>
      </c>
      <c r="B2818" s="6" t="s">
        <v>62</v>
      </c>
      <c r="C2818" s="6" t="s">
        <v>23</v>
      </c>
      <c r="D2818" s="6" t="s">
        <v>6307</v>
      </c>
      <c r="E2818" s="6" t="s">
        <v>118</v>
      </c>
      <c r="F2818" s="6" t="s">
        <v>51</v>
      </c>
      <c r="G2818" s="7">
        <v>0.04</v>
      </c>
      <c r="H2818" s="6" t="s">
        <v>184</v>
      </c>
      <c r="I2818" s="6" t="s">
        <v>20</v>
      </c>
      <c r="J2818" s="6">
        <v>2015.0</v>
      </c>
      <c r="L2818" s="6">
        <v>9.0</v>
      </c>
      <c r="M2818" s="8">
        <f t="shared" si="3"/>
        <v>0.36</v>
      </c>
      <c r="P2818" s="9"/>
    </row>
    <row r="2819">
      <c r="A2819" s="6" t="s">
        <v>6306</v>
      </c>
      <c r="B2819" s="6" t="s">
        <v>62</v>
      </c>
      <c r="C2819" s="6" t="s">
        <v>23</v>
      </c>
      <c r="D2819" s="6" t="s">
        <v>6307</v>
      </c>
      <c r="E2819" s="6" t="s">
        <v>118</v>
      </c>
      <c r="F2819" s="6" t="s">
        <v>51</v>
      </c>
      <c r="G2819" s="7">
        <v>0.04</v>
      </c>
      <c r="H2819" s="6" t="s">
        <v>336</v>
      </c>
      <c r="I2819" s="6" t="s">
        <v>20</v>
      </c>
      <c r="J2819" s="6">
        <v>2016.0</v>
      </c>
      <c r="L2819" s="6">
        <v>1.0</v>
      </c>
      <c r="M2819" s="8">
        <f t="shared" si="3"/>
        <v>0.04</v>
      </c>
      <c r="P2819" s="9"/>
    </row>
    <row r="2820">
      <c r="A2820" s="6" t="s">
        <v>6308</v>
      </c>
      <c r="B2820" s="6" t="s">
        <v>6309</v>
      </c>
      <c r="C2820" s="6" t="s">
        <v>48</v>
      </c>
      <c r="D2820" s="6" t="s">
        <v>6310</v>
      </c>
      <c r="E2820" s="6" t="s">
        <v>395</v>
      </c>
      <c r="F2820" s="6" t="s">
        <v>51</v>
      </c>
      <c r="G2820" s="7">
        <v>0.15</v>
      </c>
      <c r="H2820" s="6" t="s">
        <v>192</v>
      </c>
      <c r="I2820" s="6" t="s">
        <v>20</v>
      </c>
      <c r="J2820" s="6">
        <v>2026.0</v>
      </c>
      <c r="K2820" s="10">
        <v>46024.0</v>
      </c>
      <c r="L2820" s="6">
        <v>2.0</v>
      </c>
      <c r="M2820" s="8">
        <f t="shared" si="3"/>
        <v>0.3</v>
      </c>
      <c r="P2820" s="9"/>
    </row>
    <row r="2821">
      <c r="A2821" s="6" t="s">
        <v>6311</v>
      </c>
      <c r="B2821" s="6" t="s">
        <v>758</v>
      </c>
      <c r="C2821" s="6" t="s">
        <v>23</v>
      </c>
      <c r="D2821" s="6" t="s">
        <v>6312</v>
      </c>
      <c r="E2821" s="6" t="s">
        <v>1570</v>
      </c>
      <c r="F2821" s="6" t="s">
        <v>159</v>
      </c>
      <c r="G2821" s="7">
        <v>0.1</v>
      </c>
      <c r="H2821" s="6" t="s">
        <v>324</v>
      </c>
      <c r="I2821" s="6" t="s">
        <v>20</v>
      </c>
      <c r="J2821" s="6">
        <v>2025.0</v>
      </c>
      <c r="K2821" s="10">
        <v>46179.0</v>
      </c>
      <c r="L2821" s="6">
        <v>2.0</v>
      </c>
      <c r="M2821" s="8">
        <f t="shared" si="3"/>
        <v>0.2</v>
      </c>
      <c r="P2821" s="9"/>
    </row>
    <row r="2822">
      <c r="A2822" s="6" t="s">
        <v>6313</v>
      </c>
      <c r="B2822" s="6" t="s">
        <v>2994</v>
      </c>
      <c r="C2822" s="6" t="s">
        <v>41</v>
      </c>
      <c r="D2822" s="6" t="s">
        <v>6314</v>
      </c>
      <c r="E2822" s="6" t="s">
        <v>6315</v>
      </c>
      <c r="F2822" s="6" t="s">
        <v>284</v>
      </c>
      <c r="G2822" s="7">
        <v>6.39</v>
      </c>
      <c r="H2822" s="6" t="s">
        <v>192</v>
      </c>
      <c r="I2822" s="6" t="s">
        <v>20</v>
      </c>
      <c r="J2822" s="6">
        <v>2026.0</v>
      </c>
      <c r="K2822" s="10">
        <v>46084.0</v>
      </c>
      <c r="L2822" s="6">
        <v>1.0</v>
      </c>
      <c r="M2822" s="8">
        <f t="shared" si="3"/>
        <v>6.39</v>
      </c>
      <c r="P2822" s="9"/>
    </row>
    <row r="2823">
      <c r="A2823" s="6" t="s">
        <v>6316</v>
      </c>
      <c r="B2823" s="6" t="s">
        <v>131</v>
      </c>
      <c r="C2823" s="6" t="s">
        <v>23</v>
      </c>
      <c r="D2823" s="6" t="s">
        <v>6317</v>
      </c>
      <c r="E2823" s="6" t="s">
        <v>79</v>
      </c>
      <c r="F2823" s="6" t="s">
        <v>51</v>
      </c>
      <c r="G2823" s="7">
        <v>0.75</v>
      </c>
      <c r="H2823" s="6" t="s">
        <v>384</v>
      </c>
      <c r="I2823" s="6" t="s">
        <v>55</v>
      </c>
      <c r="J2823" s="6">
        <v>2022.0</v>
      </c>
      <c r="K2823" s="10">
        <v>46083.0</v>
      </c>
      <c r="L2823" s="6">
        <v>1.0</v>
      </c>
      <c r="M2823" s="8">
        <f t="shared" si="3"/>
        <v>0.75</v>
      </c>
      <c r="P2823" s="9"/>
    </row>
    <row r="2824">
      <c r="A2824" s="6" t="s">
        <v>6318</v>
      </c>
      <c r="B2824" s="6" t="s">
        <v>6319</v>
      </c>
      <c r="C2824" s="6" t="s">
        <v>72</v>
      </c>
      <c r="D2824" s="6" t="s">
        <v>6320</v>
      </c>
      <c r="E2824" s="6" t="s">
        <v>6321</v>
      </c>
      <c r="F2824" s="6" t="s">
        <v>2792</v>
      </c>
      <c r="G2824" s="7">
        <v>0.18</v>
      </c>
      <c r="H2824" s="6" t="s">
        <v>3017</v>
      </c>
      <c r="I2824" s="6" t="s">
        <v>20</v>
      </c>
      <c r="J2824" s="6">
        <v>2008.0</v>
      </c>
      <c r="K2824" s="10">
        <v>46024.0</v>
      </c>
      <c r="L2824" s="6">
        <v>4.0</v>
      </c>
      <c r="M2824" s="8">
        <f t="shared" si="3"/>
        <v>0.72</v>
      </c>
      <c r="P2824" s="9"/>
    </row>
    <row r="2825">
      <c r="A2825" s="6" t="s">
        <v>6322</v>
      </c>
      <c r="B2825" s="6" t="s">
        <v>6323</v>
      </c>
      <c r="C2825" s="6" t="s">
        <v>23</v>
      </c>
      <c r="D2825" s="6" t="s">
        <v>6324</v>
      </c>
      <c r="E2825" s="6" t="s">
        <v>149</v>
      </c>
      <c r="F2825" s="6" t="s">
        <v>18</v>
      </c>
      <c r="G2825" s="7">
        <v>0.1</v>
      </c>
      <c r="H2825" s="6" t="s">
        <v>411</v>
      </c>
      <c r="I2825" s="6" t="s">
        <v>20</v>
      </c>
      <c r="J2825" s="6">
        <v>2014.0</v>
      </c>
      <c r="K2825" s="10">
        <v>46083.0</v>
      </c>
      <c r="L2825" s="6">
        <v>1.0</v>
      </c>
      <c r="M2825" s="8">
        <f t="shared" si="3"/>
        <v>0.1</v>
      </c>
      <c r="P2825" s="9"/>
    </row>
    <row r="2826">
      <c r="A2826" s="6" t="s">
        <v>6325</v>
      </c>
      <c r="B2826" s="6" t="s">
        <v>543</v>
      </c>
      <c r="C2826" s="6" t="s">
        <v>23</v>
      </c>
      <c r="D2826" s="6" t="s">
        <v>6326</v>
      </c>
      <c r="E2826" s="6" t="s">
        <v>235</v>
      </c>
      <c r="F2826" s="6" t="s">
        <v>103</v>
      </c>
      <c r="G2826" s="7">
        <v>3.36</v>
      </c>
      <c r="H2826" s="6" t="s">
        <v>2203</v>
      </c>
      <c r="I2826" s="6" t="s">
        <v>20</v>
      </c>
      <c r="J2826" s="6">
        <v>2001.0</v>
      </c>
      <c r="L2826" s="6">
        <v>1.0</v>
      </c>
      <c r="M2826" s="8">
        <f t="shared" si="3"/>
        <v>3.36</v>
      </c>
      <c r="N2826" s="6" t="s">
        <v>172</v>
      </c>
      <c r="P2826" s="9"/>
    </row>
    <row r="2827">
      <c r="A2827" s="6" t="s">
        <v>6327</v>
      </c>
      <c r="B2827" s="6" t="s">
        <v>543</v>
      </c>
      <c r="C2827" s="6" t="s">
        <v>23</v>
      </c>
      <c r="D2827" s="6" t="s">
        <v>6328</v>
      </c>
      <c r="E2827" s="6" t="s">
        <v>235</v>
      </c>
      <c r="F2827" s="6" t="s">
        <v>103</v>
      </c>
      <c r="G2827" s="7">
        <v>0.05</v>
      </c>
      <c r="H2827" s="6" t="s">
        <v>245</v>
      </c>
      <c r="I2827" s="6" t="s">
        <v>20</v>
      </c>
      <c r="J2827" s="6">
        <v>1995.0</v>
      </c>
      <c r="L2827" s="6">
        <v>2.0</v>
      </c>
      <c r="M2827" s="8">
        <f t="shared" si="3"/>
        <v>0.1</v>
      </c>
      <c r="P2827" s="9"/>
    </row>
    <row r="2828">
      <c r="A2828" s="6" t="s">
        <v>6329</v>
      </c>
      <c r="B2828" s="6" t="s">
        <v>182</v>
      </c>
      <c r="C2828" s="6" t="s">
        <v>23</v>
      </c>
      <c r="D2828" s="6" t="s">
        <v>6330</v>
      </c>
      <c r="E2828" s="6" t="s">
        <v>235</v>
      </c>
      <c r="F2828" s="6" t="s">
        <v>103</v>
      </c>
      <c r="G2828" s="7">
        <v>0.03</v>
      </c>
      <c r="H2828" s="6" t="s">
        <v>316</v>
      </c>
      <c r="I2828" s="6" t="s">
        <v>20</v>
      </c>
      <c r="J2828" s="6">
        <v>2016.0</v>
      </c>
      <c r="L2828" s="6">
        <v>1.0</v>
      </c>
      <c r="M2828" s="8">
        <f t="shared" si="3"/>
        <v>0.03</v>
      </c>
      <c r="P2828" s="9"/>
    </row>
    <row r="2829">
      <c r="A2829" s="6" t="s">
        <v>6329</v>
      </c>
      <c r="B2829" s="6" t="s">
        <v>182</v>
      </c>
      <c r="C2829" s="6" t="s">
        <v>23</v>
      </c>
      <c r="D2829" s="6" t="s">
        <v>6330</v>
      </c>
      <c r="E2829" s="6" t="s">
        <v>235</v>
      </c>
      <c r="F2829" s="6" t="s">
        <v>103</v>
      </c>
      <c r="G2829" s="7">
        <v>0.04</v>
      </c>
      <c r="H2829" s="6" t="s">
        <v>154</v>
      </c>
      <c r="I2829" s="6" t="s">
        <v>20</v>
      </c>
      <c r="J2829" s="6">
        <v>2013.0</v>
      </c>
      <c r="L2829" s="6">
        <v>2.0</v>
      </c>
      <c r="M2829" s="8">
        <f t="shared" si="3"/>
        <v>0.08</v>
      </c>
      <c r="P2829" s="9"/>
    </row>
    <row r="2830">
      <c r="A2830" s="6" t="s">
        <v>6331</v>
      </c>
      <c r="B2830" s="6" t="s">
        <v>182</v>
      </c>
      <c r="C2830" s="6" t="s">
        <v>41</v>
      </c>
      <c r="D2830" s="6" t="s">
        <v>6332</v>
      </c>
      <c r="E2830" s="6" t="s">
        <v>3535</v>
      </c>
      <c r="F2830" s="6" t="s">
        <v>103</v>
      </c>
      <c r="G2830" s="7">
        <v>0.3</v>
      </c>
      <c r="H2830" s="6" t="s">
        <v>2861</v>
      </c>
      <c r="I2830" s="6" t="s">
        <v>20</v>
      </c>
      <c r="J2830" s="6">
        <v>2008.0</v>
      </c>
      <c r="L2830" s="6">
        <v>1.0</v>
      </c>
      <c r="M2830" s="8">
        <f t="shared" si="3"/>
        <v>0.3</v>
      </c>
      <c r="P2830" s="9"/>
    </row>
    <row r="2831">
      <c r="A2831" s="6" t="s">
        <v>6333</v>
      </c>
      <c r="B2831" s="6" t="s">
        <v>307</v>
      </c>
      <c r="C2831" s="6" t="s">
        <v>48</v>
      </c>
      <c r="D2831" s="6" t="s">
        <v>6334</v>
      </c>
      <c r="E2831" s="6" t="s">
        <v>36</v>
      </c>
      <c r="F2831" s="6" t="s">
        <v>37</v>
      </c>
      <c r="G2831" s="7">
        <v>2.38</v>
      </c>
      <c r="H2831" s="6" t="s">
        <v>6335</v>
      </c>
      <c r="I2831" s="6" t="s">
        <v>20</v>
      </c>
      <c r="J2831" s="6">
        <v>2008.0</v>
      </c>
      <c r="L2831" s="6">
        <v>1.0</v>
      </c>
      <c r="M2831" s="8">
        <f t="shared" si="3"/>
        <v>2.38</v>
      </c>
      <c r="N2831" s="6" t="s">
        <v>172</v>
      </c>
      <c r="P2831" s="9"/>
    </row>
    <row r="2832">
      <c r="A2832" s="6" t="s">
        <v>6336</v>
      </c>
      <c r="B2832" s="6" t="s">
        <v>194</v>
      </c>
      <c r="C2832" s="6" t="s">
        <v>23</v>
      </c>
      <c r="D2832" s="6" t="s">
        <v>6337</v>
      </c>
      <c r="E2832" s="6" t="s">
        <v>25</v>
      </c>
      <c r="F2832" s="6" t="s">
        <v>18</v>
      </c>
      <c r="G2832" s="7">
        <v>0.05</v>
      </c>
      <c r="H2832" s="6" t="s">
        <v>192</v>
      </c>
      <c r="I2832" s="6" t="s">
        <v>20</v>
      </c>
      <c r="J2832" s="6">
        <v>2026.0</v>
      </c>
      <c r="L2832" s="6">
        <v>5.0</v>
      </c>
      <c r="M2832" s="8">
        <f t="shared" si="3"/>
        <v>0.25</v>
      </c>
      <c r="P2832" s="9"/>
    </row>
    <row r="2833">
      <c r="A2833" s="6" t="s">
        <v>6338</v>
      </c>
      <c r="B2833" s="6" t="s">
        <v>543</v>
      </c>
      <c r="C2833" s="6" t="s">
        <v>48</v>
      </c>
      <c r="D2833" s="6" t="s">
        <v>6339</v>
      </c>
      <c r="E2833" s="6" t="s">
        <v>6340</v>
      </c>
      <c r="F2833" s="6" t="s">
        <v>103</v>
      </c>
      <c r="G2833" s="7">
        <v>0.2</v>
      </c>
      <c r="H2833" s="6" t="s">
        <v>245</v>
      </c>
      <c r="I2833" s="6" t="s">
        <v>20</v>
      </c>
      <c r="J2833" s="6">
        <v>1995.0</v>
      </c>
      <c r="L2833" s="6">
        <v>1.0</v>
      </c>
      <c r="M2833" s="8">
        <f t="shared" si="3"/>
        <v>0.2</v>
      </c>
      <c r="P2833" s="9"/>
    </row>
    <row r="2834">
      <c r="A2834" s="6" t="s">
        <v>6341</v>
      </c>
      <c r="B2834" s="6" t="s">
        <v>1234</v>
      </c>
      <c r="C2834" s="6" t="s">
        <v>48</v>
      </c>
      <c r="D2834" s="6" t="s">
        <v>6342</v>
      </c>
      <c r="E2834" s="6" t="s">
        <v>1034</v>
      </c>
      <c r="F2834" s="6" t="s">
        <v>717</v>
      </c>
      <c r="G2834" s="7">
        <v>0.08</v>
      </c>
      <c r="H2834" s="6" t="s">
        <v>336</v>
      </c>
      <c r="I2834" s="6" t="s">
        <v>20</v>
      </c>
      <c r="J2834" s="6">
        <v>2016.0</v>
      </c>
      <c r="K2834" s="10">
        <v>46055.0</v>
      </c>
      <c r="L2834" s="6">
        <v>1.0</v>
      </c>
      <c r="M2834" s="8">
        <f t="shared" si="3"/>
        <v>0.08</v>
      </c>
      <c r="N2834" s="6" t="s">
        <v>518</v>
      </c>
      <c r="P2834" s="9"/>
    </row>
    <row r="2835">
      <c r="A2835" s="6" t="s">
        <v>6343</v>
      </c>
      <c r="B2835" s="6" t="s">
        <v>291</v>
      </c>
      <c r="C2835" s="6" t="s">
        <v>41</v>
      </c>
      <c r="D2835" s="6" t="s">
        <v>6344</v>
      </c>
      <c r="E2835" s="6" t="s">
        <v>1505</v>
      </c>
      <c r="F2835" s="6" t="s">
        <v>18</v>
      </c>
      <c r="G2835" s="7">
        <v>0.14</v>
      </c>
      <c r="H2835" s="6" t="s">
        <v>276</v>
      </c>
      <c r="I2835" s="6" t="s">
        <v>20</v>
      </c>
      <c r="J2835" s="6">
        <v>2014.0</v>
      </c>
      <c r="K2835" s="10">
        <v>46024.0</v>
      </c>
      <c r="L2835" s="6">
        <v>1.0</v>
      </c>
      <c r="M2835" s="8">
        <f t="shared" si="3"/>
        <v>0.14</v>
      </c>
      <c r="P2835" s="9"/>
    </row>
    <row r="2836">
      <c r="A2836" s="6" t="s">
        <v>6345</v>
      </c>
      <c r="B2836" s="6" t="s">
        <v>182</v>
      </c>
      <c r="C2836" s="6" t="s">
        <v>23</v>
      </c>
      <c r="D2836" s="6" t="s">
        <v>6346</v>
      </c>
      <c r="E2836" s="6" t="s">
        <v>2312</v>
      </c>
      <c r="F2836" s="6" t="s">
        <v>103</v>
      </c>
      <c r="G2836" s="7">
        <v>0.09</v>
      </c>
      <c r="H2836" s="6" t="s">
        <v>565</v>
      </c>
      <c r="I2836" s="6" t="s">
        <v>20</v>
      </c>
      <c r="J2836" s="6">
        <v>2021.0</v>
      </c>
      <c r="L2836" s="6">
        <v>1.0</v>
      </c>
      <c r="M2836" s="8">
        <f t="shared" si="3"/>
        <v>0.09</v>
      </c>
      <c r="N2836" s="6" t="s">
        <v>518</v>
      </c>
      <c r="P2836" s="9"/>
    </row>
    <row r="2837">
      <c r="A2837" s="6" t="s">
        <v>6347</v>
      </c>
      <c r="B2837" s="6" t="s">
        <v>1090</v>
      </c>
      <c r="C2837" s="6" t="s">
        <v>23</v>
      </c>
      <c r="D2837" s="6" t="s">
        <v>6348</v>
      </c>
      <c r="E2837" s="6" t="s">
        <v>1336</v>
      </c>
      <c r="F2837" s="6" t="s">
        <v>103</v>
      </c>
      <c r="G2837" s="7">
        <v>0.24</v>
      </c>
      <c r="H2837" s="6" t="s">
        <v>252</v>
      </c>
      <c r="I2837" s="6" t="s">
        <v>20</v>
      </c>
      <c r="J2837" s="6">
        <v>1994.0</v>
      </c>
      <c r="K2837" s="10">
        <v>46055.0</v>
      </c>
      <c r="L2837" s="6">
        <v>1.0</v>
      </c>
      <c r="M2837" s="8">
        <f t="shared" si="3"/>
        <v>0.24</v>
      </c>
      <c r="P2837" s="9"/>
    </row>
    <row r="2838">
      <c r="A2838" s="6" t="s">
        <v>6349</v>
      </c>
      <c r="B2838" s="6" t="s">
        <v>6350</v>
      </c>
      <c r="C2838" s="6" t="s">
        <v>48</v>
      </c>
      <c r="D2838" s="6" t="s">
        <v>6351</v>
      </c>
      <c r="E2838" s="6" t="s">
        <v>25</v>
      </c>
      <c r="F2838" s="6" t="s">
        <v>18</v>
      </c>
      <c r="G2838" s="7">
        <v>0.14</v>
      </c>
      <c r="H2838" s="6" t="s">
        <v>994</v>
      </c>
      <c r="I2838" s="6" t="s">
        <v>20</v>
      </c>
      <c r="J2838" s="6">
        <v>2024.0</v>
      </c>
      <c r="K2838" s="10">
        <v>46056.0</v>
      </c>
      <c r="L2838" s="6">
        <v>1.0</v>
      </c>
      <c r="M2838" s="8">
        <f t="shared" si="3"/>
        <v>0.14</v>
      </c>
      <c r="P2838" s="9"/>
    </row>
    <row r="2839">
      <c r="A2839" s="6" t="s">
        <v>6352</v>
      </c>
      <c r="B2839" s="6" t="s">
        <v>6353</v>
      </c>
      <c r="C2839" s="6" t="s">
        <v>571</v>
      </c>
      <c r="D2839" s="6" t="s">
        <v>6354</v>
      </c>
      <c r="E2839" s="6" t="s">
        <v>79</v>
      </c>
      <c r="F2839" s="6" t="s">
        <v>904</v>
      </c>
      <c r="G2839" s="7">
        <v>0.09</v>
      </c>
      <c r="H2839" s="6" t="s">
        <v>586</v>
      </c>
      <c r="I2839" s="6" t="s">
        <v>20</v>
      </c>
      <c r="J2839" s="6">
        <v>2000.0</v>
      </c>
      <c r="K2839" s="10">
        <v>46023.0</v>
      </c>
      <c r="L2839" s="6">
        <v>2.0</v>
      </c>
      <c r="M2839" s="8">
        <f t="shared" si="3"/>
        <v>0.18</v>
      </c>
      <c r="P2839" s="9"/>
    </row>
    <row r="2840">
      <c r="A2840" s="6" t="s">
        <v>6355</v>
      </c>
      <c r="B2840" s="6" t="s">
        <v>6356</v>
      </c>
      <c r="C2840" s="6" t="s">
        <v>41</v>
      </c>
      <c r="D2840" s="6" t="s">
        <v>6357</v>
      </c>
      <c r="E2840" s="6" t="s">
        <v>5926</v>
      </c>
      <c r="F2840" s="6" t="s">
        <v>103</v>
      </c>
      <c r="G2840" s="7">
        <v>3.5</v>
      </c>
      <c r="H2840" s="6" t="s">
        <v>245</v>
      </c>
      <c r="I2840" s="6" t="s">
        <v>20</v>
      </c>
      <c r="J2840" s="6">
        <v>1995.0</v>
      </c>
      <c r="K2840" s="10">
        <v>46116.0</v>
      </c>
      <c r="L2840" s="6">
        <v>1.0</v>
      </c>
      <c r="M2840" s="8">
        <f t="shared" si="3"/>
        <v>3.5</v>
      </c>
      <c r="P2840" s="9"/>
    </row>
    <row r="2841">
      <c r="A2841" s="6" t="s">
        <v>6358</v>
      </c>
      <c r="B2841" s="6" t="s">
        <v>127</v>
      </c>
      <c r="C2841" s="6" t="s">
        <v>48</v>
      </c>
      <c r="D2841" s="6" t="s">
        <v>2714</v>
      </c>
      <c r="E2841" s="6" t="s">
        <v>79</v>
      </c>
      <c r="F2841" s="6" t="s">
        <v>51</v>
      </c>
      <c r="G2841" s="7">
        <v>0.06</v>
      </c>
      <c r="H2841" s="6" t="s">
        <v>185</v>
      </c>
      <c r="I2841" s="6" t="s">
        <v>20</v>
      </c>
      <c r="J2841" s="6">
        <v>2019.0</v>
      </c>
      <c r="K2841" s="10">
        <v>46024.0</v>
      </c>
      <c r="L2841" s="6">
        <v>1.0</v>
      </c>
      <c r="M2841" s="8">
        <f t="shared" si="3"/>
        <v>0.06</v>
      </c>
      <c r="P2841" s="9"/>
    </row>
    <row r="2842">
      <c r="A2842" s="6" t="s">
        <v>6359</v>
      </c>
      <c r="B2842" s="6" t="s">
        <v>6360</v>
      </c>
      <c r="C2842" s="6" t="s">
        <v>41</v>
      </c>
      <c r="D2842" s="6" t="s">
        <v>6361</v>
      </c>
      <c r="E2842" s="6" t="s">
        <v>1321</v>
      </c>
      <c r="F2842" s="6" t="s">
        <v>103</v>
      </c>
      <c r="G2842" s="7">
        <v>25.65</v>
      </c>
      <c r="H2842" s="6" t="s">
        <v>26</v>
      </c>
      <c r="I2842" s="6" t="s">
        <v>20</v>
      </c>
      <c r="J2842" s="6">
        <v>2026.0</v>
      </c>
      <c r="K2842" s="10">
        <v>46116.0</v>
      </c>
      <c r="L2842" s="6">
        <v>1.0</v>
      </c>
      <c r="M2842" s="8">
        <f t="shared" si="3"/>
        <v>25.65</v>
      </c>
      <c r="P2842" s="9"/>
    </row>
    <row r="2843">
      <c r="A2843" s="6" t="s">
        <v>6362</v>
      </c>
      <c r="B2843" s="6" t="s">
        <v>6363</v>
      </c>
      <c r="C2843" s="6" t="s">
        <v>34</v>
      </c>
      <c r="D2843" s="6" t="s">
        <v>6364</v>
      </c>
      <c r="E2843" s="6" t="s">
        <v>179</v>
      </c>
      <c r="F2843" s="6" t="s">
        <v>1732</v>
      </c>
      <c r="G2843" s="7">
        <v>0.03</v>
      </c>
      <c r="H2843" s="6" t="s">
        <v>483</v>
      </c>
      <c r="I2843" s="6" t="s">
        <v>20</v>
      </c>
      <c r="J2843" s="6">
        <v>2014.0</v>
      </c>
      <c r="K2843" s="10">
        <v>46083.0</v>
      </c>
      <c r="L2843" s="6">
        <v>4.0</v>
      </c>
      <c r="M2843" s="8">
        <f t="shared" si="3"/>
        <v>0.12</v>
      </c>
      <c r="P2843" s="9"/>
    </row>
    <row r="2844">
      <c r="A2844" s="6" t="s">
        <v>6365</v>
      </c>
      <c r="B2844" s="6" t="s">
        <v>5250</v>
      </c>
      <c r="C2844" s="6" t="s">
        <v>212</v>
      </c>
      <c r="D2844" s="6" t="s">
        <v>6366</v>
      </c>
      <c r="E2844" s="6" t="s">
        <v>2184</v>
      </c>
      <c r="F2844" s="6" t="s">
        <v>51</v>
      </c>
      <c r="G2844" s="7">
        <v>0.66</v>
      </c>
      <c r="H2844" s="6" t="s">
        <v>209</v>
      </c>
      <c r="I2844" s="6" t="s">
        <v>20</v>
      </c>
      <c r="J2844" s="6">
        <v>2025.0</v>
      </c>
      <c r="K2844" s="10">
        <v>46084.0</v>
      </c>
      <c r="L2844" s="6">
        <v>3.0</v>
      </c>
      <c r="M2844" s="8">
        <f t="shared" si="3"/>
        <v>1.98</v>
      </c>
      <c r="P2844" s="9"/>
    </row>
    <row r="2845">
      <c r="A2845" s="6" t="s">
        <v>6365</v>
      </c>
      <c r="B2845" s="6" t="s">
        <v>5250</v>
      </c>
      <c r="C2845" s="6" t="s">
        <v>212</v>
      </c>
      <c r="D2845" s="6" t="s">
        <v>6366</v>
      </c>
      <c r="E2845" s="6" t="s">
        <v>2184</v>
      </c>
      <c r="F2845" s="6" t="s">
        <v>51</v>
      </c>
      <c r="G2845" s="7">
        <v>1.09</v>
      </c>
      <c r="H2845" s="6" t="s">
        <v>209</v>
      </c>
      <c r="I2845" s="6" t="s">
        <v>55</v>
      </c>
      <c r="J2845" s="6">
        <v>2025.0</v>
      </c>
      <c r="K2845" s="10">
        <v>46084.0</v>
      </c>
      <c r="L2845" s="6">
        <v>1.0</v>
      </c>
      <c r="M2845" s="8">
        <f t="shared" si="3"/>
        <v>1.09</v>
      </c>
      <c r="P2845" s="9"/>
    </row>
    <row r="2846">
      <c r="A2846" s="6" t="s">
        <v>6367</v>
      </c>
      <c r="B2846" s="6" t="s">
        <v>6368</v>
      </c>
      <c r="C2846" s="6" t="s">
        <v>23</v>
      </c>
      <c r="D2846" s="6" t="s">
        <v>6369</v>
      </c>
      <c r="E2846" s="6" t="s">
        <v>102</v>
      </c>
      <c r="F2846" s="6" t="s">
        <v>103</v>
      </c>
      <c r="G2846" s="7">
        <v>0.24</v>
      </c>
      <c r="H2846" s="6" t="s">
        <v>163</v>
      </c>
      <c r="I2846" s="6" t="s">
        <v>20</v>
      </c>
      <c r="J2846" s="6">
        <v>2023.0</v>
      </c>
      <c r="K2846" s="10">
        <v>46024.0</v>
      </c>
      <c r="L2846" s="6">
        <v>1.0</v>
      </c>
      <c r="M2846" s="8">
        <f t="shared" si="3"/>
        <v>0.24</v>
      </c>
      <c r="P2846" s="9"/>
    </row>
    <row r="2847">
      <c r="A2847" s="6" t="s">
        <v>6370</v>
      </c>
      <c r="B2847" s="6" t="s">
        <v>372</v>
      </c>
      <c r="C2847" s="6" t="s">
        <v>23</v>
      </c>
      <c r="D2847" s="6" t="s">
        <v>6371</v>
      </c>
      <c r="E2847" s="6" t="s">
        <v>102</v>
      </c>
      <c r="F2847" s="6" t="s">
        <v>103</v>
      </c>
      <c r="G2847" s="7">
        <v>0.03</v>
      </c>
      <c r="H2847" s="6" t="s">
        <v>526</v>
      </c>
      <c r="I2847" s="6" t="s">
        <v>20</v>
      </c>
      <c r="J2847" s="6">
        <v>2020.0</v>
      </c>
      <c r="L2847" s="6">
        <v>2.0</v>
      </c>
      <c r="M2847" s="8">
        <f t="shared" si="3"/>
        <v>0.06</v>
      </c>
      <c r="P2847" s="9"/>
    </row>
    <row r="2848">
      <c r="A2848" s="6" t="s">
        <v>6372</v>
      </c>
      <c r="B2848" s="6" t="s">
        <v>6373</v>
      </c>
      <c r="C2848" s="6" t="s">
        <v>48</v>
      </c>
      <c r="D2848" s="6" t="s">
        <v>6374</v>
      </c>
      <c r="E2848" s="6" t="s">
        <v>3869</v>
      </c>
      <c r="F2848" s="6" t="s">
        <v>874</v>
      </c>
      <c r="G2848" s="7">
        <v>0.08</v>
      </c>
      <c r="H2848" s="6" t="s">
        <v>216</v>
      </c>
      <c r="I2848" s="6" t="s">
        <v>20</v>
      </c>
      <c r="J2848" s="6">
        <v>2024.0</v>
      </c>
      <c r="K2848" s="10">
        <v>46056.0</v>
      </c>
      <c r="L2848" s="6">
        <v>1.0</v>
      </c>
      <c r="M2848" s="8">
        <f t="shared" si="3"/>
        <v>0.08</v>
      </c>
      <c r="P2848" s="9"/>
    </row>
    <row r="2849">
      <c r="A2849" s="6" t="s">
        <v>6375</v>
      </c>
      <c r="B2849" s="6" t="s">
        <v>694</v>
      </c>
      <c r="C2849" s="6" t="s">
        <v>48</v>
      </c>
      <c r="D2849" s="6" t="s">
        <v>6376</v>
      </c>
      <c r="E2849" s="6" t="s">
        <v>696</v>
      </c>
      <c r="F2849" s="6" t="s">
        <v>37</v>
      </c>
      <c r="G2849" s="7">
        <v>0.1</v>
      </c>
      <c r="H2849" s="6" t="s">
        <v>305</v>
      </c>
      <c r="I2849" s="6" t="s">
        <v>20</v>
      </c>
      <c r="J2849" s="6">
        <v>2003.0</v>
      </c>
      <c r="K2849" s="10">
        <v>46115.0</v>
      </c>
      <c r="L2849" s="6">
        <v>1.0</v>
      </c>
      <c r="M2849" s="8">
        <f t="shared" si="3"/>
        <v>0.1</v>
      </c>
      <c r="P2849" s="9"/>
    </row>
    <row r="2850">
      <c r="A2850" s="6" t="s">
        <v>6377</v>
      </c>
      <c r="B2850" s="6" t="s">
        <v>6378</v>
      </c>
      <c r="C2850" s="6" t="s">
        <v>48</v>
      </c>
      <c r="D2850" s="6" t="s">
        <v>6379</v>
      </c>
      <c r="E2850" s="6" t="s">
        <v>36</v>
      </c>
      <c r="F2850" s="6" t="s">
        <v>37</v>
      </c>
      <c r="G2850" s="7">
        <v>0.15</v>
      </c>
      <c r="H2850" s="6" t="s">
        <v>19</v>
      </c>
      <c r="I2850" s="6" t="s">
        <v>20</v>
      </c>
      <c r="J2850" s="6">
        <v>2023.0</v>
      </c>
      <c r="L2850" s="6">
        <v>2.0</v>
      </c>
      <c r="M2850" s="8">
        <f t="shared" si="3"/>
        <v>0.3</v>
      </c>
      <c r="P2850" s="9"/>
    </row>
    <row r="2851">
      <c r="A2851" s="6" t="s">
        <v>6380</v>
      </c>
      <c r="B2851" s="6" t="s">
        <v>6381</v>
      </c>
      <c r="C2851" s="6" t="s">
        <v>41</v>
      </c>
      <c r="D2851" s="6" t="s">
        <v>6382</v>
      </c>
      <c r="E2851" s="6" t="s">
        <v>5930</v>
      </c>
      <c r="F2851" s="6" t="s">
        <v>5931</v>
      </c>
      <c r="G2851" s="7">
        <v>0.5</v>
      </c>
      <c r="H2851" s="6" t="s">
        <v>1246</v>
      </c>
      <c r="I2851" s="6" t="s">
        <v>20</v>
      </c>
      <c r="J2851" s="6">
        <v>2006.0</v>
      </c>
      <c r="K2851" s="10">
        <v>46116.0</v>
      </c>
      <c r="L2851" s="6">
        <v>1.0</v>
      </c>
      <c r="M2851" s="8">
        <f t="shared" si="3"/>
        <v>0.5</v>
      </c>
      <c r="P2851" s="9"/>
    </row>
    <row r="2852">
      <c r="A2852" s="6" t="s">
        <v>6383</v>
      </c>
      <c r="B2852" s="6" t="s">
        <v>307</v>
      </c>
      <c r="C2852" s="6" t="s">
        <v>48</v>
      </c>
      <c r="D2852" s="6" t="s">
        <v>6384</v>
      </c>
      <c r="E2852" s="6" t="s">
        <v>625</v>
      </c>
      <c r="F2852" s="6" t="s">
        <v>37</v>
      </c>
      <c r="G2852" s="7">
        <v>0.1</v>
      </c>
      <c r="H2852" s="6" t="s">
        <v>289</v>
      </c>
      <c r="I2852" s="6" t="s">
        <v>20</v>
      </c>
      <c r="J2852" s="6">
        <v>1996.0</v>
      </c>
      <c r="L2852" s="6">
        <v>1.0</v>
      </c>
      <c r="M2852" s="8">
        <f t="shared" si="3"/>
        <v>0.1</v>
      </c>
      <c r="P2852" s="9"/>
    </row>
    <row r="2853">
      <c r="A2853" s="6" t="s">
        <v>6385</v>
      </c>
      <c r="B2853" s="6" t="s">
        <v>841</v>
      </c>
      <c r="C2853" s="6" t="s">
        <v>41</v>
      </c>
      <c r="D2853" s="6" t="s">
        <v>6386</v>
      </c>
      <c r="E2853" s="6" t="s">
        <v>2235</v>
      </c>
      <c r="F2853" s="6" t="s">
        <v>37</v>
      </c>
      <c r="G2853" s="7">
        <v>0.5</v>
      </c>
      <c r="H2853" s="6" t="s">
        <v>453</v>
      </c>
      <c r="I2853" s="6" t="s">
        <v>20</v>
      </c>
      <c r="J2853" s="6">
        <v>1995.0</v>
      </c>
      <c r="K2853" s="10">
        <v>46147.0</v>
      </c>
      <c r="L2853" s="6">
        <v>2.0</v>
      </c>
      <c r="M2853" s="8">
        <f t="shared" si="3"/>
        <v>1</v>
      </c>
      <c r="P2853" s="9"/>
    </row>
    <row r="2854">
      <c r="A2854" s="6" t="s">
        <v>6387</v>
      </c>
      <c r="B2854" s="6" t="s">
        <v>6388</v>
      </c>
      <c r="C2854" s="6" t="s">
        <v>449</v>
      </c>
      <c r="D2854" s="6" t="s">
        <v>6389</v>
      </c>
      <c r="E2854" s="6" t="s">
        <v>50</v>
      </c>
      <c r="F2854" s="6" t="s">
        <v>904</v>
      </c>
      <c r="G2854" s="7">
        <v>0.25</v>
      </c>
      <c r="H2854" s="6" t="s">
        <v>2680</v>
      </c>
      <c r="I2854" s="6" t="s">
        <v>20</v>
      </c>
      <c r="J2854" s="6">
        <v>1998.0</v>
      </c>
      <c r="K2854" s="10">
        <v>46025.0</v>
      </c>
      <c r="L2854" s="6">
        <v>1.0</v>
      </c>
      <c r="M2854" s="8">
        <f t="shared" si="3"/>
        <v>0.25</v>
      </c>
      <c r="P2854" s="9"/>
    </row>
    <row r="2855">
      <c r="A2855" s="6" t="s">
        <v>6390</v>
      </c>
      <c r="B2855" s="6" t="s">
        <v>1066</v>
      </c>
      <c r="C2855" s="6" t="s">
        <v>15</v>
      </c>
      <c r="D2855" s="6" t="s">
        <v>6391</v>
      </c>
      <c r="E2855" s="6" t="s">
        <v>618</v>
      </c>
      <c r="F2855" s="6" t="s">
        <v>159</v>
      </c>
      <c r="G2855" s="7">
        <v>0.8</v>
      </c>
      <c r="H2855" s="6" t="s">
        <v>38</v>
      </c>
      <c r="I2855" s="6" t="s">
        <v>20</v>
      </c>
      <c r="J2855" s="6">
        <v>2026.0</v>
      </c>
      <c r="K2855" s="10">
        <v>46055.0</v>
      </c>
      <c r="L2855" s="6">
        <v>1.0</v>
      </c>
      <c r="M2855" s="8">
        <f t="shared" si="3"/>
        <v>0.8</v>
      </c>
      <c r="P2855" s="9"/>
    </row>
    <row r="2856">
      <c r="A2856" s="6" t="s">
        <v>6392</v>
      </c>
      <c r="B2856" s="6" t="s">
        <v>2489</v>
      </c>
      <c r="C2856" s="6" t="s">
        <v>23</v>
      </c>
      <c r="D2856" s="6" t="s">
        <v>6393</v>
      </c>
      <c r="E2856" s="6" t="s">
        <v>149</v>
      </c>
      <c r="F2856" s="6" t="s">
        <v>18</v>
      </c>
      <c r="G2856" s="7">
        <v>0.05</v>
      </c>
      <c r="H2856" s="6" t="s">
        <v>632</v>
      </c>
      <c r="I2856" s="6" t="s">
        <v>20</v>
      </c>
      <c r="J2856" s="6">
        <v>2002.0</v>
      </c>
      <c r="L2856" s="6">
        <v>1.0</v>
      </c>
      <c r="M2856" s="8">
        <f t="shared" si="3"/>
        <v>0.05</v>
      </c>
      <c r="P2856" s="9"/>
    </row>
    <row r="2857">
      <c r="A2857" s="6" t="s">
        <v>6394</v>
      </c>
      <c r="B2857" s="6" t="s">
        <v>6395</v>
      </c>
      <c r="C2857" s="6" t="s">
        <v>23</v>
      </c>
      <c r="D2857" s="6" t="s">
        <v>6396</v>
      </c>
      <c r="E2857" s="6" t="s">
        <v>25</v>
      </c>
      <c r="F2857" s="6" t="s">
        <v>18</v>
      </c>
      <c r="G2857" s="7">
        <v>0.05</v>
      </c>
      <c r="H2857" s="6" t="s">
        <v>632</v>
      </c>
      <c r="I2857" s="6" t="s">
        <v>20</v>
      </c>
      <c r="J2857" s="6">
        <v>2002.0</v>
      </c>
      <c r="K2857" s="10">
        <v>46113.0</v>
      </c>
      <c r="L2857" s="6">
        <v>1.0</v>
      </c>
      <c r="M2857" s="8">
        <f t="shared" si="3"/>
        <v>0.05</v>
      </c>
      <c r="P2857" s="9"/>
    </row>
    <row r="2858">
      <c r="A2858" s="6" t="s">
        <v>6397</v>
      </c>
      <c r="B2858" s="6" t="s">
        <v>446</v>
      </c>
      <c r="C2858" s="6" t="s">
        <v>23</v>
      </c>
      <c r="D2858" s="6" t="s">
        <v>6398</v>
      </c>
      <c r="E2858" s="6" t="s">
        <v>79</v>
      </c>
      <c r="F2858" s="6" t="s">
        <v>51</v>
      </c>
      <c r="G2858" s="7">
        <v>0.07</v>
      </c>
      <c r="H2858" s="6" t="s">
        <v>559</v>
      </c>
      <c r="I2858" s="6" t="s">
        <v>20</v>
      </c>
      <c r="J2858" s="6">
        <v>2015.0</v>
      </c>
      <c r="K2858" s="10">
        <v>46024.0</v>
      </c>
      <c r="L2858" s="6">
        <v>1.0</v>
      </c>
      <c r="M2858" s="8">
        <f t="shared" si="3"/>
        <v>0.07</v>
      </c>
      <c r="P2858" s="9"/>
    </row>
    <row r="2859">
      <c r="A2859" s="6" t="s">
        <v>6399</v>
      </c>
      <c r="B2859" s="6" t="s">
        <v>6400</v>
      </c>
      <c r="C2859" s="6" t="s">
        <v>521</v>
      </c>
      <c r="D2859" s="6" t="s">
        <v>6401</v>
      </c>
      <c r="E2859" s="6" t="s">
        <v>602</v>
      </c>
      <c r="F2859" s="6" t="s">
        <v>159</v>
      </c>
      <c r="G2859" s="7">
        <v>0.1</v>
      </c>
      <c r="H2859" s="6" t="s">
        <v>641</v>
      </c>
      <c r="I2859" s="6" t="s">
        <v>20</v>
      </c>
      <c r="J2859" s="6">
        <v>2026.0</v>
      </c>
      <c r="K2859" s="10">
        <v>46085.0</v>
      </c>
      <c r="L2859" s="6">
        <v>1.0</v>
      </c>
      <c r="M2859" s="8">
        <f t="shared" si="3"/>
        <v>0.1</v>
      </c>
      <c r="P2859" s="9"/>
    </row>
    <row r="2860">
      <c r="A2860" s="6" t="s">
        <v>6402</v>
      </c>
      <c r="B2860" s="6" t="s">
        <v>134</v>
      </c>
      <c r="C2860" s="6" t="s">
        <v>23</v>
      </c>
      <c r="D2860" s="6" t="s">
        <v>6403</v>
      </c>
      <c r="E2860" s="6" t="s">
        <v>558</v>
      </c>
      <c r="F2860" s="6" t="s">
        <v>18</v>
      </c>
      <c r="G2860" s="7">
        <v>0.03</v>
      </c>
      <c r="H2860" s="6" t="s">
        <v>626</v>
      </c>
      <c r="I2860" s="6" t="s">
        <v>20</v>
      </c>
      <c r="J2860" s="6">
        <v>2013.0</v>
      </c>
      <c r="K2860" s="6" t="s">
        <v>597</v>
      </c>
      <c r="L2860" s="6">
        <v>1.0</v>
      </c>
      <c r="M2860" s="8">
        <f t="shared" si="3"/>
        <v>0.03</v>
      </c>
      <c r="P2860" s="9"/>
    </row>
    <row r="2861">
      <c r="A2861" s="6" t="s">
        <v>6402</v>
      </c>
      <c r="B2861" s="6" t="s">
        <v>134</v>
      </c>
      <c r="C2861" s="6" t="s">
        <v>23</v>
      </c>
      <c r="D2861" s="6" t="s">
        <v>6403</v>
      </c>
      <c r="E2861" s="6" t="s">
        <v>558</v>
      </c>
      <c r="F2861" s="6" t="s">
        <v>18</v>
      </c>
      <c r="G2861" s="7">
        <v>0.05</v>
      </c>
      <c r="H2861" s="6" t="s">
        <v>626</v>
      </c>
      <c r="I2861" s="6" t="s">
        <v>20</v>
      </c>
      <c r="J2861" s="6">
        <v>2013.0</v>
      </c>
      <c r="K2861" s="6" t="s">
        <v>597</v>
      </c>
      <c r="L2861" s="6">
        <v>1.0</v>
      </c>
      <c r="M2861" s="8">
        <f t="shared" si="3"/>
        <v>0.05</v>
      </c>
      <c r="P2861" s="9"/>
    </row>
    <row r="2862">
      <c r="A2862" s="6" t="s">
        <v>6404</v>
      </c>
      <c r="B2862" s="6" t="s">
        <v>2859</v>
      </c>
      <c r="C2862" s="6" t="s">
        <v>23</v>
      </c>
      <c r="D2862" s="6" t="s">
        <v>6405</v>
      </c>
      <c r="E2862" s="6" t="s">
        <v>25</v>
      </c>
      <c r="F2862" s="6" t="s">
        <v>18</v>
      </c>
      <c r="G2862" s="7">
        <v>0.26</v>
      </c>
      <c r="H2862" s="6" t="s">
        <v>113</v>
      </c>
      <c r="I2862" s="6" t="s">
        <v>55</v>
      </c>
      <c r="J2862" s="6">
        <v>2026.0</v>
      </c>
      <c r="K2862" s="10">
        <v>46024.0</v>
      </c>
      <c r="L2862" s="6">
        <v>1.0</v>
      </c>
      <c r="M2862" s="8">
        <f t="shared" si="3"/>
        <v>0.26</v>
      </c>
      <c r="P2862" s="9"/>
    </row>
    <row r="2863">
      <c r="A2863" s="6" t="s">
        <v>6406</v>
      </c>
      <c r="B2863" s="6" t="s">
        <v>613</v>
      </c>
      <c r="C2863" s="6" t="s">
        <v>23</v>
      </c>
      <c r="D2863" s="6" t="s">
        <v>6407</v>
      </c>
      <c r="E2863" s="6" t="s">
        <v>50</v>
      </c>
      <c r="F2863" s="6" t="s">
        <v>51</v>
      </c>
      <c r="G2863" s="7">
        <v>1.0</v>
      </c>
      <c r="H2863" s="6" t="s">
        <v>26</v>
      </c>
      <c r="I2863" s="6" t="s">
        <v>20</v>
      </c>
      <c r="J2863" s="6">
        <v>2026.0</v>
      </c>
      <c r="K2863" s="10">
        <v>46084.0</v>
      </c>
      <c r="L2863" s="6">
        <v>1.0</v>
      </c>
      <c r="M2863" s="8">
        <f t="shared" si="3"/>
        <v>1</v>
      </c>
      <c r="P2863" s="9"/>
    </row>
    <row r="2864">
      <c r="A2864" s="6" t="s">
        <v>6408</v>
      </c>
      <c r="B2864" s="6" t="s">
        <v>1113</v>
      </c>
      <c r="C2864" s="6" t="s">
        <v>23</v>
      </c>
      <c r="D2864" s="6" t="s">
        <v>6409</v>
      </c>
      <c r="E2864" s="6" t="s">
        <v>112</v>
      </c>
      <c r="F2864" s="6" t="s">
        <v>65</v>
      </c>
      <c r="G2864" s="7">
        <v>0.06</v>
      </c>
      <c r="H2864" s="6" t="s">
        <v>2401</v>
      </c>
      <c r="I2864" s="6" t="s">
        <v>20</v>
      </c>
      <c r="J2864" s="6">
        <v>2018.0</v>
      </c>
      <c r="K2864" s="10">
        <v>46084.0</v>
      </c>
      <c r="L2864" s="6">
        <v>1.0</v>
      </c>
      <c r="M2864" s="8">
        <f t="shared" si="3"/>
        <v>0.06</v>
      </c>
      <c r="N2864" s="6" t="s">
        <v>518</v>
      </c>
      <c r="P2864" s="9"/>
    </row>
    <row r="2865">
      <c r="A2865" s="6" t="s">
        <v>6410</v>
      </c>
      <c r="B2865" s="6" t="s">
        <v>372</v>
      </c>
      <c r="C2865" s="6" t="s">
        <v>23</v>
      </c>
      <c r="D2865" s="6" t="s">
        <v>6411</v>
      </c>
      <c r="E2865" s="6" t="s">
        <v>167</v>
      </c>
      <c r="F2865" s="6" t="s">
        <v>103</v>
      </c>
      <c r="G2865" s="7">
        <v>0.03</v>
      </c>
      <c r="H2865" s="6" t="s">
        <v>526</v>
      </c>
      <c r="I2865" s="6" t="s">
        <v>20</v>
      </c>
      <c r="J2865" s="6">
        <v>2020.0</v>
      </c>
      <c r="L2865" s="6">
        <v>1.0</v>
      </c>
      <c r="M2865" s="8">
        <f t="shared" si="3"/>
        <v>0.03</v>
      </c>
      <c r="P2865" s="9"/>
    </row>
    <row r="2866">
      <c r="A2866" s="6" t="s">
        <v>6412</v>
      </c>
      <c r="B2866" s="6" t="s">
        <v>165</v>
      </c>
      <c r="C2866" s="6" t="s">
        <v>34</v>
      </c>
      <c r="D2866" s="6" t="s">
        <v>6413</v>
      </c>
      <c r="E2866" s="6" t="s">
        <v>1304</v>
      </c>
      <c r="F2866" s="6" t="s">
        <v>65</v>
      </c>
      <c r="G2866" s="7">
        <v>0.05</v>
      </c>
      <c r="H2866" s="6" t="s">
        <v>483</v>
      </c>
      <c r="I2866" s="6" t="s">
        <v>20</v>
      </c>
      <c r="J2866" s="6">
        <v>2014.0</v>
      </c>
      <c r="L2866" s="6">
        <v>1.0</v>
      </c>
      <c r="M2866" s="8">
        <f t="shared" si="3"/>
        <v>0.05</v>
      </c>
      <c r="P2866" s="9"/>
    </row>
    <row r="2867">
      <c r="A2867" s="6" t="s">
        <v>6414</v>
      </c>
      <c r="B2867" s="6" t="s">
        <v>202</v>
      </c>
      <c r="C2867" s="6" t="s">
        <v>48</v>
      </c>
      <c r="D2867" s="6" t="s">
        <v>6415</v>
      </c>
      <c r="E2867" s="6" t="s">
        <v>3098</v>
      </c>
      <c r="F2867" s="6" t="s">
        <v>215</v>
      </c>
      <c r="G2867" s="7">
        <v>2.25</v>
      </c>
      <c r="H2867" s="6" t="s">
        <v>6416</v>
      </c>
      <c r="I2867" s="6" t="s">
        <v>20</v>
      </c>
      <c r="J2867" s="6">
        <v>2021.0</v>
      </c>
      <c r="L2867" s="6">
        <v>1.0</v>
      </c>
      <c r="M2867" s="8">
        <f t="shared" si="3"/>
        <v>2.25</v>
      </c>
      <c r="N2867" s="6" t="s">
        <v>172</v>
      </c>
      <c r="P2867" s="9"/>
    </row>
    <row r="2868">
      <c r="A2868" s="6" t="s">
        <v>6417</v>
      </c>
      <c r="B2868" s="6" t="s">
        <v>6418</v>
      </c>
      <c r="C2868" s="6" t="s">
        <v>23</v>
      </c>
      <c r="D2868" s="6" t="s">
        <v>6419</v>
      </c>
      <c r="E2868" s="6" t="s">
        <v>602</v>
      </c>
      <c r="F2868" s="6" t="s">
        <v>159</v>
      </c>
      <c r="G2868" s="7">
        <v>0.09</v>
      </c>
      <c r="H2868" s="6" t="s">
        <v>114</v>
      </c>
      <c r="I2868" s="6" t="s">
        <v>20</v>
      </c>
      <c r="J2868" s="6">
        <v>2021.0</v>
      </c>
      <c r="K2868" s="10">
        <v>46055.0</v>
      </c>
      <c r="L2868" s="6">
        <v>1.0</v>
      </c>
      <c r="M2868" s="8">
        <f t="shared" si="3"/>
        <v>0.09</v>
      </c>
      <c r="P2868" s="9"/>
    </row>
    <row r="2869">
      <c r="A2869" s="6" t="s">
        <v>6420</v>
      </c>
      <c r="B2869" s="6" t="s">
        <v>694</v>
      </c>
      <c r="C2869" s="6" t="s">
        <v>23</v>
      </c>
      <c r="D2869" s="6" t="s">
        <v>6421</v>
      </c>
      <c r="E2869" s="6" t="s">
        <v>64</v>
      </c>
      <c r="F2869" s="6" t="s">
        <v>65</v>
      </c>
      <c r="G2869" s="7">
        <v>0.75</v>
      </c>
      <c r="H2869" s="6" t="s">
        <v>509</v>
      </c>
      <c r="I2869" s="6" t="s">
        <v>55</v>
      </c>
      <c r="J2869" s="6">
        <v>2024.0</v>
      </c>
      <c r="K2869" s="10">
        <v>46083.0</v>
      </c>
      <c r="L2869" s="6">
        <v>1.0</v>
      </c>
      <c r="M2869" s="8">
        <f t="shared" si="3"/>
        <v>0.75</v>
      </c>
      <c r="P2869" s="9"/>
    </row>
    <row r="2870">
      <c r="A2870" s="6" t="s">
        <v>6422</v>
      </c>
      <c r="B2870" s="6" t="s">
        <v>194</v>
      </c>
      <c r="C2870" s="6" t="s">
        <v>23</v>
      </c>
      <c r="D2870" s="6" t="s">
        <v>6423</v>
      </c>
      <c r="E2870" s="6" t="s">
        <v>175</v>
      </c>
      <c r="F2870" s="6" t="s">
        <v>51</v>
      </c>
      <c r="G2870" s="7">
        <v>0.35</v>
      </c>
      <c r="H2870" s="6" t="s">
        <v>1018</v>
      </c>
      <c r="I2870" s="6" t="s">
        <v>20</v>
      </c>
      <c r="J2870" s="6">
        <v>1999.0</v>
      </c>
      <c r="L2870" s="6">
        <v>2.0</v>
      </c>
      <c r="M2870" s="8">
        <f t="shared" si="3"/>
        <v>0.7</v>
      </c>
      <c r="P2870" s="9"/>
    </row>
    <row r="2871">
      <c r="A2871" s="6" t="s">
        <v>6424</v>
      </c>
      <c r="B2871" s="6" t="s">
        <v>62</v>
      </c>
      <c r="C2871" s="6" t="s">
        <v>23</v>
      </c>
      <c r="D2871" s="6" t="s">
        <v>6425</v>
      </c>
      <c r="E2871" s="6" t="s">
        <v>175</v>
      </c>
      <c r="F2871" s="6" t="s">
        <v>51</v>
      </c>
      <c r="G2871" s="7">
        <v>0.14</v>
      </c>
      <c r="H2871" s="6" t="s">
        <v>581</v>
      </c>
      <c r="I2871" s="6" t="s">
        <v>20</v>
      </c>
      <c r="J2871" s="6">
        <v>2022.0</v>
      </c>
      <c r="L2871" s="6">
        <v>1.0</v>
      </c>
      <c r="M2871" s="8">
        <f t="shared" si="3"/>
        <v>0.14</v>
      </c>
      <c r="P2871" s="9"/>
    </row>
    <row r="2872">
      <c r="A2872" s="6" t="s">
        <v>6426</v>
      </c>
      <c r="B2872" s="6" t="s">
        <v>62</v>
      </c>
      <c r="C2872" s="6" t="s">
        <v>23</v>
      </c>
      <c r="D2872" s="6" t="s">
        <v>6427</v>
      </c>
      <c r="E2872" s="6" t="s">
        <v>149</v>
      </c>
      <c r="F2872" s="6" t="s">
        <v>18</v>
      </c>
      <c r="G2872" s="7">
        <v>0.2</v>
      </c>
      <c r="H2872" s="6" t="s">
        <v>848</v>
      </c>
      <c r="I2872" s="6" t="s">
        <v>20</v>
      </c>
      <c r="J2872" s="6">
        <v>2023.0</v>
      </c>
      <c r="L2872" s="6">
        <v>1.0</v>
      </c>
      <c r="M2872" s="8">
        <f t="shared" si="3"/>
        <v>0.2</v>
      </c>
      <c r="P2872" s="9"/>
    </row>
    <row r="2873">
      <c r="A2873" s="6" t="s">
        <v>6428</v>
      </c>
      <c r="B2873" s="6" t="s">
        <v>6429</v>
      </c>
      <c r="C2873" s="6" t="s">
        <v>41</v>
      </c>
      <c r="D2873" s="6" t="s">
        <v>6430</v>
      </c>
      <c r="E2873" s="6" t="s">
        <v>175</v>
      </c>
      <c r="F2873" s="6" t="s">
        <v>51</v>
      </c>
      <c r="G2873" s="7">
        <v>2.0</v>
      </c>
      <c r="H2873" s="6" t="s">
        <v>45</v>
      </c>
      <c r="I2873" s="6" t="s">
        <v>20</v>
      </c>
      <c r="J2873" s="6">
        <v>2025.0</v>
      </c>
      <c r="K2873" s="10">
        <v>46023.0</v>
      </c>
      <c r="L2873" s="6">
        <v>1.0</v>
      </c>
      <c r="M2873" s="8">
        <f t="shared" si="3"/>
        <v>2</v>
      </c>
      <c r="P2873" s="9"/>
    </row>
    <row r="2874">
      <c r="A2874" s="6" t="s">
        <v>6428</v>
      </c>
      <c r="B2874" s="6" t="s">
        <v>6429</v>
      </c>
      <c r="C2874" s="6" t="s">
        <v>41</v>
      </c>
      <c r="D2874" s="6" t="s">
        <v>6430</v>
      </c>
      <c r="E2874" s="6" t="s">
        <v>175</v>
      </c>
      <c r="F2874" s="6" t="s">
        <v>51</v>
      </c>
      <c r="G2874" s="7">
        <v>6.89</v>
      </c>
      <c r="H2874" s="6" t="s">
        <v>6431</v>
      </c>
      <c r="I2874" s="6" t="s">
        <v>55</v>
      </c>
      <c r="J2874" s="6">
        <v>2025.0</v>
      </c>
      <c r="K2874" s="10">
        <v>46023.0</v>
      </c>
      <c r="L2874" s="6">
        <v>1.0</v>
      </c>
      <c r="M2874" s="8">
        <f t="shared" si="3"/>
        <v>6.89</v>
      </c>
      <c r="P2874" s="9"/>
    </row>
    <row r="2875">
      <c r="A2875" s="6" t="s">
        <v>6432</v>
      </c>
      <c r="B2875" s="6" t="s">
        <v>6433</v>
      </c>
      <c r="C2875" s="6" t="s">
        <v>48</v>
      </c>
      <c r="D2875" s="6" t="s">
        <v>6434</v>
      </c>
      <c r="E2875" s="6" t="s">
        <v>270</v>
      </c>
      <c r="F2875" s="6" t="s">
        <v>159</v>
      </c>
      <c r="G2875" s="7">
        <v>0.1</v>
      </c>
      <c r="H2875" s="6" t="s">
        <v>192</v>
      </c>
      <c r="I2875" s="6" t="s">
        <v>20</v>
      </c>
      <c r="J2875" s="6">
        <v>2026.0</v>
      </c>
      <c r="K2875" s="10">
        <v>46082.0</v>
      </c>
      <c r="L2875" s="6">
        <v>1.0</v>
      </c>
      <c r="M2875" s="8">
        <f t="shared" si="3"/>
        <v>0.1</v>
      </c>
      <c r="P2875" s="9"/>
    </row>
    <row r="2876">
      <c r="A2876" s="6" t="s">
        <v>6435</v>
      </c>
      <c r="B2876" s="6" t="s">
        <v>6436</v>
      </c>
      <c r="C2876" s="6" t="s">
        <v>23</v>
      </c>
      <c r="D2876" s="6" t="s">
        <v>6437</v>
      </c>
      <c r="E2876" s="6" t="s">
        <v>30</v>
      </c>
      <c r="F2876" s="6" t="s">
        <v>18</v>
      </c>
      <c r="G2876" s="7">
        <v>0.06</v>
      </c>
      <c r="H2876" s="6" t="s">
        <v>559</v>
      </c>
      <c r="I2876" s="6" t="s">
        <v>20</v>
      </c>
      <c r="J2876" s="6">
        <v>2015.0</v>
      </c>
      <c r="K2876" s="10">
        <v>46056.0</v>
      </c>
      <c r="L2876" s="6">
        <v>2.0</v>
      </c>
      <c r="M2876" s="8">
        <f t="shared" si="3"/>
        <v>0.12</v>
      </c>
      <c r="P2876" s="9"/>
    </row>
    <row r="2877">
      <c r="A2877" s="6" t="s">
        <v>6438</v>
      </c>
      <c r="B2877" s="6" t="s">
        <v>6439</v>
      </c>
      <c r="C2877" s="6" t="s">
        <v>23</v>
      </c>
      <c r="D2877" s="6" t="s">
        <v>6440</v>
      </c>
      <c r="E2877" s="6" t="s">
        <v>3669</v>
      </c>
      <c r="F2877" s="6" t="s">
        <v>65</v>
      </c>
      <c r="G2877" s="7">
        <v>0.05</v>
      </c>
      <c r="H2877" s="6" t="s">
        <v>45</v>
      </c>
      <c r="I2877" s="6" t="s">
        <v>20</v>
      </c>
      <c r="J2877" s="6">
        <v>2025.0</v>
      </c>
      <c r="K2877" s="10">
        <v>46178.0</v>
      </c>
      <c r="L2877" s="6">
        <v>1.0</v>
      </c>
      <c r="M2877" s="8">
        <f t="shared" si="3"/>
        <v>0.05</v>
      </c>
      <c r="P2877" s="9"/>
    </row>
    <row r="2878">
      <c r="A2878" s="6" t="s">
        <v>6441</v>
      </c>
      <c r="B2878" s="6" t="s">
        <v>850</v>
      </c>
      <c r="C2878" s="6" t="s">
        <v>34</v>
      </c>
      <c r="D2878" s="6" t="s">
        <v>6442</v>
      </c>
      <c r="E2878" s="6">
        <v>2.0</v>
      </c>
      <c r="F2878" s="6" t="s">
        <v>37</v>
      </c>
      <c r="G2878" s="7">
        <v>0.04</v>
      </c>
      <c r="H2878" s="6" t="s">
        <v>209</v>
      </c>
      <c r="I2878" s="6" t="s">
        <v>20</v>
      </c>
      <c r="J2878" s="6">
        <v>2025.0</v>
      </c>
      <c r="L2878" s="6">
        <v>7.0</v>
      </c>
      <c r="M2878" s="8">
        <f t="shared" si="3"/>
        <v>0.28</v>
      </c>
      <c r="P2878" s="9"/>
    </row>
    <row r="2879">
      <c r="A2879" s="6" t="s">
        <v>6441</v>
      </c>
      <c r="B2879" s="6" t="s">
        <v>850</v>
      </c>
      <c r="C2879" s="6" t="s">
        <v>34</v>
      </c>
      <c r="D2879" s="6" t="s">
        <v>6442</v>
      </c>
      <c r="E2879" s="6">
        <v>2.0</v>
      </c>
      <c r="F2879" s="6" t="s">
        <v>37</v>
      </c>
      <c r="G2879" s="7">
        <v>0.3</v>
      </c>
      <c r="H2879" s="6" t="s">
        <v>209</v>
      </c>
      <c r="I2879" s="6" t="s">
        <v>55</v>
      </c>
      <c r="J2879" s="6">
        <v>2025.0</v>
      </c>
      <c r="L2879" s="6">
        <v>1.0</v>
      </c>
      <c r="M2879" s="8">
        <f t="shared" si="3"/>
        <v>0.3</v>
      </c>
      <c r="P2879" s="9"/>
    </row>
    <row r="2880">
      <c r="A2880" s="6" t="s">
        <v>6443</v>
      </c>
      <c r="B2880" s="6" t="s">
        <v>2978</v>
      </c>
      <c r="C2880" s="6" t="s">
        <v>15</v>
      </c>
      <c r="D2880" s="6" t="s">
        <v>6444</v>
      </c>
      <c r="E2880" s="6" t="s">
        <v>167</v>
      </c>
      <c r="F2880" s="6" t="s">
        <v>103</v>
      </c>
      <c r="G2880" s="7">
        <v>0.14</v>
      </c>
      <c r="H2880" s="6" t="s">
        <v>1043</v>
      </c>
      <c r="I2880" s="6" t="s">
        <v>20</v>
      </c>
      <c r="J2880" s="6">
        <v>2025.0</v>
      </c>
      <c r="K2880" s="10">
        <v>46026.0</v>
      </c>
      <c r="L2880" s="6">
        <v>1.0</v>
      </c>
      <c r="M2880" s="8">
        <f t="shared" si="3"/>
        <v>0.14</v>
      </c>
      <c r="P2880" s="9"/>
    </row>
    <row r="2881">
      <c r="A2881" s="6" t="s">
        <v>6445</v>
      </c>
      <c r="B2881" s="6" t="s">
        <v>841</v>
      </c>
      <c r="C2881" s="6" t="s">
        <v>48</v>
      </c>
      <c r="D2881" s="6" t="s">
        <v>6446</v>
      </c>
      <c r="E2881" s="6" t="s">
        <v>36</v>
      </c>
      <c r="F2881" s="6" t="s">
        <v>37</v>
      </c>
      <c r="G2881" s="7">
        <v>0.04</v>
      </c>
      <c r="H2881" s="6" t="s">
        <v>171</v>
      </c>
      <c r="I2881" s="6" t="s">
        <v>20</v>
      </c>
      <c r="J2881" s="6">
        <v>2021.0</v>
      </c>
      <c r="K2881" s="10">
        <v>46023.0</v>
      </c>
      <c r="L2881" s="6">
        <v>1.0</v>
      </c>
      <c r="M2881" s="8">
        <f t="shared" si="3"/>
        <v>0.04</v>
      </c>
      <c r="P2881" s="9"/>
    </row>
    <row r="2882">
      <c r="A2882" s="6" t="s">
        <v>6445</v>
      </c>
      <c r="B2882" s="6" t="s">
        <v>841</v>
      </c>
      <c r="C2882" s="6" t="s">
        <v>48</v>
      </c>
      <c r="D2882" s="6" t="s">
        <v>6446</v>
      </c>
      <c r="E2882" s="6" t="s">
        <v>36</v>
      </c>
      <c r="F2882" s="6" t="s">
        <v>37</v>
      </c>
      <c r="G2882" s="7">
        <v>0.04</v>
      </c>
      <c r="H2882" s="6" t="s">
        <v>171</v>
      </c>
      <c r="I2882" s="6" t="s">
        <v>20</v>
      </c>
      <c r="J2882" s="6">
        <v>2021.0</v>
      </c>
      <c r="K2882" s="10">
        <v>46023.0</v>
      </c>
      <c r="L2882" s="6">
        <v>1.0</v>
      </c>
      <c r="M2882" s="8">
        <f t="shared" si="3"/>
        <v>0.04</v>
      </c>
      <c r="P2882" s="9"/>
    </row>
    <row r="2883">
      <c r="A2883" s="6" t="s">
        <v>6447</v>
      </c>
      <c r="B2883" s="6" t="s">
        <v>4392</v>
      </c>
      <c r="C2883" s="6" t="s">
        <v>23</v>
      </c>
      <c r="E2883" s="6" t="s">
        <v>196</v>
      </c>
      <c r="F2883" s="6" t="s">
        <v>65</v>
      </c>
      <c r="G2883" s="7">
        <v>0.04</v>
      </c>
      <c r="H2883" s="6" t="s">
        <v>119</v>
      </c>
      <c r="I2883" s="6" t="s">
        <v>20</v>
      </c>
      <c r="J2883" s="6">
        <v>1995.0</v>
      </c>
      <c r="K2883" s="10">
        <v>46023.0</v>
      </c>
      <c r="L2883" s="6">
        <v>2.0</v>
      </c>
      <c r="M2883" s="8">
        <f t="shared" si="3"/>
        <v>0.08</v>
      </c>
      <c r="P2883" s="9"/>
    </row>
    <row r="2884">
      <c r="A2884" s="6" t="s">
        <v>6447</v>
      </c>
      <c r="B2884" s="6" t="s">
        <v>4392</v>
      </c>
      <c r="C2884" s="6" t="s">
        <v>23</v>
      </c>
      <c r="E2884" s="6" t="s">
        <v>196</v>
      </c>
      <c r="F2884" s="6" t="s">
        <v>65</v>
      </c>
      <c r="G2884" s="7">
        <v>0.18</v>
      </c>
      <c r="H2884" s="6" t="s">
        <v>120</v>
      </c>
      <c r="I2884" s="6" t="s">
        <v>20</v>
      </c>
      <c r="J2884" s="6">
        <v>1995.0</v>
      </c>
      <c r="K2884" s="10">
        <v>46023.0</v>
      </c>
      <c r="L2884" s="6">
        <v>4.0</v>
      </c>
      <c r="M2884" s="8">
        <f t="shared" si="3"/>
        <v>0.72</v>
      </c>
      <c r="P2884" s="9"/>
    </row>
    <row r="2885">
      <c r="A2885" s="6" t="s">
        <v>6447</v>
      </c>
      <c r="B2885" s="6" t="s">
        <v>4392</v>
      </c>
      <c r="C2885" s="6" t="s">
        <v>23</v>
      </c>
      <c r="E2885" s="6" t="s">
        <v>196</v>
      </c>
      <c r="F2885" s="6" t="s">
        <v>65</v>
      </c>
      <c r="G2885" s="7">
        <v>0.15</v>
      </c>
      <c r="H2885" s="6" t="s">
        <v>607</v>
      </c>
      <c r="I2885" s="6" t="s">
        <v>20</v>
      </c>
      <c r="J2885" s="6">
        <v>1994.0</v>
      </c>
      <c r="K2885" s="10">
        <v>46023.0</v>
      </c>
      <c r="L2885" s="6">
        <v>1.0</v>
      </c>
      <c r="M2885" s="8">
        <f t="shared" si="3"/>
        <v>0.15</v>
      </c>
      <c r="P2885" s="9"/>
    </row>
    <row r="2886">
      <c r="A2886" s="6" t="s">
        <v>6448</v>
      </c>
      <c r="B2886" s="6" t="s">
        <v>6449</v>
      </c>
      <c r="C2886" s="6" t="s">
        <v>34</v>
      </c>
      <c r="D2886" s="6" t="s">
        <v>6450</v>
      </c>
      <c r="E2886" s="6" t="s">
        <v>2469</v>
      </c>
      <c r="F2886" s="6" t="s">
        <v>65</v>
      </c>
      <c r="G2886" s="7">
        <v>0.2</v>
      </c>
      <c r="H2886" s="6" t="s">
        <v>2326</v>
      </c>
      <c r="I2886" s="6" t="s">
        <v>20</v>
      </c>
      <c r="J2886" s="6">
        <v>2026.0</v>
      </c>
      <c r="K2886" s="10">
        <v>46085.0</v>
      </c>
      <c r="L2886" s="6">
        <v>3.0</v>
      </c>
      <c r="M2886" s="8">
        <f t="shared" si="3"/>
        <v>0.6</v>
      </c>
      <c r="P2886" s="9"/>
    </row>
    <row r="2887">
      <c r="A2887" s="6" t="s">
        <v>6451</v>
      </c>
      <c r="B2887" s="6" t="s">
        <v>543</v>
      </c>
      <c r="C2887" s="6" t="s">
        <v>23</v>
      </c>
      <c r="D2887" s="6" t="s">
        <v>6452</v>
      </c>
      <c r="E2887" s="6" t="s">
        <v>223</v>
      </c>
      <c r="F2887" s="6" t="s">
        <v>159</v>
      </c>
      <c r="G2887" s="7">
        <v>0.15</v>
      </c>
      <c r="H2887" s="6" t="s">
        <v>645</v>
      </c>
      <c r="I2887" s="6" t="s">
        <v>20</v>
      </c>
      <c r="J2887" s="6">
        <v>2024.0</v>
      </c>
      <c r="L2887" s="6">
        <v>1.0</v>
      </c>
      <c r="M2887" s="8">
        <f t="shared" si="3"/>
        <v>0.15</v>
      </c>
      <c r="P2887" s="9"/>
    </row>
    <row r="2888">
      <c r="A2888" s="6" t="s">
        <v>6453</v>
      </c>
      <c r="B2888" s="6" t="s">
        <v>182</v>
      </c>
      <c r="C2888" s="6" t="s">
        <v>48</v>
      </c>
      <c r="D2888" s="6" t="s">
        <v>6454</v>
      </c>
      <c r="E2888" s="6" t="s">
        <v>158</v>
      </c>
      <c r="F2888" s="6" t="s">
        <v>159</v>
      </c>
      <c r="G2888" s="7">
        <v>0.03</v>
      </c>
      <c r="H2888" s="6" t="s">
        <v>299</v>
      </c>
      <c r="I2888" s="6" t="s">
        <v>20</v>
      </c>
      <c r="J2888" s="6">
        <v>2017.0</v>
      </c>
      <c r="L2888" s="6">
        <v>1.0</v>
      </c>
      <c r="M2888" s="8">
        <f t="shared" si="3"/>
        <v>0.03</v>
      </c>
      <c r="P2888" s="9"/>
    </row>
    <row r="2889">
      <c r="A2889" s="6" t="s">
        <v>6455</v>
      </c>
      <c r="B2889" s="6" t="s">
        <v>307</v>
      </c>
      <c r="C2889" s="6" t="s">
        <v>23</v>
      </c>
      <c r="D2889" s="6" t="s">
        <v>6456</v>
      </c>
      <c r="E2889" s="6" t="s">
        <v>243</v>
      </c>
      <c r="F2889" s="6" t="s">
        <v>37</v>
      </c>
      <c r="G2889" s="7">
        <v>0.06</v>
      </c>
      <c r="H2889" s="6" t="s">
        <v>2639</v>
      </c>
      <c r="I2889" s="6" t="s">
        <v>20</v>
      </c>
      <c r="J2889" s="6">
        <v>2010.0</v>
      </c>
      <c r="L2889" s="6">
        <v>2.0</v>
      </c>
      <c r="M2889" s="8">
        <f t="shared" si="3"/>
        <v>0.12</v>
      </c>
      <c r="P2889" s="9"/>
    </row>
    <row r="2890">
      <c r="A2890" s="6" t="s">
        <v>6457</v>
      </c>
      <c r="B2890" s="6" t="s">
        <v>2655</v>
      </c>
      <c r="C2890" s="6" t="s">
        <v>521</v>
      </c>
      <c r="D2890" s="6" t="s">
        <v>6458</v>
      </c>
      <c r="E2890" s="6" t="s">
        <v>235</v>
      </c>
      <c r="F2890" s="6" t="s">
        <v>103</v>
      </c>
      <c r="G2890" s="7">
        <v>0.11</v>
      </c>
      <c r="H2890" s="6" t="s">
        <v>641</v>
      </c>
      <c r="I2890" s="6" t="s">
        <v>20</v>
      </c>
      <c r="J2890" s="6">
        <v>2026.0</v>
      </c>
      <c r="K2890" s="10">
        <v>46024.0</v>
      </c>
      <c r="L2890" s="6">
        <v>2.0</v>
      </c>
      <c r="M2890" s="8">
        <f t="shared" si="3"/>
        <v>0.22</v>
      </c>
      <c r="P2890" s="9"/>
    </row>
    <row r="2891">
      <c r="A2891" s="6" t="s">
        <v>6459</v>
      </c>
      <c r="B2891" s="6" t="s">
        <v>6460</v>
      </c>
      <c r="C2891" s="6" t="s">
        <v>48</v>
      </c>
      <c r="D2891" s="6" t="s">
        <v>6461</v>
      </c>
      <c r="E2891" s="6" t="s">
        <v>79</v>
      </c>
      <c r="F2891" s="6" t="s">
        <v>51</v>
      </c>
      <c r="G2891" s="7">
        <v>0.05</v>
      </c>
      <c r="H2891" s="6" t="s">
        <v>641</v>
      </c>
      <c r="I2891" s="6" t="s">
        <v>20</v>
      </c>
      <c r="J2891" s="6">
        <v>2026.0</v>
      </c>
      <c r="K2891" s="10">
        <v>46144.0</v>
      </c>
      <c r="L2891" s="6">
        <v>1.0</v>
      </c>
      <c r="M2891" s="8">
        <f t="shared" si="3"/>
        <v>0.05</v>
      </c>
      <c r="P2891" s="9"/>
    </row>
    <row r="2892">
      <c r="A2892" s="6" t="s">
        <v>6462</v>
      </c>
      <c r="B2892" s="6" t="s">
        <v>6463</v>
      </c>
      <c r="C2892" s="6" t="s">
        <v>23</v>
      </c>
      <c r="D2892" s="6" t="s">
        <v>6464</v>
      </c>
      <c r="E2892" s="6" t="s">
        <v>6465</v>
      </c>
      <c r="F2892" s="6" t="s">
        <v>98</v>
      </c>
      <c r="G2892" s="7">
        <v>0.1</v>
      </c>
      <c r="H2892" s="6" t="s">
        <v>994</v>
      </c>
      <c r="I2892" s="6" t="s">
        <v>20</v>
      </c>
      <c r="J2892" s="6">
        <v>2024.0</v>
      </c>
      <c r="K2892" s="10">
        <v>46083.0</v>
      </c>
      <c r="L2892" s="6">
        <v>1.0</v>
      </c>
      <c r="M2892" s="8">
        <f t="shared" si="3"/>
        <v>0.1</v>
      </c>
      <c r="P2892" s="9"/>
    </row>
    <row r="2893">
      <c r="A2893" s="6" t="s">
        <v>6466</v>
      </c>
      <c r="B2893" s="6" t="s">
        <v>2986</v>
      </c>
      <c r="C2893" s="6" t="s">
        <v>23</v>
      </c>
      <c r="D2893" s="6" t="s">
        <v>6467</v>
      </c>
      <c r="E2893" s="6" t="s">
        <v>30</v>
      </c>
      <c r="F2893" s="6" t="s">
        <v>18</v>
      </c>
      <c r="G2893" s="7">
        <v>0.2</v>
      </c>
      <c r="H2893" s="6" t="s">
        <v>4672</v>
      </c>
      <c r="I2893" s="6" t="s">
        <v>20</v>
      </c>
      <c r="J2893" s="6">
        <v>2022.0</v>
      </c>
      <c r="K2893" s="10">
        <v>46055.0</v>
      </c>
      <c r="L2893" s="6">
        <v>2.0</v>
      </c>
      <c r="M2893" s="8">
        <f t="shared" si="3"/>
        <v>0.4</v>
      </c>
      <c r="P2893" s="9"/>
    </row>
    <row r="2894">
      <c r="A2894" s="6" t="s">
        <v>6468</v>
      </c>
      <c r="B2894" s="6" t="s">
        <v>106</v>
      </c>
      <c r="C2894" s="6" t="s">
        <v>23</v>
      </c>
      <c r="D2894" s="6" t="s">
        <v>5944</v>
      </c>
      <c r="E2894" s="6" t="s">
        <v>153</v>
      </c>
      <c r="F2894" s="6" t="s">
        <v>103</v>
      </c>
      <c r="G2894" s="7">
        <v>0.05</v>
      </c>
      <c r="H2894" s="6" t="s">
        <v>245</v>
      </c>
      <c r="I2894" s="6" t="s">
        <v>20</v>
      </c>
      <c r="J2894" s="6">
        <v>1995.0</v>
      </c>
      <c r="K2894" s="10">
        <v>46084.0</v>
      </c>
      <c r="L2894" s="6">
        <v>1.0</v>
      </c>
      <c r="M2894" s="8">
        <f t="shared" si="3"/>
        <v>0.05</v>
      </c>
      <c r="P2894" s="9"/>
    </row>
    <row r="2895">
      <c r="A2895" s="6" t="s">
        <v>6469</v>
      </c>
      <c r="B2895" s="6" t="s">
        <v>151</v>
      </c>
      <c r="C2895" s="6" t="s">
        <v>23</v>
      </c>
      <c r="D2895" s="6" t="s">
        <v>6470</v>
      </c>
      <c r="E2895" s="6" t="s">
        <v>118</v>
      </c>
      <c r="F2895" s="6" t="s">
        <v>51</v>
      </c>
      <c r="G2895" s="7">
        <v>0.05</v>
      </c>
      <c r="H2895" s="6" t="s">
        <v>93</v>
      </c>
      <c r="I2895" s="6" t="s">
        <v>20</v>
      </c>
      <c r="J2895" s="6">
        <v>2016.0</v>
      </c>
      <c r="K2895" s="10">
        <v>46055.0</v>
      </c>
      <c r="L2895" s="6">
        <v>1.0</v>
      </c>
      <c r="M2895" s="8">
        <f t="shared" si="3"/>
        <v>0.05</v>
      </c>
      <c r="P2895" s="9"/>
    </row>
    <row r="2896">
      <c r="A2896" s="6" t="s">
        <v>6471</v>
      </c>
      <c r="B2896" s="6" t="s">
        <v>62</v>
      </c>
      <c r="C2896" s="6" t="s">
        <v>23</v>
      </c>
      <c r="D2896" s="6" t="s">
        <v>6472</v>
      </c>
      <c r="E2896" s="6" t="s">
        <v>738</v>
      </c>
      <c r="F2896" s="6" t="s">
        <v>51</v>
      </c>
      <c r="G2896" s="7">
        <v>0.12</v>
      </c>
      <c r="H2896" s="6" t="s">
        <v>245</v>
      </c>
      <c r="I2896" s="6" t="s">
        <v>20</v>
      </c>
      <c r="J2896" s="6">
        <v>1995.0</v>
      </c>
      <c r="L2896" s="6">
        <v>1.0</v>
      </c>
      <c r="M2896" s="8">
        <f t="shared" si="3"/>
        <v>0.12</v>
      </c>
      <c r="P2896" s="9"/>
    </row>
    <row r="2897">
      <c r="A2897" s="6" t="s">
        <v>6473</v>
      </c>
      <c r="B2897" s="6" t="s">
        <v>194</v>
      </c>
      <c r="C2897" s="6" t="s">
        <v>23</v>
      </c>
      <c r="D2897" s="6" t="s">
        <v>6474</v>
      </c>
      <c r="E2897" s="6" t="s">
        <v>738</v>
      </c>
      <c r="F2897" s="6" t="s">
        <v>51</v>
      </c>
      <c r="G2897" s="7">
        <v>0.05</v>
      </c>
      <c r="H2897" s="6" t="s">
        <v>119</v>
      </c>
      <c r="I2897" s="6" t="s">
        <v>20</v>
      </c>
      <c r="J2897" s="6">
        <v>1995.0</v>
      </c>
      <c r="L2897" s="6">
        <v>3.0</v>
      </c>
      <c r="M2897" s="8">
        <f t="shared" si="3"/>
        <v>0.15</v>
      </c>
      <c r="P2897" s="9"/>
    </row>
    <row r="2898">
      <c r="A2898" s="6" t="s">
        <v>6473</v>
      </c>
      <c r="B2898" s="6" t="s">
        <v>194</v>
      </c>
      <c r="C2898" s="6" t="s">
        <v>23</v>
      </c>
      <c r="D2898" s="6" t="s">
        <v>6474</v>
      </c>
      <c r="E2898" s="6" t="s">
        <v>738</v>
      </c>
      <c r="F2898" s="6" t="s">
        <v>51</v>
      </c>
      <c r="G2898" s="7">
        <v>0.12</v>
      </c>
      <c r="H2898" s="6" t="s">
        <v>120</v>
      </c>
      <c r="I2898" s="6" t="s">
        <v>20</v>
      </c>
      <c r="J2898" s="6">
        <v>1995.0</v>
      </c>
      <c r="L2898" s="6">
        <v>3.0</v>
      </c>
      <c r="M2898" s="8">
        <f t="shared" si="3"/>
        <v>0.36</v>
      </c>
      <c r="P2898" s="9"/>
    </row>
    <row r="2899">
      <c r="A2899" s="6" t="s">
        <v>6475</v>
      </c>
      <c r="B2899" s="6" t="s">
        <v>2522</v>
      </c>
      <c r="C2899" s="6" t="s">
        <v>48</v>
      </c>
      <c r="D2899" s="6" t="s">
        <v>6476</v>
      </c>
      <c r="E2899" s="6" t="s">
        <v>1860</v>
      </c>
      <c r="F2899" s="6" t="s">
        <v>215</v>
      </c>
      <c r="G2899" s="7">
        <v>0.25</v>
      </c>
      <c r="H2899" s="6" t="s">
        <v>641</v>
      </c>
      <c r="I2899" s="6" t="s">
        <v>20</v>
      </c>
      <c r="J2899" s="6">
        <v>2026.0</v>
      </c>
      <c r="K2899" s="10">
        <v>46056.0</v>
      </c>
      <c r="L2899" s="6">
        <v>1.0</v>
      </c>
      <c r="M2899" s="8">
        <f t="shared" si="3"/>
        <v>0.25</v>
      </c>
      <c r="P2899" s="9"/>
    </row>
    <row r="2900">
      <c r="A2900" s="6" t="s">
        <v>6477</v>
      </c>
      <c r="B2900" s="6" t="s">
        <v>6478</v>
      </c>
      <c r="C2900" s="6" t="s">
        <v>34</v>
      </c>
      <c r="D2900" s="6" t="s">
        <v>6479</v>
      </c>
      <c r="E2900" s="6" t="s">
        <v>2028</v>
      </c>
      <c r="F2900" s="6" t="s">
        <v>103</v>
      </c>
      <c r="G2900" s="7">
        <v>2.75</v>
      </c>
      <c r="H2900" s="6" t="s">
        <v>19</v>
      </c>
      <c r="I2900" s="6" t="s">
        <v>20</v>
      </c>
      <c r="J2900" s="6">
        <v>2023.0</v>
      </c>
      <c r="K2900" s="10">
        <v>46083.0</v>
      </c>
      <c r="L2900" s="6">
        <v>4.0</v>
      </c>
      <c r="M2900" s="8">
        <f t="shared" si="3"/>
        <v>11</v>
      </c>
      <c r="P2900" s="9"/>
    </row>
    <row r="2901">
      <c r="A2901" s="6" t="s">
        <v>6480</v>
      </c>
      <c r="B2901" s="6" t="s">
        <v>6481</v>
      </c>
      <c r="C2901" s="6" t="s">
        <v>23</v>
      </c>
      <c r="D2901" s="6" t="s">
        <v>6482</v>
      </c>
      <c r="E2901" s="6" t="s">
        <v>243</v>
      </c>
      <c r="F2901" s="6" t="s">
        <v>37</v>
      </c>
      <c r="G2901" s="7">
        <v>0.06</v>
      </c>
      <c r="H2901" s="6" t="s">
        <v>146</v>
      </c>
      <c r="I2901" s="6" t="s">
        <v>20</v>
      </c>
      <c r="J2901" s="6">
        <v>2010.0</v>
      </c>
      <c r="K2901" s="10">
        <v>46055.0</v>
      </c>
      <c r="L2901" s="6">
        <v>1.0</v>
      </c>
      <c r="M2901" s="8">
        <f t="shared" si="3"/>
        <v>0.06</v>
      </c>
      <c r="P2901" s="9"/>
    </row>
    <row r="2902">
      <c r="A2902" s="6" t="s">
        <v>6483</v>
      </c>
      <c r="B2902" s="6" t="s">
        <v>326</v>
      </c>
      <c r="C2902" s="6" t="s">
        <v>23</v>
      </c>
      <c r="D2902" s="6" t="s">
        <v>6484</v>
      </c>
      <c r="E2902" s="6" t="s">
        <v>6485</v>
      </c>
      <c r="F2902" s="6" t="s">
        <v>826</v>
      </c>
      <c r="G2902" s="7">
        <v>0.1</v>
      </c>
      <c r="H2902" s="6" t="s">
        <v>1361</v>
      </c>
      <c r="I2902" s="6" t="s">
        <v>20</v>
      </c>
      <c r="J2902" s="6">
        <v>2008.0</v>
      </c>
      <c r="K2902" s="10">
        <v>46118.0</v>
      </c>
      <c r="L2902" s="6">
        <v>1.0</v>
      </c>
      <c r="M2902" s="8">
        <f t="shared" si="3"/>
        <v>0.1</v>
      </c>
      <c r="P2902" s="9"/>
    </row>
    <row r="2903">
      <c r="A2903" s="6" t="s">
        <v>6486</v>
      </c>
      <c r="B2903" s="6" t="s">
        <v>372</v>
      </c>
      <c r="C2903" s="6" t="s">
        <v>23</v>
      </c>
      <c r="D2903" s="6" t="s">
        <v>6487</v>
      </c>
      <c r="E2903" s="6" t="s">
        <v>175</v>
      </c>
      <c r="F2903" s="6" t="s">
        <v>51</v>
      </c>
      <c r="G2903" s="7">
        <v>0.03</v>
      </c>
      <c r="H2903" s="6" t="s">
        <v>359</v>
      </c>
      <c r="I2903" s="6" t="s">
        <v>20</v>
      </c>
      <c r="J2903" s="6">
        <v>2014.0</v>
      </c>
      <c r="L2903" s="6">
        <v>3.0</v>
      </c>
      <c r="M2903" s="8">
        <f t="shared" si="3"/>
        <v>0.09</v>
      </c>
      <c r="P2903" s="9"/>
    </row>
    <row r="2904">
      <c r="A2904" s="6" t="s">
        <v>6488</v>
      </c>
      <c r="B2904" s="6" t="s">
        <v>62</v>
      </c>
      <c r="C2904" s="6" t="s">
        <v>48</v>
      </c>
      <c r="D2904" s="6" t="s">
        <v>6489</v>
      </c>
      <c r="E2904" s="6" t="s">
        <v>2709</v>
      </c>
      <c r="F2904" s="6" t="s">
        <v>215</v>
      </c>
      <c r="G2904" s="7">
        <v>0.58</v>
      </c>
      <c r="H2904" s="6" t="s">
        <v>5219</v>
      </c>
      <c r="I2904" s="6" t="s">
        <v>55</v>
      </c>
      <c r="J2904" s="6">
        <v>2021.0</v>
      </c>
      <c r="L2904" s="6">
        <v>1.0</v>
      </c>
      <c r="M2904" s="8">
        <f t="shared" si="3"/>
        <v>0.58</v>
      </c>
      <c r="P2904" s="9"/>
    </row>
    <row r="2905">
      <c r="A2905" s="6" t="s">
        <v>6490</v>
      </c>
      <c r="B2905" s="6" t="s">
        <v>6491</v>
      </c>
      <c r="C2905" s="6" t="s">
        <v>41</v>
      </c>
      <c r="D2905" s="6" t="s">
        <v>6492</v>
      </c>
      <c r="E2905" s="6" t="s">
        <v>124</v>
      </c>
      <c r="F2905" s="6" t="s">
        <v>103</v>
      </c>
      <c r="G2905" s="7">
        <v>7.98</v>
      </c>
      <c r="H2905" s="6" t="s">
        <v>911</v>
      </c>
      <c r="I2905" s="6" t="s">
        <v>20</v>
      </c>
      <c r="J2905" s="6">
        <v>2001.0</v>
      </c>
      <c r="K2905" s="6" t="s">
        <v>89</v>
      </c>
      <c r="L2905" s="6">
        <v>1.0</v>
      </c>
      <c r="M2905" s="8">
        <f t="shared" si="3"/>
        <v>7.98</v>
      </c>
      <c r="N2905" s="6" t="s">
        <v>172</v>
      </c>
      <c r="P2905" s="9"/>
    </row>
    <row r="2906">
      <c r="A2906" s="6" t="s">
        <v>6493</v>
      </c>
      <c r="B2906" s="6" t="s">
        <v>424</v>
      </c>
      <c r="C2906" s="6" t="s">
        <v>23</v>
      </c>
      <c r="D2906" s="6" t="s">
        <v>6494</v>
      </c>
      <c r="F2906" s="6" t="s">
        <v>37</v>
      </c>
      <c r="G2906" s="7">
        <v>0.49</v>
      </c>
      <c r="H2906" s="6" t="s">
        <v>621</v>
      </c>
      <c r="I2906" s="6" t="s">
        <v>20</v>
      </c>
      <c r="J2906" s="6">
        <v>2015.0</v>
      </c>
      <c r="L2906" s="6">
        <v>1.0</v>
      </c>
      <c r="M2906" s="8">
        <f t="shared" si="3"/>
        <v>0.49</v>
      </c>
      <c r="P2906" s="9"/>
    </row>
    <row r="2907">
      <c r="A2907" s="6" t="s">
        <v>6495</v>
      </c>
      <c r="B2907" s="6" t="s">
        <v>307</v>
      </c>
      <c r="C2907" s="6" t="s">
        <v>48</v>
      </c>
      <c r="D2907" s="6" t="s">
        <v>6496</v>
      </c>
      <c r="E2907" s="6" t="s">
        <v>36</v>
      </c>
      <c r="F2907" s="6" t="s">
        <v>37</v>
      </c>
      <c r="G2907" s="7">
        <v>0.4</v>
      </c>
      <c r="H2907" s="6" t="s">
        <v>370</v>
      </c>
      <c r="I2907" s="6" t="s">
        <v>20</v>
      </c>
      <c r="J2907" s="6">
        <v>1996.0</v>
      </c>
      <c r="L2907" s="6">
        <v>1.0</v>
      </c>
      <c r="M2907" s="8">
        <f t="shared" si="3"/>
        <v>0.4</v>
      </c>
      <c r="P2907" s="9"/>
    </row>
    <row r="2908">
      <c r="A2908" s="6" t="s">
        <v>6497</v>
      </c>
      <c r="B2908" s="6" t="s">
        <v>6498</v>
      </c>
      <c r="C2908" s="6" t="s">
        <v>23</v>
      </c>
      <c r="D2908" s="6" t="s">
        <v>5657</v>
      </c>
      <c r="E2908" s="6" t="s">
        <v>238</v>
      </c>
      <c r="F2908" s="6" t="s">
        <v>159</v>
      </c>
      <c r="G2908" s="7">
        <v>0.03</v>
      </c>
      <c r="H2908" s="6" t="s">
        <v>526</v>
      </c>
      <c r="I2908" s="6" t="s">
        <v>20</v>
      </c>
      <c r="J2908" s="6">
        <v>2020.0</v>
      </c>
      <c r="K2908" s="10">
        <v>46023.0</v>
      </c>
      <c r="L2908" s="6">
        <v>2.0</v>
      </c>
      <c r="M2908" s="8">
        <f t="shared" si="3"/>
        <v>0.06</v>
      </c>
      <c r="P2908" s="9"/>
    </row>
    <row r="2909">
      <c r="A2909" s="6" t="s">
        <v>6499</v>
      </c>
      <c r="B2909" s="6" t="s">
        <v>6500</v>
      </c>
      <c r="C2909" s="6" t="s">
        <v>48</v>
      </c>
      <c r="D2909" s="6" t="s">
        <v>6501</v>
      </c>
      <c r="E2909" s="6" t="s">
        <v>214</v>
      </c>
      <c r="F2909" s="6" t="s">
        <v>215</v>
      </c>
      <c r="G2909" s="7">
        <v>0.09</v>
      </c>
      <c r="H2909" s="6" t="s">
        <v>224</v>
      </c>
      <c r="I2909" s="6" t="s">
        <v>20</v>
      </c>
      <c r="J2909" s="6">
        <v>2020.0</v>
      </c>
      <c r="K2909" s="10">
        <v>46055.0</v>
      </c>
      <c r="L2909" s="6">
        <v>1.0</v>
      </c>
      <c r="M2909" s="8">
        <f t="shared" si="3"/>
        <v>0.09</v>
      </c>
      <c r="P2909" s="9"/>
    </row>
    <row r="2910">
      <c r="A2910" s="6" t="s">
        <v>6502</v>
      </c>
      <c r="B2910" s="6" t="s">
        <v>6503</v>
      </c>
      <c r="C2910" s="6" t="s">
        <v>48</v>
      </c>
      <c r="D2910" s="6" t="s">
        <v>6504</v>
      </c>
      <c r="E2910" s="6" t="s">
        <v>724</v>
      </c>
      <c r="F2910" s="6" t="s">
        <v>159</v>
      </c>
      <c r="G2910" s="7">
        <v>0.04</v>
      </c>
      <c r="H2910" s="6" t="s">
        <v>136</v>
      </c>
      <c r="I2910" s="6" t="s">
        <v>20</v>
      </c>
      <c r="J2910" s="6">
        <v>2022.0</v>
      </c>
      <c r="K2910" s="10">
        <v>46210.0</v>
      </c>
      <c r="L2910" s="6">
        <v>1.0</v>
      </c>
      <c r="M2910" s="8">
        <f t="shared" si="3"/>
        <v>0.04</v>
      </c>
      <c r="P2910" s="9"/>
    </row>
    <row r="2911">
      <c r="A2911" s="6" t="s">
        <v>6505</v>
      </c>
      <c r="B2911" s="6" t="s">
        <v>6506</v>
      </c>
      <c r="C2911" s="6" t="s">
        <v>23</v>
      </c>
      <c r="D2911" s="6" t="s">
        <v>6507</v>
      </c>
      <c r="E2911" s="6" t="s">
        <v>175</v>
      </c>
      <c r="F2911" s="6" t="s">
        <v>51</v>
      </c>
      <c r="G2911" s="7">
        <v>0.05</v>
      </c>
      <c r="H2911" s="6" t="s">
        <v>418</v>
      </c>
      <c r="I2911" s="6" t="s">
        <v>20</v>
      </c>
      <c r="J2911" s="6">
        <v>2022.0</v>
      </c>
      <c r="K2911" s="10">
        <v>46023.0</v>
      </c>
      <c r="L2911" s="6">
        <v>1.0</v>
      </c>
      <c r="M2911" s="8">
        <f t="shared" si="3"/>
        <v>0.05</v>
      </c>
      <c r="P2911" s="9"/>
    </row>
    <row r="2912">
      <c r="A2912" s="6" t="s">
        <v>6508</v>
      </c>
      <c r="B2912" s="6" t="s">
        <v>6509</v>
      </c>
      <c r="C2912" s="6" t="s">
        <v>23</v>
      </c>
      <c r="D2912" s="6" t="s">
        <v>6510</v>
      </c>
      <c r="F2912" s="6" t="s">
        <v>65</v>
      </c>
      <c r="G2912" s="7">
        <v>0.94</v>
      </c>
      <c r="H2912" s="6" t="s">
        <v>3970</v>
      </c>
      <c r="I2912" s="6" t="s">
        <v>55</v>
      </c>
      <c r="J2912" s="6">
        <v>1998.0</v>
      </c>
      <c r="L2912" s="6">
        <v>1.0</v>
      </c>
      <c r="M2912" s="8">
        <f t="shared" si="3"/>
        <v>0.94</v>
      </c>
      <c r="P2912" s="9"/>
    </row>
    <row r="2913">
      <c r="A2913" s="6" t="s">
        <v>6508</v>
      </c>
      <c r="B2913" s="6" t="s">
        <v>6509</v>
      </c>
      <c r="C2913" s="6" t="s">
        <v>23</v>
      </c>
      <c r="D2913" s="6" t="s">
        <v>6510</v>
      </c>
      <c r="F2913" s="6" t="s">
        <v>65</v>
      </c>
      <c r="G2913" s="7">
        <v>0.29</v>
      </c>
      <c r="H2913" s="6" t="s">
        <v>6511</v>
      </c>
      <c r="I2913" s="6" t="s">
        <v>20</v>
      </c>
      <c r="J2913" s="6">
        <v>2011.0</v>
      </c>
      <c r="K2913" s="10"/>
      <c r="L2913" s="6">
        <v>1.0</v>
      </c>
      <c r="M2913" s="8">
        <f t="shared" si="3"/>
        <v>0.29</v>
      </c>
      <c r="P2913" s="9"/>
    </row>
    <row r="2914">
      <c r="A2914" s="6" t="s">
        <v>6508</v>
      </c>
      <c r="B2914" s="6" t="s">
        <v>6509</v>
      </c>
      <c r="C2914" s="6" t="s">
        <v>23</v>
      </c>
      <c r="D2914" s="6" t="s">
        <v>6510</v>
      </c>
      <c r="F2914" s="6" t="s">
        <v>65</v>
      </c>
      <c r="G2914" s="7">
        <v>0.43</v>
      </c>
      <c r="H2914" s="6" t="s">
        <v>6511</v>
      </c>
      <c r="I2914" s="6" t="s">
        <v>20</v>
      </c>
      <c r="J2914" s="6">
        <v>2011.0</v>
      </c>
      <c r="K2914" s="10"/>
      <c r="L2914" s="6">
        <v>1.0</v>
      </c>
      <c r="M2914" s="8">
        <f t="shared" si="3"/>
        <v>0.43</v>
      </c>
      <c r="P2914" s="9"/>
    </row>
    <row r="2915">
      <c r="A2915" s="6" t="s">
        <v>6508</v>
      </c>
      <c r="B2915" s="6" t="s">
        <v>6509</v>
      </c>
      <c r="C2915" s="6" t="s">
        <v>23</v>
      </c>
      <c r="D2915" s="6" t="s">
        <v>6510</v>
      </c>
      <c r="F2915" s="6" t="s">
        <v>65</v>
      </c>
      <c r="G2915" s="7">
        <v>0.42</v>
      </c>
      <c r="H2915" s="6" t="s">
        <v>845</v>
      </c>
      <c r="I2915" s="6" t="s">
        <v>20</v>
      </c>
      <c r="J2915" s="6">
        <v>2022.0</v>
      </c>
      <c r="L2915" s="6">
        <v>1.0</v>
      </c>
      <c r="M2915" s="8">
        <f t="shared" si="3"/>
        <v>0.42</v>
      </c>
      <c r="P2915" s="9"/>
    </row>
    <row r="2916">
      <c r="A2916" s="6" t="s">
        <v>6508</v>
      </c>
      <c r="B2916" s="6" t="s">
        <v>6509</v>
      </c>
      <c r="C2916" s="6" t="s">
        <v>23</v>
      </c>
      <c r="D2916" s="6" t="s">
        <v>6510</v>
      </c>
      <c r="F2916" s="6" t="s">
        <v>65</v>
      </c>
      <c r="G2916" s="7">
        <v>0.85</v>
      </c>
      <c r="H2916" s="6" t="s">
        <v>6512</v>
      </c>
      <c r="I2916" s="6" t="s">
        <v>20</v>
      </c>
      <c r="J2916" s="6">
        <v>2010.0</v>
      </c>
      <c r="K2916" s="10"/>
      <c r="L2916" s="6">
        <v>2.0</v>
      </c>
      <c r="M2916" s="8">
        <f t="shared" si="3"/>
        <v>1.7</v>
      </c>
      <c r="N2916" s="6" t="s">
        <v>172</v>
      </c>
      <c r="P2916" s="9"/>
    </row>
    <row r="2917">
      <c r="A2917" s="6" t="s">
        <v>6508</v>
      </c>
      <c r="B2917" s="6" t="s">
        <v>6509</v>
      </c>
      <c r="C2917" s="6" t="s">
        <v>23</v>
      </c>
      <c r="D2917" s="6" t="s">
        <v>6510</v>
      </c>
      <c r="F2917" s="6" t="s">
        <v>65</v>
      </c>
      <c r="G2917" s="7">
        <v>1.91</v>
      </c>
      <c r="H2917" s="6" t="s">
        <v>119</v>
      </c>
      <c r="I2917" s="6" t="s">
        <v>20</v>
      </c>
      <c r="J2917" s="6">
        <v>1995.0</v>
      </c>
      <c r="L2917" s="6">
        <v>2.0</v>
      </c>
      <c r="M2917" s="8">
        <f t="shared" si="3"/>
        <v>3.82</v>
      </c>
      <c r="N2917" s="6" t="s">
        <v>172</v>
      </c>
      <c r="P2917" s="9"/>
    </row>
    <row r="2918">
      <c r="A2918" s="6" t="s">
        <v>6508</v>
      </c>
      <c r="B2918" s="6" t="s">
        <v>6509</v>
      </c>
      <c r="C2918" s="6" t="s">
        <v>23</v>
      </c>
      <c r="D2918" s="6" t="s">
        <v>6510</v>
      </c>
      <c r="F2918" s="6" t="s">
        <v>65</v>
      </c>
      <c r="G2918" s="7">
        <v>1.39</v>
      </c>
      <c r="H2918" s="6" t="s">
        <v>119</v>
      </c>
      <c r="I2918" s="6" t="s">
        <v>20</v>
      </c>
      <c r="J2918" s="6">
        <v>1995.0</v>
      </c>
      <c r="L2918" s="6">
        <v>1.0</v>
      </c>
      <c r="M2918" s="8">
        <f t="shared" si="3"/>
        <v>1.39</v>
      </c>
      <c r="N2918" s="6" t="s">
        <v>172</v>
      </c>
      <c r="P2918" s="9"/>
    </row>
    <row r="2919">
      <c r="A2919" s="6" t="s">
        <v>6508</v>
      </c>
      <c r="B2919" s="6" t="s">
        <v>6509</v>
      </c>
      <c r="C2919" s="6" t="s">
        <v>23</v>
      </c>
      <c r="D2919" s="6" t="s">
        <v>6510</v>
      </c>
      <c r="F2919" s="6" t="s">
        <v>65</v>
      </c>
      <c r="G2919" s="7">
        <v>0.27</v>
      </c>
      <c r="H2919" s="6" t="s">
        <v>6513</v>
      </c>
      <c r="I2919" s="6" t="s">
        <v>20</v>
      </c>
      <c r="J2919" s="6">
        <v>2008.0</v>
      </c>
      <c r="K2919" s="10"/>
      <c r="L2919" s="6">
        <v>1.0</v>
      </c>
      <c r="M2919" s="8">
        <f t="shared" si="3"/>
        <v>0.27</v>
      </c>
      <c r="P2919" s="9"/>
    </row>
    <row r="2920">
      <c r="A2920" s="6" t="s">
        <v>6508</v>
      </c>
      <c r="B2920" s="6" t="s">
        <v>6509</v>
      </c>
      <c r="C2920" s="6" t="s">
        <v>23</v>
      </c>
      <c r="D2920" s="6" t="s">
        <v>6510</v>
      </c>
      <c r="F2920" s="6" t="s">
        <v>65</v>
      </c>
      <c r="G2920" s="7">
        <v>0.3</v>
      </c>
      <c r="H2920" s="6" t="s">
        <v>294</v>
      </c>
      <c r="I2920" s="6" t="s">
        <v>20</v>
      </c>
      <c r="J2920" s="6">
        <v>2010.0</v>
      </c>
      <c r="K2920" s="10"/>
      <c r="L2920" s="6">
        <v>1.0</v>
      </c>
      <c r="M2920" s="8">
        <f t="shared" si="3"/>
        <v>0.3</v>
      </c>
      <c r="P2920" s="9"/>
    </row>
    <row r="2921">
      <c r="A2921" s="6" t="s">
        <v>6508</v>
      </c>
      <c r="B2921" s="6" t="s">
        <v>6509</v>
      </c>
      <c r="C2921" s="6" t="s">
        <v>23</v>
      </c>
      <c r="D2921" s="6" t="s">
        <v>6510</v>
      </c>
      <c r="F2921" s="6" t="s">
        <v>65</v>
      </c>
      <c r="G2921" s="7">
        <v>0.29</v>
      </c>
      <c r="H2921" s="6" t="s">
        <v>294</v>
      </c>
      <c r="I2921" s="6" t="s">
        <v>20</v>
      </c>
      <c r="J2921" s="6">
        <v>2010.0</v>
      </c>
      <c r="K2921" s="10"/>
      <c r="L2921" s="6">
        <v>2.0</v>
      </c>
      <c r="M2921" s="8">
        <f t="shared" si="3"/>
        <v>0.58</v>
      </c>
      <c r="P2921" s="9"/>
    </row>
    <row r="2922">
      <c r="A2922" s="6" t="s">
        <v>6508</v>
      </c>
      <c r="B2922" s="6" t="s">
        <v>6509</v>
      </c>
      <c r="C2922" s="6" t="s">
        <v>23</v>
      </c>
      <c r="D2922" s="6" t="s">
        <v>6510</v>
      </c>
      <c r="F2922" s="6" t="s">
        <v>37</v>
      </c>
      <c r="G2922" s="7">
        <v>0.27</v>
      </c>
      <c r="H2922" s="6" t="s">
        <v>184</v>
      </c>
      <c r="I2922" s="6" t="s">
        <v>20</v>
      </c>
      <c r="J2922" s="6">
        <v>2015.0</v>
      </c>
      <c r="L2922" s="6">
        <v>3.0</v>
      </c>
      <c r="M2922" s="8">
        <f t="shared" si="3"/>
        <v>0.81</v>
      </c>
      <c r="P2922" s="9"/>
    </row>
    <row r="2923">
      <c r="A2923" s="6" t="s">
        <v>6508</v>
      </c>
      <c r="B2923" s="6" t="s">
        <v>6509</v>
      </c>
      <c r="C2923" s="6" t="s">
        <v>23</v>
      </c>
      <c r="D2923" s="6" t="s">
        <v>6510</v>
      </c>
      <c r="F2923" s="6" t="s">
        <v>37</v>
      </c>
      <c r="G2923" s="7">
        <v>0.2</v>
      </c>
      <c r="H2923" s="6" t="s">
        <v>184</v>
      </c>
      <c r="I2923" s="6" t="s">
        <v>20</v>
      </c>
      <c r="J2923" s="6">
        <v>2015.0</v>
      </c>
      <c r="L2923" s="6">
        <v>4.0</v>
      </c>
      <c r="M2923" s="8">
        <f t="shared" si="3"/>
        <v>0.8</v>
      </c>
      <c r="P2923" s="9"/>
    </row>
    <row r="2924">
      <c r="A2924" s="6" t="s">
        <v>6508</v>
      </c>
      <c r="B2924" s="6" t="s">
        <v>6509</v>
      </c>
      <c r="C2924" s="6" t="s">
        <v>23</v>
      </c>
      <c r="D2924" s="6" t="s">
        <v>6510</v>
      </c>
      <c r="F2924" s="6" t="s">
        <v>65</v>
      </c>
      <c r="G2924" s="7">
        <v>0.89</v>
      </c>
      <c r="H2924" s="6" t="s">
        <v>31</v>
      </c>
      <c r="I2924" s="6" t="s">
        <v>20</v>
      </c>
      <c r="J2924" s="6">
        <v>2026.0</v>
      </c>
      <c r="L2924" s="6">
        <v>1.0</v>
      </c>
      <c r="M2924" s="8">
        <f t="shared" si="3"/>
        <v>0.89</v>
      </c>
      <c r="P2924" s="9"/>
    </row>
    <row r="2925">
      <c r="A2925" s="6" t="s">
        <v>6508</v>
      </c>
      <c r="B2925" s="6" t="s">
        <v>6509</v>
      </c>
      <c r="C2925" s="6" t="s">
        <v>23</v>
      </c>
      <c r="D2925" s="6" t="s">
        <v>6510</v>
      </c>
      <c r="F2925" s="6" t="s">
        <v>65</v>
      </c>
      <c r="G2925" s="7">
        <v>0.95</v>
      </c>
      <c r="H2925" s="6" t="s">
        <v>3976</v>
      </c>
      <c r="I2925" s="12" t="s">
        <v>20</v>
      </c>
      <c r="J2925" s="13">
        <v>1999.0</v>
      </c>
      <c r="L2925" s="6">
        <v>2.0</v>
      </c>
      <c r="M2925" s="8">
        <f t="shared" si="3"/>
        <v>1.9</v>
      </c>
      <c r="P2925" s="9"/>
    </row>
    <row r="2926">
      <c r="A2926" s="6" t="s">
        <v>6508</v>
      </c>
      <c r="B2926" s="6" t="s">
        <v>6509</v>
      </c>
      <c r="C2926" s="6" t="s">
        <v>23</v>
      </c>
      <c r="D2926" s="6" t="s">
        <v>6510</v>
      </c>
      <c r="F2926" s="6" t="s">
        <v>65</v>
      </c>
      <c r="G2926" s="7">
        <v>1.0</v>
      </c>
      <c r="H2926" s="6" t="s">
        <v>3976</v>
      </c>
      <c r="I2926" s="12" t="s">
        <v>20</v>
      </c>
      <c r="J2926" s="13">
        <v>1999.0</v>
      </c>
      <c r="L2926" s="6">
        <v>1.0</v>
      </c>
      <c r="M2926" s="8">
        <f t="shared" si="3"/>
        <v>1</v>
      </c>
      <c r="N2926" s="6" t="s">
        <v>172</v>
      </c>
      <c r="P2926" s="9"/>
    </row>
    <row r="2927">
      <c r="A2927" s="6" t="s">
        <v>6508</v>
      </c>
      <c r="B2927" s="6" t="s">
        <v>6509</v>
      </c>
      <c r="C2927" s="6" t="s">
        <v>23</v>
      </c>
      <c r="D2927" s="6" t="s">
        <v>6510</v>
      </c>
      <c r="F2927" s="6" t="s">
        <v>65</v>
      </c>
      <c r="G2927" s="7">
        <v>0.45</v>
      </c>
      <c r="H2927" s="6" t="s">
        <v>3976</v>
      </c>
      <c r="I2927" s="12" t="s">
        <v>20</v>
      </c>
      <c r="J2927" s="13">
        <v>1999.0</v>
      </c>
      <c r="L2927" s="6">
        <v>2.0</v>
      </c>
      <c r="M2927" s="8">
        <f t="shared" si="3"/>
        <v>0.9</v>
      </c>
      <c r="P2927" s="9"/>
    </row>
    <row r="2928">
      <c r="A2928" s="6" t="s">
        <v>6508</v>
      </c>
      <c r="B2928" s="6" t="s">
        <v>6509</v>
      </c>
      <c r="C2928" s="6" t="s">
        <v>23</v>
      </c>
      <c r="D2928" s="6" t="s">
        <v>6510</v>
      </c>
      <c r="F2928" s="6" t="s">
        <v>65</v>
      </c>
      <c r="G2928" s="7">
        <v>0.99</v>
      </c>
      <c r="H2928" s="6" t="s">
        <v>3976</v>
      </c>
      <c r="I2928" s="12" t="s">
        <v>20</v>
      </c>
      <c r="J2928" s="13">
        <v>1999.0</v>
      </c>
      <c r="L2928" s="6">
        <v>3.0</v>
      </c>
      <c r="M2928" s="8">
        <f t="shared" si="3"/>
        <v>2.97</v>
      </c>
      <c r="N2928" s="6" t="s">
        <v>172</v>
      </c>
      <c r="P2928" s="9"/>
    </row>
    <row r="2929">
      <c r="A2929" s="6" t="s">
        <v>6508</v>
      </c>
      <c r="B2929" s="6" t="s">
        <v>6509</v>
      </c>
      <c r="C2929" s="6" t="s">
        <v>23</v>
      </c>
      <c r="D2929" s="6" t="s">
        <v>6510</v>
      </c>
      <c r="F2929" s="6" t="s">
        <v>65</v>
      </c>
      <c r="G2929" s="7">
        <v>0.99</v>
      </c>
      <c r="H2929" s="6" t="s">
        <v>3976</v>
      </c>
      <c r="I2929" s="12" t="s">
        <v>20</v>
      </c>
      <c r="J2929" s="13">
        <v>1999.0</v>
      </c>
      <c r="L2929" s="6">
        <v>1.0</v>
      </c>
      <c r="M2929" s="8">
        <f t="shared" si="3"/>
        <v>0.99</v>
      </c>
      <c r="P2929" s="9"/>
    </row>
    <row r="2930">
      <c r="A2930" s="6" t="s">
        <v>6508</v>
      </c>
      <c r="B2930" s="6" t="s">
        <v>6509</v>
      </c>
      <c r="C2930" s="6" t="s">
        <v>23</v>
      </c>
      <c r="D2930" s="6" t="s">
        <v>6510</v>
      </c>
      <c r="F2930" s="6" t="s">
        <v>65</v>
      </c>
      <c r="G2930" s="7">
        <v>0.23</v>
      </c>
      <c r="H2930" s="6" t="s">
        <v>6514</v>
      </c>
      <c r="I2930" s="6" t="s">
        <v>20</v>
      </c>
      <c r="J2930" s="6">
        <v>2012.0</v>
      </c>
      <c r="L2930" s="6">
        <v>2.0</v>
      </c>
      <c r="M2930" s="8">
        <f t="shared" si="3"/>
        <v>0.46</v>
      </c>
      <c r="P2930" s="9"/>
    </row>
    <row r="2931">
      <c r="A2931" s="6" t="s">
        <v>6508</v>
      </c>
      <c r="B2931" s="6" t="s">
        <v>6509</v>
      </c>
      <c r="C2931" s="6" t="s">
        <v>23</v>
      </c>
      <c r="D2931" s="6" t="s">
        <v>6510</v>
      </c>
      <c r="F2931" s="6" t="s">
        <v>65</v>
      </c>
      <c r="G2931" s="7">
        <v>0.8</v>
      </c>
      <c r="H2931" s="12" t="s">
        <v>5283</v>
      </c>
      <c r="I2931" s="12" t="s">
        <v>20</v>
      </c>
      <c r="J2931" s="13">
        <v>1999.0</v>
      </c>
      <c r="L2931" s="6">
        <v>1.0</v>
      </c>
      <c r="M2931" s="8">
        <f t="shared" si="3"/>
        <v>0.8</v>
      </c>
      <c r="P2931" s="9"/>
    </row>
    <row r="2932">
      <c r="A2932" s="6" t="s">
        <v>6508</v>
      </c>
      <c r="B2932" s="6" t="s">
        <v>6509</v>
      </c>
      <c r="C2932" s="6" t="s">
        <v>23</v>
      </c>
      <c r="D2932" s="6" t="s">
        <v>6510</v>
      </c>
      <c r="F2932" s="6" t="s">
        <v>65</v>
      </c>
      <c r="G2932" s="7">
        <v>0.99</v>
      </c>
      <c r="H2932" s="12" t="s">
        <v>5283</v>
      </c>
      <c r="I2932" s="12" t="s">
        <v>20</v>
      </c>
      <c r="J2932" s="13">
        <v>1999.0</v>
      </c>
      <c r="L2932" s="6">
        <v>1.0</v>
      </c>
      <c r="M2932" s="8">
        <f t="shared" si="3"/>
        <v>0.99</v>
      </c>
      <c r="N2932" s="6" t="s">
        <v>172</v>
      </c>
      <c r="P2932" s="9"/>
    </row>
    <row r="2933">
      <c r="A2933" s="6" t="s">
        <v>6508</v>
      </c>
      <c r="B2933" s="6" t="s">
        <v>6509</v>
      </c>
      <c r="C2933" s="6" t="s">
        <v>23</v>
      </c>
      <c r="D2933" s="6" t="s">
        <v>6510</v>
      </c>
      <c r="F2933" s="6" t="s">
        <v>65</v>
      </c>
      <c r="G2933" s="7">
        <v>0.75</v>
      </c>
      <c r="H2933" s="12" t="s">
        <v>5283</v>
      </c>
      <c r="I2933" s="12" t="s">
        <v>20</v>
      </c>
      <c r="J2933" s="13">
        <v>1999.0</v>
      </c>
      <c r="L2933" s="6">
        <v>2.0</v>
      </c>
      <c r="M2933" s="8">
        <f t="shared" si="3"/>
        <v>1.5</v>
      </c>
      <c r="P2933" s="9"/>
    </row>
    <row r="2934">
      <c r="A2934" s="6" t="s">
        <v>6508</v>
      </c>
      <c r="B2934" s="6" t="s">
        <v>6509</v>
      </c>
      <c r="C2934" s="6" t="s">
        <v>23</v>
      </c>
      <c r="D2934" s="6" t="s">
        <v>6510</v>
      </c>
      <c r="F2934" s="6" t="s">
        <v>65</v>
      </c>
      <c r="G2934" s="7">
        <v>1.5</v>
      </c>
      <c r="H2934" s="12" t="s">
        <v>5283</v>
      </c>
      <c r="I2934" s="12" t="s">
        <v>20</v>
      </c>
      <c r="J2934" s="13">
        <v>1999.0</v>
      </c>
      <c r="L2934" s="6">
        <v>2.0</v>
      </c>
      <c r="M2934" s="8">
        <f t="shared" si="3"/>
        <v>3</v>
      </c>
      <c r="N2934" s="6" t="s">
        <v>172</v>
      </c>
      <c r="P2934" s="9"/>
    </row>
    <row r="2935">
      <c r="A2935" s="6" t="s">
        <v>6508</v>
      </c>
      <c r="B2935" s="6" t="s">
        <v>6509</v>
      </c>
      <c r="C2935" s="6" t="s">
        <v>23</v>
      </c>
      <c r="D2935" s="6" t="s">
        <v>6510</v>
      </c>
      <c r="F2935" s="6" t="s">
        <v>65</v>
      </c>
      <c r="G2935" s="7">
        <v>0.23</v>
      </c>
      <c r="H2935" s="6" t="s">
        <v>1361</v>
      </c>
      <c r="I2935" s="6" t="s">
        <v>20</v>
      </c>
      <c r="J2935" s="6">
        <v>2008.0</v>
      </c>
      <c r="L2935" s="6">
        <v>2.0</v>
      </c>
      <c r="M2935" s="8">
        <f t="shared" si="3"/>
        <v>0.46</v>
      </c>
      <c r="P2935" s="9"/>
    </row>
    <row r="2936">
      <c r="A2936" s="6" t="s">
        <v>6508</v>
      </c>
      <c r="B2936" s="6" t="s">
        <v>6509</v>
      </c>
      <c r="C2936" s="6" t="s">
        <v>23</v>
      </c>
      <c r="D2936" s="6" t="s">
        <v>6510</v>
      </c>
      <c r="F2936" s="6" t="s">
        <v>65</v>
      </c>
      <c r="G2936" s="7">
        <v>0.29</v>
      </c>
      <c r="H2936" s="6" t="s">
        <v>1361</v>
      </c>
      <c r="I2936" s="6" t="s">
        <v>20</v>
      </c>
      <c r="J2936" s="6">
        <v>2008.0</v>
      </c>
      <c r="L2936" s="6">
        <v>2.0</v>
      </c>
      <c r="M2936" s="8">
        <f t="shared" si="3"/>
        <v>0.58</v>
      </c>
      <c r="P2936" s="9"/>
    </row>
    <row r="2937">
      <c r="A2937" s="6" t="s">
        <v>6508</v>
      </c>
      <c r="B2937" s="6" t="s">
        <v>6509</v>
      </c>
      <c r="C2937" s="6" t="s">
        <v>23</v>
      </c>
      <c r="D2937" s="6" t="s">
        <v>6510</v>
      </c>
      <c r="F2937" s="6" t="s">
        <v>65</v>
      </c>
      <c r="G2937" s="7">
        <v>1.28</v>
      </c>
      <c r="H2937" s="6" t="s">
        <v>6515</v>
      </c>
      <c r="I2937" s="6" t="s">
        <v>20</v>
      </c>
      <c r="J2937" s="6">
        <v>1997.0</v>
      </c>
      <c r="L2937" s="6">
        <v>2.0</v>
      </c>
      <c r="M2937" s="8">
        <f t="shared" si="3"/>
        <v>2.56</v>
      </c>
      <c r="N2937" s="6" t="s">
        <v>172</v>
      </c>
      <c r="P2937" s="9"/>
    </row>
    <row r="2938">
      <c r="A2938" s="6" t="s">
        <v>6508</v>
      </c>
      <c r="B2938" s="6" t="s">
        <v>6509</v>
      </c>
      <c r="C2938" s="6" t="s">
        <v>23</v>
      </c>
      <c r="D2938" s="6" t="s">
        <v>6510</v>
      </c>
      <c r="F2938" s="6" t="s">
        <v>65</v>
      </c>
      <c r="G2938" s="7">
        <v>0.99</v>
      </c>
      <c r="H2938" s="6" t="s">
        <v>6515</v>
      </c>
      <c r="I2938" s="6" t="s">
        <v>20</v>
      </c>
      <c r="J2938" s="6">
        <v>1997.0</v>
      </c>
      <c r="L2938" s="6">
        <v>1.0</v>
      </c>
      <c r="M2938" s="8">
        <f t="shared" si="3"/>
        <v>0.99</v>
      </c>
      <c r="N2938" s="6" t="s">
        <v>172</v>
      </c>
      <c r="P2938" s="9"/>
    </row>
    <row r="2939">
      <c r="A2939" s="6" t="s">
        <v>6508</v>
      </c>
      <c r="B2939" s="6" t="s">
        <v>6509</v>
      </c>
      <c r="C2939" s="6" t="s">
        <v>23</v>
      </c>
      <c r="D2939" s="6" t="s">
        <v>6510</v>
      </c>
      <c r="F2939" s="6" t="s">
        <v>65</v>
      </c>
      <c r="G2939" s="7">
        <v>1.0</v>
      </c>
      <c r="H2939" s="6" t="s">
        <v>6515</v>
      </c>
      <c r="I2939" s="6" t="s">
        <v>20</v>
      </c>
      <c r="J2939" s="6">
        <v>1997.0</v>
      </c>
      <c r="L2939" s="6">
        <v>1.0</v>
      </c>
      <c r="M2939" s="8">
        <f t="shared" si="3"/>
        <v>1</v>
      </c>
      <c r="N2939" s="6" t="s">
        <v>172</v>
      </c>
      <c r="P2939" s="9"/>
    </row>
    <row r="2940">
      <c r="A2940" s="6" t="s">
        <v>6508</v>
      </c>
      <c r="B2940" s="6" t="s">
        <v>6509</v>
      </c>
      <c r="C2940" s="6" t="s">
        <v>23</v>
      </c>
      <c r="D2940" s="6" t="s">
        <v>6510</v>
      </c>
      <c r="F2940" s="6" t="s">
        <v>65</v>
      </c>
      <c r="G2940" s="7">
        <v>0.92</v>
      </c>
      <c r="H2940" s="6" t="s">
        <v>6515</v>
      </c>
      <c r="I2940" s="6" t="s">
        <v>20</v>
      </c>
      <c r="J2940" s="6">
        <v>1997.0</v>
      </c>
      <c r="L2940" s="6">
        <v>1.0</v>
      </c>
      <c r="M2940" s="8">
        <f t="shared" si="3"/>
        <v>0.92</v>
      </c>
      <c r="N2940" s="6" t="s">
        <v>172</v>
      </c>
      <c r="P2940" s="9"/>
    </row>
    <row r="2941">
      <c r="A2941" s="6" t="s">
        <v>6508</v>
      </c>
      <c r="B2941" s="6" t="s">
        <v>6509</v>
      </c>
      <c r="C2941" s="6" t="s">
        <v>23</v>
      </c>
      <c r="D2941" s="6" t="s">
        <v>6510</v>
      </c>
      <c r="F2941" s="6" t="s">
        <v>65</v>
      </c>
      <c r="G2941" s="7">
        <v>0.23</v>
      </c>
      <c r="H2941" s="6" t="s">
        <v>626</v>
      </c>
      <c r="I2941" s="6" t="s">
        <v>20</v>
      </c>
      <c r="J2941" s="6">
        <v>2013.0</v>
      </c>
      <c r="L2941" s="6">
        <v>1.0</v>
      </c>
      <c r="M2941" s="8">
        <f t="shared" si="3"/>
        <v>0.23</v>
      </c>
      <c r="P2941" s="9"/>
    </row>
    <row r="2942">
      <c r="A2942" s="6" t="s">
        <v>6516</v>
      </c>
      <c r="B2942" s="6" t="s">
        <v>6517</v>
      </c>
      <c r="C2942" s="6" t="s">
        <v>23</v>
      </c>
      <c r="D2942" s="6" t="s">
        <v>6518</v>
      </c>
      <c r="E2942" s="6" t="s">
        <v>196</v>
      </c>
      <c r="F2942" s="6" t="s">
        <v>65</v>
      </c>
      <c r="G2942" s="7">
        <v>0.11</v>
      </c>
      <c r="H2942" s="6" t="s">
        <v>245</v>
      </c>
      <c r="I2942" s="6" t="s">
        <v>20</v>
      </c>
      <c r="J2942" s="6">
        <v>1995.0</v>
      </c>
      <c r="K2942" s="10">
        <v>46023.0</v>
      </c>
      <c r="L2942" s="6">
        <v>1.0</v>
      </c>
      <c r="M2942" s="8">
        <f t="shared" si="3"/>
        <v>0.11</v>
      </c>
      <c r="P2942" s="9"/>
    </row>
    <row r="2943">
      <c r="A2943" s="6" t="s">
        <v>6519</v>
      </c>
      <c r="B2943" s="6" t="s">
        <v>6520</v>
      </c>
      <c r="C2943" s="6" t="s">
        <v>23</v>
      </c>
      <c r="D2943" s="6" t="s">
        <v>6521</v>
      </c>
      <c r="E2943" s="6" t="s">
        <v>502</v>
      </c>
      <c r="F2943" s="6" t="s">
        <v>65</v>
      </c>
      <c r="G2943" s="7">
        <v>0.09</v>
      </c>
      <c r="H2943" s="6" t="s">
        <v>1692</v>
      </c>
      <c r="I2943" s="6" t="s">
        <v>20</v>
      </c>
      <c r="J2943" s="6">
        <v>2021.0</v>
      </c>
      <c r="K2943" s="10">
        <v>46117.0</v>
      </c>
      <c r="L2943" s="6">
        <v>3.0</v>
      </c>
      <c r="M2943" s="8">
        <f t="shared" si="3"/>
        <v>0.27</v>
      </c>
      <c r="P2943" s="9"/>
    </row>
    <row r="2944">
      <c r="A2944" s="6" t="s">
        <v>6522</v>
      </c>
      <c r="B2944" s="6" t="s">
        <v>1090</v>
      </c>
      <c r="C2944" s="6" t="s">
        <v>521</v>
      </c>
      <c r="D2944" s="6" t="s">
        <v>6523</v>
      </c>
      <c r="E2944" s="6" t="s">
        <v>6321</v>
      </c>
      <c r="F2944" s="6" t="s">
        <v>2792</v>
      </c>
      <c r="G2944" s="7">
        <v>0.09</v>
      </c>
      <c r="H2944" s="6" t="s">
        <v>2512</v>
      </c>
      <c r="I2944" s="6" t="s">
        <v>20</v>
      </c>
      <c r="J2944" s="6">
        <v>2006.0</v>
      </c>
      <c r="K2944" s="10">
        <v>46023.0</v>
      </c>
      <c r="L2944" s="6">
        <v>4.0</v>
      </c>
      <c r="M2944" s="8">
        <f t="shared" si="3"/>
        <v>0.36</v>
      </c>
      <c r="P2944" s="9"/>
    </row>
    <row r="2945">
      <c r="A2945" s="6" t="s">
        <v>6524</v>
      </c>
      <c r="B2945" s="6" t="s">
        <v>2713</v>
      </c>
      <c r="C2945" s="6" t="s">
        <v>23</v>
      </c>
      <c r="D2945" s="6" t="s">
        <v>6525</v>
      </c>
      <c r="E2945" s="6" t="s">
        <v>6321</v>
      </c>
      <c r="F2945" s="6" t="s">
        <v>98</v>
      </c>
      <c r="G2945" s="7">
        <v>0.09</v>
      </c>
      <c r="H2945" s="6" t="s">
        <v>2512</v>
      </c>
      <c r="I2945" s="6" t="s">
        <v>20</v>
      </c>
      <c r="J2945" s="6">
        <v>2006.0</v>
      </c>
      <c r="K2945" s="10">
        <v>46023.0</v>
      </c>
      <c r="L2945" s="6">
        <v>1.0</v>
      </c>
      <c r="M2945" s="8">
        <f t="shared" si="3"/>
        <v>0.09</v>
      </c>
      <c r="P2945" s="9"/>
    </row>
    <row r="2946">
      <c r="A2946" s="6" t="s">
        <v>6526</v>
      </c>
      <c r="B2946" s="6" t="s">
        <v>194</v>
      </c>
      <c r="C2946" s="6" t="s">
        <v>23</v>
      </c>
      <c r="D2946" s="6" t="s">
        <v>6527</v>
      </c>
      <c r="E2946" s="6" t="s">
        <v>112</v>
      </c>
      <c r="F2946" s="6" t="s">
        <v>65</v>
      </c>
      <c r="G2946" s="7">
        <v>0.1</v>
      </c>
      <c r="H2946" s="6" t="s">
        <v>192</v>
      </c>
      <c r="I2946" s="6" t="s">
        <v>20</v>
      </c>
      <c r="J2946" s="6">
        <v>2026.0</v>
      </c>
      <c r="L2946" s="6">
        <v>7.0</v>
      </c>
      <c r="M2946" s="8">
        <f t="shared" si="3"/>
        <v>0.7</v>
      </c>
      <c r="P2946" s="9"/>
    </row>
    <row r="2947">
      <c r="A2947" s="6" t="s">
        <v>6528</v>
      </c>
      <c r="B2947" s="6" t="s">
        <v>250</v>
      </c>
      <c r="C2947" s="6" t="s">
        <v>23</v>
      </c>
      <c r="D2947" s="6" t="s">
        <v>6529</v>
      </c>
      <c r="E2947" s="6" t="s">
        <v>112</v>
      </c>
      <c r="F2947" s="6" t="s">
        <v>65</v>
      </c>
      <c r="G2947" s="7">
        <v>0.1</v>
      </c>
      <c r="H2947" s="6" t="s">
        <v>192</v>
      </c>
      <c r="I2947" s="6" t="s">
        <v>20</v>
      </c>
      <c r="J2947" s="6">
        <v>2026.0</v>
      </c>
      <c r="L2947" s="6">
        <v>8.0</v>
      </c>
      <c r="M2947" s="8">
        <f t="shared" si="3"/>
        <v>0.8</v>
      </c>
      <c r="P2947" s="9"/>
    </row>
    <row r="2948">
      <c r="A2948" s="6" t="s">
        <v>6530</v>
      </c>
      <c r="B2948" s="6" t="s">
        <v>4824</v>
      </c>
      <c r="C2948" s="6" t="s">
        <v>23</v>
      </c>
      <c r="D2948" s="6" t="s">
        <v>6531</v>
      </c>
      <c r="E2948" s="6" t="s">
        <v>59</v>
      </c>
      <c r="F2948" s="6" t="s">
        <v>60</v>
      </c>
      <c r="G2948" s="7">
        <v>0.1</v>
      </c>
      <c r="H2948" s="6" t="s">
        <v>192</v>
      </c>
      <c r="I2948" s="6" t="s">
        <v>20</v>
      </c>
      <c r="J2948" s="6">
        <v>2026.0</v>
      </c>
      <c r="K2948" s="10">
        <v>46083.0</v>
      </c>
      <c r="L2948" s="6">
        <v>5.0</v>
      </c>
      <c r="M2948" s="8">
        <f t="shared" si="3"/>
        <v>0.5</v>
      </c>
      <c r="P2948" s="9"/>
    </row>
    <row r="2949">
      <c r="A2949" s="6" t="s">
        <v>6532</v>
      </c>
      <c r="B2949" s="6" t="s">
        <v>6533</v>
      </c>
      <c r="C2949" s="6" t="s">
        <v>287</v>
      </c>
      <c r="D2949" s="6" t="s">
        <v>6534</v>
      </c>
      <c r="E2949" s="6" t="s">
        <v>175</v>
      </c>
      <c r="F2949" s="6" t="s">
        <v>51</v>
      </c>
      <c r="G2949" s="7">
        <v>0.03</v>
      </c>
      <c r="H2949" s="6" t="s">
        <v>370</v>
      </c>
      <c r="I2949" s="6" t="s">
        <v>20</v>
      </c>
      <c r="J2949" s="6">
        <v>1996.0</v>
      </c>
      <c r="K2949" s="10">
        <v>46023.0</v>
      </c>
      <c r="L2949" s="6">
        <v>1.0</v>
      </c>
      <c r="M2949" s="8">
        <f t="shared" si="3"/>
        <v>0.03</v>
      </c>
      <c r="P2949" s="9"/>
    </row>
    <row r="2950">
      <c r="A2950" s="6" t="s">
        <v>6535</v>
      </c>
      <c r="B2950" s="6" t="s">
        <v>1449</v>
      </c>
      <c r="C2950" s="6" t="s">
        <v>23</v>
      </c>
      <c r="D2950" s="6" t="s">
        <v>6536</v>
      </c>
      <c r="E2950" s="6" t="s">
        <v>6537</v>
      </c>
      <c r="F2950" s="6" t="s">
        <v>826</v>
      </c>
      <c r="G2950" s="7">
        <v>0.06</v>
      </c>
      <c r="H2950" s="6" t="s">
        <v>1361</v>
      </c>
      <c r="I2950" s="6" t="s">
        <v>20</v>
      </c>
      <c r="J2950" s="6">
        <v>2008.0</v>
      </c>
      <c r="K2950" s="10">
        <v>46084.0</v>
      </c>
      <c r="L2950" s="6">
        <v>2.0</v>
      </c>
      <c r="M2950" s="8">
        <f t="shared" si="3"/>
        <v>0.12</v>
      </c>
      <c r="P2950" s="9"/>
    </row>
    <row r="2951">
      <c r="A2951" s="6" t="s">
        <v>6538</v>
      </c>
      <c r="B2951" s="6" t="s">
        <v>182</v>
      </c>
      <c r="C2951" s="6" t="s">
        <v>23</v>
      </c>
      <c r="D2951" s="6" t="s">
        <v>6539</v>
      </c>
      <c r="E2951" s="6" t="s">
        <v>196</v>
      </c>
      <c r="F2951" s="6" t="s">
        <v>65</v>
      </c>
      <c r="G2951" s="7">
        <v>0.05</v>
      </c>
      <c r="H2951" s="6" t="s">
        <v>88</v>
      </c>
      <c r="I2951" s="6" t="s">
        <v>20</v>
      </c>
      <c r="J2951" s="6">
        <v>2013.0</v>
      </c>
      <c r="L2951" s="6">
        <v>1.0</v>
      </c>
      <c r="M2951" s="8">
        <f t="shared" si="3"/>
        <v>0.05</v>
      </c>
      <c r="P2951" s="9"/>
    </row>
    <row r="2952">
      <c r="A2952" s="6" t="s">
        <v>6538</v>
      </c>
      <c r="B2952" s="6" t="s">
        <v>182</v>
      </c>
      <c r="C2952" s="6" t="s">
        <v>23</v>
      </c>
      <c r="D2952" s="6" t="s">
        <v>6539</v>
      </c>
      <c r="E2952" s="6" t="s">
        <v>196</v>
      </c>
      <c r="F2952" s="6" t="s">
        <v>65</v>
      </c>
      <c r="G2952" s="7">
        <v>0.13</v>
      </c>
      <c r="H2952" s="6" t="s">
        <v>786</v>
      </c>
      <c r="I2952" s="6" t="s">
        <v>20</v>
      </c>
      <c r="J2952" s="6">
        <v>2024.0</v>
      </c>
      <c r="L2952" s="6">
        <v>1.0</v>
      </c>
      <c r="M2952" s="8">
        <f t="shared" si="3"/>
        <v>0.13</v>
      </c>
      <c r="P2952" s="9"/>
    </row>
    <row r="2953">
      <c r="A2953" s="6" t="s">
        <v>6540</v>
      </c>
      <c r="B2953" s="6" t="s">
        <v>6541</v>
      </c>
      <c r="C2953" s="6" t="s">
        <v>23</v>
      </c>
      <c r="D2953" s="6" t="s">
        <v>6542</v>
      </c>
      <c r="E2953" s="6" t="s">
        <v>533</v>
      </c>
      <c r="F2953" s="6" t="s">
        <v>103</v>
      </c>
      <c r="G2953" s="7">
        <v>1.0</v>
      </c>
      <c r="H2953" s="6" t="s">
        <v>4672</v>
      </c>
      <c r="I2953" s="6" t="s">
        <v>20</v>
      </c>
      <c r="J2953" s="6">
        <v>2022.0</v>
      </c>
      <c r="L2953" s="6">
        <v>1.0</v>
      </c>
      <c r="M2953" s="8">
        <f t="shared" si="3"/>
        <v>1</v>
      </c>
      <c r="P2953" s="9"/>
    </row>
    <row r="2954">
      <c r="A2954" s="6" t="s">
        <v>6543</v>
      </c>
      <c r="B2954" s="6" t="s">
        <v>182</v>
      </c>
      <c r="C2954" s="6" t="s">
        <v>23</v>
      </c>
      <c r="D2954" s="6" t="s">
        <v>6544</v>
      </c>
      <c r="E2954" s="6" t="s">
        <v>223</v>
      </c>
      <c r="F2954" s="6" t="s">
        <v>159</v>
      </c>
      <c r="G2954" s="7">
        <v>0.09</v>
      </c>
      <c r="H2954" s="6" t="s">
        <v>114</v>
      </c>
      <c r="I2954" s="6" t="s">
        <v>20</v>
      </c>
      <c r="J2954" s="6">
        <v>2021.0</v>
      </c>
      <c r="L2954" s="6">
        <v>1.0</v>
      </c>
      <c r="M2954" s="8">
        <f t="shared" si="3"/>
        <v>0.09</v>
      </c>
      <c r="P2954" s="9"/>
    </row>
    <row r="2955">
      <c r="A2955" s="6" t="s">
        <v>6545</v>
      </c>
      <c r="B2955" s="6" t="s">
        <v>2898</v>
      </c>
      <c r="C2955" s="6" t="s">
        <v>23</v>
      </c>
      <c r="D2955" s="6" t="s">
        <v>6546</v>
      </c>
      <c r="E2955" s="6" t="s">
        <v>118</v>
      </c>
      <c r="F2955" s="6" t="s">
        <v>51</v>
      </c>
      <c r="G2955" s="7">
        <v>0.03</v>
      </c>
      <c r="H2955" s="6" t="s">
        <v>265</v>
      </c>
      <c r="I2955" s="6" t="s">
        <v>20</v>
      </c>
      <c r="J2955" s="6">
        <v>2017.0</v>
      </c>
      <c r="K2955" s="10">
        <v>46055.0</v>
      </c>
      <c r="L2955" s="6">
        <v>3.0</v>
      </c>
      <c r="M2955" s="8">
        <f t="shared" si="3"/>
        <v>0.09</v>
      </c>
      <c r="P2955" s="9"/>
    </row>
    <row r="2956">
      <c r="A2956" s="6" t="s">
        <v>6547</v>
      </c>
      <c r="B2956" s="6" t="s">
        <v>1113</v>
      </c>
      <c r="C2956" s="6" t="s">
        <v>48</v>
      </c>
      <c r="D2956" s="6" t="s">
        <v>6548</v>
      </c>
      <c r="E2956" s="6" t="s">
        <v>1454</v>
      </c>
      <c r="F2956" s="6" t="s">
        <v>426</v>
      </c>
      <c r="G2956" s="7">
        <v>0.21</v>
      </c>
      <c r="H2956" s="6" t="s">
        <v>2669</v>
      </c>
      <c r="I2956" s="6" t="s">
        <v>20</v>
      </c>
      <c r="J2956" s="6">
        <v>2019.0</v>
      </c>
      <c r="K2956" s="10">
        <v>46023.0</v>
      </c>
      <c r="L2956" s="6">
        <v>4.0</v>
      </c>
      <c r="M2956" s="8">
        <f t="shared" si="3"/>
        <v>0.84</v>
      </c>
      <c r="P2956" s="9"/>
    </row>
    <row r="2957">
      <c r="A2957" s="6" t="s">
        <v>6549</v>
      </c>
      <c r="B2957" s="6" t="s">
        <v>194</v>
      </c>
      <c r="C2957" s="6" t="s">
        <v>521</v>
      </c>
      <c r="D2957" s="6" t="s">
        <v>6550</v>
      </c>
      <c r="E2957" s="6" t="s">
        <v>1336</v>
      </c>
      <c r="F2957" s="6" t="s">
        <v>2954</v>
      </c>
      <c r="G2957" s="7">
        <v>0.1</v>
      </c>
      <c r="H2957" s="6" t="s">
        <v>2401</v>
      </c>
      <c r="I2957" s="6" t="s">
        <v>20</v>
      </c>
      <c r="J2957" s="6">
        <v>2018.0</v>
      </c>
      <c r="L2957" s="6">
        <v>2.0</v>
      </c>
      <c r="M2957" s="8">
        <f t="shared" si="3"/>
        <v>0.2</v>
      </c>
      <c r="P2957" s="9"/>
    </row>
    <row r="2958">
      <c r="A2958" s="6" t="s">
        <v>6549</v>
      </c>
      <c r="B2958" s="6" t="s">
        <v>194</v>
      </c>
      <c r="C2958" s="6" t="s">
        <v>521</v>
      </c>
      <c r="D2958" s="6" t="s">
        <v>6550</v>
      </c>
      <c r="E2958" s="6" t="s">
        <v>1336</v>
      </c>
      <c r="F2958" s="6" t="s">
        <v>2954</v>
      </c>
      <c r="G2958" s="7">
        <v>0.4</v>
      </c>
      <c r="H2958" s="6" t="s">
        <v>2401</v>
      </c>
      <c r="I2958" s="6" t="s">
        <v>55</v>
      </c>
      <c r="J2958" s="6">
        <v>2018.0</v>
      </c>
      <c r="L2958" s="6">
        <v>1.0</v>
      </c>
      <c r="M2958" s="8">
        <f t="shared" si="3"/>
        <v>0.4</v>
      </c>
      <c r="P2958" s="9"/>
    </row>
    <row r="2959">
      <c r="A2959" s="6" t="s">
        <v>6551</v>
      </c>
      <c r="B2959" s="6" t="s">
        <v>62</v>
      </c>
      <c r="C2959" s="6" t="s">
        <v>23</v>
      </c>
      <c r="D2959" s="6" t="s">
        <v>5087</v>
      </c>
      <c r="E2959" s="6" t="s">
        <v>1336</v>
      </c>
      <c r="F2959" s="6" t="s">
        <v>103</v>
      </c>
      <c r="G2959" s="7">
        <v>0.05</v>
      </c>
      <c r="H2959" s="6" t="s">
        <v>645</v>
      </c>
      <c r="I2959" s="6" t="s">
        <v>20</v>
      </c>
      <c r="J2959" s="6">
        <v>2024.0</v>
      </c>
      <c r="L2959" s="6">
        <v>1.0</v>
      </c>
      <c r="M2959" s="8">
        <f t="shared" si="3"/>
        <v>0.05</v>
      </c>
      <c r="P2959" s="9"/>
    </row>
    <row r="2960">
      <c r="A2960" s="6" t="s">
        <v>6552</v>
      </c>
      <c r="B2960" s="6" t="s">
        <v>628</v>
      </c>
      <c r="C2960" s="6" t="s">
        <v>48</v>
      </c>
      <c r="D2960" s="6" t="s">
        <v>6553</v>
      </c>
      <c r="E2960" s="6" t="s">
        <v>220</v>
      </c>
      <c r="F2960" s="6" t="s">
        <v>18</v>
      </c>
      <c r="G2960" s="7">
        <v>0.1</v>
      </c>
      <c r="H2960" s="6" t="s">
        <v>163</v>
      </c>
      <c r="I2960" s="6" t="s">
        <v>20</v>
      </c>
      <c r="J2960" s="6">
        <v>2023.0</v>
      </c>
      <c r="K2960" s="10">
        <v>46116.0</v>
      </c>
      <c r="L2960" s="6">
        <v>1.0</v>
      </c>
      <c r="M2960" s="8">
        <f t="shared" si="3"/>
        <v>0.1</v>
      </c>
      <c r="P2960" s="9"/>
    </row>
    <row r="2961">
      <c r="A2961" s="6" t="s">
        <v>6552</v>
      </c>
      <c r="B2961" s="6" t="s">
        <v>628</v>
      </c>
      <c r="C2961" s="6" t="s">
        <v>48</v>
      </c>
      <c r="D2961" s="6" t="s">
        <v>6553</v>
      </c>
      <c r="E2961" s="6" t="s">
        <v>220</v>
      </c>
      <c r="F2961" s="6" t="s">
        <v>18</v>
      </c>
      <c r="G2961" s="7">
        <v>0.06</v>
      </c>
      <c r="H2961" s="6" t="s">
        <v>491</v>
      </c>
      <c r="I2961" s="6" t="s">
        <v>20</v>
      </c>
      <c r="J2961" s="6">
        <v>2011.0</v>
      </c>
      <c r="K2961" s="10">
        <v>46116.0</v>
      </c>
      <c r="L2961" s="6">
        <v>1.0</v>
      </c>
      <c r="M2961" s="8">
        <f t="shared" si="3"/>
        <v>0.06</v>
      </c>
      <c r="P2961" s="9"/>
    </row>
    <row r="2962">
      <c r="A2962" s="6" t="s">
        <v>6554</v>
      </c>
      <c r="B2962" s="6" t="s">
        <v>143</v>
      </c>
      <c r="C2962" s="6" t="s">
        <v>48</v>
      </c>
      <c r="D2962" s="6" t="s">
        <v>6555</v>
      </c>
      <c r="E2962" s="6" t="s">
        <v>625</v>
      </c>
      <c r="F2962" s="6" t="s">
        <v>37</v>
      </c>
      <c r="G2962" s="7">
        <v>0.05</v>
      </c>
      <c r="H2962" s="6" t="s">
        <v>93</v>
      </c>
      <c r="I2962" s="6" t="s">
        <v>20</v>
      </c>
      <c r="J2962" s="6">
        <v>2016.0</v>
      </c>
      <c r="L2962" s="6">
        <v>1.0</v>
      </c>
      <c r="M2962" s="8">
        <f t="shared" si="3"/>
        <v>0.05</v>
      </c>
      <c r="P2962" s="9"/>
    </row>
    <row r="2963">
      <c r="A2963" s="6" t="s">
        <v>6556</v>
      </c>
      <c r="B2963" s="6" t="s">
        <v>165</v>
      </c>
      <c r="C2963" s="6" t="s">
        <v>34</v>
      </c>
      <c r="D2963" s="6" t="s">
        <v>6557</v>
      </c>
      <c r="E2963" s="6" t="s">
        <v>208</v>
      </c>
      <c r="F2963" s="6" t="s">
        <v>51</v>
      </c>
      <c r="G2963" s="7">
        <v>0.13</v>
      </c>
      <c r="H2963" s="6" t="s">
        <v>38</v>
      </c>
      <c r="I2963" s="6" t="s">
        <v>20</v>
      </c>
      <c r="J2963" s="6">
        <v>2026.0</v>
      </c>
      <c r="L2963" s="6">
        <v>3.0</v>
      </c>
      <c r="M2963" s="8">
        <f t="shared" si="3"/>
        <v>0.39</v>
      </c>
      <c r="P2963" s="9"/>
    </row>
    <row r="2964">
      <c r="A2964" s="6" t="s">
        <v>6558</v>
      </c>
      <c r="B2964" s="6" t="s">
        <v>815</v>
      </c>
      <c r="C2964" s="6" t="s">
        <v>23</v>
      </c>
      <c r="D2964" s="6" t="s">
        <v>6559</v>
      </c>
      <c r="E2964" s="6" t="s">
        <v>153</v>
      </c>
      <c r="F2964" s="6" t="s">
        <v>103</v>
      </c>
      <c r="G2964" s="7">
        <v>0.08</v>
      </c>
      <c r="H2964" s="6" t="s">
        <v>109</v>
      </c>
      <c r="I2964" s="6" t="s">
        <v>20</v>
      </c>
      <c r="J2964" s="6">
        <v>1995.0</v>
      </c>
      <c r="K2964" s="10">
        <v>46055.0</v>
      </c>
      <c r="L2964" s="6">
        <v>2.0</v>
      </c>
      <c r="M2964" s="8">
        <f t="shared" si="3"/>
        <v>0.16</v>
      </c>
      <c r="P2964" s="9"/>
    </row>
    <row r="2965">
      <c r="A2965" s="6" t="s">
        <v>6558</v>
      </c>
      <c r="B2965" s="6" t="s">
        <v>815</v>
      </c>
      <c r="C2965" s="6" t="s">
        <v>23</v>
      </c>
      <c r="D2965" s="6" t="s">
        <v>6559</v>
      </c>
      <c r="E2965" s="6" t="s">
        <v>153</v>
      </c>
      <c r="F2965" s="6" t="s">
        <v>103</v>
      </c>
      <c r="G2965" s="7">
        <v>0.08</v>
      </c>
      <c r="H2965" s="6" t="s">
        <v>1382</v>
      </c>
      <c r="I2965" s="6" t="s">
        <v>20</v>
      </c>
      <c r="J2965" s="6">
        <v>1995.0</v>
      </c>
      <c r="K2965" s="10">
        <v>46055.0</v>
      </c>
      <c r="L2965" s="6">
        <v>3.0</v>
      </c>
      <c r="M2965" s="8">
        <f t="shared" si="3"/>
        <v>0.24</v>
      </c>
      <c r="P2965" s="9"/>
    </row>
    <row r="2966">
      <c r="A2966" s="6" t="s">
        <v>6560</v>
      </c>
      <c r="B2966" s="6" t="s">
        <v>6561</v>
      </c>
      <c r="C2966" s="6" t="s">
        <v>23</v>
      </c>
      <c r="D2966" s="6" t="s">
        <v>6562</v>
      </c>
      <c r="E2966" s="6" t="s">
        <v>30</v>
      </c>
      <c r="F2966" s="6" t="s">
        <v>18</v>
      </c>
      <c r="G2966" s="7">
        <v>0.06</v>
      </c>
      <c r="H2966" s="6" t="s">
        <v>621</v>
      </c>
      <c r="I2966" s="6" t="s">
        <v>20</v>
      </c>
      <c r="J2966" s="6">
        <v>2015.0</v>
      </c>
      <c r="K2966" s="10">
        <v>46056.0</v>
      </c>
      <c r="L2966" s="6">
        <v>5.0</v>
      </c>
      <c r="M2966" s="8">
        <f t="shared" si="3"/>
        <v>0.3</v>
      </c>
      <c r="P2966" s="9"/>
    </row>
    <row r="2967">
      <c r="A2967" s="6" t="s">
        <v>6563</v>
      </c>
      <c r="B2967" s="6" t="s">
        <v>151</v>
      </c>
      <c r="C2967" s="6" t="s">
        <v>23</v>
      </c>
      <c r="D2967" s="6" t="s">
        <v>6564</v>
      </c>
      <c r="E2967" s="6" t="s">
        <v>149</v>
      </c>
      <c r="F2967" s="6" t="s">
        <v>18</v>
      </c>
      <c r="G2967" s="7">
        <v>0.06</v>
      </c>
      <c r="H2967" s="6" t="s">
        <v>1784</v>
      </c>
      <c r="I2967" s="6" t="s">
        <v>20</v>
      </c>
      <c r="J2967" s="6">
        <v>2013.0</v>
      </c>
      <c r="K2967" s="6" t="s">
        <v>137</v>
      </c>
      <c r="L2967" s="6">
        <v>1.0</v>
      </c>
      <c r="M2967" s="8">
        <f t="shared" si="3"/>
        <v>0.06</v>
      </c>
      <c r="P2967" s="9"/>
    </row>
    <row r="2968">
      <c r="A2968" s="6" t="s">
        <v>6563</v>
      </c>
      <c r="B2968" s="6" t="s">
        <v>151</v>
      </c>
      <c r="C2968" s="6" t="s">
        <v>23</v>
      </c>
      <c r="D2968" s="6" t="s">
        <v>6564</v>
      </c>
      <c r="E2968" s="6" t="s">
        <v>149</v>
      </c>
      <c r="F2968" s="6" t="s">
        <v>18</v>
      </c>
      <c r="G2968" s="7">
        <v>0.06</v>
      </c>
      <c r="H2968" s="6" t="s">
        <v>1784</v>
      </c>
      <c r="I2968" s="6" t="s">
        <v>20</v>
      </c>
      <c r="J2968" s="6">
        <v>2013.0</v>
      </c>
      <c r="K2968" s="6" t="s">
        <v>137</v>
      </c>
      <c r="L2968" s="6">
        <v>1.0</v>
      </c>
      <c r="M2968" s="8">
        <f t="shared" si="3"/>
        <v>0.06</v>
      </c>
      <c r="P2968" s="9"/>
    </row>
    <row r="2969">
      <c r="A2969" s="6" t="s">
        <v>6565</v>
      </c>
      <c r="B2969" s="6" t="s">
        <v>263</v>
      </c>
      <c r="C2969" s="6" t="s">
        <v>23</v>
      </c>
      <c r="D2969" s="6" t="s">
        <v>6566</v>
      </c>
      <c r="E2969" s="6" t="s">
        <v>30</v>
      </c>
      <c r="F2969" s="6" t="s">
        <v>18</v>
      </c>
      <c r="G2969" s="7">
        <v>0.03</v>
      </c>
      <c r="H2969" s="6" t="s">
        <v>1084</v>
      </c>
      <c r="I2969" s="6" t="s">
        <v>20</v>
      </c>
      <c r="J2969" s="6">
        <v>2018.0</v>
      </c>
      <c r="K2969" s="10">
        <v>46082.0</v>
      </c>
      <c r="L2969" s="6">
        <v>2.0</v>
      </c>
      <c r="M2969" s="8">
        <f t="shared" si="3"/>
        <v>0.06</v>
      </c>
      <c r="P2969" s="9"/>
    </row>
    <row r="2970">
      <c r="A2970" s="6" t="s">
        <v>6567</v>
      </c>
      <c r="B2970" s="6" t="s">
        <v>1990</v>
      </c>
      <c r="C2970" s="6" t="s">
        <v>23</v>
      </c>
      <c r="D2970" s="6" t="s">
        <v>6568</v>
      </c>
      <c r="E2970" s="6" t="s">
        <v>558</v>
      </c>
      <c r="F2970" s="6" t="s">
        <v>18</v>
      </c>
      <c r="G2970" s="7">
        <v>0.06</v>
      </c>
      <c r="H2970" s="6" t="s">
        <v>204</v>
      </c>
      <c r="I2970" s="6" t="s">
        <v>20</v>
      </c>
      <c r="J2970" s="6">
        <v>2026.0</v>
      </c>
      <c r="L2970" s="6">
        <v>2.0</v>
      </c>
      <c r="M2970" s="8">
        <f t="shared" si="3"/>
        <v>0.12</v>
      </c>
      <c r="P2970" s="9"/>
    </row>
    <row r="2971">
      <c r="A2971" s="6" t="s">
        <v>6569</v>
      </c>
      <c r="B2971" s="6" t="s">
        <v>543</v>
      </c>
      <c r="C2971" s="6" t="s">
        <v>23</v>
      </c>
      <c r="D2971" s="6" t="s">
        <v>6570</v>
      </c>
      <c r="E2971" s="6" t="s">
        <v>270</v>
      </c>
      <c r="F2971" s="6" t="s">
        <v>159</v>
      </c>
      <c r="G2971" s="7">
        <v>0.1</v>
      </c>
      <c r="H2971" s="6" t="s">
        <v>192</v>
      </c>
      <c r="I2971" s="6" t="s">
        <v>20</v>
      </c>
      <c r="J2971" s="6">
        <v>2026.0</v>
      </c>
      <c r="L2971" s="6">
        <v>1.0</v>
      </c>
      <c r="M2971" s="8">
        <f t="shared" si="3"/>
        <v>0.1</v>
      </c>
      <c r="P2971" s="9"/>
    </row>
    <row r="2972">
      <c r="A2972" s="6" t="s">
        <v>6571</v>
      </c>
      <c r="B2972" s="6" t="s">
        <v>68</v>
      </c>
      <c r="C2972" s="6" t="s">
        <v>23</v>
      </c>
      <c r="D2972" s="6" t="s">
        <v>6572</v>
      </c>
      <c r="E2972" s="6">
        <v>0.14</v>
      </c>
      <c r="F2972" s="6" t="s">
        <v>284</v>
      </c>
      <c r="G2972" s="8"/>
      <c r="H2972" s="6" t="s">
        <v>192</v>
      </c>
      <c r="I2972" s="6" t="s">
        <v>20</v>
      </c>
      <c r="J2972" s="6">
        <v>2026.0</v>
      </c>
      <c r="L2972" s="6">
        <v>1.0</v>
      </c>
      <c r="M2972" s="8">
        <f t="shared" si="3"/>
        <v>0</v>
      </c>
      <c r="P2972" s="9"/>
    </row>
    <row r="2973">
      <c r="A2973" s="6" t="s">
        <v>6573</v>
      </c>
      <c r="B2973" s="6" t="s">
        <v>6574</v>
      </c>
      <c r="C2973" s="6" t="s">
        <v>23</v>
      </c>
      <c r="D2973" s="6" t="s">
        <v>6575</v>
      </c>
      <c r="E2973" s="6" t="s">
        <v>64</v>
      </c>
      <c r="F2973" s="6" t="s">
        <v>65</v>
      </c>
      <c r="G2973" s="7">
        <v>0.05</v>
      </c>
      <c r="H2973" s="6" t="s">
        <v>192</v>
      </c>
      <c r="I2973" s="6" t="s">
        <v>20</v>
      </c>
      <c r="J2973" s="6">
        <v>2026.0</v>
      </c>
      <c r="K2973" s="10">
        <v>46114.0</v>
      </c>
      <c r="L2973" s="6">
        <v>5.0</v>
      </c>
      <c r="M2973" s="8">
        <f t="shared" si="3"/>
        <v>0.25</v>
      </c>
      <c r="P2973" s="9"/>
    </row>
    <row r="2974">
      <c r="A2974" s="6" t="s">
        <v>6576</v>
      </c>
      <c r="B2974" s="6" t="s">
        <v>182</v>
      </c>
      <c r="C2974" s="6" t="s">
        <v>23</v>
      </c>
      <c r="D2974" s="6" t="s">
        <v>6577</v>
      </c>
      <c r="E2974" s="6" t="s">
        <v>937</v>
      </c>
      <c r="F2974" s="6" t="s">
        <v>159</v>
      </c>
      <c r="G2974" s="7">
        <v>7.0</v>
      </c>
      <c r="H2974" s="6" t="s">
        <v>1246</v>
      </c>
      <c r="I2974" s="6" t="s">
        <v>20</v>
      </c>
      <c r="J2974" s="6">
        <v>2006.0</v>
      </c>
      <c r="L2974" s="6">
        <v>1.0</v>
      </c>
      <c r="M2974" s="8">
        <f t="shared" si="3"/>
        <v>7</v>
      </c>
      <c r="P2974" s="9"/>
    </row>
    <row r="2975">
      <c r="A2975" s="6" t="s">
        <v>6578</v>
      </c>
      <c r="B2975" s="6" t="s">
        <v>307</v>
      </c>
      <c r="C2975" s="6" t="s">
        <v>23</v>
      </c>
      <c r="D2975" s="6" t="s">
        <v>6579</v>
      </c>
      <c r="E2975" s="6" t="s">
        <v>36</v>
      </c>
      <c r="F2975" s="6" t="s">
        <v>37</v>
      </c>
      <c r="G2975" s="7">
        <v>0.15</v>
      </c>
      <c r="H2975" s="6" t="s">
        <v>1327</v>
      </c>
      <c r="I2975" s="6" t="s">
        <v>20</v>
      </c>
      <c r="J2975" s="6">
        <v>2011.0</v>
      </c>
      <c r="L2975" s="6">
        <v>1.0</v>
      </c>
      <c r="M2975" s="8">
        <f t="shared" si="3"/>
        <v>0.15</v>
      </c>
      <c r="P2975" s="9"/>
    </row>
    <row r="2976">
      <c r="A2976" s="6" t="s">
        <v>6580</v>
      </c>
      <c r="B2976" s="6" t="s">
        <v>6581</v>
      </c>
      <c r="C2976" s="6" t="s">
        <v>287</v>
      </c>
      <c r="D2976" s="6" t="s">
        <v>6582</v>
      </c>
      <c r="E2976" s="6" t="s">
        <v>36</v>
      </c>
      <c r="F2976" s="6" t="s">
        <v>37</v>
      </c>
      <c r="G2976" s="7">
        <v>0.98</v>
      </c>
      <c r="H2976" s="6" t="s">
        <v>146</v>
      </c>
      <c r="I2976" s="6" t="s">
        <v>20</v>
      </c>
      <c r="J2976" s="6">
        <v>2010.0</v>
      </c>
      <c r="K2976" s="10">
        <v>46023.0</v>
      </c>
      <c r="L2976" s="6">
        <v>2.0</v>
      </c>
      <c r="M2976" s="8">
        <f t="shared" si="3"/>
        <v>1.96</v>
      </c>
      <c r="N2976" s="6" t="s">
        <v>172</v>
      </c>
      <c r="P2976" s="9"/>
    </row>
    <row r="2977">
      <c r="A2977" s="6" t="s">
        <v>6583</v>
      </c>
      <c r="B2977" s="6" t="s">
        <v>6581</v>
      </c>
      <c r="C2977" s="6" t="s">
        <v>287</v>
      </c>
      <c r="D2977" s="6" t="s">
        <v>6584</v>
      </c>
      <c r="E2977" s="6" t="s">
        <v>36</v>
      </c>
      <c r="F2977" s="6" t="s">
        <v>37</v>
      </c>
      <c r="G2977" s="7">
        <v>0.31</v>
      </c>
      <c r="H2977" s="6" t="s">
        <v>146</v>
      </c>
      <c r="I2977" s="6" t="s">
        <v>20</v>
      </c>
      <c r="J2977" s="6">
        <v>2010.0</v>
      </c>
      <c r="K2977" s="10">
        <v>46023.0</v>
      </c>
      <c r="L2977" s="6">
        <v>1.0</v>
      </c>
      <c r="M2977" s="8">
        <f t="shared" si="3"/>
        <v>0.31</v>
      </c>
      <c r="P2977" s="9"/>
    </row>
    <row r="2978">
      <c r="A2978" s="6" t="s">
        <v>6585</v>
      </c>
      <c r="B2978" s="6" t="s">
        <v>2342</v>
      </c>
      <c r="C2978" s="6" t="s">
        <v>48</v>
      </c>
      <c r="D2978" s="6" t="s">
        <v>6586</v>
      </c>
      <c r="E2978" s="6" t="s">
        <v>303</v>
      </c>
      <c r="F2978" s="6" t="s">
        <v>37</v>
      </c>
      <c r="G2978" s="7">
        <v>0.25</v>
      </c>
      <c r="H2978" s="6" t="s">
        <v>305</v>
      </c>
      <c r="I2978" s="6" t="s">
        <v>20</v>
      </c>
      <c r="J2978" s="6">
        <v>2003.0</v>
      </c>
      <c r="K2978" s="10">
        <v>46023.0</v>
      </c>
      <c r="L2978" s="6">
        <v>1.0</v>
      </c>
      <c r="M2978" s="8">
        <f t="shared" si="3"/>
        <v>0.25</v>
      </c>
      <c r="P2978" s="9"/>
    </row>
    <row r="2979">
      <c r="A2979" s="6" t="s">
        <v>6587</v>
      </c>
      <c r="B2979" s="6" t="s">
        <v>2342</v>
      </c>
      <c r="C2979" s="6" t="s">
        <v>23</v>
      </c>
      <c r="D2979" s="6" t="s">
        <v>6588</v>
      </c>
      <c r="E2979" s="6" t="s">
        <v>36</v>
      </c>
      <c r="F2979" s="6" t="s">
        <v>37</v>
      </c>
      <c r="G2979" s="7">
        <v>3.76</v>
      </c>
      <c r="H2979" s="6" t="s">
        <v>5262</v>
      </c>
      <c r="I2979" s="6" t="s">
        <v>20</v>
      </c>
      <c r="J2979" s="6">
        <v>2020.0</v>
      </c>
      <c r="K2979" s="10">
        <v>46023.0</v>
      </c>
      <c r="L2979" s="6">
        <v>1.0</v>
      </c>
      <c r="M2979" s="8">
        <f t="shared" si="3"/>
        <v>3.76</v>
      </c>
      <c r="P2979" s="9"/>
    </row>
    <row r="2980">
      <c r="A2980" s="6" t="s">
        <v>6589</v>
      </c>
      <c r="B2980" s="6" t="s">
        <v>6590</v>
      </c>
      <c r="C2980" s="6" t="s">
        <v>23</v>
      </c>
      <c r="D2980" s="6" t="s">
        <v>6591</v>
      </c>
      <c r="E2980" s="6" t="s">
        <v>36</v>
      </c>
      <c r="F2980" s="6" t="s">
        <v>37</v>
      </c>
      <c r="G2980" s="7">
        <v>0.02</v>
      </c>
      <c r="H2980" s="6" t="s">
        <v>1293</v>
      </c>
      <c r="I2980" s="6" t="s">
        <v>20</v>
      </c>
      <c r="J2980" s="6">
        <v>2011.0</v>
      </c>
      <c r="K2980" s="10">
        <v>46023.0</v>
      </c>
      <c r="L2980" s="6">
        <v>1.0</v>
      </c>
      <c r="M2980" s="8">
        <f t="shared" si="3"/>
        <v>0.02</v>
      </c>
      <c r="P2980" s="9"/>
    </row>
    <row r="2981">
      <c r="A2981" s="6" t="s">
        <v>6592</v>
      </c>
      <c r="B2981" s="6" t="s">
        <v>1127</v>
      </c>
      <c r="C2981" s="6" t="s">
        <v>34</v>
      </c>
      <c r="D2981" s="6" t="s">
        <v>6593</v>
      </c>
      <c r="E2981" s="6" t="s">
        <v>179</v>
      </c>
      <c r="F2981" s="6" t="s">
        <v>65</v>
      </c>
      <c r="G2981" s="7">
        <v>0.19</v>
      </c>
      <c r="H2981" s="6" t="s">
        <v>209</v>
      </c>
      <c r="I2981" s="6" t="s">
        <v>20</v>
      </c>
      <c r="J2981" s="6">
        <v>2025.0</v>
      </c>
      <c r="K2981" s="10">
        <v>46082.0</v>
      </c>
      <c r="L2981" s="6">
        <v>10.0</v>
      </c>
      <c r="M2981" s="8">
        <f t="shared" si="3"/>
        <v>1.9</v>
      </c>
      <c r="P2981" s="9"/>
    </row>
    <row r="2982">
      <c r="A2982" s="6" t="s">
        <v>6592</v>
      </c>
      <c r="B2982" s="6" t="s">
        <v>1127</v>
      </c>
      <c r="C2982" s="6" t="s">
        <v>34</v>
      </c>
      <c r="D2982" s="6" t="s">
        <v>6593</v>
      </c>
      <c r="E2982" s="6" t="s">
        <v>179</v>
      </c>
      <c r="F2982" s="6" t="s">
        <v>65</v>
      </c>
      <c r="G2982" s="7">
        <v>0.3</v>
      </c>
      <c r="H2982" s="6" t="s">
        <v>209</v>
      </c>
      <c r="I2982" s="6" t="s">
        <v>55</v>
      </c>
      <c r="J2982" s="6">
        <v>2025.0</v>
      </c>
      <c r="K2982" s="10">
        <v>46082.0</v>
      </c>
      <c r="L2982" s="6">
        <v>1.0</v>
      </c>
      <c r="M2982" s="8">
        <f t="shared" si="3"/>
        <v>0.3</v>
      </c>
      <c r="P2982" s="9"/>
    </row>
    <row r="2983">
      <c r="A2983" s="6" t="s">
        <v>6594</v>
      </c>
      <c r="B2983" s="6" t="s">
        <v>2178</v>
      </c>
      <c r="C2983" s="6" t="s">
        <v>48</v>
      </c>
      <c r="D2983" s="6" t="s">
        <v>6595</v>
      </c>
      <c r="E2983" s="6" t="s">
        <v>79</v>
      </c>
      <c r="F2983" s="6" t="s">
        <v>51</v>
      </c>
      <c r="G2983" s="7">
        <v>0.1</v>
      </c>
      <c r="H2983" s="6" t="s">
        <v>141</v>
      </c>
      <c r="I2983" s="6" t="s">
        <v>20</v>
      </c>
      <c r="J2983" s="6">
        <v>2019.0</v>
      </c>
      <c r="K2983" s="10">
        <v>46055.0</v>
      </c>
      <c r="L2983" s="6">
        <v>1.0</v>
      </c>
      <c r="M2983" s="8">
        <f t="shared" si="3"/>
        <v>0.1</v>
      </c>
      <c r="P2983" s="9"/>
    </row>
    <row r="2984">
      <c r="A2984" s="6" t="s">
        <v>6596</v>
      </c>
      <c r="B2984" s="6" t="s">
        <v>182</v>
      </c>
      <c r="C2984" s="6" t="s">
        <v>23</v>
      </c>
      <c r="D2984" s="6" t="s">
        <v>6597</v>
      </c>
      <c r="E2984" s="6" t="s">
        <v>30</v>
      </c>
      <c r="F2984" s="6" t="s">
        <v>18</v>
      </c>
      <c r="G2984" s="7">
        <v>0.06</v>
      </c>
      <c r="H2984" s="6" t="s">
        <v>559</v>
      </c>
      <c r="I2984" s="6" t="s">
        <v>20</v>
      </c>
      <c r="J2984" s="6">
        <v>2015.0</v>
      </c>
      <c r="L2984" s="6">
        <v>2.0</v>
      </c>
      <c r="M2984" s="8">
        <f t="shared" si="3"/>
        <v>0.12</v>
      </c>
      <c r="P2984" s="9"/>
    </row>
    <row r="2985">
      <c r="A2985" s="6" t="s">
        <v>6598</v>
      </c>
      <c r="B2985" s="6" t="s">
        <v>2257</v>
      </c>
      <c r="C2985" s="6" t="s">
        <v>15</v>
      </c>
      <c r="D2985" s="6" t="s">
        <v>6599</v>
      </c>
      <c r="E2985" s="6" t="s">
        <v>231</v>
      </c>
      <c r="F2985" s="6" t="s">
        <v>37</v>
      </c>
      <c r="G2985" s="7">
        <v>0.39</v>
      </c>
      <c r="H2985" s="6" t="s">
        <v>180</v>
      </c>
      <c r="I2985" s="6" t="s">
        <v>20</v>
      </c>
      <c r="J2985" s="6">
        <v>2014.0</v>
      </c>
      <c r="L2985" s="6">
        <v>2.0</v>
      </c>
      <c r="M2985" s="8">
        <f t="shared" si="3"/>
        <v>0.78</v>
      </c>
      <c r="P2985" s="9"/>
    </row>
    <row r="2986">
      <c r="A2986" s="6" t="s">
        <v>6600</v>
      </c>
      <c r="B2986" s="6" t="s">
        <v>307</v>
      </c>
      <c r="C2986" s="6" t="s">
        <v>48</v>
      </c>
      <c r="D2986" s="6" t="s">
        <v>6601</v>
      </c>
      <c r="E2986" s="6" t="s">
        <v>36</v>
      </c>
      <c r="F2986" s="6" t="s">
        <v>37</v>
      </c>
      <c r="G2986" s="7">
        <v>0.1</v>
      </c>
      <c r="H2986" s="6" t="s">
        <v>1692</v>
      </c>
      <c r="I2986" s="6" t="s">
        <v>20</v>
      </c>
      <c r="J2986" s="6">
        <v>2021.0</v>
      </c>
      <c r="L2986" s="6">
        <v>1.0</v>
      </c>
      <c r="M2986" s="8">
        <f t="shared" si="3"/>
        <v>0.1</v>
      </c>
      <c r="P2986" s="9"/>
    </row>
    <row r="2987">
      <c r="A2987" s="6" t="s">
        <v>6602</v>
      </c>
      <c r="B2987" s="6" t="s">
        <v>62</v>
      </c>
      <c r="C2987" s="6" t="s">
        <v>23</v>
      </c>
      <c r="D2987" s="6" t="s">
        <v>6603</v>
      </c>
      <c r="E2987" s="6" t="s">
        <v>30</v>
      </c>
      <c r="F2987" s="6" t="s">
        <v>18</v>
      </c>
      <c r="G2987" s="7">
        <v>0.3</v>
      </c>
      <c r="H2987" s="6" t="s">
        <v>4243</v>
      </c>
      <c r="I2987" s="6" t="s">
        <v>20</v>
      </c>
      <c r="J2987" s="6">
        <v>2017.0</v>
      </c>
      <c r="L2987" s="6">
        <v>2.0</v>
      </c>
      <c r="M2987" s="8">
        <f t="shared" si="3"/>
        <v>0.6</v>
      </c>
      <c r="P2987" s="9"/>
    </row>
    <row r="2988">
      <c r="A2988" s="6" t="s">
        <v>6604</v>
      </c>
      <c r="B2988" s="6" t="s">
        <v>2489</v>
      </c>
      <c r="C2988" s="6" t="s">
        <v>41</v>
      </c>
      <c r="D2988" s="6" t="s">
        <v>6605</v>
      </c>
      <c r="E2988" s="6" t="s">
        <v>6606</v>
      </c>
      <c r="F2988" s="6" t="s">
        <v>159</v>
      </c>
      <c r="G2988" s="7">
        <v>0.6</v>
      </c>
      <c r="H2988" s="6" t="s">
        <v>632</v>
      </c>
      <c r="I2988" s="6" t="s">
        <v>20</v>
      </c>
      <c r="J2988" s="6">
        <v>2002.0</v>
      </c>
      <c r="L2988" s="6">
        <v>1.0</v>
      </c>
      <c r="M2988" s="8">
        <f t="shared" si="3"/>
        <v>0.6</v>
      </c>
      <c r="N2988" s="6" t="s">
        <v>172</v>
      </c>
      <c r="P2988" s="9"/>
    </row>
    <row r="2989">
      <c r="A2989" s="6" t="s">
        <v>6607</v>
      </c>
      <c r="B2989" s="6" t="s">
        <v>250</v>
      </c>
      <c r="C2989" s="6" t="s">
        <v>48</v>
      </c>
      <c r="D2989" s="6" t="s">
        <v>6608</v>
      </c>
      <c r="E2989" s="6" t="s">
        <v>36</v>
      </c>
      <c r="F2989" s="6" t="s">
        <v>37</v>
      </c>
      <c r="G2989" s="7">
        <v>0.15</v>
      </c>
      <c r="H2989" s="6" t="s">
        <v>245</v>
      </c>
      <c r="I2989" s="6" t="s">
        <v>20</v>
      </c>
      <c r="J2989" s="6">
        <v>1995.0</v>
      </c>
      <c r="L2989" s="6">
        <v>1.0</v>
      </c>
      <c r="M2989" s="8">
        <f t="shared" si="3"/>
        <v>0.15</v>
      </c>
      <c r="P2989" s="9"/>
    </row>
    <row r="2990">
      <c r="A2990" s="6" t="s">
        <v>6609</v>
      </c>
      <c r="B2990" s="6" t="s">
        <v>6610</v>
      </c>
      <c r="C2990" s="6" t="s">
        <v>23</v>
      </c>
      <c r="E2990" s="6" t="s">
        <v>25</v>
      </c>
      <c r="F2990" s="6" t="s">
        <v>18</v>
      </c>
      <c r="G2990" s="7">
        <v>0.02</v>
      </c>
      <c r="H2990" s="6" t="s">
        <v>406</v>
      </c>
      <c r="I2990" s="6" t="s">
        <v>20</v>
      </c>
      <c r="J2990" s="6">
        <v>2019.0</v>
      </c>
      <c r="K2990" s="10">
        <v>46056.0</v>
      </c>
      <c r="L2990" s="6">
        <v>2.0</v>
      </c>
      <c r="M2990" s="8">
        <f t="shared" si="3"/>
        <v>0.04</v>
      </c>
      <c r="P2990" s="9"/>
    </row>
    <row r="2991">
      <c r="A2991" s="6" t="s">
        <v>6611</v>
      </c>
      <c r="B2991" s="6" t="s">
        <v>62</v>
      </c>
      <c r="C2991" s="6" t="s">
        <v>23</v>
      </c>
      <c r="D2991" s="6" t="s">
        <v>6612</v>
      </c>
      <c r="E2991" s="6" t="s">
        <v>112</v>
      </c>
      <c r="F2991" s="6" t="s">
        <v>65</v>
      </c>
      <c r="G2991" s="7">
        <v>0.03</v>
      </c>
      <c r="H2991" s="6" t="s">
        <v>406</v>
      </c>
      <c r="I2991" s="6" t="s">
        <v>20</v>
      </c>
      <c r="J2991" s="6">
        <v>2019.0</v>
      </c>
      <c r="L2991" s="6">
        <v>1.0</v>
      </c>
      <c r="M2991" s="8">
        <f t="shared" si="3"/>
        <v>0.03</v>
      </c>
      <c r="P2991" s="9"/>
    </row>
    <row r="2992">
      <c r="A2992" s="6" t="s">
        <v>6613</v>
      </c>
      <c r="B2992" s="6" t="s">
        <v>6614</v>
      </c>
      <c r="C2992" s="6" t="s">
        <v>34</v>
      </c>
      <c r="D2992" s="6" t="s">
        <v>6615</v>
      </c>
      <c r="E2992" s="6" t="s">
        <v>2028</v>
      </c>
      <c r="F2992" s="6" t="s">
        <v>103</v>
      </c>
      <c r="G2992" s="7">
        <v>0.08</v>
      </c>
      <c r="H2992" s="6" t="s">
        <v>209</v>
      </c>
      <c r="I2992" s="6" t="s">
        <v>20</v>
      </c>
      <c r="J2992" s="6">
        <v>2025.0</v>
      </c>
      <c r="K2992" s="10">
        <v>46115.0</v>
      </c>
      <c r="L2992" s="6">
        <v>10.0</v>
      </c>
      <c r="M2992" s="8">
        <f t="shared" si="3"/>
        <v>0.8</v>
      </c>
      <c r="P2992" s="9"/>
    </row>
    <row r="2993">
      <c r="A2993" s="6" t="s">
        <v>6613</v>
      </c>
      <c r="B2993" s="6" t="s">
        <v>6614</v>
      </c>
      <c r="C2993" s="6" t="s">
        <v>34</v>
      </c>
      <c r="D2993" s="6" t="s">
        <v>6615</v>
      </c>
      <c r="E2993" s="6" t="s">
        <v>2028</v>
      </c>
      <c r="F2993" s="6" t="s">
        <v>103</v>
      </c>
      <c r="G2993" s="7">
        <v>0.35</v>
      </c>
      <c r="H2993" s="6" t="s">
        <v>209</v>
      </c>
      <c r="I2993" s="6" t="s">
        <v>55</v>
      </c>
      <c r="J2993" s="6">
        <v>2025.0</v>
      </c>
      <c r="K2993" s="10">
        <v>46115.0</v>
      </c>
      <c r="L2993" s="6">
        <v>3.0</v>
      </c>
      <c r="M2993" s="8">
        <f t="shared" si="3"/>
        <v>1.05</v>
      </c>
      <c r="P2993" s="9"/>
    </row>
    <row r="2994">
      <c r="A2994" s="6" t="s">
        <v>6616</v>
      </c>
      <c r="B2994" s="6" t="s">
        <v>2451</v>
      </c>
      <c r="C2994" s="6" t="s">
        <v>23</v>
      </c>
      <c r="D2994" s="6" t="s">
        <v>6617</v>
      </c>
      <c r="E2994" s="6" t="s">
        <v>102</v>
      </c>
      <c r="F2994" s="6" t="s">
        <v>103</v>
      </c>
      <c r="G2994" s="7">
        <v>0.04</v>
      </c>
      <c r="H2994" s="6" t="s">
        <v>396</v>
      </c>
      <c r="I2994" s="6" t="s">
        <v>20</v>
      </c>
      <c r="J2994" s="6">
        <v>2007.0</v>
      </c>
      <c r="L2994" s="6">
        <v>3.0</v>
      </c>
      <c r="M2994" s="8">
        <f t="shared" si="3"/>
        <v>0.12</v>
      </c>
      <c r="P2994" s="9"/>
    </row>
    <row r="2995">
      <c r="A2995" s="6" t="s">
        <v>6618</v>
      </c>
      <c r="B2995" s="6" t="s">
        <v>2978</v>
      </c>
      <c r="C2995" s="6" t="s">
        <v>34</v>
      </c>
      <c r="D2995" s="6" t="s">
        <v>6619</v>
      </c>
      <c r="E2995" s="6" t="s">
        <v>1767</v>
      </c>
      <c r="F2995" s="6" t="s">
        <v>18</v>
      </c>
      <c r="G2995" s="7">
        <v>0.06</v>
      </c>
      <c r="H2995" s="6" t="s">
        <v>1043</v>
      </c>
      <c r="I2995" s="6" t="s">
        <v>20</v>
      </c>
      <c r="J2995" s="6">
        <v>2025.0</v>
      </c>
      <c r="K2995" s="10">
        <v>46056.0</v>
      </c>
      <c r="L2995" s="6">
        <v>1.0</v>
      </c>
      <c r="M2995" s="8">
        <f t="shared" si="3"/>
        <v>0.06</v>
      </c>
      <c r="P2995" s="9"/>
    </row>
    <row r="2996">
      <c r="A2996" s="6" t="s">
        <v>6620</v>
      </c>
      <c r="B2996" s="6" t="s">
        <v>6621</v>
      </c>
      <c r="C2996" s="6" t="s">
        <v>23</v>
      </c>
      <c r="D2996" s="6" t="s">
        <v>6622</v>
      </c>
      <c r="E2996" s="6" t="s">
        <v>235</v>
      </c>
      <c r="F2996" s="6" t="s">
        <v>103</v>
      </c>
      <c r="G2996" s="7">
        <v>0.03</v>
      </c>
      <c r="H2996" s="6" t="s">
        <v>184</v>
      </c>
      <c r="I2996" s="6" t="s">
        <v>20</v>
      </c>
      <c r="J2996" s="6">
        <v>2015.0</v>
      </c>
      <c r="K2996" s="10">
        <v>46055.0</v>
      </c>
      <c r="L2996" s="6">
        <v>2.0</v>
      </c>
      <c r="M2996" s="8">
        <f t="shared" si="3"/>
        <v>0.06</v>
      </c>
      <c r="P2996" s="9"/>
    </row>
    <row r="2997">
      <c r="A2997" s="6" t="s">
        <v>6620</v>
      </c>
      <c r="B2997" s="6" t="s">
        <v>6621</v>
      </c>
      <c r="C2997" s="6" t="s">
        <v>23</v>
      </c>
      <c r="D2997" s="6" t="s">
        <v>6622</v>
      </c>
      <c r="E2997" s="6" t="s">
        <v>235</v>
      </c>
      <c r="F2997" s="6" t="s">
        <v>103</v>
      </c>
      <c r="G2997" s="7">
        <v>0.03</v>
      </c>
      <c r="H2997" s="6" t="s">
        <v>184</v>
      </c>
      <c r="I2997" s="6" t="s">
        <v>20</v>
      </c>
      <c r="J2997" s="6">
        <v>2015.0</v>
      </c>
      <c r="K2997" s="10">
        <v>46055.0</v>
      </c>
      <c r="L2997" s="6">
        <v>4.0</v>
      </c>
      <c r="M2997" s="8">
        <f t="shared" si="3"/>
        <v>0.12</v>
      </c>
      <c r="P2997" s="9"/>
    </row>
    <row r="2998">
      <c r="A2998" s="6" t="s">
        <v>6620</v>
      </c>
      <c r="B2998" s="6" t="s">
        <v>6621</v>
      </c>
      <c r="C2998" s="6" t="s">
        <v>23</v>
      </c>
      <c r="D2998" s="6" t="s">
        <v>6622</v>
      </c>
      <c r="E2998" s="6" t="s">
        <v>235</v>
      </c>
      <c r="F2998" s="6" t="s">
        <v>103</v>
      </c>
      <c r="G2998" s="7">
        <v>0.06</v>
      </c>
      <c r="H2998" s="6" t="s">
        <v>632</v>
      </c>
      <c r="I2998" s="6" t="s">
        <v>20</v>
      </c>
      <c r="J2998" s="6">
        <v>2002.0</v>
      </c>
      <c r="K2998" s="10">
        <v>46055.0</v>
      </c>
      <c r="L2998" s="6">
        <v>1.0</v>
      </c>
      <c r="M2998" s="8">
        <f t="shared" si="3"/>
        <v>0.06</v>
      </c>
      <c r="P2998" s="9"/>
    </row>
    <row r="2999">
      <c r="A2999" s="6" t="s">
        <v>6623</v>
      </c>
      <c r="B2999" s="6" t="s">
        <v>62</v>
      </c>
      <c r="C2999" s="6" t="s">
        <v>23</v>
      </c>
      <c r="D2999" s="6" t="s">
        <v>6624</v>
      </c>
      <c r="E2999" s="6" t="s">
        <v>270</v>
      </c>
      <c r="F2999" s="6" t="s">
        <v>159</v>
      </c>
      <c r="G2999" s="7">
        <v>0.03</v>
      </c>
      <c r="H2999" s="6" t="s">
        <v>541</v>
      </c>
      <c r="I2999" s="6" t="s">
        <v>20</v>
      </c>
      <c r="J2999" s="6">
        <v>2019.0</v>
      </c>
      <c r="L2999" s="6">
        <v>5.0</v>
      </c>
      <c r="M2999" s="8">
        <f t="shared" si="3"/>
        <v>0.15</v>
      </c>
      <c r="P2999" s="9"/>
    </row>
    <row r="3000">
      <c r="A3000" s="6" t="s">
        <v>6625</v>
      </c>
      <c r="B3000" s="6" t="s">
        <v>62</v>
      </c>
      <c r="C3000" s="6" t="s">
        <v>23</v>
      </c>
      <c r="D3000" s="6" t="s">
        <v>6626</v>
      </c>
      <c r="E3000" s="6" t="s">
        <v>223</v>
      </c>
      <c r="F3000" s="6" t="s">
        <v>159</v>
      </c>
      <c r="G3000" s="7">
        <v>0.07</v>
      </c>
      <c r="H3000" s="6" t="s">
        <v>88</v>
      </c>
      <c r="I3000" s="6" t="s">
        <v>20</v>
      </c>
      <c r="J3000" s="6">
        <v>2013.0</v>
      </c>
      <c r="L3000" s="6">
        <v>1.0</v>
      </c>
      <c r="M3000" s="8">
        <f t="shared" si="3"/>
        <v>0.07</v>
      </c>
      <c r="P3000" s="9"/>
    </row>
    <row r="3001">
      <c r="A3001" s="6" t="s">
        <v>6625</v>
      </c>
      <c r="B3001" s="6" t="s">
        <v>62</v>
      </c>
      <c r="C3001" s="6" t="s">
        <v>23</v>
      </c>
      <c r="D3001" s="6" t="s">
        <v>6626</v>
      </c>
      <c r="E3001" s="6" t="s">
        <v>223</v>
      </c>
      <c r="F3001" s="6" t="s">
        <v>159</v>
      </c>
      <c r="G3001" s="7">
        <v>0.03</v>
      </c>
      <c r="H3001" s="6" t="s">
        <v>875</v>
      </c>
      <c r="I3001" s="6" t="s">
        <v>20</v>
      </c>
      <c r="J3001" s="6">
        <v>2018.0</v>
      </c>
      <c r="L3001" s="6">
        <v>2.0</v>
      </c>
      <c r="M3001" s="8">
        <f t="shared" si="3"/>
        <v>0.06</v>
      </c>
      <c r="P3001" s="9"/>
    </row>
    <row r="3002">
      <c r="A3002" s="6" t="s">
        <v>6627</v>
      </c>
      <c r="B3002" s="6" t="s">
        <v>62</v>
      </c>
      <c r="C3002" s="6" t="s">
        <v>23</v>
      </c>
      <c r="D3002" s="6" t="s">
        <v>6628</v>
      </c>
      <c r="E3002" s="6" t="s">
        <v>6629</v>
      </c>
      <c r="F3002" s="6" t="s">
        <v>874</v>
      </c>
      <c r="G3002" s="7">
        <v>0.05</v>
      </c>
      <c r="H3002" s="6" t="s">
        <v>2669</v>
      </c>
      <c r="I3002" s="6" t="s">
        <v>20</v>
      </c>
      <c r="J3002" s="6">
        <v>2019.0</v>
      </c>
      <c r="L3002" s="6">
        <v>4.0</v>
      </c>
      <c r="M3002" s="8">
        <f t="shared" si="3"/>
        <v>0.2</v>
      </c>
      <c r="P3002" s="9"/>
    </row>
    <row r="3003">
      <c r="A3003" s="6" t="s">
        <v>6630</v>
      </c>
      <c r="B3003" s="6" t="s">
        <v>62</v>
      </c>
      <c r="C3003" s="6" t="s">
        <v>23</v>
      </c>
      <c r="D3003" s="6" t="s">
        <v>6631</v>
      </c>
      <c r="E3003" s="6" t="s">
        <v>238</v>
      </c>
      <c r="F3003" s="6" t="s">
        <v>159</v>
      </c>
      <c r="G3003" s="7">
        <v>0.04</v>
      </c>
      <c r="H3003" s="6" t="s">
        <v>4243</v>
      </c>
      <c r="I3003" s="6" t="s">
        <v>20</v>
      </c>
      <c r="J3003" s="6">
        <v>2017.0</v>
      </c>
      <c r="K3003" s="6" t="s">
        <v>1901</v>
      </c>
      <c r="L3003" s="6">
        <v>2.0</v>
      </c>
      <c r="M3003" s="8">
        <f t="shared" si="3"/>
        <v>0.08</v>
      </c>
      <c r="P3003" s="9"/>
    </row>
    <row r="3004">
      <c r="A3004" s="6" t="s">
        <v>6632</v>
      </c>
      <c r="B3004" s="6" t="s">
        <v>796</v>
      </c>
      <c r="C3004" s="6" t="s">
        <v>34</v>
      </c>
      <c r="D3004" s="6" t="s">
        <v>6633</v>
      </c>
      <c r="E3004" s="6" t="s">
        <v>2125</v>
      </c>
      <c r="F3004" s="6" t="s">
        <v>159</v>
      </c>
      <c r="G3004" s="7">
        <v>0.03</v>
      </c>
      <c r="H3004" s="6" t="s">
        <v>483</v>
      </c>
      <c r="I3004" s="6" t="s">
        <v>20</v>
      </c>
      <c r="J3004" s="6">
        <v>2014.0</v>
      </c>
      <c r="L3004" s="6">
        <v>7.0</v>
      </c>
      <c r="M3004" s="8">
        <f t="shared" si="3"/>
        <v>0.21</v>
      </c>
      <c r="P3004" s="9"/>
    </row>
    <row r="3005">
      <c r="A3005" s="6" t="s">
        <v>6634</v>
      </c>
      <c r="B3005" s="6" t="s">
        <v>131</v>
      </c>
      <c r="C3005" s="6" t="s">
        <v>23</v>
      </c>
      <c r="D3005" s="6" t="s">
        <v>6635</v>
      </c>
      <c r="E3005" s="6" t="s">
        <v>573</v>
      </c>
      <c r="F3005" s="6" t="s">
        <v>51</v>
      </c>
      <c r="G3005" s="7">
        <v>0.05</v>
      </c>
      <c r="H3005" s="6" t="s">
        <v>88</v>
      </c>
      <c r="I3005" s="6" t="s">
        <v>20</v>
      </c>
      <c r="J3005" s="6">
        <v>2013.0</v>
      </c>
      <c r="K3005" s="10">
        <v>46145.0</v>
      </c>
      <c r="L3005" s="6">
        <v>1.0</v>
      </c>
      <c r="M3005" s="8">
        <f t="shared" si="3"/>
        <v>0.05</v>
      </c>
      <c r="P3005" s="9"/>
    </row>
    <row r="3006">
      <c r="A3006" s="6" t="s">
        <v>6636</v>
      </c>
      <c r="B3006" s="6" t="s">
        <v>62</v>
      </c>
      <c r="C3006" s="6" t="s">
        <v>48</v>
      </c>
      <c r="D3006" s="6" t="s">
        <v>6637</v>
      </c>
      <c r="E3006" s="6" t="s">
        <v>6638</v>
      </c>
      <c r="F3006" s="6" t="s">
        <v>6639</v>
      </c>
      <c r="G3006" s="7">
        <v>0.25</v>
      </c>
      <c r="H3006" s="6" t="s">
        <v>1748</v>
      </c>
      <c r="I3006" s="6" t="s">
        <v>20</v>
      </c>
      <c r="J3006" s="6">
        <v>2008.0</v>
      </c>
      <c r="L3006" s="6">
        <v>4.0</v>
      </c>
      <c r="M3006" s="8">
        <f t="shared" si="3"/>
        <v>1</v>
      </c>
      <c r="P3006" s="9"/>
    </row>
    <row r="3007">
      <c r="A3007" s="6" t="s">
        <v>6640</v>
      </c>
      <c r="B3007" s="6" t="s">
        <v>6641</v>
      </c>
      <c r="C3007" s="6" t="s">
        <v>23</v>
      </c>
      <c r="D3007" s="6" t="s">
        <v>6642</v>
      </c>
      <c r="E3007" s="6" t="s">
        <v>6643</v>
      </c>
      <c r="F3007" s="6" t="s">
        <v>6639</v>
      </c>
      <c r="G3007" s="7">
        <v>0.15</v>
      </c>
      <c r="H3007" s="6" t="s">
        <v>718</v>
      </c>
      <c r="I3007" s="6" t="s">
        <v>20</v>
      </c>
      <c r="J3007" s="6">
        <v>2009.0</v>
      </c>
      <c r="K3007" s="10">
        <v>46024.0</v>
      </c>
      <c r="L3007" s="6">
        <v>2.0</v>
      </c>
      <c r="M3007" s="8">
        <f t="shared" si="3"/>
        <v>0.3</v>
      </c>
      <c r="P3007" s="9"/>
    </row>
    <row r="3008">
      <c r="A3008" s="6" t="s">
        <v>6644</v>
      </c>
      <c r="B3008" s="6" t="s">
        <v>151</v>
      </c>
      <c r="C3008" s="6" t="s">
        <v>23</v>
      </c>
      <c r="D3008" s="6" t="s">
        <v>435</v>
      </c>
      <c r="E3008" s="6" t="s">
        <v>573</v>
      </c>
      <c r="F3008" s="6" t="s">
        <v>51</v>
      </c>
      <c r="G3008" s="7">
        <v>0.06</v>
      </c>
      <c r="H3008" s="6" t="s">
        <v>114</v>
      </c>
      <c r="I3008" s="6" t="s">
        <v>20</v>
      </c>
      <c r="J3008" s="6">
        <v>2021.0</v>
      </c>
      <c r="K3008" s="10">
        <v>46144.0</v>
      </c>
      <c r="L3008" s="6">
        <v>2.0</v>
      </c>
      <c r="M3008" s="8">
        <f t="shared" si="3"/>
        <v>0.12</v>
      </c>
      <c r="P3008" s="9"/>
    </row>
    <row r="3009">
      <c r="A3009" s="6" t="s">
        <v>6645</v>
      </c>
      <c r="B3009" s="6" t="s">
        <v>151</v>
      </c>
      <c r="C3009" s="6" t="s">
        <v>48</v>
      </c>
      <c r="D3009" s="6" t="s">
        <v>6646</v>
      </c>
      <c r="E3009" s="6" t="s">
        <v>25</v>
      </c>
      <c r="F3009" s="6" t="s">
        <v>18</v>
      </c>
      <c r="G3009" s="7">
        <v>0.1</v>
      </c>
      <c r="H3009" s="6" t="s">
        <v>66</v>
      </c>
      <c r="I3009" s="6" t="s">
        <v>20</v>
      </c>
      <c r="J3009" s="6">
        <v>2016.0</v>
      </c>
      <c r="K3009" s="10">
        <v>46024.0</v>
      </c>
      <c r="L3009" s="6">
        <v>1.0</v>
      </c>
      <c r="M3009" s="8">
        <f t="shared" si="3"/>
        <v>0.1</v>
      </c>
      <c r="P3009" s="9"/>
    </row>
    <row r="3010">
      <c r="A3010" s="6" t="s">
        <v>6647</v>
      </c>
      <c r="B3010" s="6" t="s">
        <v>182</v>
      </c>
      <c r="C3010" s="6" t="s">
        <v>48</v>
      </c>
      <c r="D3010" s="6" t="s">
        <v>6648</v>
      </c>
      <c r="E3010" s="6" t="s">
        <v>611</v>
      </c>
      <c r="F3010" s="6" t="s">
        <v>103</v>
      </c>
      <c r="G3010" s="7">
        <v>0.09</v>
      </c>
      <c r="H3010" s="6" t="s">
        <v>184</v>
      </c>
      <c r="I3010" s="6" t="s">
        <v>20</v>
      </c>
      <c r="J3010" s="6">
        <v>2015.0</v>
      </c>
      <c r="L3010" s="6">
        <v>2.0</v>
      </c>
      <c r="M3010" s="8">
        <f t="shared" si="3"/>
        <v>0.18</v>
      </c>
      <c r="P3010" s="9"/>
    </row>
    <row r="3011">
      <c r="A3011" s="6" t="s">
        <v>6649</v>
      </c>
      <c r="B3011" s="6" t="s">
        <v>6650</v>
      </c>
      <c r="C3011" s="6" t="s">
        <v>48</v>
      </c>
      <c r="D3011" s="6" t="s">
        <v>6651</v>
      </c>
      <c r="E3011" s="6" t="s">
        <v>102</v>
      </c>
      <c r="F3011" s="6" t="s">
        <v>103</v>
      </c>
      <c r="G3011" s="7">
        <v>0.29</v>
      </c>
      <c r="H3011" s="6" t="s">
        <v>396</v>
      </c>
      <c r="I3011" s="6" t="s">
        <v>20</v>
      </c>
      <c r="J3011" s="6">
        <v>2007.0</v>
      </c>
      <c r="K3011" s="10">
        <v>46023.0</v>
      </c>
      <c r="L3011" s="6">
        <v>1.0</v>
      </c>
      <c r="M3011" s="8">
        <f t="shared" si="3"/>
        <v>0.29</v>
      </c>
      <c r="P3011" s="9"/>
    </row>
    <row r="3012">
      <c r="A3012" s="6" t="s">
        <v>6652</v>
      </c>
      <c r="B3012" s="6" t="s">
        <v>758</v>
      </c>
      <c r="C3012" s="6" t="s">
        <v>48</v>
      </c>
      <c r="D3012" s="6" t="s">
        <v>6653</v>
      </c>
      <c r="E3012" s="6" t="s">
        <v>158</v>
      </c>
      <c r="F3012" s="6" t="s">
        <v>159</v>
      </c>
      <c r="G3012" s="7">
        <v>0.12</v>
      </c>
      <c r="H3012" s="6" t="s">
        <v>113</v>
      </c>
      <c r="I3012" s="6" t="s">
        <v>20</v>
      </c>
      <c r="J3012" s="6">
        <v>2024.0</v>
      </c>
      <c r="K3012" s="10">
        <v>46146.0</v>
      </c>
      <c r="L3012" s="6">
        <v>2.0</v>
      </c>
      <c r="M3012" s="8">
        <f t="shared" si="3"/>
        <v>0.24</v>
      </c>
      <c r="P3012" s="9"/>
    </row>
    <row r="3013">
      <c r="A3013" s="6" t="s">
        <v>6654</v>
      </c>
      <c r="B3013" s="6" t="s">
        <v>62</v>
      </c>
      <c r="C3013" s="6" t="s">
        <v>23</v>
      </c>
      <c r="D3013" s="6" t="s">
        <v>6655</v>
      </c>
      <c r="E3013" s="6" t="s">
        <v>149</v>
      </c>
      <c r="F3013" s="6" t="s">
        <v>18</v>
      </c>
      <c r="G3013" s="7">
        <v>0.1</v>
      </c>
      <c r="H3013" s="6" t="s">
        <v>184</v>
      </c>
      <c r="I3013" s="6" t="s">
        <v>20</v>
      </c>
      <c r="J3013" s="6">
        <v>2015.0</v>
      </c>
      <c r="L3013" s="6">
        <v>6.0</v>
      </c>
      <c r="M3013" s="8">
        <f t="shared" si="3"/>
        <v>0.6</v>
      </c>
      <c r="P3013" s="9"/>
    </row>
    <row r="3014">
      <c r="A3014" s="6" t="s">
        <v>6654</v>
      </c>
      <c r="B3014" s="6" t="s">
        <v>62</v>
      </c>
      <c r="C3014" s="6" t="s">
        <v>23</v>
      </c>
      <c r="D3014" s="6" t="s">
        <v>6655</v>
      </c>
      <c r="E3014" s="6" t="s">
        <v>149</v>
      </c>
      <c r="F3014" s="6" t="s">
        <v>18</v>
      </c>
      <c r="G3014" s="7">
        <v>0.1</v>
      </c>
      <c r="H3014" s="6" t="s">
        <v>184</v>
      </c>
      <c r="I3014" s="6" t="s">
        <v>20</v>
      </c>
      <c r="J3014" s="6">
        <v>2015.0</v>
      </c>
      <c r="L3014" s="6">
        <v>3.0</v>
      </c>
      <c r="M3014" s="8">
        <f t="shared" si="3"/>
        <v>0.3</v>
      </c>
      <c r="P3014" s="9"/>
    </row>
    <row r="3015">
      <c r="A3015" s="6" t="s">
        <v>6654</v>
      </c>
      <c r="B3015" s="6" t="s">
        <v>62</v>
      </c>
      <c r="C3015" s="6" t="s">
        <v>23</v>
      </c>
      <c r="D3015" s="6" t="s">
        <v>6655</v>
      </c>
      <c r="E3015" s="6" t="s">
        <v>149</v>
      </c>
      <c r="F3015" s="6" t="s">
        <v>18</v>
      </c>
      <c r="G3015" s="7">
        <v>0.05</v>
      </c>
      <c r="H3015" s="6" t="s">
        <v>192</v>
      </c>
      <c r="I3015" s="6" t="s">
        <v>20</v>
      </c>
      <c r="J3015" s="6">
        <v>2026.0</v>
      </c>
      <c r="L3015" s="6">
        <v>2.0</v>
      </c>
      <c r="M3015" s="8">
        <f t="shared" si="3"/>
        <v>0.1</v>
      </c>
      <c r="P3015" s="9"/>
    </row>
    <row r="3016">
      <c r="A3016" s="6" t="s">
        <v>6656</v>
      </c>
      <c r="B3016" s="6" t="s">
        <v>6657</v>
      </c>
      <c r="C3016" s="6" t="s">
        <v>48</v>
      </c>
      <c r="D3016" s="6" t="s">
        <v>6658</v>
      </c>
      <c r="E3016" s="6" t="s">
        <v>1570</v>
      </c>
      <c r="F3016" s="6" t="s">
        <v>159</v>
      </c>
      <c r="G3016" s="7">
        <v>0.5</v>
      </c>
      <c r="H3016" s="6" t="s">
        <v>163</v>
      </c>
      <c r="I3016" s="6" t="s">
        <v>20</v>
      </c>
      <c r="J3016" s="6">
        <v>2023.0</v>
      </c>
      <c r="K3016" s="10">
        <v>46146.0</v>
      </c>
      <c r="L3016" s="6">
        <v>1.0</v>
      </c>
      <c r="M3016" s="8">
        <f t="shared" si="3"/>
        <v>0.5</v>
      </c>
      <c r="P3016" s="9"/>
    </row>
    <row r="3017">
      <c r="A3017" s="6" t="s">
        <v>6659</v>
      </c>
      <c r="B3017" s="6" t="s">
        <v>628</v>
      </c>
      <c r="C3017" s="6" t="s">
        <v>23</v>
      </c>
      <c r="D3017" s="6" t="s">
        <v>6660</v>
      </c>
      <c r="E3017" s="6" t="s">
        <v>30</v>
      </c>
      <c r="F3017" s="6" t="s">
        <v>18</v>
      </c>
      <c r="G3017" s="7">
        <v>0.05</v>
      </c>
      <c r="H3017" s="6" t="s">
        <v>1494</v>
      </c>
      <c r="I3017" s="6" t="s">
        <v>20</v>
      </c>
      <c r="J3017" s="6">
        <v>2012.0</v>
      </c>
      <c r="K3017" s="10">
        <v>46083.0</v>
      </c>
      <c r="L3017" s="6">
        <v>1.0</v>
      </c>
      <c r="M3017" s="8">
        <f t="shared" si="3"/>
        <v>0.05</v>
      </c>
      <c r="P3017" s="9"/>
    </row>
    <row r="3018">
      <c r="A3018" s="6" t="s">
        <v>6661</v>
      </c>
      <c r="B3018" s="6" t="s">
        <v>1808</v>
      </c>
      <c r="C3018" s="6" t="s">
        <v>48</v>
      </c>
      <c r="D3018" s="6" t="s">
        <v>6662</v>
      </c>
      <c r="E3018" s="6" t="s">
        <v>223</v>
      </c>
      <c r="F3018" s="6" t="s">
        <v>159</v>
      </c>
      <c r="G3018" s="7">
        <v>0.09</v>
      </c>
      <c r="H3018" s="6" t="s">
        <v>113</v>
      </c>
      <c r="I3018" s="6" t="s">
        <v>20</v>
      </c>
      <c r="J3018" s="6">
        <v>2024.0</v>
      </c>
      <c r="K3018" s="10">
        <v>46055.0</v>
      </c>
      <c r="L3018" s="6">
        <v>1.0</v>
      </c>
      <c r="M3018" s="8">
        <f t="shared" si="3"/>
        <v>0.09</v>
      </c>
      <c r="P3018" s="9"/>
    </row>
    <row r="3019">
      <c r="A3019" s="6" t="s">
        <v>6663</v>
      </c>
      <c r="B3019" s="6" t="s">
        <v>6664</v>
      </c>
      <c r="C3019" s="6" t="s">
        <v>23</v>
      </c>
      <c r="D3019" s="6" t="s">
        <v>6665</v>
      </c>
      <c r="E3019" s="6" t="s">
        <v>223</v>
      </c>
      <c r="F3019" s="6" t="s">
        <v>159</v>
      </c>
      <c r="G3019" s="7">
        <v>0.75</v>
      </c>
      <c r="H3019" s="6" t="s">
        <v>636</v>
      </c>
      <c r="I3019" s="6" t="s">
        <v>20</v>
      </c>
      <c r="J3019" s="6">
        <v>2015.0</v>
      </c>
      <c r="K3019" s="10">
        <v>46055.0</v>
      </c>
      <c r="L3019" s="6">
        <v>2.0</v>
      </c>
      <c r="M3019" s="8">
        <f t="shared" si="3"/>
        <v>1.5</v>
      </c>
      <c r="P3019" s="9"/>
    </row>
    <row r="3020">
      <c r="A3020" s="6" t="s">
        <v>6663</v>
      </c>
      <c r="B3020" s="6" t="s">
        <v>6664</v>
      </c>
      <c r="C3020" s="6" t="s">
        <v>23</v>
      </c>
      <c r="D3020" s="6" t="s">
        <v>6666</v>
      </c>
      <c r="E3020" s="6" t="s">
        <v>223</v>
      </c>
      <c r="F3020" s="6" t="s">
        <v>159</v>
      </c>
      <c r="G3020" s="7">
        <v>1.95</v>
      </c>
      <c r="H3020" s="6" t="s">
        <v>6667</v>
      </c>
      <c r="I3020" s="6" t="s">
        <v>20</v>
      </c>
      <c r="J3020" s="6">
        <v>2016.0</v>
      </c>
      <c r="K3020" s="10">
        <v>46055.0</v>
      </c>
      <c r="L3020" s="6">
        <v>1.0</v>
      </c>
      <c r="M3020" s="8">
        <f t="shared" si="3"/>
        <v>1.95</v>
      </c>
      <c r="P3020" s="9"/>
    </row>
    <row r="3021">
      <c r="A3021" s="6" t="s">
        <v>6668</v>
      </c>
      <c r="B3021" s="6" t="s">
        <v>156</v>
      </c>
      <c r="C3021" s="6" t="s">
        <v>23</v>
      </c>
      <c r="D3021" s="6" t="s">
        <v>6669</v>
      </c>
      <c r="E3021" s="6" t="s">
        <v>270</v>
      </c>
      <c r="F3021" s="6" t="s">
        <v>159</v>
      </c>
      <c r="G3021" s="7">
        <v>0.03</v>
      </c>
      <c r="H3021" s="6" t="s">
        <v>541</v>
      </c>
      <c r="I3021" s="6" t="s">
        <v>20</v>
      </c>
      <c r="J3021" s="6">
        <v>2019.0</v>
      </c>
      <c r="K3021" s="10">
        <v>46083.0</v>
      </c>
      <c r="L3021" s="6">
        <v>1.0</v>
      </c>
      <c r="M3021" s="8">
        <f t="shared" si="3"/>
        <v>0.03</v>
      </c>
      <c r="P3021" s="9"/>
    </row>
    <row r="3022">
      <c r="A3022" s="6" t="s">
        <v>6668</v>
      </c>
      <c r="B3022" s="6" t="s">
        <v>156</v>
      </c>
      <c r="C3022" s="6" t="s">
        <v>23</v>
      </c>
      <c r="D3022" s="6" t="s">
        <v>6669</v>
      </c>
      <c r="E3022" s="6" t="s">
        <v>270</v>
      </c>
      <c r="F3022" s="6" t="s">
        <v>159</v>
      </c>
      <c r="G3022" s="7">
        <v>0.06</v>
      </c>
      <c r="H3022" s="6" t="s">
        <v>188</v>
      </c>
      <c r="I3022" s="6" t="s">
        <v>20</v>
      </c>
      <c r="J3022" s="6">
        <v>2014.0</v>
      </c>
      <c r="K3022" s="10">
        <v>46083.0</v>
      </c>
      <c r="L3022" s="6">
        <v>2.0</v>
      </c>
      <c r="M3022" s="8">
        <f t="shared" si="3"/>
        <v>0.12</v>
      </c>
      <c r="P3022" s="9"/>
    </row>
    <row r="3023">
      <c r="A3023" s="6" t="s">
        <v>6670</v>
      </c>
      <c r="B3023" s="6" t="s">
        <v>1298</v>
      </c>
      <c r="C3023" s="6" t="s">
        <v>23</v>
      </c>
      <c r="E3023" s="6" t="s">
        <v>298</v>
      </c>
      <c r="F3023" s="6" t="s">
        <v>159</v>
      </c>
      <c r="G3023" s="7">
        <v>0.05</v>
      </c>
      <c r="H3023" s="6" t="s">
        <v>596</v>
      </c>
      <c r="I3023" s="6" t="s">
        <v>20</v>
      </c>
      <c r="J3023" s="6">
        <v>2012.0</v>
      </c>
      <c r="K3023" s="10">
        <v>46085.0</v>
      </c>
      <c r="L3023" s="6">
        <v>1.0</v>
      </c>
      <c r="M3023" s="8">
        <f t="shared" si="3"/>
        <v>0.05</v>
      </c>
      <c r="P3023" s="9"/>
    </row>
    <row r="3024">
      <c r="A3024" s="6" t="s">
        <v>6671</v>
      </c>
      <c r="B3024" s="6" t="s">
        <v>6672</v>
      </c>
      <c r="C3024" s="6" t="s">
        <v>48</v>
      </c>
      <c r="D3024" s="6" t="s">
        <v>6673</v>
      </c>
      <c r="E3024" s="6" t="s">
        <v>235</v>
      </c>
      <c r="F3024" s="6" t="s">
        <v>103</v>
      </c>
      <c r="G3024" s="7">
        <v>0.84</v>
      </c>
      <c r="H3024" s="6" t="s">
        <v>607</v>
      </c>
      <c r="I3024" s="6" t="s">
        <v>20</v>
      </c>
      <c r="J3024" s="6">
        <v>1994.0</v>
      </c>
      <c r="K3024" s="10">
        <v>46023.0</v>
      </c>
      <c r="L3024" s="6">
        <v>1.0</v>
      </c>
      <c r="M3024" s="8">
        <f t="shared" si="3"/>
        <v>0.84</v>
      </c>
      <c r="P3024" s="9"/>
    </row>
    <row r="3025">
      <c r="A3025" s="6" t="s">
        <v>6674</v>
      </c>
      <c r="B3025" s="6" t="s">
        <v>543</v>
      </c>
      <c r="C3025" s="6" t="s">
        <v>48</v>
      </c>
      <c r="D3025" s="6" t="s">
        <v>6675</v>
      </c>
      <c r="E3025" s="6" t="s">
        <v>298</v>
      </c>
      <c r="F3025" s="6" t="s">
        <v>159</v>
      </c>
      <c r="G3025" s="7">
        <v>0.23</v>
      </c>
      <c r="H3025" s="6" t="s">
        <v>192</v>
      </c>
      <c r="I3025" s="6" t="s">
        <v>20</v>
      </c>
      <c r="J3025" s="6">
        <v>2026.0</v>
      </c>
      <c r="L3025" s="6">
        <v>1.0</v>
      </c>
      <c r="M3025" s="8">
        <f t="shared" si="3"/>
        <v>0.23</v>
      </c>
      <c r="P3025" s="9"/>
    </row>
    <row r="3026">
      <c r="A3026" s="6" t="s">
        <v>6676</v>
      </c>
      <c r="B3026" s="6" t="s">
        <v>372</v>
      </c>
      <c r="C3026" s="6" t="s">
        <v>23</v>
      </c>
      <c r="D3026" s="6" t="s">
        <v>6677</v>
      </c>
      <c r="E3026" s="6" t="s">
        <v>270</v>
      </c>
      <c r="F3026" s="6" t="s">
        <v>159</v>
      </c>
      <c r="G3026" s="7">
        <v>0.03</v>
      </c>
      <c r="H3026" s="6" t="s">
        <v>406</v>
      </c>
      <c r="I3026" s="6" t="s">
        <v>20</v>
      </c>
      <c r="J3026" s="6">
        <v>2019.0</v>
      </c>
      <c r="L3026" s="6">
        <v>1.0</v>
      </c>
      <c r="M3026" s="8">
        <f t="shared" si="3"/>
        <v>0.03</v>
      </c>
      <c r="P3026" s="9"/>
    </row>
    <row r="3027">
      <c r="A3027" s="6" t="s">
        <v>6678</v>
      </c>
      <c r="B3027" s="6" t="s">
        <v>202</v>
      </c>
      <c r="C3027" s="6" t="s">
        <v>41</v>
      </c>
      <c r="D3027" s="6" t="s">
        <v>6679</v>
      </c>
      <c r="E3027" s="6" t="s">
        <v>328</v>
      </c>
      <c r="F3027" s="6" t="s">
        <v>18</v>
      </c>
      <c r="G3027" s="7">
        <v>0.24</v>
      </c>
      <c r="H3027" s="6" t="s">
        <v>562</v>
      </c>
      <c r="I3027" s="6" t="s">
        <v>20</v>
      </c>
      <c r="J3027" s="6">
        <v>2017.0</v>
      </c>
      <c r="L3027" s="6">
        <v>2.0</v>
      </c>
      <c r="M3027" s="8">
        <f t="shared" si="3"/>
        <v>0.48</v>
      </c>
      <c r="P3027" s="9"/>
    </row>
    <row r="3028">
      <c r="A3028" s="6" t="s">
        <v>6680</v>
      </c>
      <c r="B3028" s="6" t="s">
        <v>6681</v>
      </c>
      <c r="C3028" s="6" t="s">
        <v>23</v>
      </c>
      <c r="D3028" s="6" t="s">
        <v>6682</v>
      </c>
      <c r="E3028" s="6" t="s">
        <v>270</v>
      </c>
      <c r="F3028" s="6" t="s">
        <v>159</v>
      </c>
      <c r="G3028" s="7">
        <v>0.03</v>
      </c>
      <c r="H3028" s="6" t="s">
        <v>526</v>
      </c>
      <c r="I3028" s="6" t="s">
        <v>20</v>
      </c>
      <c r="J3028" s="6">
        <v>2020.0</v>
      </c>
      <c r="K3028" s="10">
        <v>46113.0</v>
      </c>
      <c r="L3028" s="6">
        <v>1.0</v>
      </c>
      <c r="M3028" s="8">
        <f t="shared" si="3"/>
        <v>0.03</v>
      </c>
      <c r="P3028" s="9"/>
    </row>
    <row r="3029">
      <c r="A3029" s="6" t="s">
        <v>6683</v>
      </c>
      <c r="B3029" s="6" t="s">
        <v>6684</v>
      </c>
      <c r="C3029" s="6" t="s">
        <v>23</v>
      </c>
      <c r="D3029" s="6" t="s">
        <v>6685</v>
      </c>
      <c r="E3029" s="6" t="s">
        <v>235</v>
      </c>
      <c r="F3029" s="6" t="s">
        <v>103</v>
      </c>
      <c r="G3029" s="7">
        <v>0.06</v>
      </c>
      <c r="H3029" s="6" t="s">
        <v>418</v>
      </c>
      <c r="I3029" s="6" t="s">
        <v>20</v>
      </c>
      <c r="J3029" s="6">
        <v>2022.0</v>
      </c>
      <c r="K3029" s="10">
        <v>46056.0</v>
      </c>
      <c r="L3029" s="6">
        <v>1.0</v>
      </c>
      <c r="M3029" s="8">
        <f t="shared" si="3"/>
        <v>0.06</v>
      </c>
      <c r="P3029" s="9"/>
    </row>
    <row r="3030">
      <c r="A3030" s="6" t="s">
        <v>6686</v>
      </c>
      <c r="B3030" s="6" t="s">
        <v>68</v>
      </c>
      <c r="C3030" s="6" t="s">
        <v>23</v>
      </c>
      <c r="D3030" s="6" t="s">
        <v>6687</v>
      </c>
      <c r="F3030" s="6" t="s">
        <v>37</v>
      </c>
      <c r="G3030" s="7">
        <v>0.15</v>
      </c>
      <c r="H3030" s="6" t="s">
        <v>324</v>
      </c>
      <c r="I3030" s="6" t="s">
        <v>20</v>
      </c>
      <c r="J3030" s="6">
        <v>2025.0</v>
      </c>
      <c r="L3030" s="6">
        <v>1.0</v>
      </c>
      <c r="M3030" s="8">
        <f t="shared" si="3"/>
        <v>0.15</v>
      </c>
      <c r="P3030" s="9"/>
    </row>
    <row r="3031">
      <c r="A3031" s="6" t="s">
        <v>6688</v>
      </c>
      <c r="B3031" s="6" t="s">
        <v>6689</v>
      </c>
      <c r="C3031" s="6" t="s">
        <v>23</v>
      </c>
      <c r="D3031" s="6" t="s">
        <v>6690</v>
      </c>
      <c r="E3031" s="6" t="s">
        <v>153</v>
      </c>
      <c r="F3031" s="6" t="s">
        <v>103</v>
      </c>
      <c r="G3031" s="7">
        <v>0.03</v>
      </c>
      <c r="H3031" s="6" t="s">
        <v>299</v>
      </c>
      <c r="I3031" s="6" t="s">
        <v>20</v>
      </c>
      <c r="J3031" s="6">
        <v>2017.0</v>
      </c>
      <c r="K3031" s="10">
        <v>46055.0</v>
      </c>
      <c r="L3031" s="6">
        <v>1.0</v>
      </c>
      <c r="M3031" s="8">
        <f t="shared" si="3"/>
        <v>0.03</v>
      </c>
      <c r="P3031" s="9"/>
    </row>
    <row r="3032">
      <c r="A3032" s="6" t="s">
        <v>6691</v>
      </c>
      <c r="B3032" s="6" t="s">
        <v>202</v>
      </c>
      <c r="C3032" s="6" t="s">
        <v>48</v>
      </c>
      <c r="D3032" s="6" t="s">
        <v>6692</v>
      </c>
      <c r="E3032" s="6" t="s">
        <v>298</v>
      </c>
      <c r="F3032" s="6" t="s">
        <v>159</v>
      </c>
      <c r="G3032" s="7">
        <v>0.23</v>
      </c>
      <c r="H3032" s="6" t="s">
        <v>1194</v>
      </c>
      <c r="I3032" s="6" t="s">
        <v>20</v>
      </c>
      <c r="J3032" s="6">
        <v>2023.0</v>
      </c>
      <c r="L3032" s="6">
        <v>2.0</v>
      </c>
      <c r="M3032" s="8">
        <f t="shared" si="3"/>
        <v>0.46</v>
      </c>
      <c r="P3032" s="9"/>
    </row>
    <row r="3033">
      <c r="A3033" s="6" t="s">
        <v>6693</v>
      </c>
      <c r="B3033" s="6" t="s">
        <v>6694</v>
      </c>
      <c r="C3033" s="6" t="s">
        <v>41</v>
      </c>
      <c r="D3033" s="6" t="s">
        <v>6695</v>
      </c>
      <c r="E3033" s="6" t="s">
        <v>2312</v>
      </c>
      <c r="F3033" s="6" t="s">
        <v>103</v>
      </c>
      <c r="G3033" s="7">
        <v>1.0</v>
      </c>
      <c r="H3033" s="6" t="s">
        <v>453</v>
      </c>
      <c r="I3033" s="6" t="s">
        <v>20</v>
      </c>
      <c r="J3033" s="6">
        <v>1995.0</v>
      </c>
      <c r="K3033" s="6" t="s">
        <v>89</v>
      </c>
      <c r="L3033" s="6">
        <v>1.0</v>
      </c>
      <c r="M3033" s="8">
        <f t="shared" si="3"/>
        <v>1</v>
      </c>
      <c r="P3033" s="9"/>
    </row>
    <row r="3034">
      <c r="A3034" s="6" t="s">
        <v>6696</v>
      </c>
      <c r="B3034" s="6" t="s">
        <v>62</v>
      </c>
      <c r="C3034" s="6" t="s">
        <v>48</v>
      </c>
      <c r="D3034" s="6" t="s">
        <v>6697</v>
      </c>
      <c r="E3034" s="6" t="s">
        <v>235</v>
      </c>
      <c r="F3034" s="6" t="s">
        <v>103</v>
      </c>
      <c r="G3034" s="7">
        <v>0.05</v>
      </c>
      <c r="H3034" s="6" t="s">
        <v>359</v>
      </c>
      <c r="I3034" s="6" t="s">
        <v>20</v>
      </c>
      <c r="J3034" s="6">
        <v>2014.0</v>
      </c>
      <c r="L3034" s="6">
        <v>2.0</v>
      </c>
      <c r="M3034" s="8">
        <f t="shared" si="3"/>
        <v>0.1</v>
      </c>
      <c r="P3034" s="9"/>
    </row>
    <row r="3035">
      <c r="A3035" s="6" t="s">
        <v>6698</v>
      </c>
      <c r="B3035" s="6" t="s">
        <v>182</v>
      </c>
      <c r="C3035" s="6" t="s">
        <v>23</v>
      </c>
      <c r="D3035" s="6" t="s">
        <v>6699</v>
      </c>
      <c r="E3035" s="6" t="s">
        <v>153</v>
      </c>
      <c r="F3035" s="6" t="s">
        <v>103</v>
      </c>
      <c r="G3035" s="7">
        <v>0.06</v>
      </c>
      <c r="H3035" s="6" t="s">
        <v>184</v>
      </c>
      <c r="I3035" s="6" t="s">
        <v>20</v>
      </c>
      <c r="J3035" s="6">
        <v>2015.0</v>
      </c>
      <c r="L3035" s="6">
        <v>2.0</v>
      </c>
      <c r="M3035" s="8">
        <f t="shared" si="3"/>
        <v>0.12</v>
      </c>
      <c r="P3035" s="9"/>
    </row>
    <row r="3036">
      <c r="A3036" s="6" t="s">
        <v>6698</v>
      </c>
      <c r="B3036" s="6" t="s">
        <v>182</v>
      </c>
      <c r="C3036" s="6" t="s">
        <v>23</v>
      </c>
      <c r="D3036" s="6" t="s">
        <v>6699</v>
      </c>
      <c r="E3036" s="6" t="s">
        <v>153</v>
      </c>
      <c r="F3036" s="6" t="s">
        <v>103</v>
      </c>
      <c r="G3036" s="7">
        <v>0.15</v>
      </c>
      <c r="H3036" s="6" t="s">
        <v>184</v>
      </c>
      <c r="I3036" s="6" t="s">
        <v>55</v>
      </c>
      <c r="J3036" s="6">
        <v>2015.0</v>
      </c>
      <c r="L3036" s="6">
        <v>1.0</v>
      </c>
      <c r="M3036" s="8">
        <f t="shared" si="3"/>
        <v>0.15</v>
      </c>
      <c r="P3036" s="9"/>
    </row>
    <row r="3037">
      <c r="A3037" s="6" t="s">
        <v>6698</v>
      </c>
      <c r="B3037" s="6" t="s">
        <v>182</v>
      </c>
      <c r="C3037" s="6" t="s">
        <v>23</v>
      </c>
      <c r="D3037" s="6" t="s">
        <v>6699</v>
      </c>
      <c r="E3037" s="6" t="s">
        <v>153</v>
      </c>
      <c r="F3037" s="6" t="s">
        <v>103</v>
      </c>
      <c r="G3037" s="7">
        <v>0.06</v>
      </c>
      <c r="H3037" s="6" t="s">
        <v>184</v>
      </c>
      <c r="I3037" s="6" t="s">
        <v>20</v>
      </c>
      <c r="J3037" s="6">
        <v>2015.0</v>
      </c>
      <c r="L3037" s="6">
        <v>2.0</v>
      </c>
      <c r="M3037" s="8">
        <f t="shared" si="3"/>
        <v>0.12</v>
      </c>
      <c r="P3037" s="9"/>
    </row>
    <row r="3038">
      <c r="A3038" s="6" t="s">
        <v>6700</v>
      </c>
      <c r="B3038" s="6" t="s">
        <v>472</v>
      </c>
      <c r="C3038" s="6" t="s">
        <v>48</v>
      </c>
      <c r="D3038" s="6" t="s">
        <v>6701</v>
      </c>
      <c r="E3038" s="6" t="s">
        <v>6702</v>
      </c>
      <c r="F3038" s="6" t="s">
        <v>717</v>
      </c>
      <c r="G3038" s="7">
        <v>0.12</v>
      </c>
      <c r="H3038" s="6" t="s">
        <v>1084</v>
      </c>
      <c r="I3038" s="6" t="s">
        <v>20</v>
      </c>
      <c r="J3038" s="6">
        <v>2018.0</v>
      </c>
      <c r="K3038" s="10">
        <v>46084.0</v>
      </c>
      <c r="L3038" s="6">
        <v>1.0</v>
      </c>
      <c r="M3038" s="8">
        <f t="shared" si="3"/>
        <v>0.12</v>
      </c>
      <c r="P3038" s="9"/>
    </row>
    <row r="3039">
      <c r="A3039" s="6" t="s">
        <v>6703</v>
      </c>
      <c r="B3039" s="6" t="s">
        <v>3067</v>
      </c>
      <c r="C3039" s="6" t="s">
        <v>23</v>
      </c>
      <c r="D3039" s="6" t="s">
        <v>6704</v>
      </c>
      <c r="E3039" s="6" t="s">
        <v>611</v>
      </c>
      <c r="F3039" s="6" t="s">
        <v>103</v>
      </c>
      <c r="G3039" s="7">
        <v>0.03</v>
      </c>
      <c r="H3039" s="6" t="s">
        <v>294</v>
      </c>
      <c r="I3039" s="6" t="s">
        <v>20</v>
      </c>
      <c r="J3039" s="6">
        <v>2010.0</v>
      </c>
      <c r="K3039" s="10">
        <v>46055.0</v>
      </c>
      <c r="L3039" s="6">
        <v>2.0</v>
      </c>
      <c r="M3039" s="8">
        <f t="shared" si="3"/>
        <v>0.06</v>
      </c>
      <c r="P3039" s="9"/>
    </row>
    <row r="3040">
      <c r="A3040" s="6" t="s">
        <v>6705</v>
      </c>
      <c r="B3040" s="6" t="s">
        <v>4564</v>
      </c>
      <c r="C3040" s="6" t="s">
        <v>23</v>
      </c>
      <c r="D3040" s="6" t="s">
        <v>6706</v>
      </c>
      <c r="E3040" s="6" t="s">
        <v>153</v>
      </c>
      <c r="F3040" s="6" t="s">
        <v>103</v>
      </c>
      <c r="G3040" s="7">
        <v>0.06</v>
      </c>
      <c r="H3040" s="6" t="s">
        <v>427</v>
      </c>
      <c r="I3040" s="6" t="s">
        <v>20</v>
      </c>
      <c r="J3040" s="6">
        <v>2009.0</v>
      </c>
      <c r="K3040" s="10">
        <v>46055.0</v>
      </c>
      <c r="L3040" s="6">
        <v>2.0</v>
      </c>
      <c r="M3040" s="8">
        <f t="shared" si="3"/>
        <v>0.12</v>
      </c>
      <c r="P3040" s="9"/>
    </row>
    <row r="3041">
      <c r="A3041" s="6" t="s">
        <v>6707</v>
      </c>
      <c r="B3041" s="6" t="s">
        <v>1574</v>
      </c>
      <c r="C3041" s="6" t="s">
        <v>23</v>
      </c>
      <c r="D3041" s="6" t="s">
        <v>6708</v>
      </c>
      <c r="E3041" s="6" t="s">
        <v>118</v>
      </c>
      <c r="F3041" s="6" t="s">
        <v>51</v>
      </c>
      <c r="G3041" s="7">
        <v>0.08</v>
      </c>
      <c r="H3041" s="6" t="s">
        <v>19</v>
      </c>
      <c r="I3041" s="6" t="s">
        <v>20</v>
      </c>
      <c r="J3041" s="6">
        <v>2023.0</v>
      </c>
      <c r="K3041" s="10">
        <v>46082.0</v>
      </c>
      <c r="L3041" s="6">
        <v>1.0</v>
      </c>
      <c r="M3041" s="8">
        <f t="shared" si="3"/>
        <v>0.08</v>
      </c>
      <c r="P3041" s="9"/>
    </row>
    <row r="3042">
      <c r="A3042" s="6" t="s">
        <v>6709</v>
      </c>
      <c r="B3042" s="6" t="s">
        <v>311</v>
      </c>
      <c r="C3042" s="6" t="s">
        <v>23</v>
      </c>
      <c r="D3042" s="6" t="s">
        <v>6710</v>
      </c>
      <c r="E3042" s="6" t="s">
        <v>30</v>
      </c>
      <c r="F3042" s="6" t="s">
        <v>18</v>
      </c>
      <c r="G3042" s="7">
        <v>0.03</v>
      </c>
      <c r="H3042" s="6" t="s">
        <v>316</v>
      </c>
      <c r="I3042" s="6" t="s">
        <v>20</v>
      </c>
      <c r="J3042" s="6">
        <v>2016.0</v>
      </c>
      <c r="K3042" s="10">
        <v>46055.0</v>
      </c>
      <c r="L3042" s="6">
        <v>1.0</v>
      </c>
      <c r="M3042" s="8">
        <f t="shared" si="3"/>
        <v>0.03</v>
      </c>
      <c r="P3042" s="9"/>
    </row>
    <row r="3043">
      <c r="A3043" s="6" t="s">
        <v>6711</v>
      </c>
      <c r="B3043" s="6" t="s">
        <v>6712</v>
      </c>
      <c r="C3043" s="6" t="s">
        <v>23</v>
      </c>
      <c r="D3043" s="6" t="s">
        <v>6713</v>
      </c>
      <c r="E3043" s="6" t="s">
        <v>30</v>
      </c>
      <c r="F3043" s="6" t="s">
        <v>18</v>
      </c>
      <c r="G3043" s="7">
        <v>0.05</v>
      </c>
      <c r="H3043" s="6" t="s">
        <v>324</v>
      </c>
      <c r="I3043" s="6" t="s">
        <v>20</v>
      </c>
      <c r="J3043" s="6">
        <v>2025.0</v>
      </c>
      <c r="K3043" s="10">
        <v>46056.0</v>
      </c>
      <c r="L3043" s="6">
        <v>1.0</v>
      </c>
      <c r="M3043" s="8">
        <f t="shared" si="3"/>
        <v>0.05</v>
      </c>
      <c r="P3043" s="9"/>
    </row>
    <row r="3044">
      <c r="A3044" s="6" t="s">
        <v>6714</v>
      </c>
      <c r="B3044" s="6" t="s">
        <v>6715</v>
      </c>
      <c r="C3044" s="6" t="s">
        <v>23</v>
      </c>
      <c r="D3044" s="6" t="s">
        <v>6716</v>
      </c>
      <c r="E3044" s="6" t="s">
        <v>30</v>
      </c>
      <c r="F3044" s="6" t="s">
        <v>18</v>
      </c>
      <c r="G3044" s="7">
        <v>0.06</v>
      </c>
      <c r="H3044" s="6" t="s">
        <v>845</v>
      </c>
      <c r="I3044" s="6" t="s">
        <v>20</v>
      </c>
      <c r="J3044" s="6">
        <v>2022.0</v>
      </c>
      <c r="K3044" s="10">
        <v>46083.0</v>
      </c>
      <c r="L3044" s="6">
        <v>1.0</v>
      </c>
      <c r="M3044" s="8">
        <f t="shared" si="3"/>
        <v>0.06</v>
      </c>
      <c r="P3044" s="9"/>
    </row>
    <row r="3045">
      <c r="A3045" s="6" t="s">
        <v>6717</v>
      </c>
      <c r="B3045" s="6" t="s">
        <v>6718</v>
      </c>
      <c r="C3045" s="6" t="s">
        <v>23</v>
      </c>
      <c r="D3045" s="6" t="s">
        <v>6719</v>
      </c>
      <c r="E3045" s="6" t="s">
        <v>235</v>
      </c>
      <c r="F3045" s="6" t="s">
        <v>103</v>
      </c>
      <c r="G3045" s="7">
        <v>0.08</v>
      </c>
      <c r="H3045" s="6" t="s">
        <v>31</v>
      </c>
      <c r="I3045" s="6" t="s">
        <v>20</v>
      </c>
      <c r="J3045" s="6">
        <v>2026.0</v>
      </c>
      <c r="K3045" s="10">
        <v>46055.0</v>
      </c>
      <c r="L3045" s="6">
        <v>1.0</v>
      </c>
      <c r="M3045" s="8">
        <f t="shared" si="3"/>
        <v>0.08</v>
      </c>
      <c r="P3045" s="9"/>
    </row>
    <row r="3046">
      <c r="A3046" s="6" t="s">
        <v>6720</v>
      </c>
      <c r="B3046" s="6" t="s">
        <v>1100</v>
      </c>
      <c r="C3046" s="6" t="s">
        <v>23</v>
      </c>
      <c r="D3046" s="6" t="s">
        <v>6721</v>
      </c>
      <c r="E3046" s="6" t="s">
        <v>118</v>
      </c>
      <c r="F3046" s="6" t="s">
        <v>51</v>
      </c>
      <c r="G3046" s="7">
        <v>0.04</v>
      </c>
      <c r="H3046" s="6" t="s">
        <v>316</v>
      </c>
      <c r="I3046" s="6" t="s">
        <v>20</v>
      </c>
      <c r="J3046" s="6">
        <v>2016.0</v>
      </c>
      <c r="K3046" s="10">
        <v>46023.0</v>
      </c>
      <c r="L3046" s="6">
        <v>1.0</v>
      </c>
      <c r="M3046" s="8">
        <f t="shared" si="3"/>
        <v>0.04</v>
      </c>
      <c r="P3046" s="9"/>
    </row>
    <row r="3047">
      <c r="A3047" s="6" t="s">
        <v>6722</v>
      </c>
      <c r="B3047" s="6" t="s">
        <v>6723</v>
      </c>
      <c r="C3047" s="6" t="s">
        <v>23</v>
      </c>
      <c r="D3047" s="6" t="s">
        <v>6724</v>
      </c>
      <c r="E3047" s="6" t="s">
        <v>1172</v>
      </c>
      <c r="F3047" s="6" t="s">
        <v>98</v>
      </c>
      <c r="G3047" s="7">
        <v>0.24</v>
      </c>
      <c r="H3047" s="6" t="s">
        <v>3017</v>
      </c>
      <c r="I3047" s="6" t="s">
        <v>20</v>
      </c>
      <c r="J3047" s="6">
        <v>2008.0</v>
      </c>
      <c r="K3047" s="10">
        <v>46023.0</v>
      </c>
      <c r="L3047" s="6">
        <v>1.0</v>
      </c>
      <c r="M3047" s="8">
        <f t="shared" si="3"/>
        <v>0.24</v>
      </c>
      <c r="P3047" s="9"/>
    </row>
    <row r="3048">
      <c r="A3048" s="6" t="s">
        <v>6725</v>
      </c>
      <c r="B3048" s="6" t="s">
        <v>6726</v>
      </c>
      <c r="C3048" s="6" t="s">
        <v>1956</v>
      </c>
      <c r="D3048" s="11" t="str">
        <f>+1: Search your library for a card named Nissa's Chosen, put it onto the battlefield, then shuffle. +1: You gain 2 life for each Elf you control. −7: Search your library for any number of Elf creature cards, put them onto the battlefield, then shuffle. / +1: Procure um card com o nome Escolhido de Nissa em seu grimório e coloque-o no campo de batalha. Depois, embaralhe seu grimório. +1: Você ganha 2 pontos de vida para cada Elfo que controla. -7: Procure um número qualquer de cards de criatura do tipo Elfo em seu grimório e coloque-os no campo de batalha. Depois, embaralhe seu grimório.</f>
        <v>#ERROR!</v>
      </c>
      <c r="E3048" s="6" t="s">
        <v>937</v>
      </c>
      <c r="F3048" s="6" t="s">
        <v>159</v>
      </c>
      <c r="G3048" s="7">
        <v>7.19</v>
      </c>
      <c r="H3048" s="6" t="s">
        <v>6727</v>
      </c>
      <c r="I3048" s="6" t="s">
        <v>55</v>
      </c>
      <c r="J3048" s="6">
        <v>2010.0</v>
      </c>
      <c r="L3048" s="6">
        <v>1.0</v>
      </c>
      <c r="M3048" s="8">
        <f t="shared" si="3"/>
        <v>7.19</v>
      </c>
      <c r="N3048" s="6" t="s">
        <v>172</v>
      </c>
      <c r="P3048" s="9"/>
    </row>
    <row r="3049">
      <c r="A3049" s="6" t="s">
        <v>6728</v>
      </c>
      <c r="B3049" s="6" t="s">
        <v>6726</v>
      </c>
      <c r="C3049" s="6" t="s">
        <v>1956</v>
      </c>
      <c r="D3049" s="11" t="str">
        <f>+2: Untap up to two target creatures and up to two target lands. −3: Target creature gets +5/+5 until end of turn. −10: Look at the top ten cards of your library. You may put any number of creature and/or land cards from among them onto the battlefield. Put the rest on the bottom of your library in a random order. / +2: Desvire até duas criaturas alvo e até dois terrenos alvo. −3: A criatura alvo recebe +5/+5 até o final do turno. −10: Olhe os primeiros dez cards do topo de seu grimório. Você pode colocar qualquer número de cards de criatura e/ou terreno dentre eles no campo de batalha. Coloque o restante no fundo de seu grimório em ordem aleatória.</f>
        <v>#ERROR!</v>
      </c>
      <c r="E3049" s="6" t="s">
        <v>724</v>
      </c>
      <c r="F3049" s="6" t="s">
        <v>159</v>
      </c>
      <c r="G3049" s="7">
        <v>3.55</v>
      </c>
      <c r="H3049" s="6" t="s">
        <v>265</v>
      </c>
      <c r="I3049" s="6" t="s">
        <v>55</v>
      </c>
      <c r="J3049" s="6">
        <v>2017.0</v>
      </c>
      <c r="L3049" s="6">
        <v>1.0</v>
      </c>
      <c r="M3049" s="8">
        <f t="shared" si="3"/>
        <v>3.55</v>
      </c>
      <c r="N3049" s="6" t="s">
        <v>172</v>
      </c>
      <c r="P3049" s="9"/>
    </row>
    <row r="3050">
      <c r="A3050" s="6" t="s">
        <v>6729</v>
      </c>
      <c r="B3050" s="6" t="s">
        <v>182</v>
      </c>
      <c r="C3050" s="6" t="s">
        <v>41</v>
      </c>
      <c r="D3050" s="6" t="s">
        <v>6730</v>
      </c>
      <c r="E3050" s="6" t="s">
        <v>602</v>
      </c>
      <c r="F3050" s="6" t="s">
        <v>159</v>
      </c>
      <c r="G3050" s="7">
        <v>0.31</v>
      </c>
      <c r="H3050" s="6" t="s">
        <v>265</v>
      </c>
      <c r="I3050" s="6" t="s">
        <v>20</v>
      </c>
      <c r="J3050" s="6">
        <v>2017.0</v>
      </c>
      <c r="L3050" s="6">
        <v>2.0</v>
      </c>
      <c r="M3050" s="8">
        <f t="shared" si="3"/>
        <v>0.62</v>
      </c>
      <c r="P3050" s="9"/>
    </row>
    <row r="3051">
      <c r="A3051" s="6" t="s">
        <v>6731</v>
      </c>
      <c r="B3051" s="6" t="s">
        <v>182</v>
      </c>
      <c r="C3051" s="6" t="s">
        <v>23</v>
      </c>
      <c r="D3051" s="6" t="s">
        <v>6732</v>
      </c>
      <c r="E3051" s="6" t="s">
        <v>270</v>
      </c>
      <c r="F3051" s="6" t="s">
        <v>159</v>
      </c>
      <c r="G3051" s="7">
        <v>0.3</v>
      </c>
      <c r="H3051" s="6" t="s">
        <v>184</v>
      </c>
      <c r="I3051" s="6" t="s">
        <v>20</v>
      </c>
      <c r="J3051" s="6">
        <v>2015.0</v>
      </c>
      <c r="L3051" s="6">
        <v>1.0</v>
      </c>
      <c r="M3051" s="8">
        <f t="shared" si="3"/>
        <v>0.3</v>
      </c>
      <c r="P3051" s="9"/>
    </row>
    <row r="3052">
      <c r="A3052" s="6" t="s">
        <v>6731</v>
      </c>
      <c r="B3052" s="6" t="s">
        <v>182</v>
      </c>
      <c r="C3052" s="6" t="s">
        <v>23</v>
      </c>
      <c r="D3052" s="6" t="s">
        <v>6732</v>
      </c>
      <c r="E3052" s="6" t="s">
        <v>270</v>
      </c>
      <c r="F3052" s="6" t="s">
        <v>159</v>
      </c>
      <c r="G3052" s="7">
        <v>0.18</v>
      </c>
      <c r="H3052" s="6" t="s">
        <v>184</v>
      </c>
      <c r="I3052" s="6" t="s">
        <v>20</v>
      </c>
      <c r="J3052" s="6">
        <v>2015.0</v>
      </c>
      <c r="L3052" s="6">
        <v>2.0</v>
      </c>
      <c r="M3052" s="8">
        <f t="shared" si="3"/>
        <v>0.36</v>
      </c>
      <c r="P3052" s="9"/>
    </row>
    <row r="3053">
      <c r="A3053" s="6" t="s">
        <v>6733</v>
      </c>
      <c r="B3053" s="6" t="s">
        <v>6734</v>
      </c>
      <c r="C3053" s="6" t="s">
        <v>23</v>
      </c>
      <c r="D3053" s="6" t="s">
        <v>6735</v>
      </c>
      <c r="E3053" s="6" t="s">
        <v>30</v>
      </c>
      <c r="F3053" s="6" t="s">
        <v>18</v>
      </c>
      <c r="G3053" s="7">
        <v>0.04</v>
      </c>
      <c r="H3053" s="6" t="s">
        <v>184</v>
      </c>
      <c r="I3053" s="6" t="s">
        <v>20</v>
      </c>
      <c r="J3053" s="6">
        <v>2015.0</v>
      </c>
      <c r="K3053" s="6" t="s">
        <v>597</v>
      </c>
      <c r="L3053" s="6">
        <v>2.0</v>
      </c>
      <c r="M3053" s="8">
        <f t="shared" si="3"/>
        <v>0.08</v>
      </c>
      <c r="P3053" s="9"/>
    </row>
    <row r="3054">
      <c r="A3054" s="6" t="s">
        <v>6736</v>
      </c>
      <c r="B3054" s="6" t="s">
        <v>6737</v>
      </c>
      <c r="C3054" s="6" t="s">
        <v>23</v>
      </c>
      <c r="D3054" s="6" t="s">
        <v>6738</v>
      </c>
      <c r="E3054" s="6" t="s">
        <v>3849</v>
      </c>
      <c r="F3054" s="6" t="s">
        <v>60</v>
      </c>
      <c r="G3054" s="7">
        <v>0.1</v>
      </c>
      <c r="H3054" s="6" t="s">
        <v>192</v>
      </c>
      <c r="I3054" s="6" t="s">
        <v>20</v>
      </c>
      <c r="J3054" s="6">
        <v>2026.0</v>
      </c>
      <c r="K3054" s="10">
        <v>46056.0</v>
      </c>
      <c r="L3054" s="6">
        <v>1.0</v>
      </c>
      <c r="M3054" s="8">
        <f t="shared" si="3"/>
        <v>0.1</v>
      </c>
      <c r="P3054" s="9"/>
    </row>
    <row r="3055">
      <c r="A3055" s="6" t="s">
        <v>6739</v>
      </c>
      <c r="B3055" s="6" t="s">
        <v>2789</v>
      </c>
      <c r="C3055" s="6" t="s">
        <v>212</v>
      </c>
      <c r="D3055" s="6" t="s">
        <v>6740</v>
      </c>
      <c r="E3055" s="6" t="s">
        <v>6741</v>
      </c>
      <c r="F3055" s="6" t="s">
        <v>6742</v>
      </c>
      <c r="G3055" s="7">
        <v>2.79</v>
      </c>
      <c r="H3055" s="6" t="s">
        <v>209</v>
      </c>
      <c r="I3055" s="6" t="s">
        <v>20</v>
      </c>
      <c r="J3055" s="6">
        <v>2025.0</v>
      </c>
      <c r="K3055" s="10">
        <v>46085.0</v>
      </c>
      <c r="L3055" s="6">
        <v>1.0</v>
      </c>
      <c r="M3055" s="8">
        <f t="shared" si="3"/>
        <v>2.79</v>
      </c>
      <c r="P3055" s="9"/>
    </row>
    <row r="3056">
      <c r="A3056" s="6" t="s">
        <v>6743</v>
      </c>
      <c r="B3056" s="6" t="s">
        <v>6744</v>
      </c>
      <c r="C3056" s="6" t="s">
        <v>23</v>
      </c>
      <c r="D3056" s="6" t="s">
        <v>6745</v>
      </c>
      <c r="E3056" s="6" t="s">
        <v>235</v>
      </c>
      <c r="F3056" s="6" t="s">
        <v>103</v>
      </c>
      <c r="G3056" s="7">
        <v>0.13</v>
      </c>
      <c r="H3056" s="6" t="s">
        <v>1933</v>
      </c>
      <c r="I3056" s="6" t="s">
        <v>20</v>
      </c>
      <c r="J3056" s="6">
        <v>2020.0</v>
      </c>
      <c r="K3056" s="10">
        <v>46024.0</v>
      </c>
      <c r="L3056" s="6">
        <v>1.0</v>
      </c>
      <c r="M3056" s="8">
        <f t="shared" si="3"/>
        <v>0.13</v>
      </c>
      <c r="P3056" s="9"/>
    </row>
    <row r="3057">
      <c r="A3057" s="6" t="s">
        <v>6746</v>
      </c>
      <c r="B3057" s="6" t="s">
        <v>2257</v>
      </c>
      <c r="C3057" s="6" t="s">
        <v>15</v>
      </c>
      <c r="D3057" s="6" t="s">
        <v>6747</v>
      </c>
      <c r="E3057" s="6" t="s">
        <v>3506</v>
      </c>
      <c r="F3057" s="6" t="s">
        <v>858</v>
      </c>
      <c r="G3057" s="7">
        <v>0.34</v>
      </c>
      <c r="H3057" s="6" t="s">
        <v>180</v>
      </c>
      <c r="I3057" s="6" t="s">
        <v>20</v>
      </c>
      <c r="J3057" s="6">
        <v>2014.0</v>
      </c>
      <c r="L3057" s="6">
        <v>2.0</v>
      </c>
      <c r="M3057" s="8">
        <f t="shared" si="3"/>
        <v>0.68</v>
      </c>
      <c r="P3057" s="9"/>
    </row>
    <row r="3058">
      <c r="A3058" s="6" t="s">
        <v>6748</v>
      </c>
      <c r="B3058" s="6" t="s">
        <v>6498</v>
      </c>
      <c r="C3058" s="6" t="s">
        <v>48</v>
      </c>
      <c r="D3058" s="6" t="s">
        <v>6749</v>
      </c>
      <c r="E3058" s="6" t="s">
        <v>223</v>
      </c>
      <c r="F3058" s="6" t="s">
        <v>159</v>
      </c>
      <c r="G3058" s="7">
        <v>0.15</v>
      </c>
      <c r="H3058" s="6" t="s">
        <v>380</v>
      </c>
      <c r="I3058" s="6" t="s">
        <v>20</v>
      </c>
      <c r="J3058" s="6">
        <v>2025.0</v>
      </c>
      <c r="K3058" s="10">
        <v>46055.0</v>
      </c>
      <c r="L3058" s="6">
        <v>1.0</v>
      </c>
      <c r="M3058" s="8">
        <f t="shared" si="3"/>
        <v>0.15</v>
      </c>
      <c r="P3058" s="9"/>
    </row>
    <row r="3059">
      <c r="A3059" s="6" t="s">
        <v>6750</v>
      </c>
      <c r="B3059" s="6" t="s">
        <v>6672</v>
      </c>
      <c r="C3059" s="6" t="s">
        <v>23</v>
      </c>
      <c r="D3059" s="6" t="s">
        <v>6751</v>
      </c>
      <c r="E3059" s="6" t="s">
        <v>153</v>
      </c>
      <c r="F3059" s="6" t="s">
        <v>103</v>
      </c>
      <c r="G3059" s="7">
        <v>0.05</v>
      </c>
      <c r="H3059" s="6" t="s">
        <v>245</v>
      </c>
      <c r="I3059" s="6" t="s">
        <v>20</v>
      </c>
      <c r="J3059" s="6">
        <v>1995.0</v>
      </c>
      <c r="K3059" s="10">
        <v>46023.0</v>
      </c>
      <c r="L3059" s="6">
        <v>2.0</v>
      </c>
      <c r="M3059" s="8">
        <f t="shared" si="3"/>
        <v>0.1</v>
      </c>
      <c r="P3059" s="9"/>
    </row>
    <row r="3060">
      <c r="A3060" s="6" t="s">
        <v>6752</v>
      </c>
      <c r="B3060" s="6" t="s">
        <v>68</v>
      </c>
      <c r="C3060" s="6" t="s">
        <v>23</v>
      </c>
      <c r="D3060" s="6" t="s">
        <v>6753</v>
      </c>
      <c r="F3060" s="6" t="s">
        <v>261</v>
      </c>
      <c r="G3060" s="7">
        <v>0.27</v>
      </c>
      <c r="H3060" s="6" t="s">
        <v>45</v>
      </c>
      <c r="I3060" s="6" t="s">
        <v>55</v>
      </c>
      <c r="J3060" s="6">
        <v>2025.0</v>
      </c>
      <c r="L3060" s="6">
        <v>1.0</v>
      </c>
      <c r="M3060" s="8">
        <f t="shared" si="3"/>
        <v>0.27</v>
      </c>
      <c r="P3060" s="9"/>
    </row>
    <row r="3061">
      <c r="A3061" s="6" t="s">
        <v>6754</v>
      </c>
      <c r="B3061" s="6" t="s">
        <v>3192</v>
      </c>
      <c r="C3061" s="6" t="s">
        <v>48</v>
      </c>
      <c r="D3061" s="6" t="s">
        <v>6755</v>
      </c>
      <c r="E3061" s="6" t="s">
        <v>25</v>
      </c>
      <c r="F3061" s="6" t="s">
        <v>18</v>
      </c>
      <c r="G3061" s="7">
        <v>0.15</v>
      </c>
      <c r="H3061" s="6" t="s">
        <v>45</v>
      </c>
      <c r="I3061" s="6" t="s">
        <v>20</v>
      </c>
      <c r="J3061" s="6">
        <v>2025.0</v>
      </c>
      <c r="K3061" s="10">
        <v>46083.0</v>
      </c>
      <c r="L3061" s="6">
        <v>1.0</v>
      </c>
      <c r="M3061" s="8">
        <f t="shared" si="3"/>
        <v>0.15</v>
      </c>
      <c r="P3061" s="9"/>
    </row>
    <row r="3062">
      <c r="A3062" s="6" t="s">
        <v>6756</v>
      </c>
      <c r="B3062" s="6" t="s">
        <v>796</v>
      </c>
      <c r="C3062" s="6" t="s">
        <v>34</v>
      </c>
      <c r="D3062" s="6" t="s">
        <v>6757</v>
      </c>
      <c r="E3062" s="6" t="s">
        <v>852</v>
      </c>
      <c r="F3062" s="6" t="s">
        <v>18</v>
      </c>
      <c r="G3062" s="7">
        <v>0.08</v>
      </c>
      <c r="H3062" s="6" t="s">
        <v>19</v>
      </c>
      <c r="I3062" s="6" t="s">
        <v>20</v>
      </c>
      <c r="J3062" s="6">
        <v>2023.0</v>
      </c>
      <c r="L3062" s="6">
        <v>1.0</v>
      </c>
      <c r="M3062" s="8">
        <f t="shared" si="3"/>
        <v>0.08</v>
      </c>
      <c r="P3062" s="9"/>
    </row>
    <row r="3063">
      <c r="A3063" s="6" t="s">
        <v>6758</v>
      </c>
      <c r="B3063" s="6" t="s">
        <v>1113</v>
      </c>
      <c r="C3063" s="6" t="s">
        <v>23</v>
      </c>
      <c r="D3063" s="6" t="s">
        <v>6759</v>
      </c>
      <c r="E3063" s="6" t="s">
        <v>64</v>
      </c>
      <c r="F3063" s="6" t="s">
        <v>65</v>
      </c>
      <c r="G3063" s="7">
        <v>0.05</v>
      </c>
      <c r="H3063" s="6" t="s">
        <v>632</v>
      </c>
      <c r="I3063" s="6" t="s">
        <v>20</v>
      </c>
      <c r="J3063" s="6">
        <v>2002.0</v>
      </c>
      <c r="K3063" s="10">
        <v>46024.0</v>
      </c>
      <c r="L3063" s="6">
        <v>1.0</v>
      </c>
      <c r="M3063" s="8">
        <f t="shared" si="3"/>
        <v>0.05</v>
      </c>
      <c r="P3063" s="9"/>
    </row>
    <row r="3064">
      <c r="A3064" s="6" t="s">
        <v>6760</v>
      </c>
      <c r="B3064" s="6" t="s">
        <v>1052</v>
      </c>
      <c r="C3064" s="6" t="s">
        <v>48</v>
      </c>
      <c r="D3064" s="6" t="s">
        <v>6761</v>
      </c>
      <c r="E3064" s="6" t="s">
        <v>270</v>
      </c>
      <c r="F3064" s="6" t="s">
        <v>159</v>
      </c>
      <c r="G3064" s="7">
        <v>0.1</v>
      </c>
      <c r="H3064" s="6" t="s">
        <v>192</v>
      </c>
      <c r="I3064" s="6" t="s">
        <v>20</v>
      </c>
      <c r="J3064" s="6">
        <v>2026.0</v>
      </c>
      <c r="L3064" s="6">
        <v>1.0</v>
      </c>
      <c r="M3064" s="8">
        <f t="shared" si="3"/>
        <v>0.1</v>
      </c>
      <c r="P3064" s="9"/>
    </row>
    <row r="3065">
      <c r="A3065" s="6" t="s">
        <v>6762</v>
      </c>
      <c r="B3065" s="6" t="s">
        <v>182</v>
      </c>
      <c r="C3065" s="6" t="s">
        <v>48</v>
      </c>
      <c r="D3065" s="6" t="s">
        <v>6763</v>
      </c>
      <c r="E3065" s="6" t="s">
        <v>158</v>
      </c>
      <c r="F3065" s="6" t="s">
        <v>159</v>
      </c>
      <c r="G3065" s="7">
        <v>0.09</v>
      </c>
      <c r="H3065" s="6" t="s">
        <v>1050</v>
      </c>
      <c r="I3065" s="6" t="s">
        <v>20</v>
      </c>
      <c r="J3065" s="6">
        <v>2023.0</v>
      </c>
      <c r="L3065" s="6">
        <v>1.0</v>
      </c>
      <c r="M3065" s="8">
        <f t="shared" si="3"/>
        <v>0.09</v>
      </c>
      <c r="P3065" s="9"/>
    </row>
    <row r="3066">
      <c r="A3066" s="6" t="s">
        <v>6764</v>
      </c>
      <c r="B3066" s="6" t="s">
        <v>62</v>
      </c>
      <c r="C3066" s="6" t="s">
        <v>48</v>
      </c>
      <c r="D3066" s="6" t="s">
        <v>6765</v>
      </c>
      <c r="E3066" s="6" t="s">
        <v>102</v>
      </c>
      <c r="F3066" s="6" t="s">
        <v>103</v>
      </c>
      <c r="G3066" s="7">
        <v>0.13</v>
      </c>
      <c r="H3066" s="6" t="s">
        <v>541</v>
      </c>
      <c r="I3066" s="6" t="s">
        <v>20</v>
      </c>
      <c r="J3066" s="6">
        <v>2019.0</v>
      </c>
      <c r="L3066" s="6">
        <v>2.0</v>
      </c>
      <c r="M3066" s="8">
        <f t="shared" si="3"/>
        <v>0.26</v>
      </c>
      <c r="P3066" s="9"/>
    </row>
    <row r="3067">
      <c r="A3067" s="6" t="s">
        <v>6766</v>
      </c>
      <c r="B3067" s="6" t="s">
        <v>677</v>
      </c>
      <c r="C3067" s="6" t="s">
        <v>23</v>
      </c>
      <c r="D3067" s="6" t="s">
        <v>5657</v>
      </c>
      <c r="E3067" s="6" t="s">
        <v>235</v>
      </c>
      <c r="F3067" s="6" t="s">
        <v>103</v>
      </c>
      <c r="G3067" s="7">
        <v>0.03</v>
      </c>
      <c r="H3067" s="6" t="s">
        <v>185</v>
      </c>
      <c r="I3067" s="6" t="s">
        <v>20</v>
      </c>
      <c r="J3067" s="6">
        <v>2019.0</v>
      </c>
      <c r="K3067" s="10">
        <v>46055.0</v>
      </c>
      <c r="L3067" s="6">
        <v>1.0</v>
      </c>
      <c r="M3067" s="8">
        <f t="shared" si="3"/>
        <v>0.03</v>
      </c>
      <c r="P3067" s="9"/>
    </row>
    <row r="3068">
      <c r="A3068" s="6" t="s">
        <v>6767</v>
      </c>
      <c r="B3068" s="6" t="s">
        <v>3739</v>
      </c>
      <c r="C3068" s="6" t="s">
        <v>23</v>
      </c>
      <c r="D3068" s="6" t="s">
        <v>6768</v>
      </c>
      <c r="E3068" s="6" t="s">
        <v>223</v>
      </c>
      <c r="F3068" s="6" t="s">
        <v>159</v>
      </c>
      <c r="G3068" s="7">
        <v>0.1</v>
      </c>
      <c r="H3068" s="6" t="s">
        <v>204</v>
      </c>
      <c r="I3068" s="6" t="s">
        <v>20</v>
      </c>
      <c r="J3068" s="6">
        <v>2026.0</v>
      </c>
      <c r="K3068" s="10">
        <v>46054.0</v>
      </c>
      <c r="L3068" s="6">
        <v>3.0</v>
      </c>
      <c r="M3068" s="8">
        <f t="shared" si="3"/>
        <v>0.3</v>
      </c>
      <c r="P3068" s="9"/>
    </row>
    <row r="3069">
      <c r="A3069" s="6" t="s">
        <v>6769</v>
      </c>
      <c r="B3069" s="6" t="s">
        <v>6770</v>
      </c>
      <c r="C3069" s="6" t="s">
        <v>48</v>
      </c>
      <c r="D3069" s="6" t="s">
        <v>6771</v>
      </c>
      <c r="E3069" s="6" t="s">
        <v>153</v>
      </c>
      <c r="F3069" s="6" t="s">
        <v>103</v>
      </c>
      <c r="G3069" s="7">
        <v>0.06</v>
      </c>
      <c r="H3069" s="6" t="s">
        <v>336</v>
      </c>
      <c r="I3069" s="6" t="s">
        <v>20</v>
      </c>
      <c r="J3069" s="6">
        <v>2016.0</v>
      </c>
      <c r="K3069" s="10">
        <v>46114.0</v>
      </c>
      <c r="L3069" s="6">
        <v>1.0</v>
      </c>
      <c r="M3069" s="8">
        <f t="shared" si="3"/>
        <v>0.06</v>
      </c>
      <c r="P3069" s="9"/>
    </row>
    <row r="3070">
      <c r="A3070" s="6" t="s">
        <v>6772</v>
      </c>
      <c r="B3070" s="6" t="s">
        <v>6773</v>
      </c>
      <c r="C3070" s="6" t="s">
        <v>23</v>
      </c>
      <c r="D3070" s="6" t="s">
        <v>6774</v>
      </c>
      <c r="E3070" s="6" t="s">
        <v>64</v>
      </c>
      <c r="F3070" s="6" t="s">
        <v>65</v>
      </c>
      <c r="G3070" s="7">
        <v>0.1</v>
      </c>
      <c r="H3070" s="6" t="s">
        <v>192</v>
      </c>
      <c r="I3070" s="6" t="s">
        <v>20</v>
      </c>
      <c r="J3070" s="6">
        <v>2026.0</v>
      </c>
      <c r="K3070" s="10">
        <v>46025.0</v>
      </c>
      <c r="L3070" s="6">
        <v>6.0</v>
      </c>
      <c r="M3070" s="8">
        <f t="shared" si="3"/>
        <v>0.6</v>
      </c>
      <c r="P3070" s="9"/>
    </row>
    <row r="3071">
      <c r="A3071" s="6" t="s">
        <v>6775</v>
      </c>
      <c r="B3071" s="6" t="s">
        <v>62</v>
      </c>
      <c r="C3071" s="6" t="s">
        <v>23</v>
      </c>
      <c r="D3071" s="6" t="s">
        <v>6776</v>
      </c>
      <c r="E3071" s="6" t="s">
        <v>1505</v>
      </c>
      <c r="F3071" s="6" t="s">
        <v>18</v>
      </c>
      <c r="G3071" s="7">
        <v>0.09</v>
      </c>
      <c r="H3071" s="6" t="s">
        <v>276</v>
      </c>
      <c r="I3071" s="6" t="s">
        <v>20</v>
      </c>
      <c r="J3071" s="6">
        <v>2014.0</v>
      </c>
      <c r="L3071" s="6">
        <v>4.0</v>
      </c>
      <c r="M3071" s="8">
        <f t="shared" si="3"/>
        <v>0.36</v>
      </c>
      <c r="P3071" s="9"/>
    </row>
    <row r="3072">
      <c r="A3072" s="6" t="s">
        <v>6777</v>
      </c>
      <c r="B3072" s="6" t="s">
        <v>169</v>
      </c>
      <c r="C3072" s="6" t="s">
        <v>72</v>
      </c>
      <c r="D3072" s="6" t="s">
        <v>6778</v>
      </c>
      <c r="E3072" s="6" t="s">
        <v>235</v>
      </c>
      <c r="F3072" s="6" t="s">
        <v>103</v>
      </c>
      <c r="G3072" s="7">
        <v>0.08</v>
      </c>
      <c r="H3072" s="6" t="s">
        <v>185</v>
      </c>
      <c r="I3072" s="6" t="s">
        <v>20</v>
      </c>
      <c r="J3072" s="6">
        <v>2019.0</v>
      </c>
      <c r="L3072" s="6">
        <v>4.0</v>
      </c>
      <c r="M3072" s="8">
        <f t="shared" si="3"/>
        <v>0.32</v>
      </c>
      <c r="P3072" s="9"/>
    </row>
    <row r="3073">
      <c r="A3073" s="6" t="s">
        <v>6779</v>
      </c>
      <c r="B3073" s="6" t="s">
        <v>548</v>
      </c>
      <c r="C3073" s="6" t="s">
        <v>521</v>
      </c>
      <c r="D3073" s="6" t="s">
        <v>6780</v>
      </c>
      <c r="E3073" s="6" t="s">
        <v>303</v>
      </c>
      <c r="F3073" s="6" t="s">
        <v>452</v>
      </c>
      <c r="G3073" s="7">
        <v>0.15</v>
      </c>
      <c r="H3073" s="6" t="s">
        <v>2043</v>
      </c>
      <c r="I3073" s="6" t="s">
        <v>20</v>
      </c>
      <c r="J3073" s="6">
        <v>2025.0</v>
      </c>
      <c r="L3073" s="6">
        <v>4.0</v>
      </c>
      <c r="M3073" s="8">
        <f t="shared" si="3"/>
        <v>0.6</v>
      </c>
      <c r="P3073" s="9"/>
    </row>
    <row r="3074">
      <c r="A3074" s="6" t="s">
        <v>6781</v>
      </c>
      <c r="B3074" s="6" t="s">
        <v>6782</v>
      </c>
      <c r="C3074" s="6" t="s">
        <v>23</v>
      </c>
      <c r="D3074" s="6" t="s">
        <v>6783</v>
      </c>
      <c r="E3074" s="6" t="s">
        <v>602</v>
      </c>
      <c r="F3074" s="6" t="s">
        <v>159</v>
      </c>
      <c r="G3074" s="7">
        <v>0.06</v>
      </c>
      <c r="H3074" s="6" t="s">
        <v>526</v>
      </c>
      <c r="I3074" s="6" t="s">
        <v>20</v>
      </c>
      <c r="J3074" s="6">
        <v>2020.0</v>
      </c>
      <c r="K3074" s="10">
        <v>46086.0</v>
      </c>
      <c r="L3074" s="6">
        <v>1.0</v>
      </c>
      <c r="M3074" s="8">
        <f t="shared" si="3"/>
        <v>0.06</v>
      </c>
      <c r="P3074" s="9"/>
    </row>
    <row r="3075">
      <c r="A3075" s="6" t="s">
        <v>6784</v>
      </c>
      <c r="B3075" s="6" t="s">
        <v>372</v>
      </c>
      <c r="C3075" s="6" t="s">
        <v>23</v>
      </c>
      <c r="D3075" s="6" t="s">
        <v>6785</v>
      </c>
      <c r="E3075" s="6" t="s">
        <v>235</v>
      </c>
      <c r="F3075" s="6" t="s">
        <v>103</v>
      </c>
      <c r="G3075" s="7">
        <v>0.03</v>
      </c>
      <c r="H3075" s="6" t="s">
        <v>359</v>
      </c>
      <c r="I3075" s="6" t="s">
        <v>20</v>
      </c>
      <c r="J3075" s="6">
        <v>2014.0</v>
      </c>
      <c r="L3075" s="6">
        <v>5.0</v>
      </c>
      <c r="M3075" s="8">
        <f t="shared" si="3"/>
        <v>0.15</v>
      </c>
      <c r="P3075" s="9"/>
    </row>
    <row r="3076">
      <c r="A3076" s="6" t="s">
        <v>6786</v>
      </c>
      <c r="B3076" s="6" t="s">
        <v>6787</v>
      </c>
      <c r="C3076" s="6" t="s">
        <v>48</v>
      </c>
      <c r="D3076" s="6" t="s">
        <v>6788</v>
      </c>
      <c r="E3076" s="6" t="s">
        <v>118</v>
      </c>
      <c r="F3076" s="6" t="s">
        <v>51</v>
      </c>
      <c r="G3076" s="7">
        <v>0.44</v>
      </c>
      <c r="H3076" s="6" t="s">
        <v>6789</v>
      </c>
      <c r="I3076" s="6" t="s">
        <v>20</v>
      </c>
      <c r="J3076" s="6">
        <v>2020.0</v>
      </c>
      <c r="K3076" s="6" t="s">
        <v>137</v>
      </c>
      <c r="L3076" s="6">
        <v>2.0</v>
      </c>
      <c r="M3076" s="8">
        <f t="shared" si="3"/>
        <v>0.88</v>
      </c>
      <c r="P3076" s="9"/>
    </row>
    <row r="3077">
      <c r="A3077" s="6" t="s">
        <v>6790</v>
      </c>
      <c r="B3077" s="6" t="s">
        <v>6791</v>
      </c>
      <c r="C3077" s="6" t="s">
        <v>23</v>
      </c>
      <c r="E3077" s="6" t="s">
        <v>2129</v>
      </c>
      <c r="F3077" s="6" t="s">
        <v>65</v>
      </c>
      <c r="G3077" s="7">
        <v>0.03</v>
      </c>
      <c r="H3077" s="6" t="s">
        <v>526</v>
      </c>
      <c r="I3077" s="6" t="s">
        <v>20</v>
      </c>
      <c r="J3077" s="6">
        <v>2020.0</v>
      </c>
      <c r="K3077" s="10">
        <v>46088.0</v>
      </c>
      <c r="L3077" s="6">
        <v>1.0</v>
      </c>
      <c r="M3077" s="8">
        <f t="shared" si="3"/>
        <v>0.03</v>
      </c>
      <c r="P3077" s="9"/>
    </row>
    <row r="3078">
      <c r="A3078" s="6" t="s">
        <v>6792</v>
      </c>
      <c r="B3078" s="6" t="s">
        <v>6793</v>
      </c>
      <c r="C3078" s="6" t="s">
        <v>23</v>
      </c>
      <c r="D3078" s="6" t="s">
        <v>6794</v>
      </c>
      <c r="E3078" s="6" t="s">
        <v>6795</v>
      </c>
      <c r="F3078" s="6" t="s">
        <v>159</v>
      </c>
      <c r="G3078" s="7">
        <v>1.68</v>
      </c>
      <c r="H3078" s="6" t="s">
        <v>509</v>
      </c>
      <c r="I3078" s="6" t="s">
        <v>20</v>
      </c>
      <c r="J3078" s="6">
        <v>2024.0</v>
      </c>
      <c r="K3078" s="6" t="s">
        <v>422</v>
      </c>
      <c r="L3078" s="6">
        <v>2.0</v>
      </c>
      <c r="M3078" s="8">
        <f t="shared" si="3"/>
        <v>3.36</v>
      </c>
      <c r="P3078" s="9"/>
    </row>
    <row r="3079">
      <c r="A3079" s="6" t="s">
        <v>6792</v>
      </c>
      <c r="B3079" s="6" t="s">
        <v>6793</v>
      </c>
      <c r="C3079" s="6" t="s">
        <v>23</v>
      </c>
      <c r="D3079" s="6" t="s">
        <v>6796</v>
      </c>
      <c r="E3079" s="6" t="s">
        <v>6795</v>
      </c>
      <c r="F3079" s="6" t="s">
        <v>159</v>
      </c>
      <c r="G3079" s="7">
        <v>4.6</v>
      </c>
      <c r="H3079" s="6" t="s">
        <v>509</v>
      </c>
      <c r="I3079" s="6" t="s">
        <v>55</v>
      </c>
      <c r="J3079" s="6">
        <v>2024.0</v>
      </c>
      <c r="K3079" s="6" t="s">
        <v>422</v>
      </c>
      <c r="L3079" s="6">
        <v>1.0</v>
      </c>
      <c r="M3079" s="8">
        <f t="shared" si="3"/>
        <v>4.6</v>
      </c>
      <c r="N3079" s="6" t="s">
        <v>172</v>
      </c>
      <c r="P3079" s="9"/>
    </row>
    <row r="3080">
      <c r="A3080" s="6" t="s">
        <v>6797</v>
      </c>
      <c r="B3080" s="6" t="s">
        <v>4346</v>
      </c>
      <c r="C3080" s="6" t="s">
        <v>23</v>
      </c>
      <c r="E3080" s="6" t="s">
        <v>124</v>
      </c>
      <c r="F3080" s="6" t="s">
        <v>103</v>
      </c>
      <c r="G3080" s="7">
        <v>0.03</v>
      </c>
      <c r="H3080" s="6" t="s">
        <v>526</v>
      </c>
      <c r="I3080" s="6" t="s">
        <v>20</v>
      </c>
      <c r="J3080" s="6">
        <v>2020.0</v>
      </c>
      <c r="K3080" s="10">
        <v>46085.0</v>
      </c>
      <c r="L3080" s="6">
        <v>1.0</v>
      </c>
      <c r="M3080" s="8">
        <f t="shared" si="3"/>
        <v>0.03</v>
      </c>
      <c r="P3080" s="9"/>
    </row>
    <row r="3081">
      <c r="A3081" s="6" t="s">
        <v>6798</v>
      </c>
      <c r="B3081" s="6" t="s">
        <v>6799</v>
      </c>
      <c r="C3081" s="6" t="s">
        <v>23</v>
      </c>
      <c r="D3081" s="6" t="s">
        <v>6800</v>
      </c>
      <c r="E3081" s="6" t="s">
        <v>175</v>
      </c>
      <c r="F3081" s="6" t="s">
        <v>51</v>
      </c>
      <c r="G3081" s="7">
        <v>0.03</v>
      </c>
      <c r="H3081" s="6" t="s">
        <v>276</v>
      </c>
      <c r="I3081" s="6" t="s">
        <v>20</v>
      </c>
      <c r="J3081" s="6">
        <v>2014.0</v>
      </c>
      <c r="K3081" s="10">
        <v>46054.0</v>
      </c>
      <c r="L3081" s="6">
        <v>1.0</v>
      </c>
      <c r="M3081" s="8">
        <f t="shared" si="3"/>
        <v>0.03</v>
      </c>
      <c r="P3081" s="9"/>
    </row>
    <row r="3082">
      <c r="A3082" s="6" t="s">
        <v>6801</v>
      </c>
      <c r="B3082" s="6" t="s">
        <v>6802</v>
      </c>
      <c r="C3082" s="6" t="s">
        <v>23</v>
      </c>
      <c r="D3082" s="6" t="s">
        <v>6803</v>
      </c>
      <c r="E3082" s="6" t="s">
        <v>25</v>
      </c>
      <c r="F3082" s="6" t="s">
        <v>18</v>
      </c>
      <c r="G3082" s="7">
        <v>0.03</v>
      </c>
      <c r="H3082" s="6" t="s">
        <v>276</v>
      </c>
      <c r="I3082" s="6" t="s">
        <v>20</v>
      </c>
      <c r="J3082" s="6">
        <v>2014.0</v>
      </c>
      <c r="K3082" s="10">
        <v>46083.0</v>
      </c>
      <c r="L3082" s="6">
        <v>1.0</v>
      </c>
      <c r="M3082" s="8">
        <f t="shared" si="3"/>
        <v>0.03</v>
      </c>
      <c r="P3082" s="9"/>
    </row>
    <row r="3083">
      <c r="A3083" s="6" t="s">
        <v>6804</v>
      </c>
      <c r="B3083" s="6" t="s">
        <v>4607</v>
      </c>
      <c r="C3083" s="6" t="s">
        <v>15</v>
      </c>
      <c r="D3083" s="6" t="s">
        <v>6805</v>
      </c>
      <c r="E3083" s="6" t="s">
        <v>6806</v>
      </c>
      <c r="F3083" s="6" t="s">
        <v>2232</v>
      </c>
      <c r="G3083" s="7">
        <v>0.18</v>
      </c>
      <c r="H3083" s="6" t="s">
        <v>19</v>
      </c>
      <c r="I3083" s="6" t="s">
        <v>55</v>
      </c>
      <c r="J3083" s="6">
        <v>2023.0</v>
      </c>
      <c r="L3083" s="6">
        <v>2.0</v>
      </c>
      <c r="M3083" s="8">
        <f t="shared" si="3"/>
        <v>0.36</v>
      </c>
      <c r="P3083" s="9"/>
    </row>
    <row r="3084">
      <c r="A3084" s="6" t="s">
        <v>6807</v>
      </c>
      <c r="B3084" s="6" t="s">
        <v>165</v>
      </c>
      <c r="C3084" s="6" t="s">
        <v>34</v>
      </c>
      <c r="D3084" s="6" t="s">
        <v>6808</v>
      </c>
      <c r="E3084" s="6" t="s">
        <v>2028</v>
      </c>
      <c r="F3084" s="6" t="s">
        <v>103</v>
      </c>
      <c r="G3084" s="7">
        <v>0.08</v>
      </c>
      <c r="H3084" s="6" t="s">
        <v>19</v>
      </c>
      <c r="I3084" s="6" t="s">
        <v>20</v>
      </c>
      <c r="J3084" s="6">
        <v>2023.0</v>
      </c>
      <c r="L3084" s="6">
        <v>1.0</v>
      </c>
      <c r="M3084" s="8">
        <f t="shared" si="3"/>
        <v>0.08</v>
      </c>
      <c r="P3084" s="9"/>
    </row>
    <row r="3085">
      <c r="A3085" s="6" t="s">
        <v>6809</v>
      </c>
      <c r="B3085" s="6" t="s">
        <v>6810</v>
      </c>
      <c r="C3085" s="6" t="s">
        <v>23</v>
      </c>
      <c r="D3085" s="6" t="s">
        <v>6811</v>
      </c>
      <c r="E3085" s="6" t="s">
        <v>270</v>
      </c>
      <c r="F3085" s="6" t="s">
        <v>159</v>
      </c>
      <c r="G3085" s="7">
        <v>0.03</v>
      </c>
      <c r="H3085" s="6" t="s">
        <v>359</v>
      </c>
      <c r="I3085" s="6" t="s">
        <v>20</v>
      </c>
      <c r="J3085" s="6">
        <v>2014.0</v>
      </c>
      <c r="K3085" s="10">
        <v>46083.0</v>
      </c>
      <c r="L3085" s="6">
        <v>5.0</v>
      </c>
      <c r="M3085" s="8">
        <f t="shared" si="3"/>
        <v>0.15</v>
      </c>
      <c r="P3085" s="9"/>
    </row>
    <row r="3086">
      <c r="A3086" s="6" t="s">
        <v>6809</v>
      </c>
      <c r="B3086" s="6" t="s">
        <v>6810</v>
      </c>
      <c r="C3086" s="6" t="s">
        <v>23</v>
      </c>
      <c r="D3086" s="6" t="s">
        <v>6811</v>
      </c>
      <c r="E3086" s="6" t="s">
        <v>270</v>
      </c>
      <c r="F3086" s="6" t="s">
        <v>159</v>
      </c>
      <c r="G3086" s="7">
        <v>0.04</v>
      </c>
      <c r="H3086" s="6" t="s">
        <v>359</v>
      </c>
      <c r="I3086" s="6" t="s">
        <v>20</v>
      </c>
      <c r="J3086" s="6">
        <v>2014.0</v>
      </c>
      <c r="K3086" s="10">
        <v>46083.0</v>
      </c>
      <c r="L3086" s="6">
        <v>2.0</v>
      </c>
      <c r="M3086" s="8">
        <f t="shared" si="3"/>
        <v>0.08</v>
      </c>
      <c r="P3086" s="9"/>
    </row>
    <row r="3087">
      <c r="A3087" s="6" t="s">
        <v>6812</v>
      </c>
      <c r="B3087" s="6" t="s">
        <v>871</v>
      </c>
      <c r="C3087" s="6" t="s">
        <v>23</v>
      </c>
      <c r="D3087" s="6" t="s">
        <v>6813</v>
      </c>
      <c r="E3087" s="6" t="s">
        <v>238</v>
      </c>
      <c r="F3087" s="6" t="s">
        <v>159</v>
      </c>
      <c r="G3087" s="7">
        <v>0.03</v>
      </c>
      <c r="H3087" s="6" t="s">
        <v>562</v>
      </c>
      <c r="I3087" s="6" t="s">
        <v>20</v>
      </c>
      <c r="J3087" s="6">
        <v>2017.0</v>
      </c>
      <c r="K3087" s="6" t="s">
        <v>1035</v>
      </c>
      <c r="L3087" s="6">
        <v>1.0</v>
      </c>
      <c r="M3087" s="8">
        <f t="shared" si="3"/>
        <v>0.03</v>
      </c>
      <c r="P3087" s="9"/>
    </row>
    <row r="3088">
      <c r="A3088" s="6" t="s">
        <v>6812</v>
      </c>
      <c r="B3088" s="6" t="s">
        <v>871</v>
      </c>
      <c r="C3088" s="6" t="s">
        <v>23</v>
      </c>
      <c r="D3088" s="6" t="s">
        <v>6814</v>
      </c>
      <c r="E3088" s="6" t="s">
        <v>238</v>
      </c>
      <c r="F3088" s="6" t="s">
        <v>159</v>
      </c>
      <c r="G3088" s="7">
        <v>0.03</v>
      </c>
      <c r="H3088" s="6" t="s">
        <v>562</v>
      </c>
      <c r="I3088" s="6" t="s">
        <v>20</v>
      </c>
      <c r="J3088" s="6">
        <v>2017.0</v>
      </c>
      <c r="K3088" s="6" t="s">
        <v>1035</v>
      </c>
      <c r="L3088" s="6">
        <v>1.0</v>
      </c>
      <c r="M3088" s="8">
        <f t="shared" si="3"/>
        <v>0.03</v>
      </c>
      <c r="P3088" s="9"/>
    </row>
    <row r="3089">
      <c r="A3089" s="6" t="s">
        <v>6815</v>
      </c>
      <c r="B3089" s="6" t="s">
        <v>68</v>
      </c>
      <c r="C3089" s="6" t="s">
        <v>48</v>
      </c>
      <c r="D3089" s="6" t="s">
        <v>6816</v>
      </c>
      <c r="F3089" s="6" t="s">
        <v>37</v>
      </c>
      <c r="G3089" s="7">
        <v>0.2</v>
      </c>
      <c r="H3089" s="6" t="s">
        <v>606</v>
      </c>
      <c r="I3089" s="6" t="s">
        <v>20</v>
      </c>
      <c r="J3089" s="6">
        <v>1995.0</v>
      </c>
      <c r="L3089" s="6">
        <v>1.0</v>
      </c>
      <c r="M3089" s="8">
        <f t="shared" si="3"/>
        <v>0.2</v>
      </c>
      <c r="P3089" s="9"/>
    </row>
    <row r="3090">
      <c r="A3090" s="6" t="s">
        <v>6815</v>
      </c>
      <c r="B3090" s="6" t="s">
        <v>68</v>
      </c>
      <c r="C3090" s="6" t="s">
        <v>48</v>
      </c>
      <c r="D3090" s="6" t="s">
        <v>6816</v>
      </c>
      <c r="F3090" s="6" t="s">
        <v>37</v>
      </c>
      <c r="G3090" s="7">
        <v>0.99</v>
      </c>
      <c r="H3090" s="6" t="s">
        <v>120</v>
      </c>
      <c r="I3090" s="6" t="s">
        <v>20</v>
      </c>
      <c r="J3090" s="6">
        <v>1995.0</v>
      </c>
      <c r="L3090" s="6">
        <v>1.0</v>
      </c>
      <c r="M3090" s="8">
        <f t="shared" si="3"/>
        <v>0.99</v>
      </c>
      <c r="P3090" s="9"/>
    </row>
    <row r="3091">
      <c r="A3091" s="6" t="s">
        <v>6817</v>
      </c>
      <c r="B3091" s="6" t="s">
        <v>6818</v>
      </c>
      <c r="C3091" s="6" t="s">
        <v>23</v>
      </c>
      <c r="D3091" s="6" t="s">
        <v>6819</v>
      </c>
      <c r="E3091" s="6" t="s">
        <v>298</v>
      </c>
      <c r="F3091" s="6" t="s">
        <v>159</v>
      </c>
      <c r="G3091" s="7">
        <v>0.03</v>
      </c>
      <c r="H3091" s="6" t="s">
        <v>265</v>
      </c>
      <c r="I3091" s="6" t="s">
        <v>20</v>
      </c>
      <c r="J3091" s="6">
        <v>2017.0</v>
      </c>
      <c r="K3091" s="10">
        <v>46114.0</v>
      </c>
      <c r="L3091" s="6">
        <v>1.0</v>
      </c>
      <c r="M3091" s="8">
        <f t="shared" si="3"/>
        <v>0.03</v>
      </c>
      <c r="P3091" s="9"/>
    </row>
    <row r="3092">
      <c r="A3092" s="6" t="s">
        <v>6820</v>
      </c>
      <c r="B3092" s="6" t="s">
        <v>592</v>
      </c>
      <c r="C3092" s="6" t="s">
        <v>41</v>
      </c>
      <c r="D3092" s="6" t="s">
        <v>6821</v>
      </c>
      <c r="E3092" s="6" t="s">
        <v>153</v>
      </c>
      <c r="F3092" s="6" t="s">
        <v>103</v>
      </c>
      <c r="G3092" s="7">
        <v>0.95</v>
      </c>
      <c r="H3092" s="6" t="s">
        <v>245</v>
      </c>
      <c r="I3092" s="6" t="s">
        <v>20</v>
      </c>
      <c r="J3092" s="6">
        <v>1995.0</v>
      </c>
      <c r="L3092" s="6">
        <v>1.0</v>
      </c>
      <c r="M3092" s="8">
        <f t="shared" si="3"/>
        <v>0.95</v>
      </c>
      <c r="P3092" s="9"/>
    </row>
    <row r="3093">
      <c r="A3093" s="6" t="s">
        <v>6822</v>
      </c>
      <c r="B3093" s="6" t="s">
        <v>301</v>
      </c>
      <c r="C3093" s="6" t="s">
        <v>34</v>
      </c>
      <c r="D3093" s="6" t="s">
        <v>6823</v>
      </c>
      <c r="E3093" s="6" t="s">
        <v>243</v>
      </c>
      <c r="F3093" s="6" t="s">
        <v>37</v>
      </c>
      <c r="G3093" s="7">
        <v>0.15</v>
      </c>
      <c r="H3093" s="6" t="s">
        <v>1748</v>
      </c>
      <c r="I3093" s="6" t="s">
        <v>20</v>
      </c>
      <c r="J3093" s="6">
        <v>2008.0</v>
      </c>
      <c r="L3093" s="6">
        <v>2.0</v>
      </c>
      <c r="M3093" s="8">
        <f t="shared" si="3"/>
        <v>0.3</v>
      </c>
      <c r="P3093" s="9"/>
    </row>
    <row r="3094">
      <c r="A3094" s="6" t="s">
        <v>6824</v>
      </c>
      <c r="B3094" s="6" t="s">
        <v>2139</v>
      </c>
      <c r="C3094" s="6" t="s">
        <v>48</v>
      </c>
      <c r="E3094" s="6" t="s">
        <v>696</v>
      </c>
      <c r="F3094" s="6" t="s">
        <v>37</v>
      </c>
      <c r="G3094" s="7">
        <v>0.09</v>
      </c>
      <c r="H3094" s="6" t="s">
        <v>119</v>
      </c>
      <c r="I3094" s="6" t="s">
        <v>20</v>
      </c>
      <c r="J3094" s="6">
        <v>1995.0</v>
      </c>
      <c r="K3094" s="10">
        <v>46177.0</v>
      </c>
      <c r="L3094" s="6">
        <v>1.0</v>
      </c>
      <c r="M3094" s="8">
        <f t="shared" si="3"/>
        <v>0.09</v>
      </c>
      <c r="P3094" s="9"/>
    </row>
    <row r="3095">
      <c r="A3095" s="6" t="s">
        <v>6824</v>
      </c>
      <c r="B3095" s="6" t="s">
        <v>2139</v>
      </c>
      <c r="C3095" s="6" t="s">
        <v>48</v>
      </c>
      <c r="E3095" s="6" t="s">
        <v>696</v>
      </c>
      <c r="F3095" s="6" t="s">
        <v>37</v>
      </c>
      <c r="G3095" s="7">
        <v>0.4</v>
      </c>
      <c r="H3095" s="6" t="s">
        <v>120</v>
      </c>
      <c r="I3095" s="6" t="s">
        <v>20</v>
      </c>
      <c r="J3095" s="6">
        <v>1995.0</v>
      </c>
      <c r="K3095" s="10">
        <v>46177.0</v>
      </c>
      <c r="L3095" s="6">
        <v>2.0</v>
      </c>
      <c r="M3095" s="8">
        <f t="shared" si="3"/>
        <v>0.8</v>
      </c>
      <c r="P3095" s="9"/>
    </row>
    <row r="3096">
      <c r="A3096" s="6" t="s">
        <v>6825</v>
      </c>
      <c r="B3096" s="6" t="s">
        <v>2454</v>
      </c>
      <c r="C3096" s="6" t="s">
        <v>521</v>
      </c>
      <c r="D3096" s="6" t="s">
        <v>6826</v>
      </c>
      <c r="E3096" s="6" t="s">
        <v>118</v>
      </c>
      <c r="F3096" s="6" t="s">
        <v>51</v>
      </c>
      <c r="G3096" s="7">
        <v>2.5</v>
      </c>
      <c r="H3096" s="6" t="s">
        <v>574</v>
      </c>
      <c r="I3096" s="6" t="s">
        <v>20</v>
      </c>
      <c r="J3096" s="6">
        <v>2000.0</v>
      </c>
      <c r="K3096" s="10">
        <v>46023.0</v>
      </c>
      <c r="L3096" s="6">
        <v>1.0</v>
      </c>
      <c r="M3096" s="8">
        <f t="shared" si="3"/>
        <v>2.5</v>
      </c>
      <c r="P3096" s="9"/>
    </row>
    <row r="3097">
      <c r="A3097" s="6" t="s">
        <v>6827</v>
      </c>
      <c r="B3097" s="6" t="s">
        <v>57</v>
      </c>
      <c r="C3097" s="6" t="s">
        <v>23</v>
      </c>
      <c r="D3097" s="6" t="s">
        <v>6828</v>
      </c>
      <c r="E3097" s="6" t="s">
        <v>248</v>
      </c>
      <c r="F3097" s="6" t="s">
        <v>18</v>
      </c>
      <c r="G3097" s="7">
        <v>0.1</v>
      </c>
      <c r="H3097" s="6" t="s">
        <v>45</v>
      </c>
      <c r="I3097" s="6" t="s">
        <v>20</v>
      </c>
      <c r="J3097" s="6">
        <v>2025.0</v>
      </c>
      <c r="L3097" s="6">
        <v>2.0</v>
      </c>
      <c r="M3097" s="8">
        <f t="shared" si="3"/>
        <v>0.2</v>
      </c>
      <c r="P3097" s="9"/>
    </row>
    <row r="3098">
      <c r="A3098" s="6" t="s">
        <v>6829</v>
      </c>
      <c r="B3098" s="6" t="s">
        <v>6830</v>
      </c>
      <c r="C3098" s="6" t="s">
        <v>23</v>
      </c>
      <c r="D3098" s="6" t="s">
        <v>6831</v>
      </c>
      <c r="E3098" s="6" t="s">
        <v>149</v>
      </c>
      <c r="F3098" s="6" t="s">
        <v>18</v>
      </c>
      <c r="G3098" s="7">
        <v>0.03</v>
      </c>
      <c r="H3098" s="6" t="s">
        <v>1293</v>
      </c>
      <c r="I3098" s="6" t="s">
        <v>20</v>
      </c>
      <c r="J3098" s="6">
        <v>2011.0</v>
      </c>
      <c r="K3098" s="10">
        <v>46023.0</v>
      </c>
      <c r="L3098" s="6">
        <v>1.0</v>
      </c>
      <c r="M3098" s="8">
        <f t="shared" si="3"/>
        <v>0.03</v>
      </c>
      <c r="P3098" s="9"/>
    </row>
    <row r="3099">
      <c r="A3099" s="6" t="s">
        <v>6832</v>
      </c>
      <c r="B3099" s="6" t="s">
        <v>6833</v>
      </c>
      <c r="C3099" s="6" t="s">
        <v>212</v>
      </c>
      <c r="D3099" s="6" t="s">
        <v>6834</v>
      </c>
      <c r="E3099" s="6" t="s">
        <v>1185</v>
      </c>
      <c r="F3099" s="6" t="s">
        <v>65</v>
      </c>
      <c r="G3099" s="7">
        <v>2.39</v>
      </c>
      <c r="H3099" s="6" t="s">
        <v>180</v>
      </c>
      <c r="I3099" s="6" t="s">
        <v>20</v>
      </c>
      <c r="J3099" s="6">
        <v>2014.0</v>
      </c>
      <c r="K3099" s="10">
        <v>46084.0</v>
      </c>
      <c r="L3099" s="6">
        <v>1.0</v>
      </c>
      <c r="M3099" s="8">
        <f t="shared" si="3"/>
        <v>2.39</v>
      </c>
      <c r="P3099" s="9"/>
    </row>
    <row r="3100">
      <c r="A3100" s="6" t="s">
        <v>6835</v>
      </c>
      <c r="B3100" s="6" t="s">
        <v>6836</v>
      </c>
      <c r="C3100" s="6" t="s">
        <v>23</v>
      </c>
      <c r="D3100" s="6" t="s">
        <v>6837</v>
      </c>
      <c r="E3100" s="6" t="s">
        <v>533</v>
      </c>
      <c r="F3100" s="6" t="s">
        <v>65</v>
      </c>
      <c r="G3100" s="7">
        <v>0.09</v>
      </c>
      <c r="H3100" s="6" t="s">
        <v>2005</v>
      </c>
      <c r="I3100" s="6" t="s">
        <v>20</v>
      </c>
      <c r="J3100" s="6">
        <v>2006.0</v>
      </c>
      <c r="K3100" s="10">
        <v>46084.0</v>
      </c>
      <c r="L3100" s="6">
        <v>1.0</v>
      </c>
      <c r="M3100" s="8">
        <f t="shared" si="3"/>
        <v>0.09</v>
      </c>
      <c r="P3100" s="9"/>
    </row>
    <row r="3101">
      <c r="A3101" s="6" t="s">
        <v>6838</v>
      </c>
      <c r="B3101" s="6" t="s">
        <v>62</v>
      </c>
      <c r="C3101" s="6" t="s">
        <v>23</v>
      </c>
      <c r="D3101" s="6" t="s">
        <v>6839</v>
      </c>
      <c r="E3101" s="6" t="s">
        <v>25</v>
      </c>
      <c r="F3101" s="6" t="s">
        <v>18</v>
      </c>
      <c r="G3101" s="7">
        <v>0.03</v>
      </c>
      <c r="H3101" s="6" t="s">
        <v>559</v>
      </c>
      <c r="I3101" s="6" t="s">
        <v>20</v>
      </c>
      <c r="J3101" s="6">
        <v>2015.0</v>
      </c>
      <c r="L3101" s="6">
        <v>2.0</v>
      </c>
      <c r="M3101" s="8">
        <f t="shared" si="3"/>
        <v>0.06</v>
      </c>
      <c r="P3101" s="9"/>
    </row>
    <row r="3102">
      <c r="A3102" s="6" t="s">
        <v>6840</v>
      </c>
      <c r="B3102" s="6" t="s">
        <v>62</v>
      </c>
      <c r="C3102" s="6" t="s">
        <v>41</v>
      </c>
      <c r="D3102" s="6" t="s">
        <v>6841</v>
      </c>
      <c r="E3102" s="6" t="s">
        <v>260</v>
      </c>
      <c r="F3102" s="6" t="s">
        <v>261</v>
      </c>
      <c r="G3102" s="7">
        <v>0.43</v>
      </c>
      <c r="H3102" s="6" t="s">
        <v>559</v>
      </c>
      <c r="I3102" s="6" t="s">
        <v>55</v>
      </c>
      <c r="J3102" s="6">
        <v>2015.0</v>
      </c>
      <c r="L3102" s="6">
        <v>1.0</v>
      </c>
      <c r="M3102" s="8">
        <f t="shared" si="3"/>
        <v>0.43</v>
      </c>
      <c r="P3102" s="9"/>
    </row>
    <row r="3103">
      <c r="A3103" s="6" t="s">
        <v>6842</v>
      </c>
      <c r="B3103" s="6" t="s">
        <v>182</v>
      </c>
      <c r="C3103" s="6" t="s">
        <v>23</v>
      </c>
      <c r="D3103" s="6" t="s">
        <v>6843</v>
      </c>
      <c r="E3103" s="6" t="s">
        <v>220</v>
      </c>
      <c r="F3103" s="6" t="s">
        <v>18</v>
      </c>
      <c r="G3103" s="7">
        <v>0.06</v>
      </c>
      <c r="H3103" s="6" t="s">
        <v>559</v>
      </c>
      <c r="I3103" s="6" t="s">
        <v>20</v>
      </c>
      <c r="J3103" s="6">
        <v>2015.0</v>
      </c>
      <c r="L3103" s="6">
        <v>1.0</v>
      </c>
      <c r="M3103" s="8">
        <f t="shared" si="3"/>
        <v>0.06</v>
      </c>
      <c r="N3103" s="6" t="s">
        <v>6844</v>
      </c>
      <c r="P3103" s="9"/>
    </row>
    <row r="3104">
      <c r="A3104" s="6" t="s">
        <v>6845</v>
      </c>
      <c r="B3104" s="6" t="s">
        <v>62</v>
      </c>
      <c r="C3104" s="6" t="s">
        <v>41</v>
      </c>
      <c r="D3104" s="6" t="s">
        <v>6846</v>
      </c>
      <c r="E3104" s="6" t="s">
        <v>3329</v>
      </c>
      <c r="F3104" s="6" t="s">
        <v>284</v>
      </c>
      <c r="G3104" s="7">
        <v>0.25</v>
      </c>
      <c r="H3104" s="6" t="s">
        <v>141</v>
      </c>
      <c r="I3104" s="6" t="s">
        <v>20</v>
      </c>
      <c r="J3104" s="6">
        <v>2019.0</v>
      </c>
      <c r="L3104" s="6">
        <v>1.0</v>
      </c>
      <c r="M3104" s="8">
        <f t="shared" si="3"/>
        <v>0.25</v>
      </c>
      <c r="P3104" s="9"/>
    </row>
    <row r="3105">
      <c r="A3105" s="6" t="s">
        <v>6847</v>
      </c>
      <c r="B3105" s="6" t="s">
        <v>6848</v>
      </c>
      <c r="C3105" s="6" t="s">
        <v>48</v>
      </c>
      <c r="D3105" s="6" t="s">
        <v>6849</v>
      </c>
      <c r="E3105" s="6" t="s">
        <v>50</v>
      </c>
      <c r="F3105" s="6" t="s">
        <v>51</v>
      </c>
      <c r="G3105" s="7">
        <v>0.18</v>
      </c>
      <c r="H3105" s="6" t="s">
        <v>31</v>
      </c>
      <c r="I3105" s="6" t="s">
        <v>20</v>
      </c>
      <c r="J3105" s="6">
        <v>2026.0</v>
      </c>
      <c r="K3105" s="10">
        <v>46056.0</v>
      </c>
      <c r="L3105" s="6">
        <v>1.0</v>
      </c>
      <c r="M3105" s="8">
        <f t="shared" si="3"/>
        <v>0.18</v>
      </c>
      <c r="P3105" s="9"/>
    </row>
    <row r="3106">
      <c r="A3106" s="6" t="s">
        <v>6850</v>
      </c>
      <c r="B3106" s="6" t="s">
        <v>6851</v>
      </c>
      <c r="C3106" s="6" t="s">
        <v>23</v>
      </c>
      <c r="E3106" s="6" t="s">
        <v>6852</v>
      </c>
      <c r="F3106" s="6" t="s">
        <v>874</v>
      </c>
      <c r="G3106" s="7">
        <v>0.06</v>
      </c>
      <c r="H3106" s="6" t="s">
        <v>1361</v>
      </c>
      <c r="I3106" s="6" t="s">
        <v>20</v>
      </c>
      <c r="J3106" s="6">
        <v>2008.0</v>
      </c>
      <c r="K3106" s="10">
        <v>46176.0</v>
      </c>
      <c r="L3106" s="6">
        <v>1.0</v>
      </c>
      <c r="M3106" s="8">
        <f t="shared" si="3"/>
        <v>0.06</v>
      </c>
      <c r="P3106" s="9"/>
    </row>
    <row r="3107">
      <c r="A3107" s="6" t="s">
        <v>6853</v>
      </c>
      <c r="B3107" s="6" t="s">
        <v>6854</v>
      </c>
      <c r="C3107" s="6" t="s">
        <v>48</v>
      </c>
      <c r="D3107" s="6" t="s">
        <v>6855</v>
      </c>
      <c r="E3107" s="6" t="s">
        <v>502</v>
      </c>
      <c r="F3107" s="6" t="s">
        <v>65</v>
      </c>
      <c r="G3107" s="7">
        <v>0.08</v>
      </c>
      <c r="H3107" s="6" t="s">
        <v>192</v>
      </c>
      <c r="I3107" s="6" t="s">
        <v>20</v>
      </c>
      <c r="J3107" s="6">
        <v>2026.0</v>
      </c>
      <c r="K3107" s="10">
        <v>46116.0</v>
      </c>
      <c r="L3107" s="6">
        <v>2.0</v>
      </c>
      <c r="M3107" s="8">
        <f t="shared" si="3"/>
        <v>0.16</v>
      </c>
      <c r="P3107" s="9"/>
    </row>
    <row r="3108">
      <c r="A3108" s="6" t="s">
        <v>6856</v>
      </c>
      <c r="B3108" s="6" t="s">
        <v>6857</v>
      </c>
      <c r="C3108" s="6" t="s">
        <v>41</v>
      </c>
      <c r="D3108" s="6" t="s">
        <v>6858</v>
      </c>
      <c r="E3108" s="6" t="s">
        <v>1860</v>
      </c>
      <c r="F3108" s="6" t="s">
        <v>215</v>
      </c>
      <c r="G3108" s="7">
        <v>3.28</v>
      </c>
      <c r="H3108" s="6" t="s">
        <v>114</v>
      </c>
      <c r="I3108" s="6" t="s">
        <v>20</v>
      </c>
      <c r="J3108" s="6">
        <v>2021.0</v>
      </c>
      <c r="K3108" s="10">
        <v>46113.0</v>
      </c>
      <c r="L3108" s="6">
        <v>1.0</v>
      </c>
      <c r="M3108" s="8">
        <f t="shared" si="3"/>
        <v>3.28</v>
      </c>
      <c r="P3108" s="9"/>
    </row>
    <row r="3109">
      <c r="A3109" s="6" t="s">
        <v>6859</v>
      </c>
      <c r="B3109" s="6" t="s">
        <v>6860</v>
      </c>
      <c r="C3109" s="6" t="s">
        <v>287</v>
      </c>
      <c r="D3109" s="6" t="s">
        <v>6861</v>
      </c>
      <c r="E3109" s="6" t="s">
        <v>243</v>
      </c>
      <c r="F3109" s="6" t="s">
        <v>244</v>
      </c>
      <c r="G3109" s="7">
        <v>0.06</v>
      </c>
      <c r="H3109" s="6" t="s">
        <v>163</v>
      </c>
      <c r="I3109" s="6" t="s">
        <v>20</v>
      </c>
      <c r="J3109" s="6">
        <v>2023.0</v>
      </c>
      <c r="K3109" s="10">
        <v>46023.0</v>
      </c>
      <c r="L3109" s="6">
        <v>1.0</v>
      </c>
      <c r="M3109" s="8">
        <f t="shared" si="3"/>
        <v>0.06</v>
      </c>
      <c r="P3109" s="9"/>
    </row>
    <row r="3110">
      <c r="A3110" s="6" t="s">
        <v>6862</v>
      </c>
      <c r="B3110" s="6" t="s">
        <v>6863</v>
      </c>
      <c r="C3110" s="6" t="s">
        <v>34</v>
      </c>
      <c r="D3110" s="6" t="s">
        <v>6864</v>
      </c>
      <c r="E3110" s="6" t="s">
        <v>4144</v>
      </c>
      <c r="F3110" s="6" t="s">
        <v>65</v>
      </c>
      <c r="G3110" s="7">
        <v>0.99</v>
      </c>
      <c r="H3110" s="6" t="s">
        <v>19</v>
      </c>
      <c r="I3110" s="6" t="s">
        <v>20</v>
      </c>
      <c r="J3110" s="6">
        <v>2023.0</v>
      </c>
      <c r="K3110" s="10">
        <v>46118.0</v>
      </c>
      <c r="L3110" s="6">
        <v>4.0</v>
      </c>
      <c r="M3110" s="8">
        <f t="shared" si="3"/>
        <v>3.96</v>
      </c>
      <c r="P3110" s="9"/>
    </row>
    <row r="3111">
      <c r="A3111" s="6" t="s">
        <v>6865</v>
      </c>
      <c r="B3111" s="6" t="s">
        <v>202</v>
      </c>
      <c r="C3111" s="6" t="s">
        <v>23</v>
      </c>
      <c r="D3111" s="6" t="s">
        <v>6866</v>
      </c>
      <c r="E3111" s="6" t="s">
        <v>167</v>
      </c>
      <c r="F3111" s="6" t="s">
        <v>103</v>
      </c>
      <c r="G3111" s="7">
        <v>0.13</v>
      </c>
      <c r="H3111" s="6" t="s">
        <v>526</v>
      </c>
      <c r="I3111" s="6" t="s">
        <v>20</v>
      </c>
      <c r="J3111" s="6">
        <v>2020.0</v>
      </c>
      <c r="L3111" s="6">
        <v>4.0</v>
      </c>
      <c r="M3111" s="8">
        <f t="shared" si="3"/>
        <v>0.52</v>
      </c>
      <c r="P3111" s="9"/>
    </row>
    <row r="3112">
      <c r="A3112" s="6" t="s">
        <v>6867</v>
      </c>
      <c r="B3112" s="6" t="s">
        <v>202</v>
      </c>
      <c r="C3112" s="6" t="s">
        <v>23</v>
      </c>
      <c r="D3112" s="6" t="s">
        <v>6868</v>
      </c>
      <c r="E3112" s="6" t="s">
        <v>270</v>
      </c>
      <c r="F3112" s="6" t="s">
        <v>159</v>
      </c>
      <c r="G3112" s="7">
        <v>0.06</v>
      </c>
      <c r="H3112" s="6" t="s">
        <v>526</v>
      </c>
      <c r="I3112" s="6" t="s">
        <v>20</v>
      </c>
      <c r="J3112" s="6">
        <v>2020.0</v>
      </c>
      <c r="L3112" s="6">
        <v>4.0</v>
      </c>
      <c r="M3112" s="8">
        <f t="shared" si="3"/>
        <v>0.24</v>
      </c>
      <c r="P3112" s="9"/>
    </row>
    <row r="3113">
      <c r="A3113" s="6" t="s">
        <v>6869</v>
      </c>
      <c r="B3113" s="6" t="s">
        <v>291</v>
      </c>
      <c r="C3113" s="6" t="s">
        <v>23</v>
      </c>
      <c r="D3113" s="6" t="s">
        <v>6870</v>
      </c>
      <c r="E3113" s="6" t="s">
        <v>149</v>
      </c>
      <c r="F3113" s="6" t="s">
        <v>18</v>
      </c>
      <c r="G3113" s="7">
        <v>0.05</v>
      </c>
      <c r="H3113" s="6" t="s">
        <v>626</v>
      </c>
      <c r="I3113" s="6" t="s">
        <v>20</v>
      </c>
      <c r="J3113" s="6">
        <v>2013.0</v>
      </c>
      <c r="K3113" s="10">
        <v>46082.0</v>
      </c>
      <c r="L3113" s="6">
        <v>1.0</v>
      </c>
      <c r="M3113" s="8">
        <f t="shared" si="3"/>
        <v>0.05</v>
      </c>
      <c r="P3113" s="9"/>
    </row>
    <row r="3114">
      <c r="A3114" s="6" t="s">
        <v>6871</v>
      </c>
      <c r="B3114" s="6" t="s">
        <v>5447</v>
      </c>
      <c r="C3114" s="6" t="s">
        <v>48</v>
      </c>
      <c r="D3114" s="6" t="s">
        <v>6872</v>
      </c>
      <c r="E3114" s="6" t="s">
        <v>220</v>
      </c>
      <c r="F3114" s="6" t="s">
        <v>18</v>
      </c>
      <c r="G3114" s="7">
        <v>0.03</v>
      </c>
      <c r="H3114" s="6" t="s">
        <v>265</v>
      </c>
      <c r="I3114" s="6" t="s">
        <v>20</v>
      </c>
      <c r="J3114" s="6">
        <v>2017.0</v>
      </c>
      <c r="K3114" s="10">
        <v>46116.0</v>
      </c>
      <c r="L3114" s="6">
        <v>1.0</v>
      </c>
      <c r="M3114" s="8">
        <f t="shared" si="3"/>
        <v>0.03</v>
      </c>
      <c r="P3114" s="9"/>
    </row>
    <row r="3115">
      <c r="A3115" s="6" t="s">
        <v>6873</v>
      </c>
      <c r="B3115" s="6" t="s">
        <v>2011</v>
      </c>
      <c r="C3115" s="6" t="s">
        <v>571</v>
      </c>
      <c r="D3115" s="6" t="s">
        <v>6874</v>
      </c>
      <c r="E3115" s="6" t="s">
        <v>220</v>
      </c>
      <c r="F3115" s="6" t="s">
        <v>18</v>
      </c>
      <c r="G3115" s="7">
        <v>0.24</v>
      </c>
      <c r="H3115" s="6" t="s">
        <v>641</v>
      </c>
      <c r="I3115" s="6" t="s">
        <v>20</v>
      </c>
      <c r="J3115" s="6">
        <v>2026.0</v>
      </c>
      <c r="K3115" s="6" t="s">
        <v>697</v>
      </c>
      <c r="L3115" s="6">
        <v>1.0</v>
      </c>
      <c r="M3115" s="8">
        <f t="shared" si="3"/>
        <v>0.24</v>
      </c>
      <c r="P3115" s="9"/>
    </row>
    <row r="3116">
      <c r="A3116" s="6" t="s">
        <v>6875</v>
      </c>
      <c r="B3116" s="6" t="s">
        <v>548</v>
      </c>
      <c r="C3116" s="6" t="s">
        <v>23</v>
      </c>
      <c r="D3116" s="6" t="s">
        <v>6876</v>
      </c>
      <c r="E3116" s="6" t="s">
        <v>36</v>
      </c>
      <c r="F3116" s="6" t="s">
        <v>37</v>
      </c>
      <c r="G3116" s="7">
        <v>0.1</v>
      </c>
      <c r="H3116" s="6" t="s">
        <v>192</v>
      </c>
      <c r="I3116" s="6" t="s">
        <v>20</v>
      </c>
      <c r="J3116" s="6">
        <v>2026.0</v>
      </c>
      <c r="L3116" s="6">
        <v>2.0</v>
      </c>
      <c r="M3116" s="8">
        <f t="shared" si="3"/>
        <v>0.2</v>
      </c>
      <c r="P3116" s="9"/>
    </row>
    <row r="3117">
      <c r="A3117" s="6" t="s">
        <v>6877</v>
      </c>
      <c r="B3117" s="6" t="s">
        <v>62</v>
      </c>
      <c r="C3117" s="6" t="s">
        <v>23</v>
      </c>
      <c r="D3117" s="6" t="s">
        <v>6878</v>
      </c>
      <c r="E3117" s="6" t="s">
        <v>395</v>
      </c>
      <c r="F3117" s="6" t="s">
        <v>51</v>
      </c>
      <c r="G3117" s="7">
        <v>0.13</v>
      </c>
      <c r="H3117" s="6" t="s">
        <v>346</v>
      </c>
      <c r="I3117" s="6" t="s">
        <v>20</v>
      </c>
      <c r="J3117" s="6">
        <v>2024.0</v>
      </c>
      <c r="L3117" s="6">
        <v>1.0</v>
      </c>
      <c r="M3117" s="8">
        <f t="shared" si="3"/>
        <v>0.13</v>
      </c>
      <c r="P3117" s="9"/>
    </row>
    <row r="3118">
      <c r="A3118" s="6" t="s">
        <v>6879</v>
      </c>
      <c r="B3118" s="6" t="s">
        <v>6880</v>
      </c>
      <c r="C3118" s="6" t="s">
        <v>23</v>
      </c>
      <c r="D3118" s="6" t="s">
        <v>6881</v>
      </c>
      <c r="E3118" s="6" t="s">
        <v>118</v>
      </c>
      <c r="F3118" s="6" t="s">
        <v>51</v>
      </c>
      <c r="G3118" s="7">
        <v>0.06</v>
      </c>
      <c r="H3118" s="6" t="s">
        <v>336</v>
      </c>
      <c r="I3118" s="6" t="s">
        <v>20</v>
      </c>
      <c r="J3118" s="6">
        <v>2016.0</v>
      </c>
      <c r="K3118" s="10">
        <v>46055.0</v>
      </c>
      <c r="L3118" s="6">
        <v>1.0</v>
      </c>
      <c r="M3118" s="8">
        <f t="shared" si="3"/>
        <v>0.06</v>
      </c>
      <c r="P3118" s="9"/>
    </row>
    <row r="3119">
      <c r="A3119" s="6" t="s">
        <v>6879</v>
      </c>
      <c r="B3119" s="6" t="s">
        <v>6880</v>
      </c>
      <c r="C3119" s="6" t="s">
        <v>23</v>
      </c>
      <c r="D3119" s="6" t="s">
        <v>6881</v>
      </c>
      <c r="E3119" s="6" t="s">
        <v>118</v>
      </c>
      <c r="F3119" s="6" t="s">
        <v>51</v>
      </c>
      <c r="G3119" s="7">
        <v>0.05</v>
      </c>
      <c r="H3119" s="6" t="s">
        <v>336</v>
      </c>
      <c r="I3119" s="6" t="s">
        <v>20</v>
      </c>
      <c r="J3119" s="6">
        <v>2016.0</v>
      </c>
      <c r="K3119" s="10">
        <v>46055.0</v>
      </c>
      <c r="L3119" s="6">
        <v>3.0</v>
      </c>
      <c r="M3119" s="8">
        <f t="shared" si="3"/>
        <v>0.15</v>
      </c>
      <c r="P3119" s="9"/>
    </row>
    <row r="3120">
      <c r="A3120" s="6" t="s">
        <v>6882</v>
      </c>
      <c r="B3120" s="6" t="s">
        <v>202</v>
      </c>
      <c r="C3120" s="6" t="s">
        <v>48</v>
      </c>
      <c r="D3120" s="6" t="s">
        <v>6883</v>
      </c>
      <c r="E3120" s="6" t="s">
        <v>149</v>
      </c>
      <c r="F3120" s="6" t="s">
        <v>18</v>
      </c>
      <c r="G3120" s="7">
        <v>0.05</v>
      </c>
      <c r="H3120" s="6" t="s">
        <v>93</v>
      </c>
      <c r="I3120" s="6" t="s">
        <v>20</v>
      </c>
      <c r="J3120" s="6">
        <v>2016.0</v>
      </c>
      <c r="L3120" s="6">
        <v>1.0</v>
      </c>
      <c r="M3120" s="8">
        <f t="shared" si="3"/>
        <v>0.05</v>
      </c>
      <c r="P3120" s="9"/>
    </row>
    <row r="3121">
      <c r="A3121" s="6" t="s">
        <v>6884</v>
      </c>
      <c r="B3121" s="6" t="s">
        <v>6885</v>
      </c>
      <c r="C3121" s="6" t="s">
        <v>15</v>
      </c>
      <c r="D3121" s="6" t="s">
        <v>6886</v>
      </c>
      <c r="E3121" s="6" t="s">
        <v>2058</v>
      </c>
      <c r="F3121" s="6" t="s">
        <v>65</v>
      </c>
      <c r="G3121" s="7">
        <v>0.1</v>
      </c>
      <c r="H3121" s="6" t="s">
        <v>180</v>
      </c>
      <c r="I3121" s="6" t="s">
        <v>20</v>
      </c>
      <c r="J3121" s="6">
        <v>2014.0</v>
      </c>
      <c r="K3121" s="10">
        <v>46148.0</v>
      </c>
      <c r="L3121" s="6">
        <v>1.0</v>
      </c>
      <c r="M3121" s="8">
        <f t="shared" si="3"/>
        <v>0.1</v>
      </c>
      <c r="P3121" s="9"/>
    </row>
    <row r="3122">
      <c r="A3122" s="6" t="s">
        <v>6887</v>
      </c>
      <c r="B3122" s="6" t="s">
        <v>592</v>
      </c>
      <c r="C3122" s="6" t="s">
        <v>23</v>
      </c>
      <c r="D3122" s="6" t="s">
        <v>6888</v>
      </c>
      <c r="E3122" s="6" t="s">
        <v>196</v>
      </c>
      <c r="F3122" s="6" t="s">
        <v>65</v>
      </c>
      <c r="G3122" s="7">
        <v>0.05</v>
      </c>
      <c r="H3122" s="6" t="s">
        <v>6889</v>
      </c>
      <c r="I3122" s="6" t="s">
        <v>20</v>
      </c>
      <c r="J3122" s="6">
        <v>1998.0</v>
      </c>
      <c r="L3122" s="6">
        <v>2.0</v>
      </c>
      <c r="M3122" s="8">
        <f t="shared" si="3"/>
        <v>0.1</v>
      </c>
      <c r="P3122" s="9"/>
    </row>
    <row r="3123">
      <c r="A3123" s="6" t="s">
        <v>6890</v>
      </c>
      <c r="B3123" s="6" t="s">
        <v>1577</v>
      </c>
      <c r="C3123" s="6" t="s">
        <v>48</v>
      </c>
      <c r="D3123" s="6" t="s">
        <v>6891</v>
      </c>
      <c r="E3123" s="6" t="s">
        <v>243</v>
      </c>
      <c r="F3123" s="6" t="s">
        <v>37</v>
      </c>
      <c r="G3123" s="7">
        <v>0.34</v>
      </c>
      <c r="H3123" s="6" t="s">
        <v>1647</v>
      </c>
      <c r="I3123" s="6" t="s">
        <v>20</v>
      </c>
      <c r="J3123" s="6">
        <v>1994.0</v>
      </c>
      <c r="K3123" s="10">
        <v>46055.0</v>
      </c>
      <c r="L3123" s="6">
        <v>2.0</v>
      </c>
      <c r="M3123" s="8">
        <f t="shared" si="3"/>
        <v>0.68</v>
      </c>
      <c r="P3123" s="9"/>
    </row>
    <row r="3124">
      <c r="A3124" s="6" t="s">
        <v>6892</v>
      </c>
      <c r="B3124" s="6" t="s">
        <v>307</v>
      </c>
      <c r="C3124" s="6" t="s">
        <v>48</v>
      </c>
      <c r="D3124" s="6" t="s">
        <v>6893</v>
      </c>
      <c r="E3124" s="6" t="s">
        <v>36</v>
      </c>
      <c r="F3124" s="6" t="s">
        <v>37</v>
      </c>
      <c r="G3124" s="7">
        <v>0.18</v>
      </c>
      <c r="H3124" s="6" t="s">
        <v>245</v>
      </c>
      <c r="I3124" s="6" t="s">
        <v>20</v>
      </c>
      <c r="J3124" s="6">
        <v>1995.0</v>
      </c>
      <c r="L3124" s="6">
        <v>1.0</v>
      </c>
      <c r="M3124" s="8">
        <f t="shared" si="3"/>
        <v>0.18</v>
      </c>
      <c r="P3124" s="9"/>
    </row>
    <row r="3125">
      <c r="A3125" s="6" t="s">
        <v>6894</v>
      </c>
      <c r="B3125" s="6" t="s">
        <v>6895</v>
      </c>
      <c r="C3125" s="6" t="s">
        <v>23</v>
      </c>
      <c r="D3125" s="6" t="s">
        <v>6896</v>
      </c>
      <c r="E3125" s="6" t="s">
        <v>6897</v>
      </c>
      <c r="F3125" s="6" t="s">
        <v>717</v>
      </c>
      <c r="G3125" s="7">
        <v>0.14</v>
      </c>
      <c r="H3125" s="6" t="s">
        <v>1361</v>
      </c>
      <c r="I3125" s="6" t="s">
        <v>20</v>
      </c>
      <c r="J3125" s="6">
        <v>2008.0</v>
      </c>
      <c r="K3125" s="10">
        <v>46024.0</v>
      </c>
      <c r="L3125" s="6">
        <v>1.0</v>
      </c>
      <c r="M3125" s="8">
        <f t="shared" si="3"/>
        <v>0.14</v>
      </c>
      <c r="P3125" s="9"/>
    </row>
    <row r="3126">
      <c r="A3126" s="6" t="s">
        <v>6898</v>
      </c>
      <c r="B3126" s="6" t="s">
        <v>62</v>
      </c>
      <c r="C3126" s="6" t="s">
        <v>23</v>
      </c>
      <c r="D3126" s="6" t="s">
        <v>6899</v>
      </c>
      <c r="E3126" s="6" t="s">
        <v>25</v>
      </c>
      <c r="F3126" s="6" t="s">
        <v>18</v>
      </c>
      <c r="G3126" s="7">
        <v>0.06</v>
      </c>
      <c r="H3126" s="6" t="s">
        <v>3017</v>
      </c>
      <c r="I3126" s="6" t="s">
        <v>20</v>
      </c>
      <c r="J3126" s="6">
        <v>2008.0</v>
      </c>
      <c r="L3126" s="6">
        <v>1.0</v>
      </c>
      <c r="M3126" s="8">
        <f t="shared" si="3"/>
        <v>0.06</v>
      </c>
      <c r="P3126" s="9"/>
    </row>
    <row r="3127">
      <c r="A3127" s="6" t="s">
        <v>6900</v>
      </c>
      <c r="B3127" s="6" t="s">
        <v>194</v>
      </c>
      <c r="C3127" s="6" t="s">
        <v>48</v>
      </c>
      <c r="D3127" s="6" t="s">
        <v>6901</v>
      </c>
      <c r="E3127" s="6" t="s">
        <v>293</v>
      </c>
      <c r="F3127" s="6" t="s">
        <v>18</v>
      </c>
      <c r="G3127" s="7">
        <v>0.11</v>
      </c>
      <c r="H3127" s="6" t="s">
        <v>192</v>
      </c>
      <c r="I3127" s="6" t="s">
        <v>20</v>
      </c>
      <c r="J3127" s="6">
        <v>2026.0</v>
      </c>
      <c r="L3127" s="6">
        <v>2.0</v>
      </c>
      <c r="M3127" s="8">
        <f t="shared" si="3"/>
        <v>0.22</v>
      </c>
      <c r="P3127" s="9"/>
    </row>
    <row r="3128">
      <c r="A3128" s="6" t="s">
        <v>6902</v>
      </c>
      <c r="B3128" s="6" t="s">
        <v>5336</v>
      </c>
      <c r="C3128" s="6" t="s">
        <v>23</v>
      </c>
      <c r="D3128" s="6" t="s">
        <v>6903</v>
      </c>
      <c r="E3128" s="6" t="s">
        <v>30</v>
      </c>
      <c r="F3128" s="6" t="s">
        <v>18</v>
      </c>
      <c r="G3128" s="7">
        <v>0.05</v>
      </c>
      <c r="H3128" s="6" t="s">
        <v>1784</v>
      </c>
      <c r="I3128" s="6" t="s">
        <v>20</v>
      </c>
      <c r="J3128" s="6">
        <v>2013.0</v>
      </c>
      <c r="K3128" s="10">
        <v>46114.0</v>
      </c>
      <c r="L3128" s="6">
        <v>1.0</v>
      </c>
      <c r="M3128" s="8">
        <f t="shared" si="3"/>
        <v>0.05</v>
      </c>
      <c r="P3128" s="9"/>
    </row>
    <row r="3129">
      <c r="A3129" s="6" t="s">
        <v>6904</v>
      </c>
      <c r="B3129" s="6" t="s">
        <v>6905</v>
      </c>
      <c r="C3129" s="6" t="s">
        <v>23</v>
      </c>
      <c r="D3129" s="6" t="s">
        <v>6906</v>
      </c>
      <c r="E3129" s="6" t="s">
        <v>243</v>
      </c>
      <c r="F3129" s="6" t="s">
        <v>37</v>
      </c>
      <c r="G3129" s="7">
        <v>0.06</v>
      </c>
      <c r="H3129" s="6" t="s">
        <v>3979</v>
      </c>
      <c r="I3129" s="6" t="s">
        <v>20</v>
      </c>
      <c r="J3129" s="6">
        <v>2013.0</v>
      </c>
      <c r="K3129" s="10">
        <v>46054.0</v>
      </c>
      <c r="L3129" s="6">
        <v>4.0</v>
      </c>
      <c r="M3129" s="8">
        <f t="shared" si="3"/>
        <v>0.24</v>
      </c>
      <c r="P3129" s="9"/>
    </row>
    <row r="3130">
      <c r="A3130" s="6" t="s">
        <v>6907</v>
      </c>
      <c r="B3130" s="6" t="s">
        <v>182</v>
      </c>
      <c r="C3130" s="6" t="s">
        <v>48</v>
      </c>
      <c r="D3130" s="6" t="s">
        <v>6908</v>
      </c>
      <c r="E3130" s="6" t="s">
        <v>2942</v>
      </c>
      <c r="F3130" s="6" t="s">
        <v>18</v>
      </c>
      <c r="G3130" s="7">
        <v>0.13</v>
      </c>
      <c r="H3130" s="6" t="s">
        <v>562</v>
      </c>
      <c r="I3130" s="6" t="s">
        <v>20</v>
      </c>
      <c r="J3130" s="6">
        <v>2017.0</v>
      </c>
      <c r="L3130" s="6">
        <v>3.0</v>
      </c>
      <c r="M3130" s="8">
        <f t="shared" si="3"/>
        <v>0.39</v>
      </c>
      <c r="P3130" s="9"/>
    </row>
    <row r="3131">
      <c r="A3131" s="6" t="s">
        <v>6909</v>
      </c>
      <c r="B3131" s="6" t="s">
        <v>6910</v>
      </c>
      <c r="C3131" s="6" t="s">
        <v>23</v>
      </c>
      <c r="D3131" s="6" t="s">
        <v>6911</v>
      </c>
      <c r="E3131" s="6" t="s">
        <v>25</v>
      </c>
      <c r="F3131" s="6" t="s">
        <v>18</v>
      </c>
      <c r="G3131" s="7">
        <v>0.08</v>
      </c>
      <c r="H3131" s="6" t="s">
        <v>1538</v>
      </c>
      <c r="I3131" s="6" t="s">
        <v>20</v>
      </c>
      <c r="J3131" s="6">
        <v>2014.0</v>
      </c>
      <c r="K3131" s="10">
        <v>46082.0</v>
      </c>
      <c r="L3131" s="6">
        <v>1.0</v>
      </c>
      <c r="M3131" s="8">
        <f t="shared" si="3"/>
        <v>0.08</v>
      </c>
      <c r="P3131" s="9"/>
    </row>
    <row r="3132">
      <c r="A3132" s="6" t="s">
        <v>6912</v>
      </c>
      <c r="B3132" s="6" t="s">
        <v>372</v>
      </c>
      <c r="C3132" s="6" t="s">
        <v>23</v>
      </c>
      <c r="D3132" s="6" t="s">
        <v>6913</v>
      </c>
      <c r="E3132" s="6" t="s">
        <v>175</v>
      </c>
      <c r="F3132" s="6" t="s">
        <v>51</v>
      </c>
      <c r="G3132" s="7">
        <v>0.03</v>
      </c>
      <c r="H3132" s="6" t="s">
        <v>359</v>
      </c>
      <c r="I3132" s="6" t="s">
        <v>20</v>
      </c>
      <c r="J3132" s="6">
        <v>2014.0</v>
      </c>
      <c r="L3132" s="6">
        <v>5.0</v>
      </c>
      <c r="M3132" s="8">
        <f t="shared" si="3"/>
        <v>0.15</v>
      </c>
      <c r="P3132" s="9"/>
    </row>
    <row r="3133">
      <c r="A3133" s="6" t="s">
        <v>6914</v>
      </c>
      <c r="B3133" s="6" t="s">
        <v>424</v>
      </c>
      <c r="C3133" s="6" t="s">
        <v>48</v>
      </c>
      <c r="D3133" s="6" t="s">
        <v>6915</v>
      </c>
      <c r="F3133" s="6" t="s">
        <v>3911</v>
      </c>
      <c r="G3133" s="7">
        <v>0.39</v>
      </c>
      <c r="H3133" s="6" t="s">
        <v>129</v>
      </c>
      <c r="I3133" s="6" t="s">
        <v>20</v>
      </c>
      <c r="J3133" s="6">
        <v>2014.0</v>
      </c>
      <c r="L3133" s="6">
        <v>2.0</v>
      </c>
      <c r="M3133" s="8">
        <f t="shared" si="3"/>
        <v>0.78</v>
      </c>
      <c r="P3133" s="9"/>
    </row>
    <row r="3134">
      <c r="A3134" s="6" t="s">
        <v>6916</v>
      </c>
      <c r="B3134" s="6" t="s">
        <v>6917</v>
      </c>
      <c r="C3134" s="6" t="s">
        <v>41</v>
      </c>
      <c r="D3134" s="6" t="s">
        <v>6918</v>
      </c>
      <c r="E3134" s="6" t="s">
        <v>50</v>
      </c>
      <c r="F3134" s="6" t="s">
        <v>51</v>
      </c>
      <c r="G3134" s="7">
        <v>0.35</v>
      </c>
      <c r="H3134" s="6" t="s">
        <v>494</v>
      </c>
      <c r="I3134" s="6" t="s">
        <v>20</v>
      </c>
      <c r="J3134" s="6">
        <v>2003.0</v>
      </c>
      <c r="K3134" s="10">
        <v>46143.0</v>
      </c>
      <c r="L3134" s="6">
        <v>1.0</v>
      </c>
      <c r="M3134" s="8">
        <f t="shared" si="3"/>
        <v>0.35</v>
      </c>
      <c r="P3134" s="9"/>
    </row>
    <row r="3135">
      <c r="A3135" s="6" t="s">
        <v>6919</v>
      </c>
      <c r="B3135" s="6" t="s">
        <v>6920</v>
      </c>
      <c r="C3135" s="6" t="s">
        <v>287</v>
      </c>
      <c r="D3135" s="6" t="s">
        <v>6921</v>
      </c>
      <c r="E3135" s="6" t="s">
        <v>30</v>
      </c>
      <c r="F3135" s="6" t="s">
        <v>18</v>
      </c>
      <c r="G3135" s="7">
        <v>0.03</v>
      </c>
      <c r="H3135" s="6" t="s">
        <v>562</v>
      </c>
      <c r="I3135" s="6" t="s">
        <v>20</v>
      </c>
      <c r="J3135" s="6">
        <v>2017.0</v>
      </c>
      <c r="K3135" s="10">
        <v>46114.0</v>
      </c>
      <c r="L3135" s="6">
        <v>1.0</v>
      </c>
      <c r="M3135" s="8">
        <f t="shared" si="3"/>
        <v>0.03</v>
      </c>
      <c r="P3135" s="9"/>
    </row>
    <row r="3136">
      <c r="A3136" s="6" t="s">
        <v>6922</v>
      </c>
      <c r="B3136" s="6" t="s">
        <v>156</v>
      </c>
      <c r="C3136" s="6" t="s">
        <v>23</v>
      </c>
      <c r="D3136" s="6" t="s">
        <v>6923</v>
      </c>
      <c r="E3136" s="6" t="s">
        <v>270</v>
      </c>
      <c r="F3136" s="6" t="s">
        <v>159</v>
      </c>
      <c r="G3136" s="7">
        <v>0.05</v>
      </c>
      <c r="H3136" s="6" t="s">
        <v>427</v>
      </c>
      <c r="I3136" s="6" t="s">
        <v>20</v>
      </c>
      <c r="J3136" s="6">
        <v>2009.0</v>
      </c>
      <c r="K3136" s="10">
        <v>46082.0</v>
      </c>
      <c r="L3136" s="6">
        <v>1.0</v>
      </c>
      <c r="M3136" s="8">
        <f t="shared" si="3"/>
        <v>0.05</v>
      </c>
      <c r="P3136" s="9"/>
    </row>
    <row r="3137">
      <c r="A3137" s="6" t="s">
        <v>6924</v>
      </c>
      <c r="B3137" s="6" t="s">
        <v>507</v>
      </c>
      <c r="C3137" s="6" t="s">
        <v>23</v>
      </c>
      <c r="E3137" s="6" t="s">
        <v>270</v>
      </c>
      <c r="F3137" s="6" t="s">
        <v>159</v>
      </c>
      <c r="G3137" s="7">
        <v>0.03</v>
      </c>
      <c r="H3137" s="6" t="s">
        <v>875</v>
      </c>
      <c r="I3137" s="6" t="s">
        <v>20</v>
      </c>
      <c r="J3137" s="6">
        <v>2018.0</v>
      </c>
      <c r="K3137" s="10">
        <v>46057.0</v>
      </c>
      <c r="L3137" s="6">
        <v>1.0</v>
      </c>
      <c r="M3137" s="8">
        <f t="shared" si="3"/>
        <v>0.03</v>
      </c>
      <c r="P3137" s="9"/>
    </row>
    <row r="3138">
      <c r="A3138" s="6" t="s">
        <v>6924</v>
      </c>
      <c r="B3138" s="6" t="s">
        <v>507</v>
      </c>
      <c r="C3138" s="6" t="s">
        <v>23</v>
      </c>
      <c r="E3138" s="6" t="s">
        <v>270</v>
      </c>
      <c r="F3138" s="6" t="s">
        <v>159</v>
      </c>
      <c r="G3138" s="7">
        <v>0.03</v>
      </c>
      <c r="H3138" s="6" t="s">
        <v>875</v>
      </c>
      <c r="I3138" s="6" t="s">
        <v>20</v>
      </c>
      <c r="J3138" s="6">
        <v>2018.0</v>
      </c>
      <c r="K3138" s="10">
        <v>46057.0</v>
      </c>
      <c r="L3138" s="6">
        <v>1.0</v>
      </c>
      <c r="M3138" s="8">
        <f t="shared" si="3"/>
        <v>0.03</v>
      </c>
      <c r="P3138" s="9"/>
    </row>
    <row r="3139">
      <c r="A3139" s="6" t="s">
        <v>6925</v>
      </c>
      <c r="B3139" s="6" t="s">
        <v>151</v>
      </c>
      <c r="C3139" s="6" t="s">
        <v>23</v>
      </c>
      <c r="D3139" s="6" t="s">
        <v>6926</v>
      </c>
      <c r="E3139" s="6" t="s">
        <v>270</v>
      </c>
      <c r="F3139" s="6" t="s">
        <v>159</v>
      </c>
      <c r="G3139" s="7">
        <v>0.05</v>
      </c>
      <c r="H3139" s="6" t="s">
        <v>491</v>
      </c>
      <c r="I3139" s="6" t="s">
        <v>20</v>
      </c>
      <c r="J3139" s="6">
        <v>2011.0</v>
      </c>
      <c r="K3139" s="10">
        <v>46055.0</v>
      </c>
      <c r="L3139" s="6">
        <v>1.0</v>
      </c>
      <c r="M3139" s="8">
        <f t="shared" si="3"/>
        <v>0.05</v>
      </c>
      <c r="P3139" s="9"/>
    </row>
    <row r="3140">
      <c r="A3140" s="6" t="s">
        <v>6927</v>
      </c>
      <c r="B3140" s="6" t="s">
        <v>1196</v>
      </c>
      <c r="C3140" s="6" t="s">
        <v>48</v>
      </c>
      <c r="D3140" s="6" t="s">
        <v>6928</v>
      </c>
      <c r="E3140" s="6" t="s">
        <v>1001</v>
      </c>
      <c r="F3140" s="6" t="s">
        <v>65</v>
      </c>
      <c r="G3140" s="7">
        <v>0.25</v>
      </c>
      <c r="H3140" s="6" t="s">
        <v>120</v>
      </c>
      <c r="I3140" s="6" t="s">
        <v>20</v>
      </c>
      <c r="J3140" s="6">
        <v>1995.0</v>
      </c>
      <c r="K3140" s="10">
        <v>46082.0</v>
      </c>
      <c r="L3140" s="6">
        <v>2.0</v>
      </c>
      <c r="M3140" s="8">
        <f t="shared" si="3"/>
        <v>0.5</v>
      </c>
      <c r="P3140" s="9"/>
    </row>
    <row r="3141">
      <c r="A3141" s="6" t="s">
        <v>6929</v>
      </c>
      <c r="B3141" s="6" t="s">
        <v>796</v>
      </c>
      <c r="C3141" s="6" t="s">
        <v>34</v>
      </c>
      <c r="D3141" s="6" t="s">
        <v>6930</v>
      </c>
      <c r="E3141" s="6" t="s">
        <v>4440</v>
      </c>
      <c r="F3141" s="6" t="s">
        <v>65</v>
      </c>
      <c r="G3141" s="7">
        <v>0.06</v>
      </c>
      <c r="H3141" s="6" t="s">
        <v>180</v>
      </c>
      <c r="I3141" s="6" t="s">
        <v>20</v>
      </c>
      <c r="J3141" s="6">
        <v>2014.0</v>
      </c>
      <c r="L3141" s="6">
        <v>1.0</v>
      </c>
      <c r="M3141" s="8">
        <f t="shared" si="3"/>
        <v>0.06</v>
      </c>
      <c r="P3141" s="9"/>
    </row>
    <row r="3142">
      <c r="A3142" s="6" t="s">
        <v>6931</v>
      </c>
      <c r="B3142" s="6" t="s">
        <v>1580</v>
      </c>
      <c r="C3142" s="6" t="s">
        <v>23</v>
      </c>
      <c r="D3142" s="6" t="s">
        <v>6932</v>
      </c>
      <c r="E3142" s="6" t="s">
        <v>196</v>
      </c>
      <c r="F3142" s="6" t="s">
        <v>65</v>
      </c>
      <c r="G3142" s="7">
        <v>0.06</v>
      </c>
      <c r="H3142" s="6" t="s">
        <v>245</v>
      </c>
      <c r="I3142" s="6" t="s">
        <v>20</v>
      </c>
      <c r="J3142" s="6">
        <v>1995.0</v>
      </c>
      <c r="K3142" s="10">
        <v>46055.0</v>
      </c>
      <c r="L3142" s="6">
        <v>1.0</v>
      </c>
      <c r="M3142" s="8">
        <f t="shared" si="3"/>
        <v>0.06</v>
      </c>
      <c r="P3142" s="9"/>
    </row>
    <row r="3143">
      <c r="A3143" s="6" t="s">
        <v>6933</v>
      </c>
      <c r="B3143" s="6" t="s">
        <v>1580</v>
      </c>
      <c r="C3143" s="6" t="s">
        <v>23</v>
      </c>
      <c r="D3143" s="6" t="s">
        <v>6934</v>
      </c>
      <c r="E3143" s="6" t="s">
        <v>1001</v>
      </c>
      <c r="F3143" s="6" t="s">
        <v>65</v>
      </c>
      <c r="G3143" s="7">
        <v>0.05</v>
      </c>
      <c r="H3143" s="6" t="s">
        <v>245</v>
      </c>
      <c r="I3143" s="6" t="s">
        <v>20</v>
      </c>
      <c r="J3143" s="6">
        <v>1995.0</v>
      </c>
      <c r="K3143" s="10">
        <v>46055.0</v>
      </c>
      <c r="L3143" s="6">
        <v>1.0</v>
      </c>
      <c r="M3143" s="8">
        <f t="shared" si="3"/>
        <v>0.05</v>
      </c>
      <c r="P3143" s="9"/>
    </row>
    <row r="3144">
      <c r="A3144" s="6" t="s">
        <v>6935</v>
      </c>
      <c r="B3144" s="6" t="s">
        <v>6936</v>
      </c>
      <c r="C3144" s="6" t="s">
        <v>41</v>
      </c>
      <c r="D3144" s="6" t="s">
        <v>6937</v>
      </c>
      <c r="E3144" s="6" t="s">
        <v>112</v>
      </c>
      <c r="F3144" s="6" t="s">
        <v>65</v>
      </c>
      <c r="G3144" s="7">
        <v>1.5</v>
      </c>
      <c r="H3144" s="6" t="s">
        <v>245</v>
      </c>
      <c r="I3144" s="6" t="s">
        <v>20</v>
      </c>
      <c r="J3144" s="6">
        <v>1995.0</v>
      </c>
      <c r="K3144" s="10">
        <v>46023.0</v>
      </c>
      <c r="L3144" s="6">
        <v>1.0</v>
      </c>
      <c r="M3144" s="8">
        <f t="shared" si="3"/>
        <v>1.5</v>
      </c>
      <c r="P3144" s="9"/>
    </row>
    <row r="3145">
      <c r="A3145" s="6" t="s">
        <v>6938</v>
      </c>
      <c r="B3145" s="6" t="s">
        <v>1580</v>
      </c>
      <c r="C3145" s="6" t="s">
        <v>23</v>
      </c>
      <c r="D3145" s="6" t="s">
        <v>6939</v>
      </c>
      <c r="E3145" s="6" t="s">
        <v>64</v>
      </c>
      <c r="F3145" s="6" t="s">
        <v>65</v>
      </c>
      <c r="G3145" s="7">
        <v>0.2</v>
      </c>
      <c r="H3145" s="6" t="s">
        <v>252</v>
      </c>
      <c r="I3145" s="6" t="s">
        <v>20</v>
      </c>
      <c r="J3145" s="6">
        <v>1994.0</v>
      </c>
      <c r="K3145" s="10">
        <v>46055.0</v>
      </c>
      <c r="L3145" s="6">
        <v>2.0</v>
      </c>
      <c r="M3145" s="8">
        <f t="shared" si="3"/>
        <v>0.4</v>
      </c>
      <c r="P3145" s="9"/>
    </row>
    <row r="3146">
      <c r="A3146" s="6" t="s">
        <v>6938</v>
      </c>
      <c r="B3146" s="6" t="s">
        <v>1580</v>
      </c>
      <c r="C3146" s="6" t="s">
        <v>23</v>
      </c>
      <c r="D3146" s="6" t="s">
        <v>6939</v>
      </c>
      <c r="E3146" s="6" t="s">
        <v>64</v>
      </c>
      <c r="F3146" s="6" t="s">
        <v>65</v>
      </c>
      <c r="G3146" s="7">
        <v>0.24</v>
      </c>
      <c r="H3146" s="6" t="s">
        <v>252</v>
      </c>
      <c r="I3146" s="6" t="s">
        <v>20</v>
      </c>
      <c r="J3146" s="6">
        <v>1994.0</v>
      </c>
      <c r="K3146" s="10">
        <v>46055.0</v>
      </c>
      <c r="L3146" s="6">
        <v>1.0</v>
      </c>
      <c r="M3146" s="8">
        <f t="shared" si="3"/>
        <v>0.24</v>
      </c>
      <c r="P3146" s="9"/>
    </row>
    <row r="3147">
      <c r="A3147" s="6" t="s">
        <v>6938</v>
      </c>
      <c r="B3147" s="6" t="s">
        <v>1580</v>
      </c>
      <c r="C3147" s="6" t="s">
        <v>23</v>
      </c>
      <c r="D3147" s="6" t="s">
        <v>6939</v>
      </c>
      <c r="E3147" s="6" t="s">
        <v>64</v>
      </c>
      <c r="F3147" s="6" t="s">
        <v>65</v>
      </c>
      <c r="G3147" s="7">
        <v>0.2</v>
      </c>
      <c r="H3147" s="6" t="s">
        <v>252</v>
      </c>
      <c r="I3147" s="6" t="s">
        <v>20</v>
      </c>
      <c r="J3147" s="6">
        <v>1994.0</v>
      </c>
      <c r="K3147" s="10">
        <v>46055.0</v>
      </c>
      <c r="L3147" s="6">
        <v>1.0</v>
      </c>
      <c r="M3147" s="8">
        <f t="shared" si="3"/>
        <v>0.2</v>
      </c>
      <c r="P3147" s="9"/>
    </row>
    <row r="3148">
      <c r="A3148" s="6" t="s">
        <v>6940</v>
      </c>
      <c r="B3148" s="6" t="s">
        <v>372</v>
      </c>
      <c r="C3148" s="6" t="s">
        <v>48</v>
      </c>
      <c r="D3148" s="6" t="s">
        <v>6941</v>
      </c>
      <c r="E3148" s="6" t="s">
        <v>102</v>
      </c>
      <c r="F3148" s="6" t="s">
        <v>103</v>
      </c>
      <c r="G3148" s="7">
        <v>0.05</v>
      </c>
      <c r="H3148" s="6" t="s">
        <v>626</v>
      </c>
      <c r="I3148" s="6" t="s">
        <v>20</v>
      </c>
      <c r="J3148" s="6">
        <v>2013.0</v>
      </c>
      <c r="L3148" s="6">
        <v>3.0</v>
      </c>
      <c r="M3148" s="8">
        <f t="shared" si="3"/>
        <v>0.15</v>
      </c>
      <c r="P3148" s="9"/>
    </row>
    <row r="3149">
      <c r="A3149" s="6" t="s">
        <v>6942</v>
      </c>
      <c r="B3149" s="6" t="s">
        <v>1885</v>
      </c>
      <c r="C3149" s="6" t="s">
        <v>23</v>
      </c>
      <c r="D3149" s="6" t="s">
        <v>6943</v>
      </c>
      <c r="E3149" s="6" t="s">
        <v>112</v>
      </c>
      <c r="F3149" s="6" t="s">
        <v>65</v>
      </c>
      <c r="G3149" s="7">
        <v>0.03</v>
      </c>
      <c r="H3149" s="6" t="s">
        <v>526</v>
      </c>
      <c r="I3149" s="6" t="s">
        <v>20</v>
      </c>
      <c r="J3149" s="6">
        <v>2020.0</v>
      </c>
      <c r="K3149" s="10">
        <v>46082.0</v>
      </c>
      <c r="L3149" s="6">
        <v>1.0</v>
      </c>
      <c r="M3149" s="8">
        <f t="shared" si="3"/>
        <v>0.03</v>
      </c>
      <c r="P3149" s="9"/>
    </row>
    <row r="3150">
      <c r="A3150" s="6" t="s">
        <v>6942</v>
      </c>
      <c r="B3150" s="6" t="s">
        <v>1885</v>
      </c>
      <c r="C3150" s="6" t="s">
        <v>23</v>
      </c>
      <c r="D3150" s="6" t="s">
        <v>6943</v>
      </c>
      <c r="E3150" s="6" t="s">
        <v>112</v>
      </c>
      <c r="F3150" s="6" t="s">
        <v>65</v>
      </c>
      <c r="G3150" s="7">
        <v>0.04</v>
      </c>
      <c r="H3150" s="6" t="s">
        <v>526</v>
      </c>
      <c r="I3150" s="6" t="s">
        <v>20</v>
      </c>
      <c r="J3150" s="6">
        <v>2020.0</v>
      </c>
      <c r="K3150" s="10">
        <v>46082.0</v>
      </c>
      <c r="L3150" s="6">
        <v>1.0</v>
      </c>
      <c r="M3150" s="8">
        <f t="shared" si="3"/>
        <v>0.04</v>
      </c>
      <c r="P3150" s="9"/>
    </row>
    <row r="3151">
      <c r="A3151" s="6" t="s">
        <v>6944</v>
      </c>
      <c r="B3151" s="6" t="s">
        <v>6945</v>
      </c>
      <c r="C3151" s="6" t="s">
        <v>34</v>
      </c>
      <c r="D3151" s="6" t="s">
        <v>6946</v>
      </c>
      <c r="E3151" s="6" t="s">
        <v>1307</v>
      </c>
      <c r="F3151" s="6" t="s">
        <v>65</v>
      </c>
      <c r="G3151" s="7">
        <v>0.05</v>
      </c>
      <c r="H3151" s="6" t="s">
        <v>1043</v>
      </c>
      <c r="I3151" s="6" t="s">
        <v>20</v>
      </c>
      <c r="J3151" s="6">
        <v>2025.0</v>
      </c>
      <c r="K3151" s="10">
        <v>46055.0</v>
      </c>
      <c r="L3151" s="6">
        <v>2.0</v>
      </c>
      <c r="M3151" s="8">
        <f t="shared" si="3"/>
        <v>0.1</v>
      </c>
      <c r="P3151" s="9"/>
    </row>
    <row r="3152">
      <c r="A3152" s="6" t="s">
        <v>6947</v>
      </c>
      <c r="B3152" s="6" t="s">
        <v>6948</v>
      </c>
      <c r="C3152" s="6" t="s">
        <v>23</v>
      </c>
      <c r="E3152" s="6" t="s">
        <v>118</v>
      </c>
      <c r="F3152" s="6" t="s">
        <v>51</v>
      </c>
      <c r="G3152" s="7">
        <v>0.03</v>
      </c>
      <c r="H3152" s="6" t="s">
        <v>359</v>
      </c>
      <c r="I3152" s="6" t="s">
        <v>20</v>
      </c>
      <c r="J3152" s="6">
        <v>2014.0</v>
      </c>
      <c r="K3152" s="10">
        <v>46025.0</v>
      </c>
      <c r="L3152" s="6">
        <v>2.0</v>
      </c>
      <c r="M3152" s="8">
        <f t="shared" si="3"/>
        <v>0.06</v>
      </c>
      <c r="P3152" s="9"/>
    </row>
    <row r="3153">
      <c r="A3153" s="6" t="s">
        <v>6947</v>
      </c>
      <c r="B3153" s="6" t="s">
        <v>6948</v>
      </c>
      <c r="C3153" s="6" t="s">
        <v>23</v>
      </c>
      <c r="E3153" s="6" t="s">
        <v>118</v>
      </c>
      <c r="F3153" s="6" t="s">
        <v>51</v>
      </c>
      <c r="G3153" s="7">
        <v>0.03</v>
      </c>
      <c r="H3153" s="6" t="s">
        <v>359</v>
      </c>
      <c r="I3153" s="6" t="s">
        <v>20</v>
      </c>
      <c r="J3153" s="6">
        <v>2014.0</v>
      </c>
      <c r="K3153" s="10">
        <v>46025.0</v>
      </c>
      <c r="L3153" s="6">
        <v>1.0</v>
      </c>
      <c r="M3153" s="8">
        <f t="shared" si="3"/>
        <v>0.03</v>
      </c>
      <c r="P3153" s="9"/>
    </row>
    <row r="3154">
      <c r="A3154" s="6" t="s">
        <v>6949</v>
      </c>
      <c r="B3154" s="6" t="s">
        <v>2898</v>
      </c>
      <c r="C3154" s="6" t="s">
        <v>23</v>
      </c>
      <c r="D3154" s="6" t="s">
        <v>6950</v>
      </c>
      <c r="E3154" s="6" t="s">
        <v>235</v>
      </c>
      <c r="F3154" s="6" t="s">
        <v>103</v>
      </c>
      <c r="G3154" s="7">
        <v>0.04</v>
      </c>
      <c r="H3154" s="6" t="s">
        <v>6951</v>
      </c>
      <c r="I3154" s="6" t="s">
        <v>20</v>
      </c>
      <c r="J3154" s="6">
        <v>2002.0</v>
      </c>
      <c r="K3154" s="10">
        <v>46025.0</v>
      </c>
      <c r="L3154" s="6">
        <v>1.0</v>
      </c>
      <c r="M3154" s="8">
        <f t="shared" si="3"/>
        <v>0.04</v>
      </c>
      <c r="P3154" s="9"/>
    </row>
    <row r="3155">
      <c r="A3155" s="6" t="s">
        <v>6952</v>
      </c>
      <c r="B3155" s="6" t="s">
        <v>307</v>
      </c>
      <c r="C3155" s="6" t="s">
        <v>23</v>
      </c>
      <c r="D3155" s="6" t="s">
        <v>6953</v>
      </c>
      <c r="E3155" s="6" t="s">
        <v>303</v>
      </c>
      <c r="F3155" s="6" t="s">
        <v>37</v>
      </c>
      <c r="G3155" s="7">
        <v>0.06</v>
      </c>
      <c r="H3155" s="6" t="s">
        <v>146</v>
      </c>
      <c r="I3155" s="6" t="s">
        <v>20</v>
      </c>
      <c r="J3155" s="6">
        <v>2010.0</v>
      </c>
      <c r="L3155" s="6">
        <v>1.0</v>
      </c>
      <c r="M3155" s="8">
        <f t="shared" si="3"/>
        <v>0.06</v>
      </c>
      <c r="P3155" s="9"/>
    </row>
    <row r="3156">
      <c r="A3156" s="6" t="s">
        <v>6954</v>
      </c>
      <c r="B3156" s="6" t="s">
        <v>194</v>
      </c>
      <c r="C3156" s="6" t="s">
        <v>23</v>
      </c>
      <c r="D3156" s="6" t="s">
        <v>6955</v>
      </c>
      <c r="E3156" s="6" t="s">
        <v>118</v>
      </c>
      <c r="F3156" s="6" t="s">
        <v>51</v>
      </c>
      <c r="G3156" s="7">
        <v>0.24</v>
      </c>
      <c r="H3156" s="6" t="s">
        <v>1018</v>
      </c>
      <c r="I3156" s="6" t="s">
        <v>20</v>
      </c>
      <c r="J3156" s="6">
        <v>1999.0</v>
      </c>
      <c r="L3156" s="6">
        <v>1.0</v>
      </c>
      <c r="M3156" s="8">
        <f t="shared" si="3"/>
        <v>0.24</v>
      </c>
      <c r="P3156" s="9"/>
    </row>
    <row r="3157">
      <c r="A3157" s="6" t="s">
        <v>6956</v>
      </c>
      <c r="B3157" s="6" t="s">
        <v>4569</v>
      </c>
      <c r="C3157" s="6" t="s">
        <v>23</v>
      </c>
      <c r="D3157" s="6" t="s">
        <v>6957</v>
      </c>
      <c r="E3157" s="6" t="s">
        <v>270</v>
      </c>
      <c r="F3157" s="6" t="s">
        <v>159</v>
      </c>
      <c r="G3157" s="7">
        <v>0.03</v>
      </c>
      <c r="H3157" s="6" t="s">
        <v>562</v>
      </c>
      <c r="I3157" s="6" t="s">
        <v>20</v>
      </c>
      <c r="J3157" s="6">
        <v>2017.0</v>
      </c>
      <c r="K3157" s="10">
        <v>46115.0</v>
      </c>
      <c r="L3157" s="6">
        <v>1.0</v>
      </c>
      <c r="M3157" s="8">
        <f t="shared" si="3"/>
        <v>0.03</v>
      </c>
      <c r="P3157" s="9"/>
    </row>
    <row r="3158">
      <c r="A3158" s="6" t="s">
        <v>6958</v>
      </c>
      <c r="B3158" s="6" t="s">
        <v>1106</v>
      </c>
      <c r="C3158" s="6" t="s">
        <v>571</v>
      </c>
      <c r="D3158" s="6" t="s">
        <v>1274</v>
      </c>
      <c r="E3158" s="6" t="s">
        <v>145</v>
      </c>
      <c r="F3158" s="6" t="s">
        <v>452</v>
      </c>
      <c r="G3158" s="7">
        <v>1.1</v>
      </c>
      <c r="H3158" s="6" t="s">
        <v>305</v>
      </c>
      <c r="I3158" s="6" t="s">
        <v>20</v>
      </c>
      <c r="J3158" s="6">
        <v>2003.0</v>
      </c>
      <c r="K3158" s="6" t="s">
        <v>341</v>
      </c>
      <c r="L3158" s="6">
        <v>1.0</v>
      </c>
      <c r="M3158" s="8">
        <f t="shared" si="3"/>
        <v>1.1</v>
      </c>
      <c r="P3158" s="9"/>
    </row>
    <row r="3159">
      <c r="A3159" s="6" t="s">
        <v>6959</v>
      </c>
      <c r="B3159" s="6" t="s">
        <v>6960</v>
      </c>
      <c r="C3159" s="6" t="s">
        <v>48</v>
      </c>
      <c r="D3159" s="6" t="s">
        <v>6961</v>
      </c>
      <c r="E3159" s="6" t="s">
        <v>145</v>
      </c>
      <c r="F3159" s="6" t="s">
        <v>37</v>
      </c>
      <c r="G3159" s="7">
        <v>0.5</v>
      </c>
      <c r="H3159" s="6" t="s">
        <v>299</v>
      </c>
      <c r="I3159" s="6" t="s">
        <v>20</v>
      </c>
      <c r="J3159" s="6">
        <v>2017.0</v>
      </c>
      <c r="K3159" s="6" t="s">
        <v>341</v>
      </c>
      <c r="L3159" s="6">
        <v>1.0</v>
      </c>
      <c r="M3159" s="8">
        <f t="shared" si="3"/>
        <v>0.5</v>
      </c>
      <c r="P3159" s="9"/>
    </row>
    <row r="3160">
      <c r="A3160" s="6" t="s">
        <v>6959</v>
      </c>
      <c r="B3160" s="6" t="s">
        <v>6960</v>
      </c>
      <c r="C3160" s="6" t="s">
        <v>23</v>
      </c>
      <c r="D3160" s="6" t="s">
        <v>6961</v>
      </c>
      <c r="E3160" s="6" t="s">
        <v>145</v>
      </c>
      <c r="F3160" s="6" t="s">
        <v>37</v>
      </c>
      <c r="G3160" s="7">
        <v>22.5</v>
      </c>
      <c r="H3160" s="6" t="s">
        <v>1647</v>
      </c>
      <c r="I3160" s="6" t="s">
        <v>20</v>
      </c>
      <c r="J3160" s="6">
        <v>1994.0</v>
      </c>
      <c r="K3160" s="6" t="s">
        <v>341</v>
      </c>
      <c r="L3160" s="6">
        <v>1.0</v>
      </c>
      <c r="M3160" s="8">
        <f t="shared" si="3"/>
        <v>22.5</v>
      </c>
      <c r="P3160" s="9"/>
    </row>
    <row r="3161">
      <c r="A3161" s="6" t="s">
        <v>6959</v>
      </c>
      <c r="B3161" s="6" t="s">
        <v>6960</v>
      </c>
      <c r="C3161" s="6" t="s">
        <v>23</v>
      </c>
      <c r="D3161" s="6" t="s">
        <v>6961</v>
      </c>
      <c r="E3161" s="6" t="s">
        <v>145</v>
      </c>
      <c r="F3161" s="6" t="s">
        <v>37</v>
      </c>
      <c r="G3161" s="7">
        <v>0.44</v>
      </c>
      <c r="H3161" s="6" t="s">
        <v>188</v>
      </c>
      <c r="I3161" s="6" t="s">
        <v>20</v>
      </c>
      <c r="J3161" s="6">
        <v>2014.0</v>
      </c>
      <c r="K3161" s="6" t="s">
        <v>341</v>
      </c>
      <c r="L3161" s="6">
        <v>3.0</v>
      </c>
      <c r="M3161" s="8">
        <f t="shared" si="3"/>
        <v>1.32</v>
      </c>
      <c r="P3161" s="9"/>
    </row>
    <row r="3162">
      <c r="A3162" s="6" t="s">
        <v>6959</v>
      </c>
      <c r="B3162" s="6" t="s">
        <v>6960</v>
      </c>
      <c r="C3162" s="6" t="s">
        <v>48</v>
      </c>
      <c r="D3162" s="6" t="s">
        <v>6961</v>
      </c>
      <c r="E3162" s="6" t="s">
        <v>145</v>
      </c>
      <c r="F3162" s="6" t="s">
        <v>37</v>
      </c>
      <c r="G3162" s="7">
        <v>1.1</v>
      </c>
      <c r="H3162" s="6" t="s">
        <v>305</v>
      </c>
      <c r="I3162" s="6" t="s">
        <v>20</v>
      </c>
      <c r="J3162" s="6">
        <v>2003.0</v>
      </c>
      <c r="K3162" s="6" t="s">
        <v>341</v>
      </c>
      <c r="L3162" s="6">
        <v>1.0</v>
      </c>
      <c r="M3162" s="8">
        <f t="shared" si="3"/>
        <v>1.1</v>
      </c>
      <c r="N3162" s="6" t="s">
        <v>172</v>
      </c>
      <c r="P3162" s="9"/>
    </row>
    <row r="3163">
      <c r="A3163" s="6" t="s">
        <v>6959</v>
      </c>
      <c r="B3163" s="6" t="s">
        <v>6960</v>
      </c>
      <c r="C3163" s="6" t="s">
        <v>48</v>
      </c>
      <c r="D3163" s="6" t="s">
        <v>6961</v>
      </c>
      <c r="E3163" s="6" t="s">
        <v>145</v>
      </c>
      <c r="F3163" s="6" t="s">
        <v>37</v>
      </c>
      <c r="G3163" s="7">
        <v>1.5</v>
      </c>
      <c r="H3163" s="6" t="s">
        <v>6962</v>
      </c>
      <c r="I3163" s="6" t="s">
        <v>20</v>
      </c>
      <c r="J3163" s="6">
        <v>2005.0</v>
      </c>
      <c r="K3163" s="6" t="s">
        <v>341</v>
      </c>
      <c r="L3163" s="6">
        <v>2.0</v>
      </c>
      <c r="M3163" s="8">
        <f t="shared" si="3"/>
        <v>3</v>
      </c>
      <c r="N3163" s="6" t="s">
        <v>172</v>
      </c>
      <c r="P3163" s="9"/>
    </row>
    <row r="3164">
      <c r="A3164" s="6" t="s">
        <v>6959</v>
      </c>
      <c r="B3164" s="6" t="s">
        <v>6960</v>
      </c>
      <c r="C3164" s="6" t="s">
        <v>23</v>
      </c>
      <c r="D3164" s="6" t="s">
        <v>6961</v>
      </c>
      <c r="E3164" s="6" t="s">
        <v>145</v>
      </c>
      <c r="F3164" s="6" t="s">
        <v>37</v>
      </c>
      <c r="G3164" s="7">
        <v>2.7</v>
      </c>
      <c r="H3164" s="6" t="s">
        <v>607</v>
      </c>
      <c r="I3164" s="6" t="s">
        <v>20</v>
      </c>
      <c r="J3164" s="6">
        <v>1994.0</v>
      </c>
      <c r="K3164" s="6" t="s">
        <v>341</v>
      </c>
      <c r="L3164" s="6">
        <v>1.0</v>
      </c>
      <c r="M3164" s="8">
        <f t="shared" si="3"/>
        <v>2.7</v>
      </c>
      <c r="P3164" s="9"/>
    </row>
    <row r="3165">
      <c r="A3165" s="6" t="s">
        <v>6963</v>
      </c>
      <c r="B3165" s="6" t="s">
        <v>6964</v>
      </c>
      <c r="C3165" s="6" t="s">
        <v>23</v>
      </c>
      <c r="D3165" s="6" t="s">
        <v>6965</v>
      </c>
      <c r="E3165" s="6" t="s">
        <v>238</v>
      </c>
      <c r="F3165" s="6" t="s">
        <v>159</v>
      </c>
      <c r="G3165" s="7">
        <v>1.47</v>
      </c>
      <c r="H3165" s="6" t="s">
        <v>1665</v>
      </c>
      <c r="I3165" s="6" t="s">
        <v>20</v>
      </c>
      <c r="J3165" s="6">
        <v>2004.0</v>
      </c>
      <c r="K3165" s="10">
        <v>46023.0</v>
      </c>
      <c r="L3165" s="6">
        <v>1.0</v>
      </c>
      <c r="M3165" s="8">
        <f t="shared" si="3"/>
        <v>1.47</v>
      </c>
      <c r="P3165" s="9"/>
    </row>
    <row r="3166">
      <c r="A3166" s="6" t="s">
        <v>6966</v>
      </c>
      <c r="B3166" s="6" t="s">
        <v>6967</v>
      </c>
      <c r="C3166" s="6" t="s">
        <v>571</v>
      </c>
      <c r="D3166" s="6" t="s">
        <v>6968</v>
      </c>
      <c r="E3166" s="6" t="s">
        <v>223</v>
      </c>
      <c r="F3166" s="6" t="s">
        <v>159</v>
      </c>
      <c r="G3166" s="7">
        <v>0.03</v>
      </c>
      <c r="H3166" s="7" t="s">
        <v>1665</v>
      </c>
      <c r="I3166" s="6" t="s">
        <v>20</v>
      </c>
      <c r="J3166" s="6">
        <v>2004.0</v>
      </c>
      <c r="K3166" s="10">
        <v>46024.0</v>
      </c>
      <c r="L3166" s="6">
        <v>1.0</v>
      </c>
      <c r="M3166" s="8">
        <f t="shared" si="3"/>
        <v>0.03</v>
      </c>
      <c r="P3166" s="9"/>
    </row>
    <row r="3167">
      <c r="A3167" s="6" t="s">
        <v>6969</v>
      </c>
      <c r="B3167" s="6" t="s">
        <v>6970</v>
      </c>
      <c r="C3167" s="6" t="s">
        <v>521</v>
      </c>
      <c r="D3167" s="6" t="s">
        <v>6971</v>
      </c>
      <c r="E3167" s="6" t="s">
        <v>223</v>
      </c>
      <c r="F3167" s="6" t="s">
        <v>159</v>
      </c>
      <c r="G3167" s="7">
        <v>0.09</v>
      </c>
      <c r="H3167" s="6" t="s">
        <v>1665</v>
      </c>
      <c r="I3167" s="6" t="s">
        <v>20</v>
      </c>
      <c r="J3167" s="6">
        <v>2004.0</v>
      </c>
      <c r="K3167" s="10">
        <v>46054.0</v>
      </c>
      <c r="L3167" s="6">
        <v>2.0</v>
      </c>
      <c r="M3167" s="8">
        <f t="shared" si="3"/>
        <v>0.18</v>
      </c>
      <c r="P3167" s="9"/>
    </row>
    <row r="3168">
      <c r="A3168" s="6" t="s">
        <v>6972</v>
      </c>
      <c r="B3168" s="6" t="s">
        <v>655</v>
      </c>
      <c r="C3168" s="6" t="s">
        <v>23</v>
      </c>
      <c r="D3168" s="6" t="s">
        <v>6973</v>
      </c>
      <c r="E3168" s="6" t="s">
        <v>235</v>
      </c>
      <c r="F3168" s="6" t="s">
        <v>103</v>
      </c>
      <c r="G3168" s="7">
        <v>0.17</v>
      </c>
      <c r="H3168" s="6" t="s">
        <v>192</v>
      </c>
      <c r="I3168" s="6" t="s">
        <v>20</v>
      </c>
      <c r="J3168" s="6">
        <v>2026.0</v>
      </c>
      <c r="K3168" s="10">
        <v>46025.0</v>
      </c>
      <c r="L3168" s="6">
        <v>2.0</v>
      </c>
      <c r="M3168" s="8">
        <f t="shared" si="3"/>
        <v>0.34</v>
      </c>
      <c r="P3168" s="9"/>
    </row>
    <row r="3169">
      <c r="A3169" s="6" t="s">
        <v>6974</v>
      </c>
      <c r="B3169" s="6" t="s">
        <v>1882</v>
      </c>
      <c r="C3169" s="6" t="s">
        <v>48</v>
      </c>
      <c r="D3169" s="6" t="s">
        <v>6975</v>
      </c>
      <c r="E3169" s="6" t="s">
        <v>118</v>
      </c>
      <c r="F3169" s="6" t="s">
        <v>51</v>
      </c>
      <c r="G3169" s="7">
        <v>0.05</v>
      </c>
      <c r="H3169" s="6" t="s">
        <v>645</v>
      </c>
      <c r="I3169" s="6" t="s">
        <v>20</v>
      </c>
      <c r="J3169" s="6">
        <v>2024.0</v>
      </c>
      <c r="K3169" s="10">
        <v>46024.0</v>
      </c>
      <c r="L3169" s="6">
        <v>1.0</v>
      </c>
      <c r="M3169" s="8">
        <f t="shared" si="3"/>
        <v>0.05</v>
      </c>
      <c r="P3169" s="9"/>
    </row>
    <row r="3170">
      <c r="A3170" s="6" t="s">
        <v>6976</v>
      </c>
      <c r="B3170" s="6" t="s">
        <v>307</v>
      </c>
      <c r="C3170" s="6" t="s">
        <v>23</v>
      </c>
      <c r="D3170" s="6" t="s">
        <v>6977</v>
      </c>
      <c r="E3170" s="6" t="s">
        <v>243</v>
      </c>
      <c r="F3170" s="6" t="s">
        <v>37</v>
      </c>
      <c r="G3170" s="7">
        <v>0.08</v>
      </c>
      <c r="H3170" s="6" t="s">
        <v>1784</v>
      </c>
      <c r="I3170" s="6" t="s">
        <v>20</v>
      </c>
      <c r="J3170" s="6">
        <v>2013.0</v>
      </c>
      <c r="L3170" s="6">
        <v>1.0</v>
      </c>
      <c r="M3170" s="8">
        <f t="shared" si="3"/>
        <v>0.08</v>
      </c>
      <c r="P3170" s="9"/>
    </row>
    <row r="3171">
      <c r="A3171" s="6" t="s">
        <v>6978</v>
      </c>
      <c r="B3171" s="6" t="s">
        <v>960</v>
      </c>
      <c r="C3171" s="6" t="s">
        <v>23</v>
      </c>
      <c r="D3171" s="6" t="s">
        <v>6979</v>
      </c>
      <c r="F3171" s="6" t="s">
        <v>98</v>
      </c>
      <c r="G3171" s="7">
        <v>0.09</v>
      </c>
      <c r="H3171" s="6" t="s">
        <v>1784</v>
      </c>
      <c r="I3171" s="6" t="s">
        <v>20</v>
      </c>
      <c r="J3171" s="6">
        <v>2013.0</v>
      </c>
      <c r="L3171" s="6">
        <v>1.0</v>
      </c>
      <c r="M3171" s="8">
        <f t="shared" si="3"/>
        <v>0.09</v>
      </c>
      <c r="N3171" s="6" t="s">
        <v>518</v>
      </c>
      <c r="P3171" s="9"/>
    </row>
    <row r="3172">
      <c r="A3172" s="6" t="s">
        <v>6978</v>
      </c>
      <c r="B3172" s="6" t="s">
        <v>960</v>
      </c>
      <c r="C3172" s="6" t="s">
        <v>23</v>
      </c>
      <c r="D3172" s="6" t="s">
        <v>6979</v>
      </c>
      <c r="F3172" s="6" t="s">
        <v>98</v>
      </c>
      <c r="G3172" s="7">
        <v>0.09</v>
      </c>
      <c r="H3172" s="6" t="s">
        <v>185</v>
      </c>
      <c r="I3172" s="6" t="s">
        <v>20</v>
      </c>
      <c r="J3172" s="6">
        <v>2019.0</v>
      </c>
      <c r="L3172" s="6">
        <v>2.0</v>
      </c>
      <c r="M3172" s="8">
        <f t="shared" si="3"/>
        <v>0.18</v>
      </c>
      <c r="P3172" s="9"/>
    </row>
    <row r="3173">
      <c r="A3173" s="6" t="s">
        <v>6978</v>
      </c>
      <c r="B3173" s="6" t="s">
        <v>960</v>
      </c>
      <c r="C3173" s="6" t="s">
        <v>23</v>
      </c>
      <c r="D3173" s="6" t="s">
        <v>6979</v>
      </c>
      <c r="F3173" s="6" t="s">
        <v>98</v>
      </c>
      <c r="G3173" s="7">
        <v>0.06</v>
      </c>
      <c r="H3173" s="6" t="s">
        <v>185</v>
      </c>
      <c r="I3173" s="6" t="s">
        <v>20</v>
      </c>
      <c r="J3173" s="6">
        <v>2019.0</v>
      </c>
      <c r="L3173" s="6">
        <v>3.0</v>
      </c>
      <c r="M3173" s="8">
        <f t="shared" si="3"/>
        <v>0.18</v>
      </c>
      <c r="P3173" s="9"/>
    </row>
    <row r="3174">
      <c r="A3174" s="6" t="s">
        <v>6980</v>
      </c>
      <c r="B3174" s="6" t="s">
        <v>2913</v>
      </c>
      <c r="C3174" s="6" t="s">
        <v>48</v>
      </c>
      <c r="D3174" s="6" t="s">
        <v>6981</v>
      </c>
      <c r="E3174" s="6" t="s">
        <v>3063</v>
      </c>
      <c r="F3174" s="6" t="s">
        <v>98</v>
      </c>
      <c r="G3174" s="7">
        <v>0.23</v>
      </c>
      <c r="H3174" s="6" t="s">
        <v>384</v>
      </c>
      <c r="I3174" s="6" t="s">
        <v>55</v>
      </c>
      <c r="J3174" s="6">
        <v>2022.0</v>
      </c>
      <c r="K3174" s="10">
        <v>46023.0</v>
      </c>
      <c r="L3174" s="6">
        <v>1.0</v>
      </c>
      <c r="M3174" s="8">
        <f t="shared" si="3"/>
        <v>0.23</v>
      </c>
      <c r="P3174" s="9"/>
    </row>
    <row r="3175">
      <c r="A3175" s="6" t="s">
        <v>6982</v>
      </c>
      <c r="B3175" s="6" t="s">
        <v>6983</v>
      </c>
      <c r="C3175" s="6" t="s">
        <v>15</v>
      </c>
      <c r="D3175" s="6" t="s">
        <v>6984</v>
      </c>
      <c r="E3175" s="6" t="s">
        <v>1901</v>
      </c>
      <c r="F3175" s="6" t="s">
        <v>37</v>
      </c>
      <c r="G3175" s="7">
        <v>0.85</v>
      </c>
      <c r="H3175" s="6" t="s">
        <v>19</v>
      </c>
      <c r="I3175" s="6" t="s">
        <v>20</v>
      </c>
      <c r="J3175" s="6">
        <v>2023.0</v>
      </c>
      <c r="L3175" s="6">
        <v>1.0</v>
      </c>
      <c r="M3175" s="8">
        <f t="shared" si="3"/>
        <v>0.85</v>
      </c>
      <c r="P3175" s="9"/>
    </row>
    <row r="3176">
      <c r="A3176" s="6" t="s">
        <v>6985</v>
      </c>
      <c r="B3176" s="6" t="s">
        <v>143</v>
      </c>
      <c r="C3176" s="6" t="s">
        <v>48</v>
      </c>
      <c r="D3176" s="6" t="s">
        <v>6986</v>
      </c>
      <c r="E3176" s="6" t="s">
        <v>36</v>
      </c>
      <c r="F3176" s="6" t="s">
        <v>37</v>
      </c>
      <c r="G3176" s="7">
        <v>0.09</v>
      </c>
      <c r="H3176" s="6" t="s">
        <v>171</v>
      </c>
      <c r="I3176" s="6" t="s">
        <v>20</v>
      </c>
      <c r="J3176" s="6">
        <v>2021.0</v>
      </c>
      <c r="L3176" s="6">
        <v>1.0</v>
      </c>
      <c r="M3176" s="8">
        <f t="shared" si="3"/>
        <v>0.09</v>
      </c>
      <c r="P3176" s="9"/>
    </row>
    <row r="3177">
      <c r="A3177" s="6" t="s">
        <v>6987</v>
      </c>
      <c r="B3177" s="6" t="s">
        <v>6988</v>
      </c>
      <c r="C3177" s="6" t="s">
        <v>23</v>
      </c>
      <c r="D3177" s="6" t="s">
        <v>6989</v>
      </c>
      <c r="E3177" s="6" t="s">
        <v>270</v>
      </c>
      <c r="F3177" s="6" t="s">
        <v>159</v>
      </c>
      <c r="G3177" s="7">
        <v>0.08</v>
      </c>
      <c r="H3177" s="6" t="s">
        <v>45</v>
      </c>
      <c r="I3177" s="6" t="s">
        <v>20</v>
      </c>
      <c r="J3177" s="6">
        <v>2025.0</v>
      </c>
      <c r="K3177" s="10">
        <v>46025.0</v>
      </c>
      <c r="L3177" s="6">
        <v>3.0</v>
      </c>
      <c r="M3177" s="8">
        <f t="shared" si="3"/>
        <v>0.24</v>
      </c>
      <c r="P3177" s="9"/>
    </row>
    <row r="3178">
      <c r="A3178" s="6" t="s">
        <v>6990</v>
      </c>
      <c r="B3178" s="6" t="s">
        <v>6991</v>
      </c>
      <c r="C3178" s="6" t="s">
        <v>23</v>
      </c>
      <c r="D3178" s="6" t="s">
        <v>6992</v>
      </c>
      <c r="E3178" s="6" t="s">
        <v>149</v>
      </c>
      <c r="F3178" s="6" t="s">
        <v>18</v>
      </c>
      <c r="G3178" s="7">
        <v>0.1</v>
      </c>
      <c r="H3178" s="6" t="s">
        <v>45</v>
      </c>
      <c r="I3178" s="6" t="s">
        <v>20</v>
      </c>
      <c r="J3178" s="6">
        <v>2025.0</v>
      </c>
      <c r="K3178" s="10">
        <v>46024.0</v>
      </c>
      <c r="L3178" s="6">
        <v>1.0</v>
      </c>
      <c r="M3178" s="8">
        <f t="shared" si="3"/>
        <v>0.1</v>
      </c>
      <c r="P3178" s="9"/>
    </row>
    <row r="3179">
      <c r="A3179" s="6" t="s">
        <v>6993</v>
      </c>
      <c r="B3179" s="6" t="s">
        <v>62</v>
      </c>
      <c r="C3179" s="6" t="s">
        <v>23</v>
      </c>
      <c r="D3179" s="6" t="s">
        <v>6994</v>
      </c>
      <c r="E3179" s="6" t="s">
        <v>30</v>
      </c>
      <c r="F3179" s="6" t="s">
        <v>18</v>
      </c>
      <c r="G3179" s="7">
        <v>0.08</v>
      </c>
      <c r="H3179" s="6" t="s">
        <v>346</v>
      </c>
      <c r="I3179" s="6" t="s">
        <v>20</v>
      </c>
      <c r="J3179" s="6">
        <v>2024.0</v>
      </c>
      <c r="L3179" s="6">
        <v>1.0</v>
      </c>
      <c r="M3179" s="8">
        <f t="shared" si="3"/>
        <v>0.08</v>
      </c>
      <c r="P3179" s="9"/>
    </row>
    <row r="3180">
      <c r="A3180" s="6" t="s">
        <v>6995</v>
      </c>
      <c r="B3180" s="6" t="s">
        <v>4871</v>
      </c>
      <c r="C3180" s="6" t="s">
        <v>48</v>
      </c>
      <c r="D3180" s="6" t="s">
        <v>6996</v>
      </c>
      <c r="E3180" s="6" t="s">
        <v>270</v>
      </c>
      <c r="F3180" s="6" t="s">
        <v>159</v>
      </c>
      <c r="G3180" s="7">
        <v>0.1</v>
      </c>
      <c r="H3180" s="6" t="s">
        <v>216</v>
      </c>
      <c r="I3180" s="6" t="s">
        <v>20</v>
      </c>
      <c r="J3180" s="6">
        <v>2024.0</v>
      </c>
      <c r="K3180" s="10">
        <v>46054.0</v>
      </c>
      <c r="L3180" s="6">
        <v>2.0</v>
      </c>
      <c r="M3180" s="8">
        <f t="shared" si="3"/>
        <v>0.2</v>
      </c>
      <c r="P3180" s="9"/>
    </row>
    <row r="3181">
      <c r="A3181" s="6" t="s">
        <v>6997</v>
      </c>
      <c r="B3181" s="6" t="s">
        <v>507</v>
      </c>
      <c r="C3181" s="6" t="s">
        <v>23</v>
      </c>
      <c r="D3181" s="6" t="s">
        <v>6998</v>
      </c>
      <c r="E3181" s="6" t="s">
        <v>158</v>
      </c>
      <c r="F3181" s="6" t="s">
        <v>159</v>
      </c>
      <c r="G3181" s="7">
        <v>0.03</v>
      </c>
      <c r="H3181" s="6" t="s">
        <v>875</v>
      </c>
      <c r="I3181" s="6" t="s">
        <v>20</v>
      </c>
      <c r="J3181" s="6">
        <v>2018.0</v>
      </c>
      <c r="K3181" s="10">
        <v>46116.0</v>
      </c>
      <c r="L3181" s="6">
        <v>1.0</v>
      </c>
      <c r="M3181" s="8">
        <f t="shared" si="3"/>
        <v>0.03</v>
      </c>
      <c r="P3181" s="9"/>
    </row>
    <row r="3182">
      <c r="A3182" s="6" t="s">
        <v>6999</v>
      </c>
      <c r="B3182" s="6" t="s">
        <v>194</v>
      </c>
      <c r="C3182" s="6" t="s">
        <v>15</v>
      </c>
      <c r="D3182" s="6" t="s">
        <v>7000</v>
      </c>
      <c r="E3182" s="6" t="s">
        <v>3882</v>
      </c>
      <c r="F3182" s="6" t="s">
        <v>2365</v>
      </c>
      <c r="G3182" s="7">
        <v>0.21</v>
      </c>
      <c r="H3182" s="6" t="s">
        <v>7001</v>
      </c>
      <c r="I3182" s="6" t="s">
        <v>20</v>
      </c>
      <c r="J3182" s="6">
        <v>2025.0</v>
      </c>
      <c r="L3182" s="6">
        <v>1.0</v>
      </c>
      <c r="M3182" s="8">
        <f t="shared" si="3"/>
        <v>0.21</v>
      </c>
      <c r="P3182" s="9"/>
    </row>
    <row r="3183">
      <c r="A3183" s="6" t="s">
        <v>7002</v>
      </c>
      <c r="B3183" s="6" t="s">
        <v>182</v>
      </c>
      <c r="C3183" s="6" t="s">
        <v>48</v>
      </c>
      <c r="D3183" s="6" t="s">
        <v>7003</v>
      </c>
      <c r="E3183" s="6" t="s">
        <v>7004</v>
      </c>
      <c r="F3183" s="6" t="s">
        <v>159</v>
      </c>
      <c r="G3183" s="7">
        <v>0.41</v>
      </c>
      <c r="H3183" s="6" t="s">
        <v>911</v>
      </c>
      <c r="I3183" s="6" t="s">
        <v>20</v>
      </c>
      <c r="J3183" s="6">
        <v>2001.0</v>
      </c>
      <c r="L3183" s="6">
        <v>1.0</v>
      </c>
      <c r="M3183" s="8">
        <f t="shared" si="3"/>
        <v>0.41</v>
      </c>
      <c r="P3183" s="9"/>
    </row>
    <row r="3184">
      <c r="A3184" s="6" t="s">
        <v>7002</v>
      </c>
      <c r="B3184" s="6" t="s">
        <v>182</v>
      </c>
      <c r="C3184" s="6" t="s">
        <v>48</v>
      </c>
      <c r="D3184" s="6" t="s">
        <v>7003</v>
      </c>
      <c r="E3184" s="6" t="s">
        <v>7004</v>
      </c>
      <c r="F3184" s="6" t="s">
        <v>159</v>
      </c>
      <c r="G3184" s="7">
        <v>0.17</v>
      </c>
      <c r="H3184" s="6" t="s">
        <v>2066</v>
      </c>
      <c r="I3184" s="6" t="s">
        <v>20</v>
      </c>
      <c r="J3184" s="6">
        <v>1997.0</v>
      </c>
      <c r="L3184" s="6">
        <v>1.0</v>
      </c>
      <c r="M3184" s="8">
        <f t="shared" si="3"/>
        <v>0.17</v>
      </c>
      <c r="P3184" s="9"/>
    </row>
    <row r="3185">
      <c r="A3185" s="6" t="s">
        <v>7005</v>
      </c>
      <c r="B3185" s="6" t="s">
        <v>182</v>
      </c>
      <c r="C3185" s="6" t="s">
        <v>4336</v>
      </c>
      <c r="D3185" s="6" t="s">
        <v>7006</v>
      </c>
      <c r="E3185" s="6" t="s">
        <v>158</v>
      </c>
      <c r="F3185" s="6" t="s">
        <v>159</v>
      </c>
      <c r="G3185" s="7">
        <v>0.5</v>
      </c>
      <c r="H3185" s="6" t="s">
        <v>294</v>
      </c>
      <c r="I3185" s="6" t="s">
        <v>20</v>
      </c>
      <c r="J3185" s="6">
        <v>2010.0</v>
      </c>
      <c r="L3185" s="6">
        <v>1.0</v>
      </c>
      <c r="M3185" s="8">
        <f t="shared" si="3"/>
        <v>0.5</v>
      </c>
      <c r="P3185" s="9"/>
    </row>
    <row r="3186">
      <c r="A3186" s="6" t="s">
        <v>7007</v>
      </c>
      <c r="B3186" s="6" t="s">
        <v>7008</v>
      </c>
      <c r="C3186" s="6" t="s">
        <v>48</v>
      </c>
      <c r="D3186" s="6" t="s">
        <v>7009</v>
      </c>
      <c r="E3186" s="6" t="s">
        <v>238</v>
      </c>
      <c r="F3186" s="6" t="s">
        <v>159</v>
      </c>
      <c r="G3186" s="7">
        <v>0.35</v>
      </c>
      <c r="H3186" s="6" t="s">
        <v>163</v>
      </c>
      <c r="I3186" s="6" t="s">
        <v>20</v>
      </c>
      <c r="J3186" s="6">
        <v>2023.0</v>
      </c>
      <c r="K3186" s="10">
        <v>46054.0</v>
      </c>
      <c r="L3186" s="6">
        <v>1.0</v>
      </c>
      <c r="M3186" s="8">
        <f t="shared" si="3"/>
        <v>0.35</v>
      </c>
      <c r="P3186" s="9"/>
    </row>
    <row r="3187">
      <c r="A3187" s="6" t="s">
        <v>7010</v>
      </c>
      <c r="B3187" s="6" t="s">
        <v>1815</v>
      </c>
      <c r="C3187" s="6" t="s">
        <v>23</v>
      </c>
      <c r="D3187" s="6" t="s">
        <v>7011</v>
      </c>
      <c r="E3187" s="6" t="s">
        <v>36</v>
      </c>
      <c r="F3187" s="6" t="s">
        <v>37</v>
      </c>
      <c r="G3187" s="7">
        <v>0.06</v>
      </c>
      <c r="H3187" s="6" t="s">
        <v>141</v>
      </c>
      <c r="I3187" s="6" t="s">
        <v>20</v>
      </c>
      <c r="J3187" s="6">
        <v>2019.0</v>
      </c>
      <c r="L3187" s="6">
        <v>1.0</v>
      </c>
      <c r="M3187" s="8">
        <f t="shared" si="3"/>
        <v>0.06</v>
      </c>
      <c r="P3187" s="9"/>
    </row>
    <row r="3188">
      <c r="A3188" s="6" t="s">
        <v>7012</v>
      </c>
      <c r="B3188" s="6" t="s">
        <v>5946</v>
      </c>
      <c r="C3188" s="6" t="s">
        <v>23</v>
      </c>
      <c r="D3188" s="6" t="s">
        <v>7013</v>
      </c>
      <c r="E3188" s="6" t="s">
        <v>79</v>
      </c>
      <c r="F3188" s="6" t="s">
        <v>51</v>
      </c>
      <c r="G3188" s="7">
        <v>0.29</v>
      </c>
      <c r="H3188" s="6" t="s">
        <v>99</v>
      </c>
      <c r="I3188" s="6" t="s">
        <v>55</v>
      </c>
      <c r="J3188" s="6">
        <v>2026.0</v>
      </c>
      <c r="K3188" s="10">
        <v>46083.0</v>
      </c>
      <c r="L3188" s="6">
        <v>1.0</v>
      </c>
      <c r="M3188" s="8">
        <f t="shared" si="3"/>
        <v>0.29</v>
      </c>
      <c r="P3188" s="9"/>
    </row>
    <row r="3189">
      <c r="A3189" s="6" t="s">
        <v>7012</v>
      </c>
      <c r="B3189" s="6" t="s">
        <v>5946</v>
      </c>
      <c r="C3189" s="6" t="s">
        <v>23</v>
      </c>
      <c r="D3189" s="6" t="s">
        <v>7013</v>
      </c>
      <c r="E3189" s="6" t="s">
        <v>79</v>
      </c>
      <c r="F3189" s="6" t="s">
        <v>51</v>
      </c>
      <c r="G3189" s="7">
        <v>0.07</v>
      </c>
      <c r="H3189" s="6" t="s">
        <v>99</v>
      </c>
      <c r="I3189" s="6" t="s">
        <v>55</v>
      </c>
      <c r="J3189" s="6">
        <v>2026.0</v>
      </c>
      <c r="K3189" s="10">
        <v>46083.0</v>
      </c>
      <c r="L3189" s="6">
        <v>3.0</v>
      </c>
      <c r="M3189" s="8">
        <f t="shared" si="3"/>
        <v>0.21</v>
      </c>
      <c r="P3189" s="9"/>
    </row>
    <row r="3190">
      <c r="A3190" s="6" t="s">
        <v>7014</v>
      </c>
      <c r="B3190" s="6" t="s">
        <v>7015</v>
      </c>
      <c r="C3190" s="6" t="s">
        <v>23</v>
      </c>
      <c r="D3190" s="6" t="s">
        <v>7016</v>
      </c>
      <c r="E3190" s="6" t="s">
        <v>4525</v>
      </c>
      <c r="F3190" s="6" t="s">
        <v>98</v>
      </c>
      <c r="G3190" s="7">
        <v>0.05</v>
      </c>
      <c r="H3190" s="6" t="s">
        <v>5219</v>
      </c>
      <c r="I3190" s="6" t="s">
        <v>20</v>
      </c>
      <c r="J3190" s="6">
        <v>2021.0</v>
      </c>
      <c r="K3190" s="10">
        <v>46084.0</v>
      </c>
      <c r="L3190" s="6">
        <v>2.0</v>
      </c>
      <c r="M3190" s="8">
        <f t="shared" si="3"/>
        <v>0.1</v>
      </c>
      <c r="P3190" s="9"/>
    </row>
    <row r="3191">
      <c r="A3191" s="6" t="s">
        <v>7017</v>
      </c>
      <c r="B3191" s="6" t="s">
        <v>307</v>
      </c>
      <c r="C3191" s="6" t="s">
        <v>48</v>
      </c>
      <c r="D3191" s="6" t="s">
        <v>7018</v>
      </c>
      <c r="E3191" s="6" t="s">
        <v>303</v>
      </c>
      <c r="F3191" s="6" t="s">
        <v>37</v>
      </c>
      <c r="G3191" s="7">
        <v>0.05</v>
      </c>
      <c r="H3191" s="6" t="s">
        <v>299</v>
      </c>
      <c r="I3191" s="6" t="s">
        <v>20</v>
      </c>
      <c r="J3191" s="6">
        <v>2017.0</v>
      </c>
      <c r="L3191" s="6">
        <v>1.0</v>
      </c>
      <c r="M3191" s="8">
        <f t="shared" si="3"/>
        <v>0.05</v>
      </c>
      <c r="P3191" s="9"/>
    </row>
    <row r="3192">
      <c r="A3192" s="6" t="s">
        <v>7019</v>
      </c>
      <c r="B3192" s="6" t="s">
        <v>372</v>
      </c>
      <c r="C3192" s="6" t="s">
        <v>23</v>
      </c>
      <c r="D3192" s="6" t="s">
        <v>1550</v>
      </c>
      <c r="E3192" s="6" t="s">
        <v>118</v>
      </c>
      <c r="F3192" s="6" t="s">
        <v>51</v>
      </c>
      <c r="G3192" s="7">
        <v>0.06</v>
      </c>
      <c r="H3192" s="6" t="s">
        <v>477</v>
      </c>
      <c r="I3192" s="6" t="s">
        <v>20</v>
      </c>
      <c r="J3192" s="6">
        <v>2020.0</v>
      </c>
      <c r="L3192" s="6">
        <v>4.0</v>
      </c>
      <c r="M3192" s="8">
        <f t="shared" si="3"/>
        <v>0.24</v>
      </c>
      <c r="P3192" s="9"/>
    </row>
    <row r="3193">
      <c r="A3193" s="6" t="s">
        <v>7019</v>
      </c>
      <c r="B3193" s="6" t="s">
        <v>372</v>
      </c>
      <c r="C3193" s="6" t="s">
        <v>23</v>
      </c>
      <c r="D3193" s="6" t="s">
        <v>1550</v>
      </c>
      <c r="E3193" s="6" t="s">
        <v>118</v>
      </c>
      <c r="F3193" s="6" t="s">
        <v>51</v>
      </c>
      <c r="G3193" s="7">
        <v>0.09</v>
      </c>
      <c r="H3193" s="6" t="s">
        <v>294</v>
      </c>
      <c r="I3193" s="6" t="s">
        <v>20</v>
      </c>
      <c r="J3193" s="6">
        <v>2010.0</v>
      </c>
      <c r="L3193" s="6">
        <v>1.0</v>
      </c>
      <c r="M3193" s="8">
        <f t="shared" si="3"/>
        <v>0.09</v>
      </c>
      <c r="P3193" s="9"/>
    </row>
    <row r="3194">
      <c r="A3194" s="6" t="s">
        <v>7019</v>
      </c>
      <c r="B3194" s="6" t="s">
        <v>372</v>
      </c>
      <c r="C3194" s="6" t="s">
        <v>23</v>
      </c>
      <c r="D3194" s="6" t="s">
        <v>1550</v>
      </c>
      <c r="E3194" s="6" t="s">
        <v>118</v>
      </c>
      <c r="F3194" s="6" t="s">
        <v>51</v>
      </c>
      <c r="G3194" s="7">
        <v>0.23</v>
      </c>
      <c r="H3194" s="6" t="s">
        <v>26</v>
      </c>
      <c r="I3194" s="6" t="s">
        <v>20</v>
      </c>
      <c r="J3194" s="6">
        <v>2026.0</v>
      </c>
      <c r="L3194" s="6">
        <v>1.0</v>
      </c>
      <c r="M3194" s="8">
        <f t="shared" si="3"/>
        <v>0.23</v>
      </c>
      <c r="P3194" s="9"/>
    </row>
    <row r="3195">
      <c r="A3195" s="6" t="s">
        <v>7020</v>
      </c>
      <c r="B3195" s="6" t="s">
        <v>809</v>
      </c>
      <c r="C3195" s="6" t="s">
        <v>41</v>
      </c>
      <c r="D3195" s="6" t="s">
        <v>7021</v>
      </c>
      <c r="E3195" s="6" t="s">
        <v>1950</v>
      </c>
      <c r="F3195" s="6" t="s">
        <v>65</v>
      </c>
      <c r="G3195" s="7">
        <v>0.65</v>
      </c>
      <c r="H3195" s="6" t="s">
        <v>66</v>
      </c>
      <c r="I3195" s="6" t="s">
        <v>55</v>
      </c>
      <c r="J3195" s="6">
        <v>2016.0</v>
      </c>
      <c r="K3195" s="10">
        <v>46147.0</v>
      </c>
      <c r="L3195" s="6">
        <v>1.0</v>
      </c>
      <c r="M3195" s="8">
        <f t="shared" si="3"/>
        <v>0.65</v>
      </c>
      <c r="P3195" s="9"/>
    </row>
    <row r="3196">
      <c r="A3196" s="6" t="s">
        <v>7022</v>
      </c>
      <c r="B3196" s="6" t="s">
        <v>62</v>
      </c>
      <c r="C3196" s="6" t="s">
        <v>23</v>
      </c>
      <c r="D3196" s="6" t="s">
        <v>7023</v>
      </c>
      <c r="E3196" s="6" t="s">
        <v>102</v>
      </c>
      <c r="F3196" s="6" t="s">
        <v>103</v>
      </c>
      <c r="G3196" s="7">
        <v>0.06</v>
      </c>
      <c r="H3196" s="6" t="s">
        <v>2861</v>
      </c>
      <c r="I3196" s="6" t="s">
        <v>20</v>
      </c>
      <c r="J3196" s="6">
        <v>2008.0</v>
      </c>
      <c r="L3196" s="6">
        <v>1.0</v>
      </c>
      <c r="M3196" s="8">
        <f t="shared" si="3"/>
        <v>0.06</v>
      </c>
      <c r="P3196" s="9"/>
    </row>
    <row r="3197">
      <c r="A3197" s="6" t="s">
        <v>7024</v>
      </c>
      <c r="B3197" s="6" t="s">
        <v>2026</v>
      </c>
      <c r="C3197" s="6" t="s">
        <v>512</v>
      </c>
      <c r="D3197" s="6" t="s">
        <v>7025</v>
      </c>
      <c r="E3197" s="6" t="s">
        <v>1475</v>
      </c>
      <c r="F3197" s="6" t="s">
        <v>65</v>
      </c>
      <c r="G3197" s="7">
        <v>0.72</v>
      </c>
      <c r="H3197" s="6" t="s">
        <v>1043</v>
      </c>
      <c r="I3197" s="6" t="s">
        <v>20</v>
      </c>
      <c r="J3197" s="6">
        <v>2025.0</v>
      </c>
      <c r="L3197" s="6">
        <v>1.0</v>
      </c>
      <c r="M3197" s="8">
        <f t="shared" si="3"/>
        <v>0.72</v>
      </c>
      <c r="P3197" s="9"/>
    </row>
    <row r="3198">
      <c r="A3198" s="6" t="s">
        <v>7026</v>
      </c>
      <c r="B3198" s="6" t="s">
        <v>258</v>
      </c>
      <c r="C3198" s="6" t="s">
        <v>48</v>
      </c>
      <c r="D3198" s="6" t="s">
        <v>7027</v>
      </c>
      <c r="E3198" s="6" t="s">
        <v>102</v>
      </c>
      <c r="F3198" s="6" t="s">
        <v>103</v>
      </c>
      <c r="G3198" s="7">
        <v>0.05</v>
      </c>
      <c r="H3198" s="6" t="s">
        <v>146</v>
      </c>
      <c r="I3198" s="6" t="s">
        <v>20</v>
      </c>
      <c r="J3198" s="6">
        <v>2010.0</v>
      </c>
      <c r="K3198" s="10">
        <v>46024.0</v>
      </c>
      <c r="L3198" s="6">
        <v>1.0</v>
      </c>
      <c r="M3198" s="8">
        <f t="shared" si="3"/>
        <v>0.05</v>
      </c>
      <c r="P3198" s="9"/>
    </row>
    <row r="3199">
      <c r="A3199" s="6" t="s">
        <v>7028</v>
      </c>
      <c r="B3199" s="6" t="s">
        <v>1540</v>
      </c>
      <c r="C3199" s="6" t="s">
        <v>48</v>
      </c>
      <c r="D3199" s="6" t="s">
        <v>7029</v>
      </c>
      <c r="E3199" s="6" t="s">
        <v>7030</v>
      </c>
      <c r="F3199" s="6" t="s">
        <v>65</v>
      </c>
      <c r="G3199" s="7">
        <v>0.1</v>
      </c>
      <c r="H3199" s="6" t="s">
        <v>645</v>
      </c>
      <c r="I3199" s="6" t="s">
        <v>20</v>
      </c>
      <c r="J3199" s="6">
        <v>2024.0</v>
      </c>
      <c r="L3199" s="6">
        <v>1.0</v>
      </c>
      <c r="M3199" s="8">
        <f t="shared" si="3"/>
        <v>0.1</v>
      </c>
      <c r="P3199" s="9"/>
    </row>
    <row r="3200">
      <c r="A3200" s="6" t="s">
        <v>7031</v>
      </c>
      <c r="B3200" s="6" t="s">
        <v>628</v>
      </c>
      <c r="C3200" s="6" t="s">
        <v>23</v>
      </c>
      <c r="D3200" s="6" t="s">
        <v>7032</v>
      </c>
      <c r="E3200" s="6" t="s">
        <v>149</v>
      </c>
      <c r="F3200" s="6" t="s">
        <v>18</v>
      </c>
      <c r="G3200" s="7">
        <v>0.06</v>
      </c>
      <c r="H3200" s="6" t="s">
        <v>559</v>
      </c>
      <c r="I3200" s="6" t="s">
        <v>20</v>
      </c>
      <c r="J3200" s="6">
        <v>2015.0</v>
      </c>
      <c r="K3200" s="10">
        <v>46023.0</v>
      </c>
      <c r="L3200" s="6">
        <v>1.0</v>
      </c>
      <c r="M3200" s="8">
        <f t="shared" si="3"/>
        <v>0.06</v>
      </c>
      <c r="P3200" s="9"/>
    </row>
    <row r="3201">
      <c r="A3201" s="6" t="s">
        <v>7033</v>
      </c>
      <c r="B3201" s="6" t="s">
        <v>6520</v>
      </c>
      <c r="C3201" s="6" t="s">
        <v>23</v>
      </c>
      <c r="D3201" s="6" t="s">
        <v>7034</v>
      </c>
      <c r="E3201" s="6" t="s">
        <v>50</v>
      </c>
      <c r="F3201" s="6" t="s">
        <v>51</v>
      </c>
      <c r="G3201" s="7">
        <v>0.03</v>
      </c>
      <c r="H3201" s="6" t="s">
        <v>555</v>
      </c>
      <c r="I3201" s="6" t="s">
        <v>20</v>
      </c>
      <c r="J3201" s="6">
        <v>2017.0</v>
      </c>
      <c r="K3201" s="10">
        <v>46056.0</v>
      </c>
      <c r="L3201" s="6">
        <v>1.0</v>
      </c>
      <c r="M3201" s="8">
        <f t="shared" si="3"/>
        <v>0.03</v>
      </c>
      <c r="P3201" s="9"/>
    </row>
    <row r="3202">
      <c r="A3202" s="6" t="s">
        <v>7035</v>
      </c>
      <c r="B3202" s="6" t="s">
        <v>1052</v>
      </c>
      <c r="C3202" s="6" t="s">
        <v>34</v>
      </c>
      <c r="D3202" s="6" t="s">
        <v>7036</v>
      </c>
      <c r="E3202" s="6" t="s">
        <v>2642</v>
      </c>
      <c r="F3202" s="6" t="s">
        <v>51</v>
      </c>
      <c r="G3202" s="7">
        <v>0.4</v>
      </c>
      <c r="H3202" s="6" t="s">
        <v>4119</v>
      </c>
      <c r="I3202" s="6" t="s">
        <v>55</v>
      </c>
      <c r="J3202" s="6">
        <v>2025.0</v>
      </c>
      <c r="L3202" s="6">
        <v>1.0</v>
      </c>
      <c r="M3202" s="8">
        <f t="shared" si="3"/>
        <v>0.4</v>
      </c>
      <c r="P3202" s="9"/>
    </row>
    <row r="3203">
      <c r="A3203" s="6" t="s">
        <v>7035</v>
      </c>
      <c r="B3203" s="6" t="s">
        <v>1052</v>
      </c>
      <c r="C3203" s="6" t="s">
        <v>34</v>
      </c>
      <c r="D3203" s="6" t="s">
        <v>7036</v>
      </c>
      <c r="E3203" s="6" t="s">
        <v>2642</v>
      </c>
      <c r="F3203" s="6" t="s">
        <v>51</v>
      </c>
      <c r="G3203" s="7">
        <v>0.05</v>
      </c>
      <c r="H3203" s="6" t="s">
        <v>4119</v>
      </c>
      <c r="I3203" s="6" t="s">
        <v>7037</v>
      </c>
      <c r="J3203" s="6">
        <v>2025.0</v>
      </c>
      <c r="L3203" s="6">
        <v>11.0</v>
      </c>
      <c r="M3203" s="8">
        <f t="shared" si="3"/>
        <v>0.55</v>
      </c>
      <c r="P3203" s="9"/>
    </row>
    <row r="3204">
      <c r="A3204" s="6" t="s">
        <v>7038</v>
      </c>
      <c r="B3204" s="6" t="s">
        <v>194</v>
      </c>
      <c r="C3204" s="6" t="s">
        <v>23</v>
      </c>
      <c r="D3204" s="6" t="s">
        <v>7039</v>
      </c>
      <c r="E3204" s="6" t="s">
        <v>196</v>
      </c>
      <c r="F3204" s="6" t="s">
        <v>65</v>
      </c>
      <c r="G3204" s="7">
        <v>0.05</v>
      </c>
      <c r="H3204" s="6" t="s">
        <v>245</v>
      </c>
      <c r="I3204" s="6" t="s">
        <v>20</v>
      </c>
      <c r="J3204" s="6">
        <v>1995.0</v>
      </c>
      <c r="L3204" s="6">
        <v>3.0</v>
      </c>
      <c r="M3204" s="8">
        <f t="shared" si="3"/>
        <v>0.15</v>
      </c>
      <c r="P3204" s="9"/>
    </row>
    <row r="3205">
      <c r="A3205" s="6" t="s">
        <v>7040</v>
      </c>
      <c r="B3205" s="6" t="s">
        <v>307</v>
      </c>
      <c r="C3205" s="6" t="s">
        <v>23</v>
      </c>
      <c r="D3205" s="6" t="s">
        <v>7041</v>
      </c>
      <c r="E3205" s="6" t="s">
        <v>303</v>
      </c>
      <c r="F3205" s="6" t="s">
        <v>65</v>
      </c>
      <c r="G3205" s="7">
        <v>0.04</v>
      </c>
      <c r="H3205" s="6" t="s">
        <v>146</v>
      </c>
      <c r="I3205" s="6" t="s">
        <v>20</v>
      </c>
      <c r="J3205" s="6">
        <v>2010.0</v>
      </c>
      <c r="L3205" s="6">
        <v>1.0</v>
      </c>
      <c r="M3205" s="8">
        <f t="shared" si="3"/>
        <v>0.04</v>
      </c>
      <c r="P3205" s="9"/>
    </row>
    <row r="3206">
      <c r="A3206" s="6" t="s">
        <v>7042</v>
      </c>
      <c r="B3206" s="6" t="s">
        <v>307</v>
      </c>
      <c r="C3206" s="6" t="s">
        <v>23</v>
      </c>
      <c r="D3206" s="6" t="s">
        <v>7043</v>
      </c>
      <c r="E3206" s="6" t="s">
        <v>243</v>
      </c>
      <c r="F3206" s="6" t="s">
        <v>37</v>
      </c>
      <c r="G3206" s="7">
        <v>0.06</v>
      </c>
      <c r="H3206" s="6" t="s">
        <v>526</v>
      </c>
      <c r="I3206" s="6" t="s">
        <v>20</v>
      </c>
      <c r="J3206" s="6">
        <v>2020.0</v>
      </c>
      <c r="L3206" s="6">
        <v>1.0</v>
      </c>
      <c r="M3206" s="8">
        <f t="shared" si="3"/>
        <v>0.06</v>
      </c>
      <c r="P3206" s="9"/>
    </row>
    <row r="3207">
      <c r="A3207" s="6" t="s">
        <v>7044</v>
      </c>
      <c r="B3207" s="6" t="s">
        <v>366</v>
      </c>
      <c r="C3207" s="6" t="s">
        <v>23</v>
      </c>
      <c r="D3207" s="6" t="s">
        <v>7045</v>
      </c>
      <c r="E3207" s="6" t="s">
        <v>167</v>
      </c>
      <c r="F3207" s="6" t="s">
        <v>103</v>
      </c>
      <c r="G3207" s="7">
        <v>0.05</v>
      </c>
      <c r="H3207" s="6" t="s">
        <v>109</v>
      </c>
      <c r="I3207" s="6" t="s">
        <v>20</v>
      </c>
      <c r="J3207" s="6">
        <v>1995.0</v>
      </c>
      <c r="L3207" s="6">
        <v>2.0</v>
      </c>
      <c r="M3207" s="8">
        <f t="shared" si="3"/>
        <v>0.1</v>
      </c>
      <c r="P3207" s="9"/>
    </row>
    <row r="3208">
      <c r="A3208" s="6" t="s">
        <v>7044</v>
      </c>
      <c r="B3208" s="6" t="s">
        <v>366</v>
      </c>
      <c r="C3208" s="6" t="s">
        <v>23</v>
      </c>
      <c r="D3208" s="6" t="s">
        <v>7045</v>
      </c>
      <c r="E3208" s="6" t="s">
        <v>167</v>
      </c>
      <c r="F3208" s="6" t="s">
        <v>103</v>
      </c>
      <c r="G3208" s="7">
        <v>0.12</v>
      </c>
      <c r="H3208" s="6" t="s">
        <v>1382</v>
      </c>
      <c r="I3208" s="6" t="s">
        <v>20</v>
      </c>
      <c r="J3208" s="6">
        <v>1995.0</v>
      </c>
      <c r="L3208" s="6">
        <v>2.0</v>
      </c>
      <c r="M3208" s="8">
        <f t="shared" si="3"/>
        <v>0.24</v>
      </c>
      <c r="P3208" s="9"/>
    </row>
    <row r="3209">
      <c r="A3209" s="6" t="s">
        <v>7044</v>
      </c>
      <c r="B3209" s="6" t="s">
        <v>366</v>
      </c>
      <c r="C3209" s="6" t="s">
        <v>23</v>
      </c>
      <c r="D3209" s="6" t="s">
        <v>7045</v>
      </c>
      <c r="E3209" s="6" t="s">
        <v>167</v>
      </c>
      <c r="F3209" s="6" t="s">
        <v>103</v>
      </c>
      <c r="G3209" s="7">
        <v>0.48</v>
      </c>
      <c r="H3209" s="6" t="s">
        <v>607</v>
      </c>
      <c r="I3209" s="6" t="s">
        <v>20</v>
      </c>
      <c r="J3209" s="6">
        <v>1994.0</v>
      </c>
      <c r="L3209" s="6">
        <v>2.0</v>
      </c>
      <c r="M3209" s="8">
        <f t="shared" si="3"/>
        <v>0.96</v>
      </c>
      <c r="P3209" s="9"/>
    </row>
    <row r="3210">
      <c r="A3210" s="6" t="s">
        <v>7046</v>
      </c>
      <c r="B3210" s="6" t="s">
        <v>372</v>
      </c>
      <c r="C3210" s="6" t="s">
        <v>23</v>
      </c>
      <c r="D3210" s="6" t="s">
        <v>7047</v>
      </c>
      <c r="E3210" s="6" t="s">
        <v>25</v>
      </c>
      <c r="F3210" s="6" t="s">
        <v>18</v>
      </c>
      <c r="G3210" s="7">
        <v>0.05</v>
      </c>
      <c r="H3210" s="6" t="s">
        <v>271</v>
      </c>
      <c r="I3210" s="6" t="s">
        <v>20</v>
      </c>
      <c r="J3210" s="6">
        <v>2012.0</v>
      </c>
      <c r="L3210" s="6">
        <v>1.0</v>
      </c>
      <c r="M3210" s="8">
        <f t="shared" si="3"/>
        <v>0.05</v>
      </c>
      <c r="P3210" s="9"/>
    </row>
    <row r="3211">
      <c r="A3211" s="6" t="s">
        <v>7046</v>
      </c>
      <c r="B3211" s="6" t="s">
        <v>372</v>
      </c>
      <c r="C3211" s="6" t="s">
        <v>23</v>
      </c>
      <c r="D3211" s="6" t="s">
        <v>7047</v>
      </c>
      <c r="E3211" s="6" t="s">
        <v>25</v>
      </c>
      <c r="F3211" s="6" t="s">
        <v>18</v>
      </c>
      <c r="G3211" s="7">
        <v>0.05</v>
      </c>
      <c r="H3211" s="6" t="s">
        <v>427</v>
      </c>
      <c r="I3211" s="6" t="s">
        <v>20</v>
      </c>
      <c r="J3211" s="6">
        <v>2009.0</v>
      </c>
      <c r="L3211" s="6">
        <v>1.0</v>
      </c>
      <c r="M3211" s="8">
        <f t="shared" si="3"/>
        <v>0.05</v>
      </c>
      <c r="P3211" s="9"/>
    </row>
    <row r="3212">
      <c r="A3212" s="6" t="s">
        <v>7048</v>
      </c>
      <c r="B3212" s="6" t="s">
        <v>7049</v>
      </c>
      <c r="C3212" s="6" t="s">
        <v>48</v>
      </c>
      <c r="D3212" s="6" t="s">
        <v>7050</v>
      </c>
      <c r="E3212" s="6" t="s">
        <v>102</v>
      </c>
      <c r="F3212" s="6" t="s">
        <v>103</v>
      </c>
      <c r="G3212" s="7">
        <v>0.16</v>
      </c>
      <c r="H3212" s="6" t="s">
        <v>192</v>
      </c>
      <c r="I3212" s="6" t="s">
        <v>20</v>
      </c>
      <c r="J3212" s="6">
        <v>2026.0</v>
      </c>
      <c r="K3212" s="10">
        <v>46055.0</v>
      </c>
      <c r="L3212" s="6">
        <v>2.0</v>
      </c>
      <c r="M3212" s="8">
        <f t="shared" si="3"/>
        <v>0.32</v>
      </c>
      <c r="P3212" s="9"/>
    </row>
    <row r="3213">
      <c r="A3213" s="6" t="s">
        <v>7051</v>
      </c>
      <c r="B3213" s="6" t="s">
        <v>131</v>
      </c>
      <c r="C3213" s="6" t="s">
        <v>23</v>
      </c>
      <c r="D3213" s="6" t="s">
        <v>7052</v>
      </c>
      <c r="E3213" s="6" t="s">
        <v>118</v>
      </c>
      <c r="F3213" s="6" t="s">
        <v>51</v>
      </c>
      <c r="G3213" s="7">
        <v>0.06</v>
      </c>
      <c r="H3213" s="6" t="s">
        <v>114</v>
      </c>
      <c r="I3213" s="6" t="s">
        <v>20</v>
      </c>
      <c r="J3213" s="6">
        <v>2021.0</v>
      </c>
      <c r="K3213" s="10">
        <v>46054.0</v>
      </c>
      <c r="L3213" s="6">
        <v>1.0</v>
      </c>
      <c r="M3213" s="8">
        <f t="shared" si="3"/>
        <v>0.06</v>
      </c>
      <c r="P3213" s="9"/>
    </row>
    <row r="3214">
      <c r="A3214" s="6" t="s">
        <v>7053</v>
      </c>
      <c r="B3214" s="6" t="s">
        <v>7054</v>
      </c>
      <c r="C3214" s="6" t="s">
        <v>48</v>
      </c>
      <c r="D3214" s="6" t="s">
        <v>7055</v>
      </c>
      <c r="E3214" s="6" t="s">
        <v>153</v>
      </c>
      <c r="F3214" s="6" t="s">
        <v>103</v>
      </c>
      <c r="G3214" s="7">
        <v>0.14</v>
      </c>
      <c r="H3214" s="6" t="s">
        <v>845</v>
      </c>
      <c r="I3214" s="6" t="s">
        <v>20</v>
      </c>
      <c r="J3214" s="6">
        <v>2022.0</v>
      </c>
      <c r="K3214" s="10">
        <v>46055.0</v>
      </c>
      <c r="L3214" s="6">
        <v>1.0</v>
      </c>
      <c r="M3214" s="8">
        <f t="shared" si="3"/>
        <v>0.14</v>
      </c>
      <c r="P3214" s="9"/>
    </row>
    <row r="3215">
      <c r="A3215" s="6" t="s">
        <v>7056</v>
      </c>
      <c r="B3215" s="6" t="s">
        <v>291</v>
      </c>
      <c r="C3215" s="6" t="s">
        <v>23</v>
      </c>
      <c r="D3215" s="6" t="s">
        <v>7057</v>
      </c>
      <c r="E3215" s="6" t="s">
        <v>149</v>
      </c>
      <c r="F3215" s="6" t="s">
        <v>18</v>
      </c>
      <c r="G3215" s="7">
        <v>0.03</v>
      </c>
      <c r="H3215" s="6" t="s">
        <v>1084</v>
      </c>
      <c r="I3215" s="6" t="s">
        <v>20</v>
      </c>
      <c r="J3215" s="6">
        <v>2018.0</v>
      </c>
      <c r="K3215" s="10">
        <v>46082.0</v>
      </c>
      <c r="L3215" s="6">
        <v>1.0</v>
      </c>
      <c r="M3215" s="8">
        <f t="shared" si="3"/>
        <v>0.03</v>
      </c>
      <c r="P3215" s="9"/>
    </row>
    <row r="3216">
      <c r="A3216" s="6" t="s">
        <v>7058</v>
      </c>
      <c r="B3216" s="6" t="s">
        <v>366</v>
      </c>
      <c r="C3216" s="6" t="s">
        <v>23</v>
      </c>
      <c r="D3216" s="6" t="s">
        <v>7059</v>
      </c>
      <c r="E3216" s="6" t="s">
        <v>118</v>
      </c>
      <c r="F3216" s="6" t="s">
        <v>51</v>
      </c>
      <c r="G3216" s="7">
        <v>0.05</v>
      </c>
      <c r="H3216" s="6" t="s">
        <v>45</v>
      </c>
      <c r="I3216" s="6" t="s">
        <v>20</v>
      </c>
      <c r="J3216" s="6">
        <v>2025.0</v>
      </c>
      <c r="L3216" s="6">
        <v>1.0</v>
      </c>
      <c r="M3216" s="8">
        <f t="shared" si="3"/>
        <v>0.05</v>
      </c>
      <c r="P3216" s="9"/>
    </row>
    <row r="3217">
      <c r="A3217" s="6" t="s">
        <v>7058</v>
      </c>
      <c r="B3217" s="6" t="s">
        <v>366</v>
      </c>
      <c r="C3217" s="6" t="s">
        <v>23</v>
      </c>
      <c r="D3217" s="6" t="s">
        <v>7059</v>
      </c>
      <c r="E3217" s="6" t="s">
        <v>118</v>
      </c>
      <c r="F3217" s="6" t="s">
        <v>51</v>
      </c>
      <c r="G3217" s="7">
        <v>0.05</v>
      </c>
      <c r="H3217" s="6" t="s">
        <v>45</v>
      </c>
      <c r="I3217" s="6" t="s">
        <v>20</v>
      </c>
      <c r="J3217" s="6">
        <v>2025.0</v>
      </c>
      <c r="L3217" s="6">
        <v>3.0</v>
      </c>
      <c r="M3217" s="8">
        <f t="shared" si="3"/>
        <v>0.15</v>
      </c>
      <c r="P3217" s="9"/>
    </row>
    <row r="3218">
      <c r="A3218" s="6" t="s">
        <v>7060</v>
      </c>
      <c r="B3218" s="6" t="s">
        <v>62</v>
      </c>
      <c r="C3218" s="6" t="s">
        <v>23</v>
      </c>
      <c r="D3218" s="6" t="s">
        <v>7061</v>
      </c>
      <c r="E3218" s="6" t="s">
        <v>50</v>
      </c>
      <c r="F3218" s="6" t="s">
        <v>51</v>
      </c>
      <c r="G3218" s="7">
        <v>0.41</v>
      </c>
      <c r="H3218" s="6" t="s">
        <v>1551</v>
      </c>
      <c r="I3218" s="6" t="s">
        <v>20</v>
      </c>
      <c r="J3218" s="6">
        <v>2007.0</v>
      </c>
      <c r="L3218" s="6">
        <v>2.0</v>
      </c>
      <c r="M3218" s="8">
        <f t="shared" si="3"/>
        <v>0.82</v>
      </c>
      <c r="P3218" s="9"/>
    </row>
    <row r="3219">
      <c r="A3219" s="6" t="s">
        <v>7062</v>
      </c>
      <c r="B3219" s="6" t="s">
        <v>62</v>
      </c>
      <c r="C3219" s="6" t="s">
        <v>23</v>
      </c>
      <c r="D3219" s="6" t="s">
        <v>7063</v>
      </c>
      <c r="E3219" s="6" t="s">
        <v>175</v>
      </c>
      <c r="F3219" s="6" t="s">
        <v>51</v>
      </c>
      <c r="G3219" s="7">
        <v>0.05</v>
      </c>
      <c r="H3219" s="6" t="s">
        <v>154</v>
      </c>
      <c r="I3219" s="6" t="s">
        <v>20</v>
      </c>
      <c r="J3219" s="6">
        <v>2013.0</v>
      </c>
      <c r="L3219" s="6">
        <v>1.0</v>
      </c>
      <c r="M3219" s="8">
        <f t="shared" si="3"/>
        <v>0.05</v>
      </c>
      <c r="P3219" s="9"/>
    </row>
    <row r="3220">
      <c r="A3220" s="6" t="s">
        <v>7064</v>
      </c>
      <c r="B3220" s="6" t="s">
        <v>202</v>
      </c>
      <c r="C3220" s="6" t="s">
        <v>48</v>
      </c>
      <c r="D3220" s="6" t="s">
        <v>7065</v>
      </c>
      <c r="E3220" s="6" t="s">
        <v>118</v>
      </c>
      <c r="F3220" s="6" t="s">
        <v>51</v>
      </c>
      <c r="G3220" s="7">
        <v>0.07</v>
      </c>
      <c r="H3220" s="6" t="s">
        <v>66</v>
      </c>
      <c r="I3220" s="6" t="s">
        <v>20</v>
      </c>
      <c r="J3220" s="6">
        <v>2016.0</v>
      </c>
      <c r="L3220" s="6">
        <v>3.0</v>
      </c>
      <c r="M3220" s="8">
        <f t="shared" si="3"/>
        <v>0.21</v>
      </c>
      <c r="P3220" s="9"/>
    </row>
    <row r="3221">
      <c r="A3221" s="6" t="s">
        <v>7066</v>
      </c>
      <c r="B3221" s="6" t="s">
        <v>841</v>
      </c>
      <c r="C3221" s="6" t="s">
        <v>48</v>
      </c>
      <c r="D3221" s="6" t="s">
        <v>7067</v>
      </c>
      <c r="E3221" s="6" t="s">
        <v>625</v>
      </c>
      <c r="F3221" s="6" t="s">
        <v>37</v>
      </c>
      <c r="G3221" s="7">
        <v>0.06</v>
      </c>
      <c r="H3221" s="6" t="s">
        <v>1293</v>
      </c>
      <c r="I3221" s="6" t="s">
        <v>20</v>
      </c>
      <c r="J3221" s="6">
        <v>2011.0</v>
      </c>
      <c r="K3221" s="10">
        <v>46084.0</v>
      </c>
      <c r="L3221" s="6">
        <v>2.0</v>
      </c>
      <c r="M3221" s="8">
        <f t="shared" si="3"/>
        <v>0.12</v>
      </c>
      <c r="P3221" s="9"/>
    </row>
    <row r="3222">
      <c r="A3222" s="6" t="s">
        <v>7068</v>
      </c>
      <c r="B3222" s="6" t="s">
        <v>1762</v>
      </c>
      <c r="C3222" s="6" t="s">
        <v>23</v>
      </c>
      <c r="D3222" s="6" t="s">
        <v>7069</v>
      </c>
      <c r="E3222" s="6" t="s">
        <v>79</v>
      </c>
      <c r="F3222" s="6" t="s">
        <v>51</v>
      </c>
      <c r="G3222" s="7">
        <v>0.17</v>
      </c>
      <c r="H3222" s="6" t="s">
        <v>453</v>
      </c>
      <c r="I3222" s="6" t="s">
        <v>20</v>
      </c>
      <c r="J3222" s="6">
        <v>1995.0</v>
      </c>
      <c r="K3222" s="10">
        <v>46055.0</v>
      </c>
      <c r="L3222" s="6">
        <v>1.0</v>
      </c>
      <c r="M3222" s="8">
        <f t="shared" si="3"/>
        <v>0.17</v>
      </c>
      <c r="P3222" s="9"/>
    </row>
    <row r="3223">
      <c r="A3223" s="6" t="s">
        <v>7070</v>
      </c>
      <c r="B3223" s="6" t="s">
        <v>307</v>
      </c>
      <c r="C3223" s="6" t="s">
        <v>23</v>
      </c>
      <c r="D3223" s="6" t="s">
        <v>7071</v>
      </c>
      <c r="E3223" s="6" t="s">
        <v>696</v>
      </c>
      <c r="F3223" s="6" t="s">
        <v>37</v>
      </c>
      <c r="G3223" s="7">
        <v>0.07</v>
      </c>
      <c r="H3223" s="6" t="s">
        <v>769</v>
      </c>
      <c r="I3223" s="6" t="s">
        <v>20</v>
      </c>
      <c r="J3223" s="6">
        <v>2023.0</v>
      </c>
      <c r="L3223" s="6">
        <v>1.0</v>
      </c>
      <c r="M3223" s="8">
        <f t="shared" si="3"/>
        <v>0.07</v>
      </c>
      <c r="P3223" s="9"/>
    </row>
    <row r="3224">
      <c r="A3224" s="6" t="s">
        <v>7072</v>
      </c>
      <c r="B3224" s="6" t="s">
        <v>1420</v>
      </c>
      <c r="C3224" s="6" t="s">
        <v>48</v>
      </c>
      <c r="D3224" s="6" t="s">
        <v>7073</v>
      </c>
      <c r="E3224" s="6" t="s">
        <v>298</v>
      </c>
      <c r="F3224" s="6" t="s">
        <v>159</v>
      </c>
      <c r="G3224" s="7">
        <v>0.03</v>
      </c>
      <c r="H3224" s="6" t="s">
        <v>299</v>
      </c>
      <c r="I3224" s="6" t="s">
        <v>20</v>
      </c>
      <c r="J3224" s="6">
        <v>2017.0</v>
      </c>
      <c r="K3224" s="10">
        <v>46056.0</v>
      </c>
      <c r="L3224" s="6">
        <v>1.0</v>
      </c>
      <c r="M3224" s="8">
        <f t="shared" si="3"/>
        <v>0.03</v>
      </c>
      <c r="P3224" s="9"/>
    </row>
    <row r="3225">
      <c r="A3225" s="6" t="s">
        <v>7074</v>
      </c>
      <c r="B3225" s="6" t="s">
        <v>764</v>
      </c>
      <c r="C3225" s="6" t="s">
        <v>23</v>
      </c>
      <c r="D3225" s="6" t="s">
        <v>7075</v>
      </c>
      <c r="E3225" s="6" t="s">
        <v>937</v>
      </c>
      <c r="F3225" s="6" t="s">
        <v>159</v>
      </c>
      <c r="G3225" s="7">
        <v>0.06</v>
      </c>
      <c r="H3225" s="6" t="s">
        <v>316</v>
      </c>
      <c r="I3225" s="6" t="s">
        <v>20</v>
      </c>
      <c r="J3225" s="6">
        <v>2016.0</v>
      </c>
      <c r="K3225" s="10">
        <v>46084.0</v>
      </c>
      <c r="L3225" s="6">
        <v>1.0</v>
      </c>
      <c r="M3225" s="8">
        <f t="shared" si="3"/>
        <v>0.06</v>
      </c>
      <c r="P3225" s="9"/>
    </row>
    <row r="3226">
      <c r="A3226" s="6" t="s">
        <v>7076</v>
      </c>
      <c r="B3226" s="6" t="s">
        <v>7077</v>
      </c>
      <c r="C3226" s="6" t="s">
        <v>287</v>
      </c>
      <c r="D3226" s="6" t="s">
        <v>7078</v>
      </c>
      <c r="E3226" s="6" t="s">
        <v>118</v>
      </c>
      <c r="F3226" s="6" t="s">
        <v>51</v>
      </c>
      <c r="G3226" s="7">
        <v>0.07</v>
      </c>
      <c r="H3226" s="6" t="s">
        <v>119</v>
      </c>
      <c r="I3226" s="6" t="s">
        <v>20</v>
      </c>
      <c r="J3226" s="6">
        <v>1995.0</v>
      </c>
      <c r="K3226" s="10">
        <v>46023.0</v>
      </c>
      <c r="L3226" s="6">
        <v>2.0</v>
      </c>
      <c r="M3226" s="8">
        <f t="shared" si="3"/>
        <v>0.14</v>
      </c>
      <c r="P3226" s="9"/>
    </row>
    <row r="3227">
      <c r="A3227" s="6" t="s">
        <v>7076</v>
      </c>
      <c r="B3227" s="6" t="s">
        <v>7077</v>
      </c>
      <c r="C3227" s="6" t="s">
        <v>287</v>
      </c>
      <c r="D3227" s="6" t="s">
        <v>7078</v>
      </c>
      <c r="E3227" s="6" t="s">
        <v>118</v>
      </c>
      <c r="F3227" s="6" t="s">
        <v>51</v>
      </c>
      <c r="G3227" s="7">
        <v>0.25</v>
      </c>
      <c r="H3227" s="6" t="s">
        <v>120</v>
      </c>
      <c r="I3227" s="6" t="s">
        <v>20</v>
      </c>
      <c r="J3227" s="6">
        <v>1995.0</v>
      </c>
      <c r="K3227" s="10">
        <v>46023.0</v>
      </c>
      <c r="L3227" s="6">
        <v>6.0</v>
      </c>
      <c r="M3227" s="8">
        <f t="shared" si="3"/>
        <v>1.5</v>
      </c>
      <c r="P3227" s="9"/>
    </row>
    <row r="3228">
      <c r="A3228" s="6" t="s">
        <v>7079</v>
      </c>
      <c r="B3228" s="6" t="s">
        <v>7080</v>
      </c>
      <c r="C3228" s="6" t="s">
        <v>48</v>
      </c>
      <c r="D3228" s="6" t="s">
        <v>7081</v>
      </c>
      <c r="E3228" s="6" t="s">
        <v>118</v>
      </c>
      <c r="F3228" s="6" t="s">
        <v>51</v>
      </c>
      <c r="G3228" s="7">
        <v>7.5</v>
      </c>
      <c r="H3228" s="6" t="s">
        <v>26</v>
      </c>
      <c r="I3228" s="6" t="s">
        <v>20</v>
      </c>
      <c r="J3228" s="6">
        <v>2026.0</v>
      </c>
      <c r="K3228" s="10">
        <v>46024.0</v>
      </c>
      <c r="L3228" s="6">
        <v>1.0</v>
      </c>
      <c r="M3228" s="8">
        <f t="shared" si="3"/>
        <v>7.5</v>
      </c>
      <c r="P3228" s="9"/>
    </row>
    <row r="3229">
      <c r="A3229" s="6" t="s">
        <v>7082</v>
      </c>
      <c r="B3229" s="6" t="s">
        <v>307</v>
      </c>
      <c r="C3229" s="6" t="s">
        <v>41</v>
      </c>
      <c r="D3229" s="6" t="s">
        <v>7083</v>
      </c>
      <c r="E3229" s="6" t="s">
        <v>625</v>
      </c>
      <c r="F3229" s="6" t="s">
        <v>37</v>
      </c>
      <c r="G3229" s="7">
        <v>0.31</v>
      </c>
      <c r="H3229" s="6" t="s">
        <v>245</v>
      </c>
      <c r="I3229" s="6" t="s">
        <v>20</v>
      </c>
      <c r="J3229" s="6">
        <v>1995.0</v>
      </c>
      <c r="L3229" s="6">
        <v>1.0</v>
      </c>
      <c r="M3229" s="8">
        <f t="shared" si="3"/>
        <v>0.31</v>
      </c>
      <c r="P3229" s="9"/>
    </row>
    <row r="3230">
      <c r="A3230" s="6" t="s">
        <v>7084</v>
      </c>
      <c r="B3230" s="6" t="s">
        <v>413</v>
      </c>
      <c r="C3230" s="6" t="s">
        <v>72</v>
      </c>
      <c r="D3230" s="6" t="s">
        <v>7085</v>
      </c>
      <c r="E3230" s="6" t="s">
        <v>7086</v>
      </c>
      <c r="F3230" s="6" t="s">
        <v>7087</v>
      </c>
      <c r="G3230" s="7">
        <v>0.08</v>
      </c>
      <c r="H3230" s="6" t="s">
        <v>1784</v>
      </c>
      <c r="I3230" s="6" t="s">
        <v>20</v>
      </c>
      <c r="J3230" s="6">
        <v>2013.0</v>
      </c>
      <c r="L3230" s="6">
        <v>2.0</v>
      </c>
      <c r="M3230" s="8">
        <f t="shared" si="3"/>
        <v>0.16</v>
      </c>
      <c r="P3230" s="9"/>
    </row>
    <row r="3231">
      <c r="A3231" s="6" t="s">
        <v>7088</v>
      </c>
      <c r="B3231" s="6" t="s">
        <v>6232</v>
      </c>
      <c r="C3231" s="6" t="s">
        <v>15</v>
      </c>
      <c r="D3231" s="6" t="s">
        <v>7089</v>
      </c>
      <c r="E3231" s="6" t="s">
        <v>618</v>
      </c>
      <c r="F3231" s="6" t="s">
        <v>159</v>
      </c>
      <c r="G3231" s="7">
        <v>1.01</v>
      </c>
      <c r="H3231" s="6" t="s">
        <v>19</v>
      </c>
      <c r="I3231" s="6" t="s">
        <v>20</v>
      </c>
      <c r="J3231" s="6">
        <v>2023.0</v>
      </c>
      <c r="K3231" s="10">
        <v>46083.0</v>
      </c>
      <c r="L3231" s="6">
        <v>2.0</v>
      </c>
      <c r="M3231" s="8">
        <f t="shared" si="3"/>
        <v>2.02</v>
      </c>
      <c r="P3231" s="9"/>
    </row>
    <row r="3232">
      <c r="A3232" s="6" t="s">
        <v>7090</v>
      </c>
      <c r="B3232" s="6" t="s">
        <v>543</v>
      </c>
      <c r="C3232" s="6" t="s">
        <v>571</v>
      </c>
      <c r="D3232" s="6" t="s">
        <v>7091</v>
      </c>
      <c r="E3232" s="6" t="s">
        <v>153</v>
      </c>
      <c r="F3232" s="6" t="s">
        <v>103</v>
      </c>
      <c r="G3232" s="7">
        <v>0.08</v>
      </c>
      <c r="H3232" s="6" t="s">
        <v>641</v>
      </c>
      <c r="I3232" s="6" t="s">
        <v>20</v>
      </c>
      <c r="J3232" s="6">
        <v>2026.0</v>
      </c>
      <c r="L3232" s="6">
        <v>1.0</v>
      </c>
      <c r="M3232" s="8">
        <f t="shared" si="3"/>
        <v>0.08</v>
      </c>
      <c r="P3232" s="9"/>
    </row>
    <row r="3233">
      <c r="A3233" s="6" t="s">
        <v>7092</v>
      </c>
      <c r="B3233" s="6" t="s">
        <v>6590</v>
      </c>
      <c r="C3233" s="6" t="s">
        <v>23</v>
      </c>
      <c r="D3233" s="6" t="s">
        <v>7093</v>
      </c>
      <c r="E3233" s="6" t="s">
        <v>36</v>
      </c>
      <c r="F3233" s="6" t="s">
        <v>37</v>
      </c>
      <c r="G3233" s="7">
        <v>0.1</v>
      </c>
      <c r="H3233" s="6" t="s">
        <v>146</v>
      </c>
      <c r="I3233" s="6" t="s">
        <v>20</v>
      </c>
      <c r="J3233" s="6">
        <v>2010.0</v>
      </c>
      <c r="K3233" s="10">
        <v>46023.0</v>
      </c>
      <c r="L3233" s="6">
        <v>2.0</v>
      </c>
      <c r="M3233" s="8">
        <f t="shared" si="3"/>
        <v>0.2</v>
      </c>
      <c r="P3233" s="9"/>
    </row>
    <row r="3234">
      <c r="A3234" s="6" t="s">
        <v>7094</v>
      </c>
      <c r="B3234" s="6" t="s">
        <v>62</v>
      </c>
      <c r="C3234" s="6" t="s">
        <v>48</v>
      </c>
      <c r="D3234" s="6" t="s">
        <v>7095</v>
      </c>
      <c r="E3234" s="6" t="s">
        <v>611</v>
      </c>
      <c r="F3234" s="6" t="s">
        <v>103</v>
      </c>
      <c r="G3234" s="7">
        <v>0.03</v>
      </c>
      <c r="H3234" s="6" t="s">
        <v>299</v>
      </c>
      <c r="I3234" s="6" t="s">
        <v>20</v>
      </c>
      <c r="J3234" s="6">
        <v>2017.0</v>
      </c>
      <c r="L3234" s="6">
        <v>1.0</v>
      </c>
      <c r="M3234" s="8">
        <f t="shared" si="3"/>
        <v>0.03</v>
      </c>
      <c r="P3234" s="9"/>
    </row>
    <row r="3235">
      <c r="A3235" s="6" t="s">
        <v>7096</v>
      </c>
      <c r="B3235" s="6" t="s">
        <v>7097</v>
      </c>
      <c r="C3235" s="6" t="s">
        <v>41</v>
      </c>
      <c r="D3235" s="6" t="s">
        <v>7098</v>
      </c>
      <c r="E3235" s="6" t="s">
        <v>558</v>
      </c>
      <c r="F3235" s="6" t="s">
        <v>18</v>
      </c>
      <c r="G3235" s="7">
        <v>0.4</v>
      </c>
      <c r="H3235" s="6" t="s">
        <v>276</v>
      </c>
      <c r="I3235" s="6" t="s">
        <v>20</v>
      </c>
      <c r="J3235" s="6">
        <v>2014.0</v>
      </c>
      <c r="K3235" s="10">
        <v>46084.0</v>
      </c>
      <c r="L3235" s="6">
        <v>1.0</v>
      </c>
      <c r="M3235" s="8">
        <f t="shared" si="3"/>
        <v>0.4</v>
      </c>
      <c r="P3235" s="9"/>
    </row>
    <row r="3236">
      <c r="A3236" s="6" t="s">
        <v>7099</v>
      </c>
      <c r="B3236" s="6" t="s">
        <v>7100</v>
      </c>
      <c r="C3236" s="6" t="s">
        <v>48</v>
      </c>
      <c r="D3236" s="6" t="s">
        <v>7101</v>
      </c>
      <c r="E3236" s="6" t="s">
        <v>102</v>
      </c>
      <c r="F3236" s="6" t="s">
        <v>103</v>
      </c>
      <c r="G3236" s="7">
        <v>0.15</v>
      </c>
      <c r="H3236" s="6" t="s">
        <v>994</v>
      </c>
      <c r="I3236" s="6" t="s">
        <v>20</v>
      </c>
      <c r="J3236" s="6">
        <v>2024.0</v>
      </c>
      <c r="K3236" s="10">
        <v>46025.0</v>
      </c>
      <c r="L3236" s="6">
        <v>1.0</v>
      </c>
      <c r="M3236" s="8">
        <f t="shared" si="3"/>
        <v>0.15</v>
      </c>
      <c r="P3236" s="9"/>
    </row>
    <row r="3237">
      <c r="A3237" s="6" t="s">
        <v>7102</v>
      </c>
      <c r="B3237" s="6" t="s">
        <v>2376</v>
      </c>
      <c r="C3237" s="6" t="s">
        <v>23</v>
      </c>
      <c r="D3237" s="6" t="s">
        <v>7103</v>
      </c>
      <c r="E3237" s="6" t="s">
        <v>149</v>
      </c>
      <c r="F3237" s="6" t="s">
        <v>18</v>
      </c>
      <c r="G3237" s="7">
        <v>0.57</v>
      </c>
      <c r="H3237" s="6" t="s">
        <v>786</v>
      </c>
      <c r="I3237" s="6" t="s">
        <v>20</v>
      </c>
      <c r="J3237" s="6">
        <v>2024.0</v>
      </c>
      <c r="K3237" s="10">
        <v>46082.0</v>
      </c>
      <c r="L3237" s="6">
        <v>1.0</v>
      </c>
      <c r="M3237" s="8">
        <f t="shared" si="3"/>
        <v>0.57</v>
      </c>
      <c r="P3237" s="9"/>
    </row>
    <row r="3238">
      <c r="A3238" s="6" t="s">
        <v>7104</v>
      </c>
      <c r="B3238" s="6" t="s">
        <v>3126</v>
      </c>
      <c r="C3238" s="6" t="s">
        <v>23</v>
      </c>
      <c r="D3238" s="6" t="s">
        <v>7105</v>
      </c>
      <c r="E3238" s="6" t="s">
        <v>167</v>
      </c>
      <c r="F3238" s="6" t="s">
        <v>103</v>
      </c>
      <c r="G3238" s="7">
        <v>0.1</v>
      </c>
      <c r="H3238" s="6" t="s">
        <v>114</v>
      </c>
      <c r="I3238" s="6" t="s">
        <v>20</v>
      </c>
      <c r="J3238" s="6">
        <v>2021.0</v>
      </c>
      <c r="K3238" s="10">
        <v>46023.0</v>
      </c>
      <c r="L3238" s="6">
        <v>1.0</v>
      </c>
      <c r="M3238" s="8">
        <f t="shared" si="3"/>
        <v>0.1</v>
      </c>
      <c r="P3238" s="9"/>
    </row>
    <row r="3239">
      <c r="A3239" s="6" t="s">
        <v>7106</v>
      </c>
      <c r="B3239" s="6" t="s">
        <v>7107</v>
      </c>
      <c r="C3239" s="6" t="s">
        <v>41</v>
      </c>
      <c r="D3239" s="6" t="s">
        <v>7108</v>
      </c>
      <c r="E3239" s="6" t="s">
        <v>7109</v>
      </c>
      <c r="F3239" s="6" t="s">
        <v>51</v>
      </c>
      <c r="G3239" s="7">
        <v>0.37</v>
      </c>
      <c r="H3239" s="6" t="s">
        <v>453</v>
      </c>
      <c r="I3239" s="6" t="s">
        <v>20</v>
      </c>
      <c r="J3239" s="6">
        <v>1995.0</v>
      </c>
      <c r="K3239" s="10">
        <v>46179.0</v>
      </c>
      <c r="L3239" s="6">
        <v>1.0</v>
      </c>
      <c r="M3239" s="8">
        <f t="shared" si="3"/>
        <v>0.37</v>
      </c>
      <c r="P3239" s="9"/>
    </row>
    <row r="3240">
      <c r="A3240" s="6" t="s">
        <v>7106</v>
      </c>
      <c r="B3240" s="6" t="s">
        <v>7107</v>
      </c>
      <c r="C3240" s="6" t="s">
        <v>41</v>
      </c>
      <c r="D3240" s="6" t="s">
        <v>7108</v>
      </c>
      <c r="E3240" s="6" t="s">
        <v>7109</v>
      </c>
      <c r="F3240" s="6" t="s">
        <v>51</v>
      </c>
      <c r="G3240" s="7">
        <v>1.95</v>
      </c>
      <c r="H3240" s="6" t="s">
        <v>607</v>
      </c>
      <c r="I3240" s="6" t="s">
        <v>20</v>
      </c>
      <c r="J3240" s="6">
        <v>1994.0</v>
      </c>
      <c r="K3240" s="10">
        <v>46179.0</v>
      </c>
      <c r="L3240" s="6">
        <v>1.0</v>
      </c>
      <c r="M3240" s="8">
        <f t="shared" si="3"/>
        <v>1.95</v>
      </c>
      <c r="N3240" s="6" t="s">
        <v>172</v>
      </c>
      <c r="P3240" s="9"/>
    </row>
    <row r="3241">
      <c r="A3241" s="6" t="s">
        <v>7110</v>
      </c>
      <c r="B3241" s="6" t="s">
        <v>194</v>
      </c>
      <c r="C3241" s="6" t="s">
        <v>48</v>
      </c>
      <c r="D3241" s="6" t="s">
        <v>7111</v>
      </c>
      <c r="E3241" s="6" t="s">
        <v>118</v>
      </c>
      <c r="F3241" s="6" t="s">
        <v>51</v>
      </c>
      <c r="G3241" s="7">
        <v>0.07</v>
      </c>
      <c r="H3241" s="6" t="s">
        <v>641</v>
      </c>
      <c r="I3241" s="6" t="s">
        <v>20</v>
      </c>
      <c r="J3241" s="6">
        <v>2026.0</v>
      </c>
      <c r="L3241" s="6">
        <v>1.0</v>
      </c>
      <c r="M3241" s="8">
        <f t="shared" si="3"/>
        <v>0.07</v>
      </c>
      <c r="P3241" s="9"/>
    </row>
    <row r="3242">
      <c r="A3242" s="6" t="s">
        <v>7112</v>
      </c>
      <c r="B3242" s="6" t="s">
        <v>7113</v>
      </c>
      <c r="C3242" s="6" t="s">
        <v>287</v>
      </c>
      <c r="D3242" s="6" t="s">
        <v>7114</v>
      </c>
      <c r="E3242" s="6" t="s">
        <v>248</v>
      </c>
      <c r="F3242" s="6" t="s">
        <v>18</v>
      </c>
      <c r="G3242" s="7">
        <v>0.2</v>
      </c>
      <c r="H3242" s="6" t="s">
        <v>418</v>
      </c>
      <c r="I3242" s="6" t="s">
        <v>20</v>
      </c>
      <c r="J3242" s="6">
        <v>2022.0</v>
      </c>
      <c r="K3242" s="10">
        <v>46023.0</v>
      </c>
      <c r="L3242" s="6">
        <v>1.0</v>
      </c>
      <c r="M3242" s="8">
        <f t="shared" si="3"/>
        <v>0.2</v>
      </c>
      <c r="P3242" s="9"/>
    </row>
    <row r="3243">
      <c r="A3243" s="6" t="s">
        <v>7115</v>
      </c>
      <c r="B3243" s="6" t="s">
        <v>7116</v>
      </c>
      <c r="C3243" s="6" t="s">
        <v>48</v>
      </c>
      <c r="D3243" s="6" t="s">
        <v>7117</v>
      </c>
      <c r="E3243" s="6" t="s">
        <v>298</v>
      </c>
      <c r="F3243" s="6" t="s">
        <v>159</v>
      </c>
      <c r="G3243" s="7">
        <v>0.4</v>
      </c>
      <c r="H3243" s="6" t="s">
        <v>204</v>
      </c>
      <c r="I3243" s="6" t="s">
        <v>55</v>
      </c>
      <c r="J3243" s="6">
        <v>2026.0</v>
      </c>
      <c r="K3243" s="10">
        <v>46116.0</v>
      </c>
      <c r="L3243" s="6">
        <v>1.0</v>
      </c>
      <c r="M3243" s="8">
        <f t="shared" si="3"/>
        <v>0.4</v>
      </c>
      <c r="P3243" s="9"/>
    </row>
    <row r="3244">
      <c r="A3244" s="6" t="s">
        <v>7118</v>
      </c>
      <c r="B3244" s="6" t="s">
        <v>592</v>
      </c>
      <c r="C3244" s="6" t="s">
        <v>34</v>
      </c>
      <c r="D3244" s="6" t="s">
        <v>7119</v>
      </c>
      <c r="E3244" s="6" t="s">
        <v>124</v>
      </c>
      <c r="F3244" s="6" t="s">
        <v>103</v>
      </c>
      <c r="G3244" s="7">
        <v>3.12</v>
      </c>
      <c r="H3244" s="6" t="s">
        <v>1211</v>
      </c>
      <c r="I3244" s="6" t="s">
        <v>20</v>
      </c>
      <c r="J3244" s="6">
        <v>1993.0</v>
      </c>
      <c r="L3244" s="6">
        <v>2.0</v>
      </c>
      <c r="M3244" s="8">
        <f t="shared" si="3"/>
        <v>6.24</v>
      </c>
      <c r="P3244" s="9"/>
    </row>
    <row r="3245">
      <c r="A3245" s="6" t="s">
        <v>7118</v>
      </c>
      <c r="B3245" s="6" t="s">
        <v>592</v>
      </c>
      <c r="C3245" s="6" t="s">
        <v>23</v>
      </c>
      <c r="D3245" s="6" t="s">
        <v>7120</v>
      </c>
      <c r="E3245" s="6" t="s">
        <v>124</v>
      </c>
      <c r="F3245" s="6" t="s">
        <v>103</v>
      </c>
      <c r="G3245" s="7">
        <v>0.99</v>
      </c>
      <c r="H3245" s="6" t="s">
        <v>7121</v>
      </c>
      <c r="I3245" s="6" t="s">
        <v>20</v>
      </c>
      <c r="J3245" s="6">
        <v>1995.0</v>
      </c>
      <c r="L3245" s="6">
        <v>3.0</v>
      </c>
      <c r="M3245" s="8">
        <f t="shared" si="3"/>
        <v>2.97</v>
      </c>
      <c r="P3245" s="9"/>
    </row>
    <row r="3246">
      <c r="A3246" s="6" t="s">
        <v>7118</v>
      </c>
      <c r="B3246" s="6" t="s">
        <v>592</v>
      </c>
      <c r="C3246" s="6" t="s">
        <v>23</v>
      </c>
      <c r="D3246" s="6" t="s">
        <v>7120</v>
      </c>
      <c r="E3246" s="6" t="s">
        <v>124</v>
      </c>
      <c r="F3246" s="6" t="s">
        <v>103</v>
      </c>
      <c r="G3246" s="7">
        <v>3.12</v>
      </c>
      <c r="H3246" s="6" t="s">
        <v>607</v>
      </c>
      <c r="I3246" s="6" t="s">
        <v>20</v>
      </c>
      <c r="J3246" s="6">
        <v>1993.0</v>
      </c>
      <c r="L3246" s="6">
        <v>1.0</v>
      </c>
      <c r="M3246" s="8">
        <f t="shared" si="3"/>
        <v>3.12</v>
      </c>
      <c r="P3246" s="9"/>
    </row>
    <row r="3247">
      <c r="A3247" s="6" t="s">
        <v>7118</v>
      </c>
      <c r="B3247" s="6" t="s">
        <v>592</v>
      </c>
      <c r="C3247" s="6" t="s">
        <v>23</v>
      </c>
      <c r="D3247" s="6" t="s">
        <v>7120</v>
      </c>
      <c r="E3247" s="6" t="s">
        <v>124</v>
      </c>
      <c r="F3247" s="6" t="s">
        <v>103</v>
      </c>
      <c r="G3247" s="7">
        <v>1.25</v>
      </c>
      <c r="H3247" s="6" t="s">
        <v>1803</v>
      </c>
      <c r="I3247" s="6" t="s">
        <v>20</v>
      </c>
      <c r="J3247" s="6">
        <v>1998.0</v>
      </c>
      <c r="L3247" s="6">
        <v>1.0</v>
      </c>
      <c r="M3247" s="8">
        <f t="shared" si="3"/>
        <v>1.25</v>
      </c>
      <c r="P3247" s="9"/>
    </row>
    <row r="3248">
      <c r="A3248" s="6" t="s">
        <v>7122</v>
      </c>
      <c r="B3248" s="6" t="s">
        <v>1440</v>
      </c>
      <c r="C3248" s="6" t="s">
        <v>23</v>
      </c>
      <c r="D3248" s="6" t="s">
        <v>7123</v>
      </c>
      <c r="E3248" s="6" t="s">
        <v>235</v>
      </c>
      <c r="F3248" s="6" t="s">
        <v>103</v>
      </c>
      <c r="G3248" s="7">
        <v>0.4</v>
      </c>
      <c r="H3248" s="6" t="s">
        <v>245</v>
      </c>
      <c r="I3248" s="6" t="s">
        <v>20</v>
      </c>
      <c r="J3248" s="6">
        <v>1995.0</v>
      </c>
      <c r="K3248" s="6" t="s">
        <v>3042</v>
      </c>
      <c r="L3248" s="6">
        <v>1.0</v>
      </c>
      <c r="M3248" s="8">
        <f t="shared" si="3"/>
        <v>0.4</v>
      </c>
      <c r="P3248" s="9"/>
    </row>
    <row r="3249">
      <c r="A3249" s="6" t="s">
        <v>7124</v>
      </c>
      <c r="B3249" s="6" t="s">
        <v>7125</v>
      </c>
      <c r="C3249" s="6" t="s">
        <v>48</v>
      </c>
      <c r="D3249" s="6" t="s">
        <v>7126</v>
      </c>
      <c r="E3249" s="6" t="s">
        <v>79</v>
      </c>
      <c r="F3249" s="6" t="s">
        <v>51</v>
      </c>
      <c r="G3249" s="7">
        <v>0.16</v>
      </c>
      <c r="H3249" s="6" t="s">
        <v>1194</v>
      </c>
      <c r="I3249" s="6" t="s">
        <v>20</v>
      </c>
      <c r="J3249" s="6">
        <v>2023.0</v>
      </c>
      <c r="K3249" s="10">
        <v>46055.0</v>
      </c>
      <c r="L3249" s="6">
        <v>1.0</v>
      </c>
      <c r="M3249" s="8">
        <f t="shared" si="3"/>
        <v>0.16</v>
      </c>
      <c r="P3249" s="9"/>
    </row>
    <row r="3250">
      <c r="A3250" s="6" t="s">
        <v>7127</v>
      </c>
      <c r="B3250" s="6" t="s">
        <v>62</v>
      </c>
      <c r="C3250" s="6" t="s">
        <v>48</v>
      </c>
      <c r="D3250" s="6" t="s">
        <v>7128</v>
      </c>
      <c r="E3250" s="6" t="s">
        <v>79</v>
      </c>
      <c r="F3250" s="6" t="s">
        <v>51</v>
      </c>
      <c r="G3250" s="7">
        <v>0.05</v>
      </c>
      <c r="H3250" s="6" t="s">
        <v>359</v>
      </c>
      <c r="I3250" s="6" t="s">
        <v>20</v>
      </c>
      <c r="J3250" s="6">
        <v>2014.0</v>
      </c>
      <c r="L3250" s="6">
        <v>1.0</v>
      </c>
      <c r="M3250" s="8">
        <f t="shared" si="3"/>
        <v>0.05</v>
      </c>
      <c r="P3250" s="9"/>
    </row>
    <row r="3251">
      <c r="A3251" s="6" t="s">
        <v>7129</v>
      </c>
      <c r="B3251" s="6" t="s">
        <v>226</v>
      </c>
      <c r="C3251" s="6" t="s">
        <v>15</v>
      </c>
      <c r="D3251" s="6" t="s">
        <v>7130</v>
      </c>
      <c r="E3251" s="6" t="s">
        <v>2028</v>
      </c>
      <c r="F3251" s="6" t="s">
        <v>103</v>
      </c>
      <c r="G3251" s="7">
        <v>0.22</v>
      </c>
      <c r="H3251" s="6" t="s">
        <v>209</v>
      </c>
      <c r="I3251" s="6" t="s">
        <v>20</v>
      </c>
      <c r="J3251" s="6">
        <v>2025.0</v>
      </c>
      <c r="K3251" s="10">
        <v>46116.0</v>
      </c>
      <c r="L3251" s="6">
        <v>1.0</v>
      </c>
      <c r="M3251" s="8">
        <f t="shared" si="3"/>
        <v>0.22</v>
      </c>
      <c r="P3251" s="9"/>
    </row>
    <row r="3252">
      <c r="A3252" s="6" t="s">
        <v>7131</v>
      </c>
      <c r="B3252" s="6" t="s">
        <v>7132</v>
      </c>
      <c r="C3252" s="6" t="s">
        <v>48</v>
      </c>
      <c r="D3252" s="6" t="s">
        <v>7133</v>
      </c>
      <c r="E3252" s="6" t="s">
        <v>293</v>
      </c>
      <c r="F3252" s="6" t="s">
        <v>18</v>
      </c>
      <c r="G3252" s="7">
        <v>0.09</v>
      </c>
      <c r="H3252" s="6" t="s">
        <v>1514</v>
      </c>
      <c r="I3252" s="6" t="s">
        <v>20</v>
      </c>
      <c r="J3252" s="6">
        <v>2009.0</v>
      </c>
      <c r="K3252" s="10">
        <v>46055.0</v>
      </c>
      <c r="L3252" s="6">
        <v>1.0</v>
      </c>
      <c r="M3252" s="8">
        <f t="shared" si="3"/>
        <v>0.09</v>
      </c>
      <c r="P3252" s="9"/>
    </row>
    <row r="3253">
      <c r="A3253" s="6" t="s">
        <v>7134</v>
      </c>
      <c r="B3253" s="6" t="s">
        <v>1141</v>
      </c>
      <c r="C3253" s="6" t="s">
        <v>23</v>
      </c>
      <c r="D3253" s="6" t="s">
        <v>7135</v>
      </c>
      <c r="E3253" s="6" t="s">
        <v>502</v>
      </c>
      <c r="F3253" s="6" t="s">
        <v>65</v>
      </c>
      <c r="G3253" s="7">
        <v>0.03</v>
      </c>
      <c r="H3253" s="6" t="s">
        <v>276</v>
      </c>
      <c r="I3253" s="6" t="s">
        <v>20</v>
      </c>
      <c r="J3253" s="6">
        <v>2014.0</v>
      </c>
      <c r="K3253" s="10">
        <v>46084.0</v>
      </c>
      <c r="L3253" s="6">
        <v>1.0</v>
      </c>
      <c r="M3253" s="8">
        <f t="shared" si="3"/>
        <v>0.03</v>
      </c>
      <c r="P3253" s="9"/>
    </row>
    <row r="3254">
      <c r="A3254" s="6" t="s">
        <v>7136</v>
      </c>
      <c r="B3254" s="6" t="s">
        <v>7137</v>
      </c>
      <c r="C3254" s="6" t="s">
        <v>1956</v>
      </c>
      <c r="D3254" s="6" t="s">
        <v>7138</v>
      </c>
      <c r="E3254" s="6" t="s">
        <v>1860</v>
      </c>
      <c r="F3254" s="6" t="s">
        <v>215</v>
      </c>
      <c r="G3254" s="7">
        <v>29.5</v>
      </c>
      <c r="H3254" s="6" t="s">
        <v>359</v>
      </c>
      <c r="I3254" s="6" t="s">
        <v>55</v>
      </c>
      <c r="J3254" s="6">
        <v>2014.0</v>
      </c>
      <c r="K3254" s="10">
        <v>46147.0</v>
      </c>
      <c r="L3254" s="6">
        <v>1.0</v>
      </c>
      <c r="M3254" s="8">
        <f t="shared" si="3"/>
        <v>29.5</v>
      </c>
      <c r="P3254" s="9"/>
    </row>
    <row r="3255">
      <c r="A3255" s="6" t="s">
        <v>7139</v>
      </c>
      <c r="B3255" s="6" t="s">
        <v>6498</v>
      </c>
      <c r="C3255" s="6" t="s">
        <v>23</v>
      </c>
      <c r="D3255" s="6" t="s">
        <v>7140</v>
      </c>
      <c r="E3255" s="6" t="s">
        <v>167</v>
      </c>
      <c r="F3255" s="6" t="s">
        <v>103</v>
      </c>
      <c r="G3255" s="7">
        <v>0.06</v>
      </c>
      <c r="H3255" s="6" t="s">
        <v>359</v>
      </c>
      <c r="I3255" s="6" t="s">
        <v>20</v>
      </c>
      <c r="J3255" s="6">
        <v>2014.0</v>
      </c>
      <c r="K3255" s="10">
        <v>46023.0</v>
      </c>
      <c r="L3255" s="6">
        <v>3.0</v>
      </c>
      <c r="M3255" s="8">
        <f t="shared" si="3"/>
        <v>0.18</v>
      </c>
      <c r="P3255" s="9"/>
    </row>
    <row r="3256">
      <c r="A3256" s="6" t="s">
        <v>7141</v>
      </c>
      <c r="B3256" s="6" t="s">
        <v>1903</v>
      </c>
      <c r="C3256" s="6" t="s">
        <v>23</v>
      </c>
      <c r="D3256" s="6" t="s">
        <v>7142</v>
      </c>
      <c r="E3256" s="6" t="s">
        <v>298</v>
      </c>
      <c r="F3256" s="6" t="s">
        <v>159</v>
      </c>
      <c r="G3256" s="7">
        <v>0.05</v>
      </c>
      <c r="H3256" s="6" t="s">
        <v>184</v>
      </c>
      <c r="I3256" s="6" t="s">
        <v>20</v>
      </c>
      <c r="J3256" s="6">
        <v>2015.0</v>
      </c>
      <c r="K3256" s="10">
        <v>46083.0</v>
      </c>
      <c r="L3256" s="6">
        <v>2.0</v>
      </c>
      <c r="M3256" s="8">
        <f t="shared" si="3"/>
        <v>0.1</v>
      </c>
      <c r="P3256" s="9"/>
    </row>
    <row r="3257">
      <c r="A3257" s="6" t="s">
        <v>7141</v>
      </c>
      <c r="B3257" s="6" t="s">
        <v>1903</v>
      </c>
      <c r="C3257" s="6" t="s">
        <v>23</v>
      </c>
      <c r="D3257" s="6" t="s">
        <v>7142</v>
      </c>
      <c r="E3257" s="6" t="s">
        <v>298</v>
      </c>
      <c r="F3257" s="6" t="s">
        <v>159</v>
      </c>
      <c r="G3257" s="7">
        <v>0.05</v>
      </c>
      <c r="H3257" s="6" t="s">
        <v>184</v>
      </c>
      <c r="I3257" s="6" t="s">
        <v>20</v>
      </c>
      <c r="J3257" s="6">
        <v>2015.0</v>
      </c>
      <c r="K3257" s="10">
        <v>46083.0</v>
      </c>
      <c r="L3257" s="6">
        <v>3.0</v>
      </c>
      <c r="M3257" s="8">
        <f t="shared" si="3"/>
        <v>0.15</v>
      </c>
      <c r="P3257" s="9"/>
    </row>
    <row r="3258">
      <c r="A3258" s="6" t="s">
        <v>7143</v>
      </c>
      <c r="B3258" s="6" t="s">
        <v>1903</v>
      </c>
      <c r="C3258" s="6" t="s">
        <v>23</v>
      </c>
      <c r="D3258" s="6" t="s">
        <v>7144</v>
      </c>
      <c r="E3258" s="6" t="s">
        <v>602</v>
      </c>
      <c r="F3258" s="6" t="s">
        <v>159</v>
      </c>
      <c r="G3258" s="7">
        <v>0.03</v>
      </c>
      <c r="H3258" s="6" t="s">
        <v>359</v>
      </c>
      <c r="I3258" s="6" t="s">
        <v>20</v>
      </c>
      <c r="J3258" s="6">
        <v>2014.0</v>
      </c>
      <c r="K3258" s="10">
        <v>46115.0</v>
      </c>
      <c r="L3258" s="6">
        <v>1.0</v>
      </c>
      <c r="M3258" s="8">
        <f t="shared" si="3"/>
        <v>0.03</v>
      </c>
      <c r="P3258" s="9"/>
    </row>
    <row r="3259">
      <c r="A3259" s="6" t="s">
        <v>7145</v>
      </c>
      <c r="B3259" s="6" t="s">
        <v>301</v>
      </c>
      <c r="C3259" s="6" t="s">
        <v>15</v>
      </c>
      <c r="D3259" s="6" t="s">
        <v>7146</v>
      </c>
      <c r="E3259" s="6" t="s">
        <v>175</v>
      </c>
      <c r="F3259" s="6" t="s">
        <v>51</v>
      </c>
      <c r="G3259" s="7">
        <v>0.2</v>
      </c>
      <c r="H3259" s="6" t="s">
        <v>209</v>
      </c>
      <c r="I3259" s="6" t="s">
        <v>20</v>
      </c>
      <c r="J3259" s="6">
        <v>2025.0</v>
      </c>
      <c r="L3259" s="6">
        <v>1.0</v>
      </c>
      <c r="M3259" s="8">
        <f t="shared" si="3"/>
        <v>0.2</v>
      </c>
      <c r="P3259" s="9"/>
    </row>
    <row r="3260">
      <c r="A3260" s="6" t="s">
        <v>7145</v>
      </c>
      <c r="B3260" s="6" t="s">
        <v>301</v>
      </c>
      <c r="C3260" s="6" t="s">
        <v>15</v>
      </c>
      <c r="D3260" s="6" t="s">
        <v>7146</v>
      </c>
      <c r="E3260" s="6" t="s">
        <v>175</v>
      </c>
      <c r="F3260" s="6" t="s">
        <v>51</v>
      </c>
      <c r="G3260" s="7">
        <v>0.85</v>
      </c>
      <c r="H3260" s="6" t="s">
        <v>209</v>
      </c>
      <c r="I3260" s="6" t="s">
        <v>55</v>
      </c>
      <c r="J3260" s="6">
        <v>2025.0</v>
      </c>
      <c r="L3260" s="6">
        <v>1.0</v>
      </c>
      <c r="M3260" s="8">
        <f t="shared" si="3"/>
        <v>0.85</v>
      </c>
      <c r="P3260" s="9"/>
    </row>
    <row r="3261">
      <c r="A3261" s="6" t="s">
        <v>7147</v>
      </c>
      <c r="B3261" s="6" t="s">
        <v>7148</v>
      </c>
      <c r="C3261" s="6" t="s">
        <v>23</v>
      </c>
      <c r="D3261" s="6" t="s">
        <v>7149</v>
      </c>
      <c r="E3261" s="6" t="s">
        <v>153</v>
      </c>
      <c r="F3261" s="6" t="s">
        <v>103</v>
      </c>
      <c r="G3261" s="7">
        <v>0.04</v>
      </c>
      <c r="H3261" s="6" t="s">
        <v>663</v>
      </c>
      <c r="I3261" s="6" t="s">
        <v>20</v>
      </c>
      <c r="J3261" s="6">
        <v>2023.0</v>
      </c>
      <c r="K3261" s="10">
        <v>46055.0</v>
      </c>
      <c r="L3261" s="6">
        <v>1.0</v>
      </c>
      <c r="M3261" s="8">
        <f t="shared" si="3"/>
        <v>0.04</v>
      </c>
      <c r="P3261" s="9"/>
    </row>
    <row r="3262">
      <c r="A3262" s="6" t="s">
        <v>7150</v>
      </c>
      <c r="B3262" s="6" t="s">
        <v>7151</v>
      </c>
      <c r="C3262" s="6" t="s">
        <v>23</v>
      </c>
      <c r="D3262" s="6" t="s">
        <v>7152</v>
      </c>
      <c r="E3262" s="6" t="s">
        <v>235</v>
      </c>
      <c r="F3262" s="6" t="s">
        <v>103</v>
      </c>
      <c r="G3262" s="7">
        <v>0.1</v>
      </c>
      <c r="H3262" s="6" t="s">
        <v>136</v>
      </c>
      <c r="I3262" s="6" t="s">
        <v>20</v>
      </c>
      <c r="J3262" s="6">
        <v>2022.0</v>
      </c>
      <c r="K3262" s="10">
        <v>46055.0</v>
      </c>
      <c r="L3262" s="6">
        <v>1.0</v>
      </c>
      <c r="M3262" s="8">
        <f t="shared" si="3"/>
        <v>0.1</v>
      </c>
      <c r="P3262" s="9"/>
    </row>
    <row r="3263">
      <c r="A3263" s="6" t="s">
        <v>7153</v>
      </c>
      <c r="B3263" s="6" t="s">
        <v>2360</v>
      </c>
      <c r="C3263" s="6" t="s">
        <v>41</v>
      </c>
      <c r="D3263" s="6" t="s">
        <v>7154</v>
      </c>
      <c r="E3263" s="6" t="s">
        <v>36</v>
      </c>
      <c r="F3263" s="6" t="s">
        <v>37</v>
      </c>
      <c r="G3263" s="7">
        <v>0.85</v>
      </c>
      <c r="H3263" s="6" t="s">
        <v>188</v>
      </c>
      <c r="I3263" s="6" t="s">
        <v>20</v>
      </c>
      <c r="J3263" s="6">
        <v>2014.0</v>
      </c>
      <c r="K3263" s="10">
        <v>46024.0</v>
      </c>
      <c r="L3263" s="6">
        <v>1.0</v>
      </c>
      <c r="M3263" s="8">
        <f t="shared" si="3"/>
        <v>0.85</v>
      </c>
      <c r="N3263" s="6" t="s">
        <v>172</v>
      </c>
      <c r="P3263" s="9"/>
    </row>
    <row r="3264">
      <c r="A3264" s="6" t="s">
        <v>7155</v>
      </c>
      <c r="B3264" s="6" t="s">
        <v>7008</v>
      </c>
      <c r="C3264" s="6" t="s">
        <v>41</v>
      </c>
      <c r="D3264" s="6" t="s">
        <v>7156</v>
      </c>
      <c r="E3264" s="6" t="s">
        <v>1005</v>
      </c>
      <c r="F3264" s="6" t="s">
        <v>65</v>
      </c>
      <c r="G3264" s="7">
        <v>1.62</v>
      </c>
      <c r="H3264" s="6" t="s">
        <v>184</v>
      </c>
      <c r="I3264" s="6" t="s">
        <v>55</v>
      </c>
      <c r="J3264" s="6">
        <v>2015.0</v>
      </c>
      <c r="K3264" s="10">
        <v>46055.0</v>
      </c>
      <c r="L3264" s="6">
        <v>1.0</v>
      </c>
      <c r="M3264" s="8">
        <f t="shared" si="3"/>
        <v>1.62</v>
      </c>
      <c r="P3264" s="9"/>
    </row>
    <row r="3265">
      <c r="A3265" s="6" t="s">
        <v>7157</v>
      </c>
      <c r="B3265" s="6" t="s">
        <v>7158</v>
      </c>
      <c r="C3265" s="6" t="s">
        <v>48</v>
      </c>
      <c r="D3265" s="6" t="s">
        <v>7159</v>
      </c>
      <c r="E3265" s="6" t="s">
        <v>738</v>
      </c>
      <c r="F3265" s="6" t="s">
        <v>51</v>
      </c>
      <c r="G3265" s="7">
        <v>0.2</v>
      </c>
      <c r="H3265" s="6" t="s">
        <v>163</v>
      </c>
      <c r="I3265" s="6" t="s">
        <v>20</v>
      </c>
      <c r="J3265" s="6">
        <v>2023.0</v>
      </c>
      <c r="K3265" s="10">
        <v>46055.0</v>
      </c>
      <c r="L3265" s="6">
        <v>1.0</v>
      </c>
      <c r="M3265" s="8">
        <f t="shared" si="3"/>
        <v>0.2</v>
      </c>
      <c r="P3265" s="9"/>
    </row>
    <row r="3266">
      <c r="A3266" s="6" t="s">
        <v>7160</v>
      </c>
      <c r="B3266" s="6" t="s">
        <v>7161</v>
      </c>
      <c r="C3266" s="6" t="s">
        <v>48</v>
      </c>
      <c r="D3266" s="6" t="s">
        <v>7162</v>
      </c>
      <c r="E3266" s="6" t="s">
        <v>7163</v>
      </c>
      <c r="F3266" s="6" t="s">
        <v>18</v>
      </c>
      <c r="G3266" s="7">
        <v>0.47</v>
      </c>
      <c r="H3266" s="6" t="s">
        <v>1194</v>
      </c>
      <c r="I3266" s="6" t="s">
        <v>20</v>
      </c>
      <c r="J3266" s="6">
        <v>2023.0</v>
      </c>
      <c r="K3266" s="10">
        <v>46082.0</v>
      </c>
      <c r="L3266" s="6">
        <v>3.0</v>
      </c>
      <c r="M3266" s="8">
        <f t="shared" si="3"/>
        <v>1.41</v>
      </c>
      <c r="P3266" s="9"/>
    </row>
    <row r="3267">
      <c r="A3267" s="6" t="s">
        <v>7164</v>
      </c>
      <c r="B3267" s="6" t="s">
        <v>182</v>
      </c>
      <c r="C3267" s="6" t="s">
        <v>23</v>
      </c>
      <c r="D3267" s="6" t="s">
        <v>7165</v>
      </c>
      <c r="E3267" s="6" t="s">
        <v>25</v>
      </c>
      <c r="F3267" s="6" t="s">
        <v>18</v>
      </c>
      <c r="G3267" s="7">
        <v>0.1</v>
      </c>
      <c r="H3267" s="6" t="s">
        <v>93</v>
      </c>
      <c r="I3267" s="6" t="s">
        <v>20</v>
      </c>
      <c r="J3267" s="6">
        <v>2016.0</v>
      </c>
      <c r="L3267" s="6">
        <v>1.0</v>
      </c>
      <c r="M3267" s="8">
        <f t="shared" si="3"/>
        <v>0.1</v>
      </c>
      <c r="P3267" s="9"/>
    </row>
    <row r="3268">
      <c r="A3268" s="6" t="s">
        <v>7166</v>
      </c>
      <c r="B3268" s="6" t="s">
        <v>62</v>
      </c>
      <c r="C3268" s="6" t="s">
        <v>23</v>
      </c>
      <c r="D3268" s="6" t="s">
        <v>7167</v>
      </c>
      <c r="E3268" s="6" t="s">
        <v>79</v>
      </c>
      <c r="F3268" s="6" t="s">
        <v>51</v>
      </c>
      <c r="G3268" s="7">
        <v>0.14</v>
      </c>
      <c r="H3268" s="6" t="s">
        <v>245</v>
      </c>
      <c r="I3268" s="6" t="s">
        <v>20</v>
      </c>
      <c r="J3268" s="6">
        <v>1995.0</v>
      </c>
      <c r="L3268" s="6">
        <v>1.0</v>
      </c>
      <c r="M3268" s="8">
        <f t="shared" si="3"/>
        <v>0.14</v>
      </c>
      <c r="P3268" s="9"/>
    </row>
    <row r="3269">
      <c r="A3269" s="6" t="s">
        <v>7168</v>
      </c>
      <c r="B3269" s="6" t="s">
        <v>413</v>
      </c>
      <c r="C3269" s="6" t="s">
        <v>287</v>
      </c>
      <c r="D3269" s="6" t="s">
        <v>7169</v>
      </c>
      <c r="E3269" s="6" t="s">
        <v>79</v>
      </c>
      <c r="F3269" s="6" t="s">
        <v>51</v>
      </c>
      <c r="G3269" s="7">
        <v>0.09</v>
      </c>
      <c r="H3269" s="6" t="s">
        <v>119</v>
      </c>
      <c r="I3269" s="6" t="s">
        <v>20</v>
      </c>
      <c r="J3269" s="6">
        <v>1995.0</v>
      </c>
      <c r="L3269" s="6">
        <v>3.0</v>
      </c>
      <c r="M3269" s="8">
        <f t="shared" si="3"/>
        <v>0.27</v>
      </c>
      <c r="P3269" s="9"/>
    </row>
    <row r="3270">
      <c r="A3270" s="6" t="s">
        <v>7168</v>
      </c>
      <c r="B3270" s="6" t="s">
        <v>413</v>
      </c>
      <c r="C3270" s="6" t="s">
        <v>287</v>
      </c>
      <c r="D3270" s="6" t="s">
        <v>7169</v>
      </c>
      <c r="E3270" s="6" t="s">
        <v>79</v>
      </c>
      <c r="F3270" s="6" t="s">
        <v>51</v>
      </c>
      <c r="G3270" s="7">
        <v>0.14</v>
      </c>
      <c r="H3270" s="6" t="s">
        <v>120</v>
      </c>
      <c r="I3270" s="6" t="s">
        <v>20</v>
      </c>
      <c r="J3270" s="6">
        <v>1995.0</v>
      </c>
      <c r="L3270" s="6">
        <v>3.0</v>
      </c>
      <c r="M3270" s="8">
        <f t="shared" si="3"/>
        <v>0.42</v>
      </c>
      <c r="P3270" s="9"/>
    </row>
    <row r="3271">
      <c r="A3271" s="6" t="s">
        <v>7170</v>
      </c>
      <c r="B3271" s="6" t="s">
        <v>7171</v>
      </c>
      <c r="C3271" s="6" t="s">
        <v>48</v>
      </c>
      <c r="D3271" s="6" t="s">
        <v>7172</v>
      </c>
      <c r="E3271" s="6" t="s">
        <v>112</v>
      </c>
      <c r="F3271" s="6" t="s">
        <v>65</v>
      </c>
      <c r="G3271" s="7">
        <v>0.15</v>
      </c>
      <c r="H3271" s="6" t="s">
        <v>645</v>
      </c>
      <c r="I3271" s="6" t="s">
        <v>20</v>
      </c>
      <c r="J3271" s="6">
        <v>2024.0</v>
      </c>
      <c r="K3271" s="10">
        <v>46056.0</v>
      </c>
      <c r="L3271" s="6">
        <v>1.0</v>
      </c>
      <c r="M3271" s="8">
        <f t="shared" si="3"/>
        <v>0.15</v>
      </c>
      <c r="P3271" s="9"/>
    </row>
    <row r="3272">
      <c r="A3272" s="6" t="s">
        <v>7173</v>
      </c>
      <c r="B3272" s="6" t="s">
        <v>182</v>
      </c>
      <c r="C3272" s="6" t="s">
        <v>23</v>
      </c>
      <c r="D3272" s="6" t="s">
        <v>7174</v>
      </c>
      <c r="E3272" s="6" t="s">
        <v>2129</v>
      </c>
      <c r="F3272" s="6" t="s">
        <v>65</v>
      </c>
      <c r="G3272" s="7">
        <v>0.05</v>
      </c>
      <c r="H3272" s="6" t="s">
        <v>5219</v>
      </c>
      <c r="I3272" s="6" t="s">
        <v>20</v>
      </c>
      <c r="J3272" s="6">
        <v>2021.0</v>
      </c>
      <c r="L3272" s="6">
        <v>1.0</v>
      </c>
      <c r="M3272" s="8">
        <f t="shared" si="3"/>
        <v>0.05</v>
      </c>
      <c r="P3272" s="9"/>
    </row>
    <row r="3273">
      <c r="A3273" s="6" t="s">
        <v>7175</v>
      </c>
      <c r="B3273" s="6" t="s">
        <v>1359</v>
      </c>
      <c r="C3273" s="6" t="s">
        <v>48</v>
      </c>
      <c r="D3273" s="6" t="s">
        <v>7176</v>
      </c>
      <c r="E3273" s="6" t="s">
        <v>167</v>
      </c>
      <c r="F3273" s="6" t="s">
        <v>103</v>
      </c>
      <c r="G3273" s="7">
        <v>0.06</v>
      </c>
      <c r="H3273" s="6" t="s">
        <v>1084</v>
      </c>
      <c r="I3273" s="6" t="s">
        <v>20</v>
      </c>
      <c r="J3273" s="6">
        <v>2018.0</v>
      </c>
      <c r="K3273" s="10">
        <v>46023.0</v>
      </c>
      <c r="L3273" s="6">
        <v>1.0</v>
      </c>
      <c r="M3273" s="8">
        <f t="shared" si="3"/>
        <v>0.06</v>
      </c>
      <c r="N3273" s="6" t="s">
        <v>518</v>
      </c>
      <c r="P3273" s="9"/>
    </row>
    <row r="3274">
      <c r="A3274" s="6" t="s">
        <v>7177</v>
      </c>
      <c r="B3274" s="6" t="s">
        <v>7178</v>
      </c>
      <c r="C3274" s="6" t="s">
        <v>23</v>
      </c>
      <c r="D3274" s="6" t="s">
        <v>7179</v>
      </c>
      <c r="E3274" s="6" t="s">
        <v>79</v>
      </c>
      <c r="F3274" s="6" t="s">
        <v>51</v>
      </c>
      <c r="G3274" s="7">
        <v>3.5</v>
      </c>
      <c r="H3274" s="6" t="s">
        <v>911</v>
      </c>
      <c r="I3274" s="6" t="s">
        <v>55</v>
      </c>
      <c r="J3274" s="6">
        <v>2001.0</v>
      </c>
      <c r="K3274" s="10">
        <v>46082.0</v>
      </c>
      <c r="L3274" s="6">
        <v>1.0</v>
      </c>
      <c r="M3274" s="8">
        <f t="shared" si="3"/>
        <v>3.5</v>
      </c>
      <c r="N3274" s="6" t="s">
        <v>172</v>
      </c>
      <c r="P3274" s="9"/>
    </row>
    <row r="3275">
      <c r="A3275" s="6" t="s">
        <v>7180</v>
      </c>
      <c r="B3275" s="6" t="s">
        <v>1926</v>
      </c>
      <c r="C3275" s="6" t="s">
        <v>23</v>
      </c>
      <c r="D3275" s="6" t="s">
        <v>7181</v>
      </c>
      <c r="E3275" s="6" t="s">
        <v>36</v>
      </c>
      <c r="F3275" s="6" t="s">
        <v>37</v>
      </c>
      <c r="G3275" s="7">
        <v>9.95</v>
      </c>
      <c r="H3275" s="6" t="s">
        <v>1361</v>
      </c>
      <c r="I3275" s="6" t="s">
        <v>20</v>
      </c>
      <c r="J3275" s="6">
        <v>2008.0</v>
      </c>
      <c r="K3275" s="10">
        <v>46023.0</v>
      </c>
      <c r="L3275" s="6">
        <v>1.0</v>
      </c>
      <c r="M3275" s="8">
        <f t="shared" si="3"/>
        <v>9.95</v>
      </c>
      <c r="N3275" s="6" t="s">
        <v>172</v>
      </c>
      <c r="P3275" s="9"/>
    </row>
    <row r="3276">
      <c r="A3276" s="6" t="s">
        <v>7182</v>
      </c>
      <c r="B3276" s="6" t="s">
        <v>194</v>
      </c>
      <c r="C3276" s="6" t="s">
        <v>23</v>
      </c>
      <c r="D3276" s="6" t="s">
        <v>7183</v>
      </c>
      <c r="E3276" s="6" t="s">
        <v>238</v>
      </c>
      <c r="F3276" s="6" t="s">
        <v>159</v>
      </c>
      <c r="G3276" s="7">
        <v>0.08</v>
      </c>
      <c r="H3276" s="6" t="s">
        <v>45</v>
      </c>
      <c r="I3276" s="6" t="s">
        <v>20</v>
      </c>
      <c r="J3276" s="6">
        <v>2025.0</v>
      </c>
      <c r="L3276" s="6">
        <v>3.0</v>
      </c>
      <c r="M3276" s="8">
        <f t="shared" si="3"/>
        <v>0.24</v>
      </c>
      <c r="P3276" s="9"/>
    </row>
    <row r="3277">
      <c r="A3277" s="6" t="s">
        <v>7182</v>
      </c>
      <c r="B3277" s="6" t="s">
        <v>194</v>
      </c>
      <c r="C3277" s="6" t="s">
        <v>23</v>
      </c>
      <c r="D3277" s="6" t="s">
        <v>7183</v>
      </c>
      <c r="E3277" s="6" t="s">
        <v>238</v>
      </c>
      <c r="F3277" s="6" t="s">
        <v>159</v>
      </c>
      <c r="G3277" s="7">
        <v>0.25</v>
      </c>
      <c r="H3277" s="6" t="s">
        <v>45</v>
      </c>
      <c r="I3277" s="6" t="s">
        <v>55</v>
      </c>
      <c r="J3277" s="6">
        <v>2025.0</v>
      </c>
      <c r="L3277" s="6">
        <v>1.0</v>
      </c>
      <c r="M3277" s="8">
        <f t="shared" si="3"/>
        <v>0.25</v>
      </c>
      <c r="P3277" s="9"/>
    </row>
    <row r="3278">
      <c r="A3278" s="6" t="s">
        <v>7184</v>
      </c>
      <c r="B3278" s="6" t="s">
        <v>165</v>
      </c>
      <c r="C3278" s="6" t="s">
        <v>34</v>
      </c>
      <c r="D3278" s="6" t="s">
        <v>7185</v>
      </c>
      <c r="E3278" s="6" t="s">
        <v>196</v>
      </c>
      <c r="F3278" s="6" t="s">
        <v>65</v>
      </c>
      <c r="G3278" s="7">
        <v>0.33</v>
      </c>
      <c r="H3278" s="6" t="s">
        <v>7186</v>
      </c>
      <c r="I3278" s="6" t="s">
        <v>20</v>
      </c>
      <c r="J3278" s="6">
        <v>2012.0</v>
      </c>
      <c r="L3278" s="6">
        <v>1.0</v>
      </c>
      <c r="M3278" s="8">
        <f t="shared" si="3"/>
        <v>0.33</v>
      </c>
      <c r="P3278" s="9"/>
    </row>
    <row r="3279">
      <c r="A3279" s="6" t="s">
        <v>7187</v>
      </c>
      <c r="B3279" s="6" t="s">
        <v>694</v>
      </c>
      <c r="C3279" s="6" t="s">
        <v>48</v>
      </c>
      <c r="D3279" s="6" t="s">
        <v>7188</v>
      </c>
      <c r="E3279" s="6" t="s">
        <v>243</v>
      </c>
      <c r="F3279" s="6" t="s">
        <v>37</v>
      </c>
      <c r="G3279" s="7">
        <v>0.05</v>
      </c>
      <c r="H3279" s="6" t="s">
        <v>276</v>
      </c>
      <c r="I3279" s="6" t="s">
        <v>20</v>
      </c>
      <c r="J3279" s="6">
        <v>2014.0</v>
      </c>
      <c r="K3279" s="10">
        <v>46084.0</v>
      </c>
      <c r="L3279" s="6">
        <v>1.0</v>
      </c>
      <c r="M3279" s="8">
        <f t="shared" si="3"/>
        <v>0.05</v>
      </c>
      <c r="P3279" s="9"/>
    </row>
    <row r="3280">
      <c r="A3280" s="6" t="s">
        <v>7189</v>
      </c>
      <c r="B3280" s="6" t="s">
        <v>7190</v>
      </c>
      <c r="C3280" s="6" t="s">
        <v>287</v>
      </c>
      <c r="D3280" s="6" t="s">
        <v>7191</v>
      </c>
      <c r="E3280" s="6" t="s">
        <v>118</v>
      </c>
      <c r="F3280" s="6" t="s">
        <v>51</v>
      </c>
      <c r="G3280" s="7">
        <v>0.08</v>
      </c>
      <c r="H3280" s="6" t="s">
        <v>119</v>
      </c>
      <c r="I3280" s="6" t="s">
        <v>20</v>
      </c>
      <c r="J3280" s="6">
        <v>1995.0</v>
      </c>
      <c r="K3280" s="10">
        <v>46023.0</v>
      </c>
      <c r="L3280" s="6">
        <v>6.0</v>
      </c>
      <c r="M3280" s="8">
        <f t="shared" si="3"/>
        <v>0.48</v>
      </c>
      <c r="P3280" s="9"/>
    </row>
    <row r="3281">
      <c r="A3281" s="6" t="s">
        <v>7189</v>
      </c>
      <c r="B3281" s="6" t="s">
        <v>7190</v>
      </c>
      <c r="C3281" s="6" t="s">
        <v>287</v>
      </c>
      <c r="D3281" s="6" t="s">
        <v>7191</v>
      </c>
      <c r="E3281" s="6" t="s">
        <v>118</v>
      </c>
      <c r="F3281" s="6" t="s">
        <v>51</v>
      </c>
      <c r="G3281" s="7">
        <v>0.13</v>
      </c>
      <c r="H3281" s="6" t="s">
        <v>120</v>
      </c>
      <c r="I3281" s="6" t="s">
        <v>20</v>
      </c>
      <c r="J3281" s="6">
        <v>1995.0</v>
      </c>
      <c r="K3281" s="10">
        <v>46023.0</v>
      </c>
      <c r="L3281" s="6">
        <v>6.0</v>
      </c>
      <c r="M3281" s="8">
        <f t="shared" si="3"/>
        <v>0.78</v>
      </c>
      <c r="P3281" s="9"/>
    </row>
    <row r="3282">
      <c r="A3282" s="6" t="s">
        <v>7192</v>
      </c>
      <c r="B3282" s="6" t="s">
        <v>7193</v>
      </c>
      <c r="C3282" s="6" t="s">
        <v>23</v>
      </c>
      <c r="D3282" s="6" t="s">
        <v>7194</v>
      </c>
      <c r="E3282" s="6" t="s">
        <v>235</v>
      </c>
      <c r="F3282" s="6" t="s">
        <v>103</v>
      </c>
      <c r="G3282" s="7">
        <v>0.05</v>
      </c>
      <c r="H3282" s="6" t="s">
        <v>109</v>
      </c>
      <c r="I3282" s="6" t="s">
        <v>20</v>
      </c>
      <c r="J3282" s="6">
        <v>1995.0</v>
      </c>
      <c r="K3282" s="10">
        <v>46023.0</v>
      </c>
      <c r="L3282" s="6">
        <v>4.0</v>
      </c>
      <c r="M3282" s="8">
        <f t="shared" si="3"/>
        <v>0.2</v>
      </c>
      <c r="P3282" s="9"/>
    </row>
    <row r="3283">
      <c r="A3283" s="6" t="s">
        <v>7192</v>
      </c>
      <c r="B3283" s="6" t="s">
        <v>7193</v>
      </c>
      <c r="C3283" s="6" t="s">
        <v>23</v>
      </c>
      <c r="D3283" s="6" t="s">
        <v>7194</v>
      </c>
      <c r="E3283" s="6" t="s">
        <v>235</v>
      </c>
      <c r="F3283" s="6" t="s">
        <v>103</v>
      </c>
      <c r="G3283" s="7">
        <v>0.08</v>
      </c>
      <c r="H3283" s="6" t="s">
        <v>1382</v>
      </c>
      <c r="I3283" s="6" t="s">
        <v>20</v>
      </c>
      <c r="J3283" s="6">
        <v>1995.0</v>
      </c>
      <c r="K3283" s="10">
        <v>46023.0</v>
      </c>
      <c r="L3283" s="6">
        <v>1.0</v>
      </c>
      <c r="M3283" s="8">
        <f t="shared" si="3"/>
        <v>0.08</v>
      </c>
      <c r="P3283" s="9"/>
    </row>
    <row r="3284">
      <c r="A3284" s="6" t="s">
        <v>7195</v>
      </c>
      <c r="B3284" s="6" t="s">
        <v>609</v>
      </c>
      <c r="C3284" s="6" t="s">
        <v>48</v>
      </c>
      <c r="D3284" s="6" t="s">
        <v>7196</v>
      </c>
      <c r="E3284" s="6" t="s">
        <v>1844</v>
      </c>
      <c r="F3284" s="6" t="s">
        <v>98</v>
      </c>
      <c r="G3284" s="7">
        <v>0.13</v>
      </c>
      <c r="H3284" s="6" t="s">
        <v>185</v>
      </c>
      <c r="I3284" s="6" t="s">
        <v>20</v>
      </c>
      <c r="J3284" s="6">
        <v>2019.0</v>
      </c>
      <c r="K3284" s="10">
        <v>46055.0</v>
      </c>
      <c r="L3284" s="6">
        <v>4.0</v>
      </c>
      <c r="M3284" s="8">
        <f t="shared" si="3"/>
        <v>0.52</v>
      </c>
      <c r="P3284" s="9"/>
    </row>
    <row r="3285">
      <c r="A3285" s="6" t="s">
        <v>7197</v>
      </c>
      <c r="B3285" s="6" t="s">
        <v>7198</v>
      </c>
      <c r="C3285" s="6" t="s">
        <v>23</v>
      </c>
      <c r="D3285" s="6" t="s">
        <v>7199</v>
      </c>
      <c r="E3285" s="6" t="s">
        <v>153</v>
      </c>
      <c r="F3285" s="6" t="s">
        <v>103</v>
      </c>
      <c r="G3285" s="7">
        <v>0.03</v>
      </c>
      <c r="H3285" s="6" t="s">
        <v>562</v>
      </c>
      <c r="I3285" s="6" t="s">
        <v>20</v>
      </c>
      <c r="J3285" s="6">
        <v>2017.0</v>
      </c>
      <c r="K3285" s="10">
        <v>46057.0</v>
      </c>
      <c r="L3285" s="6">
        <v>1.0</v>
      </c>
      <c r="M3285" s="8">
        <f t="shared" si="3"/>
        <v>0.03</v>
      </c>
      <c r="P3285" s="9"/>
    </row>
    <row r="3286">
      <c r="A3286" s="6" t="s">
        <v>7200</v>
      </c>
      <c r="B3286" s="6" t="s">
        <v>7201</v>
      </c>
      <c r="C3286" s="6" t="s">
        <v>48</v>
      </c>
      <c r="D3286" s="6" t="s">
        <v>7202</v>
      </c>
      <c r="E3286" s="6" t="s">
        <v>3098</v>
      </c>
      <c r="F3286" s="6" t="s">
        <v>215</v>
      </c>
      <c r="G3286" s="7">
        <v>0.24</v>
      </c>
      <c r="H3286" s="6" t="s">
        <v>192</v>
      </c>
      <c r="I3286" s="6" t="s">
        <v>55</v>
      </c>
      <c r="J3286" s="6">
        <v>2026.0</v>
      </c>
      <c r="K3286" s="10">
        <v>46114.0</v>
      </c>
      <c r="L3286" s="6">
        <v>1.0</v>
      </c>
      <c r="M3286" s="8">
        <f t="shared" si="3"/>
        <v>0.24</v>
      </c>
      <c r="P3286" s="9"/>
    </row>
    <row r="3287">
      <c r="A3287" s="6" t="s">
        <v>7203</v>
      </c>
      <c r="B3287" s="6" t="s">
        <v>1808</v>
      </c>
      <c r="C3287" s="6" t="s">
        <v>23</v>
      </c>
      <c r="D3287" s="6" t="s">
        <v>7204</v>
      </c>
      <c r="E3287" s="6" t="s">
        <v>167</v>
      </c>
      <c r="F3287" s="6" t="s">
        <v>103</v>
      </c>
      <c r="G3287" s="7">
        <v>0.09</v>
      </c>
      <c r="H3287" s="6" t="s">
        <v>494</v>
      </c>
      <c r="I3287" s="6" t="s">
        <v>55</v>
      </c>
      <c r="J3287" s="6">
        <v>2003.0</v>
      </c>
      <c r="K3287" s="10">
        <v>46023.0</v>
      </c>
      <c r="L3287" s="6">
        <v>1.0</v>
      </c>
      <c r="M3287" s="8">
        <f t="shared" si="3"/>
        <v>0.09</v>
      </c>
      <c r="P3287" s="9"/>
    </row>
    <row r="3288">
      <c r="A3288" s="6" t="s">
        <v>7205</v>
      </c>
      <c r="B3288" s="6" t="s">
        <v>1440</v>
      </c>
      <c r="C3288" s="6" t="s">
        <v>23</v>
      </c>
      <c r="D3288" s="6" t="s">
        <v>7206</v>
      </c>
      <c r="E3288" s="6" t="s">
        <v>235</v>
      </c>
      <c r="F3288" s="6" t="s">
        <v>103</v>
      </c>
      <c r="G3288" s="7">
        <v>0.08</v>
      </c>
      <c r="H3288" s="6" t="s">
        <v>109</v>
      </c>
      <c r="I3288" s="6" t="s">
        <v>20</v>
      </c>
      <c r="J3288" s="6">
        <v>1995.0</v>
      </c>
      <c r="K3288" s="6" t="s">
        <v>89</v>
      </c>
      <c r="L3288" s="6">
        <v>1.0</v>
      </c>
      <c r="M3288" s="8">
        <f t="shared" si="3"/>
        <v>0.08</v>
      </c>
      <c r="P3288" s="9"/>
    </row>
    <row r="3289">
      <c r="A3289" s="6" t="s">
        <v>7205</v>
      </c>
      <c r="B3289" s="6" t="s">
        <v>1440</v>
      </c>
      <c r="C3289" s="6" t="s">
        <v>23</v>
      </c>
      <c r="D3289" s="6" t="s">
        <v>7206</v>
      </c>
      <c r="E3289" s="6" t="s">
        <v>235</v>
      </c>
      <c r="F3289" s="6" t="s">
        <v>103</v>
      </c>
      <c r="G3289" s="7">
        <v>0.22</v>
      </c>
      <c r="H3289" s="6" t="s">
        <v>1382</v>
      </c>
      <c r="I3289" s="6" t="s">
        <v>20</v>
      </c>
      <c r="J3289" s="6">
        <v>1995.0</v>
      </c>
      <c r="K3289" s="6" t="s">
        <v>89</v>
      </c>
      <c r="L3289" s="6">
        <v>2.0</v>
      </c>
      <c r="M3289" s="8">
        <f t="shared" si="3"/>
        <v>0.44</v>
      </c>
      <c r="P3289" s="9"/>
    </row>
    <row r="3290">
      <c r="A3290" s="6" t="s">
        <v>7207</v>
      </c>
      <c r="B3290" s="6" t="s">
        <v>151</v>
      </c>
      <c r="C3290" s="6" t="s">
        <v>48</v>
      </c>
      <c r="D3290" s="6" t="s">
        <v>7208</v>
      </c>
      <c r="E3290" s="6" t="s">
        <v>167</v>
      </c>
      <c r="F3290" s="6" t="s">
        <v>103</v>
      </c>
      <c r="G3290" s="7">
        <v>0.07</v>
      </c>
      <c r="H3290" s="6" t="s">
        <v>2512</v>
      </c>
      <c r="I3290" s="6" t="s">
        <v>20</v>
      </c>
      <c r="J3290" s="6">
        <v>2006.0</v>
      </c>
      <c r="K3290" s="10">
        <v>46023.0</v>
      </c>
      <c r="L3290" s="6">
        <v>1.0</v>
      </c>
      <c r="M3290" s="8">
        <f t="shared" si="3"/>
        <v>0.07</v>
      </c>
      <c r="P3290" s="9"/>
    </row>
    <row r="3291">
      <c r="A3291" s="6" t="s">
        <v>7209</v>
      </c>
      <c r="B3291" s="6" t="s">
        <v>7210</v>
      </c>
      <c r="C3291" s="6" t="s">
        <v>23</v>
      </c>
      <c r="D3291" s="6" t="s">
        <v>7211</v>
      </c>
      <c r="F3291" s="6" t="s">
        <v>37</v>
      </c>
      <c r="G3291" s="7">
        <v>0.27</v>
      </c>
      <c r="H3291" s="6" t="s">
        <v>7212</v>
      </c>
      <c r="I3291" s="6" t="s">
        <v>20</v>
      </c>
      <c r="J3291" s="6">
        <v>2018.0</v>
      </c>
      <c r="L3291" s="6">
        <v>2.0</v>
      </c>
      <c r="M3291" s="8">
        <f t="shared" si="3"/>
        <v>0.54</v>
      </c>
      <c r="P3291" s="9"/>
    </row>
    <row r="3292">
      <c r="A3292" s="6" t="s">
        <v>7209</v>
      </c>
      <c r="B3292" s="6" t="s">
        <v>7210</v>
      </c>
      <c r="C3292" s="6" t="s">
        <v>23</v>
      </c>
      <c r="D3292" s="6" t="s">
        <v>7211</v>
      </c>
      <c r="F3292" s="6" t="s">
        <v>51</v>
      </c>
      <c r="G3292" s="7">
        <v>0.17</v>
      </c>
      <c r="H3292" s="6" t="s">
        <v>845</v>
      </c>
      <c r="I3292" s="6" t="s">
        <v>20</v>
      </c>
      <c r="J3292" s="6">
        <v>2022.0</v>
      </c>
      <c r="L3292" s="6">
        <v>1.0</v>
      </c>
      <c r="M3292" s="8">
        <f t="shared" si="3"/>
        <v>0.17</v>
      </c>
      <c r="P3292" s="9"/>
    </row>
    <row r="3293">
      <c r="A3293" s="6" t="s">
        <v>7209</v>
      </c>
      <c r="B3293" s="6" t="s">
        <v>7210</v>
      </c>
      <c r="C3293" s="6" t="s">
        <v>23</v>
      </c>
      <c r="D3293" s="6" t="s">
        <v>7211</v>
      </c>
      <c r="F3293" s="6" t="s">
        <v>51</v>
      </c>
      <c r="G3293" s="7">
        <v>0.27</v>
      </c>
      <c r="H3293" s="6" t="s">
        <v>845</v>
      </c>
      <c r="I3293" s="6" t="s">
        <v>20</v>
      </c>
      <c r="J3293" s="6">
        <v>2022.0</v>
      </c>
      <c r="L3293" s="6">
        <v>1.0</v>
      </c>
      <c r="M3293" s="8">
        <f t="shared" si="3"/>
        <v>0.27</v>
      </c>
      <c r="P3293" s="9"/>
    </row>
    <row r="3294">
      <c r="A3294" s="6" t="s">
        <v>7209</v>
      </c>
      <c r="B3294" s="6" t="s">
        <v>7210</v>
      </c>
      <c r="C3294" s="6" t="s">
        <v>23</v>
      </c>
      <c r="D3294" s="6" t="s">
        <v>7211</v>
      </c>
      <c r="F3294" s="6" t="s">
        <v>51</v>
      </c>
      <c r="G3294" s="7">
        <v>0.45</v>
      </c>
      <c r="H3294" s="6" t="s">
        <v>7213</v>
      </c>
      <c r="I3294" s="6" t="s">
        <v>55</v>
      </c>
      <c r="J3294" s="6">
        <v>2020.0</v>
      </c>
      <c r="L3294" s="6">
        <v>1.0</v>
      </c>
      <c r="M3294" s="8">
        <f t="shared" si="3"/>
        <v>0.45</v>
      </c>
      <c r="N3294" s="6" t="s">
        <v>518</v>
      </c>
      <c r="P3294" s="9"/>
    </row>
    <row r="3295">
      <c r="A3295" s="6" t="s">
        <v>7209</v>
      </c>
      <c r="B3295" s="6" t="s">
        <v>7210</v>
      </c>
      <c r="C3295" s="6" t="s">
        <v>23</v>
      </c>
      <c r="D3295" s="6" t="s">
        <v>7211</v>
      </c>
      <c r="F3295" s="6" t="s">
        <v>51</v>
      </c>
      <c r="G3295" s="7">
        <v>0.48</v>
      </c>
      <c r="H3295" s="6" t="s">
        <v>119</v>
      </c>
      <c r="I3295" s="6" t="s">
        <v>20</v>
      </c>
      <c r="J3295" s="6">
        <v>1995.0</v>
      </c>
      <c r="L3295" s="6">
        <v>1.0</v>
      </c>
      <c r="M3295" s="8">
        <f t="shared" si="3"/>
        <v>0.48</v>
      </c>
      <c r="P3295" s="9"/>
    </row>
    <row r="3296">
      <c r="A3296" s="6" t="s">
        <v>7209</v>
      </c>
      <c r="B3296" s="6" t="s">
        <v>7210</v>
      </c>
      <c r="C3296" s="6" t="s">
        <v>23</v>
      </c>
      <c r="D3296" s="6" t="s">
        <v>7211</v>
      </c>
      <c r="F3296" s="6" t="s">
        <v>51</v>
      </c>
      <c r="G3296" s="7">
        <v>0.8</v>
      </c>
      <c r="H3296" s="6" t="s">
        <v>119</v>
      </c>
      <c r="I3296" s="6" t="s">
        <v>20</v>
      </c>
      <c r="J3296" s="6">
        <v>1995.0</v>
      </c>
      <c r="L3296" s="6">
        <v>2.0</v>
      </c>
      <c r="M3296" s="8">
        <f t="shared" si="3"/>
        <v>1.6</v>
      </c>
      <c r="P3296" s="9"/>
    </row>
    <row r="3297">
      <c r="A3297" s="6" t="s">
        <v>7209</v>
      </c>
      <c r="B3297" s="6" t="s">
        <v>7210</v>
      </c>
      <c r="C3297" s="6" t="s">
        <v>23</v>
      </c>
      <c r="D3297" s="6" t="s">
        <v>7211</v>
      </c>
      <c r="F3297" s="6" t="s">
        <v>51</v>
      </c>
      <c r="G3297" s="7">
        <v>0.48</v>
      </c>
      <c r="H3297" s="6" t="s">
        <v>119</v>
      </c>
      <c r="I3297" s="6" t="s">
        <v>20</v>
      </c>
      <c r="J3297" s="6">
        <v>1995.0</v>
      </c>
      <c r="L3297" s="6">
        <v>1.0</v>
      </c>
      <c r="M3297" s="8">
        <f t="shared" si="3"/>
        <v>0.48</v>
      </c>
      <c r="P3297" s="9"/>
    </row>
    <row r="3298">
      <c r="A3298" s="6" t="s">
        <v>7209</v>
      </c>
      <c r="B3298" s="6" t="s">
        <v>7210</v>
      </c>
      <c r="C3298" s="6" t="s">
        <v>23</v>
      </c>
      <c r="D3298" s="6" t="s">
        <v>7211</v>
      </c>
      <c r="F3298" s="6" t="s">
        <v>51</v>
      </c>
      <c r="G3298" s="7">
        <v>0.4</v>
      </c>
      <c r="H3298" s="6" t="s">
        <v>7214</v>
      </c>
      <c r="I3298" s="6" t="s">
        <v>20</v>
      </c>
      <c r="J3298" s="6">
        <v>2000.0</v>
      </c>
      <c r="L3298" s="6">
        <v>1.0</v>
      </c>
      <c r="M3298" s="8">
        <f t="shared" si="3"/>
        <v>0.4</v>
      </c>
      <c r="P3298" s="9"/>
    </row>
    <row r="3299">
      <c r="A3299" s="6" t="s">
        <v>7209</v>
      </c>
      <c r="B3299" s="6" t="s">
        <v>7210</v>
      </c>
      <c r="C3299" s="6" t="s">
        <v>23</v>
      </c>
      <c r="D3299" s="6" t="s">
        <v>7211</v>
      </c>
      <c r="F3299" s="6" t="s">
        <v>51</v>
      </c>
      <c r="G3299" s="7">
        <v>0.2</v>
      </c>
      <c r="H3299" s="6" t="s">
        <v>359</v>
      </c>
      <c r="I3299" s="6" t="s">
        <v>20</v>
      </c>
      <c r="J3299" s="6">
        <v>2014.0</v>
      </c>
      <c r="L3299" s="6">
        <v>1.0</v>
      </c>
      <c r="M3299" s="8">
        <f t="shared" si="3"/>
        <v>0.2</v>
      </c>
      <c r="P3299" s="9"/>
    </row>
    <row r="3300">
      <c r="A3300" s="6" t="s">
        <v>7209</v>
      </c>
      <c r="B3300" s="6" t="s">
        <v>7210</v>
      </c>
      <c r="C3300" s="6" t="s">
        <v>23</v>
      </c>
      <c r="D3300" s="6" t="s">
        <v>7211</v>
      </c>
      <c r="F3300" s="6" t="s">
        <v>51</v>
      </c>
      <c r="G3300" s="7">
        <v>0.35</v>
      </c>
      <c r="H3300" s="6" t="s">
        <v>359</v>
      </c>
      <c r="I3300" s="6" t="s">
        <v>20</v>
      </c>
      <c r="J3300" s="6">
        <v>2014.0</v>
      </c>
      <c r="L3300" s="6">
        <v>1.0</v>
      </c>
      <c r="M3300" s="8">
        <f t="shared" si="3"/>
        <v>0.35</v>
      </c>
      <c r="P3300" s="9"/>
    </row>
    <row r="3301">
      <c r="A3301" s="6" t="s">
        <v>7209</v>
      </c>
      <c r="B3301" s="6" t="s">
        <v>7210</v>
      </c>
      <c r="C3301" s="6" t="s">
        <v>23</v>
      </c>
      <c r="D3301" s="6" t="s">
        <v>7211</v>
      </c>
      <c r="F3301" s="6" t="s">
        <v>37</v>
      </c>
      <c r="G3301" s="7">
        <v>0.25</v>
      </c>
      <c r="H3301" s="6" t="s">
        <v>154</v>
      </c>
      <c r="I3301" s="6" t="s">
        <v>20</v>
      </c>
      <c r="J3301" s="6">
        <v>2013.0</v>
      </c>
      <c r="L3301" s="6">
        <v>5.0</v>
      </c>
      <c r="M3301" s="8">
        <f t="shared" si="3"/>
        <v>1.25</v>
      </c>
      <c r="P3301" s="9"/>
    </row>
    <row r="3302">
      <c r="A3302" s="6" t="s">
        <v>7209</v>
      </c>
      <c r="B3302" s="6" t="s">
        <v>7210</v>
      </c>
      <c r="C3302" s="6" t="s">
        <v>23</v>
      </c>
      <c r="D3302" s="6" t="s">
        <v>7211</v>
      </c>
      <c r="F3302" s="6" t="s">
        <v>37</v>
      </c>
      <c r="G3302" s="7">
        <v>0.15</v>
      </c>
      <c r="H3302" s="6" t="s">
        <v>154</v>
      </c>
      <c r="I3302" s="6" t="s">
        <v>20</v>
      </c>
      <c r="J3302" s="6">
        <v>2013.0</v>
      </c>
      <c r="L3302" s="6">
        <v>2.0</v>
      </c>
      <c r="M3302" s="8">
        <f t="shared" si="3"/>
        <v>0.3</v>
      </c>
      <c r="P3302" s="9"/>
    </row>
    <row r="3303">
      <c r="A3303" s="6" t="s">
        <v>7209</v>
      </c>
      <c r="B3303" s="6" t="s">
        <v>7210</v>
      </c>
      <c r="C3303" s="6" t="s">
        <v>23</v>
      </c>
      <c r="D3303" s="6" t="s">
        <v>7211</v>
      </c>
      <c r="F3303" s="6" t="s">
        <v>37</v>
      </c>
      <c r="G3303" s="7">
        <v>0.2</v>
      </c>
      <c r="H3303" s="6" t="s">
        <v>184</v>
      </c>
      <c r="I3303" s="6" t="s">
        <v>20</v>
      </c>
      <c r="J3303" s="6">
        <v>2015.0</v>
      </c>
      <c r="L3303" s="6">
        <v>1.0</v>
      </c>
      <c r="M3303" s="8">
        <f t="shared" si="3"/>
        <v>0.2</v>
      </c>
      <c r="P3303" s="9"/>
    </row>
    <row r="3304">
      <c r="A3304" s="6" t="s">
        <v>7209</v>
      </c>
      <c r="B3304" s="6" t="s">
        <v>7210</v>
      </c>
      <c r="C3304" s="6" t="s">
        <v>23</v>
      </c>
      <c r="D3304" s="6" t="s">
        <v>7211</v>
      </c>
      <c r="F3304" s="6" t="s">
        <v>51</v>
      </c>
      <c r="G3304" s="7">
        <v>0.2</v>
      </c>
      <c r="H3304" s="6" t="s">
        <v>31</v>
      </c>
      <c r="I3304" s="6" t="s">
        <v>55</v>
      </c>
      <c r="J3304" s="6">
        <v>2026.0</v>
      </c>
      <c r="L3304" s="6">
        <v>14.0</v>
      </c>
      <c r="M3304" s="8">
        <f t="shared" si="3"/>
        <v>2.8</v>
      </c>
      <c r="P3304" s="9"/>
    </row>
    <row r="3305">
      <c r="A3305" s="6" t="s">
        <v>7209</v>
      </c>
      <c r="B3305" s="6" t="s">
        <v>7210</v>
      </c>
      <c r="C3305" s="6" t="s">
        <v>23</v>
      </c>
      <c r="D3305" s="6" t="s">
        <v>7211</v>
      </c>
      <c r="F3305" s="6" t="s">
        <v>51</v>
      </c>
      <c r="G3305" s="7">
        <v>0.46</v>
      </c>
      <c r="H3305" s="6" t="s">
        <v>7215</v>
      </c>
      <c r="I3305" s="6" t="s">
        <v>55</v>
      </c>
      <c r="J3305" s="6">
        <v>2026.0</v>
      </c>
      <c r="L3305" s="6">
        <v>1.0</v>
      </c>
      <c r="M3305" s="8">
        <f t="shared" si="3"/>
        <v>0.46</v>
      </c>
      <c r="P3305" s="9"/>
    </row>
    <row r="3306">
      <c r="A3306" s="6" t="s">
        <v>7209</v>
      </c>
      <c r="B3306" s="6" t="s">
        <v>7210</v>
      </c>
      <c r="C3306" s="6" t="s">
        <v>23</v>
      </c>
      <c r="D3306" s="6" t="s">
        <v>7211</v>
      </c>
      <c r="F3306" s="6" t="s">
        <v>37</v>
      </c>
      <c r="G3306" s="7">
        <v>0.25</v>
      </c>
      <c r="H3306" s="6" t="s">
        <v>271</v>
      </c>
      <c r="I3306" s="6" t="s">
        <v>20</v>
      </c>
      <c r="J3306" s="6">
        <v>2012.0</v>
      </c>
      <c r="L3306" s="6">
        <v>1.0</v>
      </c>
      <c r="M3306" s="8">
        <f t="shared" si="3"/>
        <v>0.25</v>
      </c>
      <c r="P3306" s="9"/>
    </row>
    <row r="3307">
      <c r="A3307" s="6" t="s">
        <v>7209</v>
      </c>
      <c r="B3307" s="6" t="s">
        <v>7210</v>
      </c>
      <c r="C3307" s="6" t="s">
        <v>23</v>
      </c>
      <c r="D3307" s="6" t="s">
        <v>7211</v>
      </c>
      <c r="F3307" s="6" t="s">
        <v>51</v>
      </c>
      <c r="G3307" s="7">
        <v>2.5</v>
      </c>
      <c r="H3307" s="6" t="s">
        <v>607</v>
      </c>
      <c r="I3307" s="6" t="s">
        <v>20</v>
      </c>
      <c r="J3307" s="6">
        <v>1994.0</v>
      </c>
      <c r="L3307" s="6">
        <v>2.0</v>
      </c>
      <c r="M3307" s="8">
        <f t="shared" si="3"/>
        <v>5</v>
      </c>
      <c r="N3307" s="6" t="s">
        <v>172</v>
      </c>
      <c r="P3307" s="9"/>
    </row>
    <row r="3308">
      <c r="A3308" s="6" t="s">
        <v>7209</v>
      </c>
      <c r="B3308" s="6" t="s">
        <v>7210</v>
      </c>
      <c r="C3308" s="6" t="s">
        <v>23</v>
      </c>
      <c r="D3308" s="6" t="s">
        <v>7211</v>
      </c>
      <c r="F3308" s="6" t="s">
        <v>51</v>
      </c>
      <c r="G3308" s="7">
        <v>2.15</v>
      </c>
      <c r="H3308" s="6" t="s">
        <v>607</v>
      </c>
      <c r="I3308" s="6" t="s">
        <v>20</v>
      </c>
      <c r="J3308" s="6">
        <v>1994.0</v>
      </c>
      <c r="L3308" s="6">
        <v>3.0</v>
      </c>
      <c r="M3308" s="8">
        <f t="shared" si="3"/>
        <v>6.45</v>
      </c>
      <c r="N3308" s="6" t="s">
        <v>172</v>
      </c>
      <c r="P3308" s="9"/>
    </row>
    <row r="3309">
      <c r="A3309" s="6" t="s">
        <v>7209</v>
      </c>
      <c r="B3309" s="6" t="s">
        <v>7210</v>
      </c>
      <c r="C3309" s="6" t="s">
        <v>23</v>
      </c>
      <c r="D3309" s="6" t="s">
        <v>7211</v>
      </c>
      <c r="F3309" s="6" t="s">
        <v>51</v>
      </c>
      <c r="G3309" s="7">
        <v>0.38</v>
      </c>
      <c r="H3309" s="6" t="s">
        <v>626</v>
      </c>
      <c r="I3309" s="6" t="s">
        <v>20</v>
      </c>
      <c r="J3309" s="6">
        <v>2013.0</v>
      </c>
      <c r="L3309" s="6">
        <v>1.0</v>
      </c>
      <c r="M3309" s="8">
        <f t="shared" si="3"/>
        <v>0.38</v>
      </c>
      <c r="P3309" s="9"/>
    </row>
    <row r="3310">
      <c r="A3310" s="6" t="s">
        <v>7216</v>
      </c>
      <c r="B3310" s="6" t="s">
        <v>165</v>
      </c>
      <c r="C3310" s="6" t="s">
        <v>34</v>
      </c>
      <c r="D3310" s="6" t="s">
        <v>7217</v>
      </c>
      <c r="E3310" s="6" t="s">
        <v>196</v>
      </c>
      <c r="F3310" s="6" t="s">
        <v>65</v>
      </c>
      <c r="G3310" s="7">
        <v>0.05</v>
      </c>
      <c r="H3310" s="6" t="s">
        <v>1043</v>
      </c>
      <c r="I3310" s="6" t="s">
        <v>20</v>
      </c>
      <c r="J3310" s="6">
        <v>2025.0</v>
      </c>
      <c r="L3310" s="6">
        <v>2.0</v>
      </c>
      <c r="M3310" s="8">
        <f t="shared" si="3"/>
        <v>0.1</v>
      </c>
      <c r="P3310" s="9"/>
    </row>
    <row r="3311">
      <c r="A3311" s="6" t="s">
        <v>7218</v>
      </c>
      <c r="B3311" s="6" t="s">
        <v>677</v>
      </c>
      <c r="C3311" s="6" t="s">
        <v>48</v>
      </c>
      <c r="D3311" s="6" t="s">
        <v>7219</v>
      </c>
      <c r="E3311" s="6" t="s">
        <v>6606</v>
      </c>
      <c r="F3311" s="6" t="s">
        <v>159</v>
      </c>
      <c r="G3311" s="7">
        <v>0.09</v>
      </c>
      <c r="H3311" s="6" t="s">
        <v>621</v>
      </c>
      <c r="I3311" s="6" t="s">
        <v>20</v>
      </c>
      <c r="J3311" s="6">
        <v>2015.0</v>
      </c>
      <c r="K3311" s="10">
        <v>46180.0</v>
      </c>
      <c r="L3311" s="6">
        <v>1.0</v>
      </c>
      <c r="M3311" s="8">
        <f t="shared" si="3"/>
        <v>0.09</v>
      </c>
      <c r="P3311" s="9"/>
    </row>
    <row r="3312">
      <c r="A3312" s="6" t="s">
        <v>7220</v>
      </c>
      <c r="B3312" s="6" t="s">
        <v>677</v>
      </c>
      <c r="C3312" s="6" t="s">
        <v>23</v>
      </c>
      <c r="E3312" s="6" t="s">
        <v>1505</v>
      </c>
      <c r="F3312" s="6" t="s">
        <v>18</v>
      </c>
      <c r="G3312" s="7">
        <v>0.06</v>
      </c>
      <c r="H3312" s="6" t="s">
        <v>146</v>
      </c>
      <c r="I3312" s="6" t="s">
        <v>20</v>
      </c>
      <c r="J3312" s="6">
        <v>2010.0</v>
      </c>
      <c r="K3312" s="10">
        <v>46113.0</v>
      </c>
      <c r="L3312" s="6">
        <v>1.0</v>
      </c>
      <c r="M3312" s="8">
        <f t="shared" si="3"/>
        <v>0.06</v>
      </c>
      <c r="P3312" s="9"/>
    </row>
    <row r="3313">
      <c r="A3313" s="6" t="s">
        <v>7221</v>
      </c>
      <c r="B3313" s="6" t="s">
        <v>7222</v>
      </c>
      <c r="C3313" s="6" t="s">
        <v>23</v>
      </c>
      <c r="D3313" s="6" t="s">
        <v>7223</v>
      </c>
      <c r="E3313" s="6" t="s">
        <v>1592</v>
      </c>
      <c r="F3313" s="6" t="s">
        <v>284</v>
      </c>
      <c r="G3313" s="7">
        <v>0.05</v>
      </c>
      <c r="H3313" s="6" t="s">
        <v>45</v>
      </c>
      <c r="I3313" s="6" t="s">
        <v>20</v>
      </c>
      <c r="J3313" s="6">
        <v>2025.0</v>
      </c>
      <c r="K3313" s="10">
        <v>46083.0</v>
      </c>
      <c r="L3313" s="6">
        <v>3.0</v>
      </c>
      <c r="M3313" s="8">
        <f t="shared" si="3"/>
        <v>0.15</v>
      </c>
      <c r="P3313" s="9"/>
    </row>
    <row r="3314">
      <c r="A3314" s="6" t="s">
        <v>7224</v>
      </c>
      <c r="B3314" s="6" t="s">
        <v>62</v>
      </c>
      <c r="C3314" s="6" t="s">
        <v>23</v>
      </c>
      <c r="D3314" s="6" t="s">
        <v>7225</v>
      </c>
      <c r="E3314" s="6" t="s">
        <v>223</v>
      </c>
      <c r="F3314" s="6" t="s">
        <v>159</v>
      </c>
      <c r="G3314" s="7">
        <v>0.05</v>
      </c>
      <c r="H3314" s="6" t="s">
        <v>1675</v>
      </c>
      <c r="I3314" s="6" t="s">
        <v>20</v>
      </c>
      <c r="J3314" s="6">
        <v>2021.0</v>
      </c>
      <c r="L3314" s="6">
        <v>1.0</v>
      </c>
      <c r="M3314" s="8">
        <f t="shared" si="3"/>
        <v>0.05</v>
      </c>
      <c r="P3314" s="9"/>
    </row>
    <row r="3315">
      <c r="A3315" s="6" t="s">
        <v>7224</v>
      </c>
      <c r="B3315" s="6" t="s">
        <v>62</v>
      </c>
      <c r="C3315" s="6" t="s">
        <v>23</v>
      </c>
      <c r="D3315" s="6" t="s">
        <v>7225</v>
      </c>
      <c r="E3315" s="6" t="s">
        <v>223</v>
      </c>
      <c r="F3315" s="6" t="s">
        <v>159</v>
      </c>
      <c r="G3315" s="7">
        <v>0.04</v>
      </c>
      <c r="H3315" s="6" t="s">
        <v>621</v>
      </c>
      <c r="I3315" s="6" t="s">
        <v>20</v>
      </c>
      <c r="J3315" s="6">
        <v>2015.0</v>
      </c>
      <c r="L3315" s="6">
        <v>2.0</v>
      </c>
      <c r="M3315" s="8">
        <f t="shared" si="3"/>
        <v>0.08</v>
      </c>
      <c r="P3315" s="9"/>
    </row>
    <row r="3316">
      <c r="A3316" s="6" t="s">
        <v>7224</v>
      </c>
      <c r="B3316" s="6" t="s">
        <v>62</v>
      </c>
      <c r="C3316" s="6" t="s">
        <v>23</v>
      </c>
      <c r="D3316" s="6" t="s">
        <v>7225</v>
      </c>
      <c r="E3316" s="6" t="s">
        <v>223</v>
      </c>
      <c r="F3316" s="6" t="s">
        <v>159</v>
      </c>
      <c r="G3316" s="7">
        <v>0.13</v>
      </c>
      <c r="H3316" s="6" t="s">
        <v>875</v>
      </c>
      <c r="I3316" s="6" t="s">
        <v>20</v>
      </c>
      <c r="J3316" s="6">
        <v>2018.0</v>
      </c>
      <c r="L3316" s="6">
        <v>1.0</v>
      </c>
      <c r="M3316" s="8">
        <f t="shared" si="3"/>
        <v>0.13</v>
      </c>
      <c r="P3316" s="9"/>
    </row>
    <row r="3317">
      <c r="A3317" s="6" t="s">
        <v>7224</v>
      </c>
      <c r="B3317" s="6" t="s">
        <v>62</v>
      </c>
      <c r="C3317" s="6" t="s">
        <v>23</v>
      </c>
      <c r="D3317" s="6" t="s">
        <v>7225</v>
      </c>
      <c r="E3317" s="6" t="s">
        <v>223</v>
      </c>
      <c r="F3317" s="6" t="s">
        <v>159</v>
      </c>
      <c r="G3317" s="7">
        <v>0.03</v>
      </c>
      <c r="H3317" s="6" t="s">
        <v>526</v>
      </c>
      <c r="I3317" s="6" t="s">
        <v>20</v>
      </c>
      <c r="J3317" s="6">
        <v>2020.0</v>
      </c>
      <c r="L3317" s="6">
        <v>2.0</v>
      </c>
      <c r="M3317" s="8">
        <f t="shared" si="3"/>
        <v>0.06</v>
      </c>
      <c r="P3317" s="9"/>
    </row>
    <row r="3318">
      <c r="A3318" s="6" t="s">
        <v>7226</v>
      </c>
      <c r="B3318" s="6" t="s">
        <v>1594</v>
      </c>
      <c r="C3318" s="6" t="s">
        <v>23</v>
      </c>
      <c r="D3318" s="6" t="s">
        <v>7227</v>
      </c>
      <c r="E3318" s="6" t="s">
        <v>64</v>
      </c>
      <c r="F3318" s="6" t="s">
        <v>65</v>
      </c>
      <c r="G3318" s="7">
        <v>0.1</v>
      </c>
      <c r="H3318" s="6" t="s">
        <v>769</v>
      </c>
      <c r="I3318" s="6" t="s">
        <v>20</v>
      </c>
      <c r="J3318" s="6">
        <v>2023.0</v>
      </c>
      <c r="K3318" s="10">
        <v>46056.0</v>
      </c>
      <c r="L3318" s="6">
        <v>1.0</v>
      </c>
      <c r="M3318" s="8">
        <f t="shared" si="3"/>
        <v>0.1</v>
      </c>
      <c r="P3318" s="9"/>
    </row>
    <row r="3319">
      <c r="A3319" s="6" t="s">
        <v>7228</v>
      </c>
      <c r="B3319" s="6" t="s">
        <v>413</v>
      </c>
      <c r="C3319" s="6" t="s">
        <v>287</v>
      </c>
      <c r="D3319" s="6" t="s">
        <v>7229</v>
      </c>
      <c r="E3319" s="6" t="s">
        <v>7230</v>
      </c>
      <c r="F3319" s="6" t="s">
        <v>51</v>
      </c>
      <c r="G3319" s="7">
        <v>0.09</v>
      </c>
      <c r="H3319" s="6" t="s">
        <v>119</v>
      </c>
      <c r="I3319" s="6" t="s">
        <v>20</v>
      </c>
      <c r="J3319" s="6">
        <v>1995.0</v>
      </c>
      <c r="L3319" s="6">
        <v>2.0</v>
      </c>
      <c r="M3319" s="8">
        <f t="shared" si="3"/>
        <v>0.18</v>
      </c>
      <c r="P3319" s="9"/>
    </row>
    <row r="3320">
      <c r="A3320" s="6" t="s">
        <v>7228</v>
      </c>
      <c r="B3320" s="6" t="s">
        <v>413</v>
      </c>
      <c r="C3320" s="6" t="s">
        <v>287</v>
      </c>
      <c r="D3320" s="6" t="s">
        <v>7229</v>
      </c>
      <c r="E3320" s="6" t="s">
        <v>7230</v>
      </c>
      <c r="F3320" s="6" t="s">
        <v>51</v>
      </c>
      <c r="G3320" s="7">
        <v>0.13</v>
      </c>
      <c r="H3320" s="6" t="s">
        <v>120</v>
      </c>
      <c r="I3320" s="6" t="s">
        <v>20</v>
      </c>
      <c r="J3320" s="6">
        <v>1995.0</v>
      </c>
      <c r="L3320" s="6">
        <v>1.0</v>
      </c>
      <c r="M3320" s="8">
        <f t="shared" si="3"/>
        <v>0.13</v>
      </c>
      <c r="P3320" s="9"/>
    </row>
    <row r="3321">
      <c r="A3321" s="6" t="s">
        <v>7231</v>
      </c>
      <c r="B3321" s="6" t="s">
        <v>6378</v>
      </c>
      <c r="C3321" s="6" t="s">
        <v>41</v>
      </c>
      <c r="D3321" s="6" t="s">
        <v>7232</v>
      </c>
      <c r="E3321" s="6" t="s">
        <v>890</v>
      </c>
      <c r="F3321" s="6" t="s">
        <v>37</v>
      </c>
      <c r="G3321" s="7">
        <v>0.38</v>
      </c>
      <c r="H3321" s="6" t="s">
        <v>276</v>
      </c>
      <c r="I3321" s="6" t="s">
        <v>20</v>
      </c>
      <c r="J3321" s="6">
        <v>2014.0</v>
      </c>
      <c r="L3321" s="6">
        <v>1.0</v>
      </c>
      <c r="M3321" s="8">
        <f t="shared" si="3"/>
        <v>0.38</v>
      </c>
      <c r="P3321" s="9"/>
    </row>
    <row r="3322">
      <c r="A3322" s="6" t="s">
        <v>7233</v>
      </c>
      <c r="B3322" s="6" t="s">
        <v>165</v>
      </c>
      <c r="C3322" s="6" t="s">
        <v>15</v>
      </c>
      <c r="D3322" s="6" t="s">
        <v>7234</v>
      </c>
      <c r="E3322" s="6" t="s">
        <v>2621</v>
      </c>
      <c r="F3322" s="6" t="s">
        <v>103</v>
      </c>
      <c r="G3322" s="7">
        <v>0.2</v>
      </c>
      <c r="H3322" s="6" t="s">
        <v>209</v>
      </c>
      <c r="I3322" s="6" t="s">
        <v>20</v>
      </c>
      <c r="J3322" s="6">
        <v>2025.0</v>
      </c>
      <c r="L3322" s="6">
        <v>1.0</v>
      </c>
      <c r="M3322" s="8">
        <f t="shared" si="3"/>
        <v>0.2</v>
      </c>
      <c r="P3322" s="9"/>
    </row>
    <row r="3323">
      <c r="A3323" s="6" t="s">
        <v>7235</v>
      </c>
      <c r="B3323" s="6" t="s">
        <v>5981</v>
      </c>
      <c r="C3323" s="6" t="s">
        <v>48</v>
      </c>
      <c r="D3323" s="6" t="s">
        <v>7236</v>
      </c>
      <c r="E3323" s="6" t="s">
        <v>2709</v>
      </c>
      <c r="F3323" s="6" t="s">
        <v>215</v>
      </c>
      <c r="G3323" s="7">
        <v>3.0</v>
      </c>
      <c r="H3323" s="6" t="s">
        <v>104</v>
      </c>
      <c r="I3323" s="6" t="s">
        <v>20</v>
      </c>
      <c r="J3323" s="6">
        <v>2018.0</v>
      </c>
      <c r="K3323" s="10">
        <v>46083.0</v>
      </c>
      <c r="L3323" s="6">
        <v>1.0</v>
      </c>
      <c r="M3323" s="8">
        <f t="shared" si="3"/>
        <v>3</v>
      </c>
      <c r="N3323" s="6" t="s">
        <v>172</v>
      </c>
      <c r="P3323" s="9"/>
    </row>
    <row r="3324">
      <c r="A3324" s="6" t="s">
        <v>7237</v>
      </c>
      <c r="B3324" s="6" t="s">
        <v>1420</v>
      </c>
      <c r="C3324" s="6" t="s">
        <v>23</v>
      </c>
      <c r="D3324" s="6" t="s">
        <v>7238</v>
      </c>
      <c r="E3324" s="6" t="s">
        <v>223</v>
      </c>
      <c r="F3324" s="6" t="s">
        <v>159</v>
      </c>
      <c r="G3324" s="7">
        <v>0.2</v>
      </c>
      <c r="H3324" s="6" t="s">
        <v>163</v>
      </c>
      <c r="I3324" s="6" t="s">
        <v>20</v>
      </c>
      <c r="J3324" s="6">
        <v>2023.0</v>
      </c>
      <c r="K3324" s="10">
        <v>46023.0</v>
      </c>
      <c r="L3324" s="6">
        <v>1.0</v>
      </c>
      <c r="M3324" s="8">
        <f t="shared" si="3"/>
        <v>0.2</v>
      </c>
      <c r="P3324" s="9"/>
    </row>
    <row r="3325">
      <c r="A3325" s="6" t="s">
        <v>7239</v>
      </c>
      <c r="B3325" s="6" t="s">
        <v>7240</v>
      </c>
      <c r="C3325" s="6" t="s">
        <v>34</v>
      </c>
      <c r="D3325" s="6" t="s">
        <v>7241</v>
      </c>
      <c r="E3325" s="6" t="s">
        <v>5211</v>
      </c>
      <c r="F3325" s="6" t="s">
        <v>18</v>
      </c>
      <c r="G3325" s="7">
        <v>0.03</v>
      </c>
      <c r="H3325" s="6" t="s">
        <v>483</v>
      </c>
      <c r="I3325" s="6" t="s">
        <v>20</v>
      </c>
      <c r="J3325" s="6">
        <v>2014.0</v>
      </c>
      <c r="K3325" s="10">
        <v>46147.0</v>
      </c>
      <c r="L3325" s="6">
        <v>2.0</v>
      </c>
      <c r="M3325" s="8">
        <f t="shared" si="3"/>
        <v>0.06</v>
      </c>
      <c r="P3325" s="9"/>
    </row>
    <row r="3326">
      <c r="A3326" s="6" t="s">
        <v>7242</v>
      </c>
      <c r="B3326" s="6" t="s">
        <v>2159</v>
      </c>
      <c r="C3326" s="6" t="s">
        <v>41</v>
      </c>
      <c r="D3326" s="6" t="s">
        <v>7243</v>
      </c>
      <c r="E3326" s="6" t="s">
        <v>112</v>
      </c>
      <c r="F3326" s="6" t="s">
        <v>65</v>
      </c>
      <c r="G3326" s="7">
        <v>0.21</v>
      </c>
      <c r="H3326" s="6" t="s">
        <v>845</v>
      </c>
      <c r="I3326" s="6" t="s">
        <v>20</v>
      </c>
      <c r="J3326" s="6">
        <v>2022.0</v>
      </c>
      <c r="L3326" s="6">
        <v>1.0</v>
      </c>
      <c r="M3326" s="8">
        <f t="shared" si="3"/>
        <v>0.21</v>
      </c>
      <c r="P3326" s="9"/>
    </row>
    <row r="3327">
      <c r="A3327" s="6" t="s">
        <v>7244</v>
      </c>
      <c r="B3327" s="6" t="s">
        <v>7245</v>
      </c>
      <c r="C3327" s="6" t="s">
        <v>48</v>
      </c>
      <c r="D3327" s="6" t="s">
        <v>7246</v>
      </c>
      <c r="E3327" s="6" t="s">
        <v>50</v>
      </c>
      <c r="F3327" s="6" t="s">
        <v>51</v>
      </c>
      <c r="G3327" s="7">
        <v>0.04</v>
      </c>
      <c r="H3327" s="6" t="s">
        <v>1050</v>
      </c>
      <c r="I3327" s="6" t="s">
        <v>20</v>
      </c>
      <c r="J3327" s="6">
        <v>2023.0</v>
      </c>
      <c r="K3327" s="10">
        <v>46083.0</v>
      </c>
      <c r="L3327" s="6">
        <v>1.0</v>
      </c>
      <c r="M3327" s="8">
        <f t="shared" si="3"/>
        <v>0.04</v>
      </c>
      <c r="P3327" s="9"/>
    </row>
    <row r="3328">
      <c r="A3328" s="6" t="s">
        <v>7247</v>
      </c>
      <c r="B3328" s="6" t="s">
        <v>796</v>
      </c>
      <c r="C3328" s="6" t="s">
        <v>34</v>
      </c>
      <c r="D3328" s="6" t="s">
        <v>7248</v>
      </c>
      <c r="E3328" s="6" t="s">
        <v>1307</v>
      </c>
      <c r="F3328" s="6" t="s">
        <v>65</v>
      </c>
      <c r="G3328" s="7">
        <v>0.15</v>
      </c>
      <c r="H3328" s="6" t="s">
        <v>19</v>
      </c>
      <c r="I3328" s="6" t="s">
        <v>20</v>
      </c>
      <c r="J3328" s="6">
        <v>2023.0</v>
      </c>
      <c r="L3328" s="6">
        <v>1.0</v>
      </c>
      <c r="M3328" s="8">
        <f t="shared" si="3"/>
        <v>0.15</v>
      </c>
      <c r="P3328" s="9"/>
    </row>
    <row r="3329">
      <c r="A3329" s="6" t="s">
        <v>7249</v>
      </c>
      <c r="B3329" s="6" t="s">
        <v>291</v>
      </c>
      <c r="C3329" s="6" t="s">
        <v>48</v>
      </c>
      <c r="D3329" s="6" t="s">
        <v>7250</v>
      </c>
      <c r="E3329" s="6" t="s">
        <v>25</v>
      </c>
      <c r="F3329" s="6" t="s">
        <v>18</v>
      </c>
      <c r="G3329" s="7">
        <v>0.17</v>
      </c>
      <c r="H3329" s="6" t="s">
        <v>163</v>
      </c>
      <c r="I3329" s="6" t="s">
        <v>20</v>
      </c>
      <c r="J3329" s="6">
        <v>2023.0</v>
      </c>
      <c r="K3329" s="10">
        <v>46055.0</v>
      </c>
      <c r="L3329" s="6">
        <v>1.0</v>
      </c>
      <c r="M3329" s="8">
        <f t="shared" si="3"/>
        <v>0.17</v>
      </c>
      <c r="P3329" s="9"/>
    </row>
    <row r="3330">
      <c r="A3330" s="6" t="s">
        <v>7251</v>
      </c>
      <c r="B3330" s="6" t="s">
        <v>424</v>
      </c>
      <c r="C3330" s="6" t="s">
        <v>23</v>
      </c>
      <c r="D3330" s="6" t="s">
        <v>7252</v>
      </c>
      <c r="F3330" s="6" t="s">
        <v>37</v>
      </c>
      <c r="G3330" s="7">
        <v>0.09</v>
      </c>
      <c r="H3330" s="6" t="s">
        <v>181</v>
      </c>
      <c r="I3330" s="6" t="s">
        <v>20</v>
      </c>
      <c r="J3330" s="6">
        <v>2019.0</v>
      </c>
      <c r="L3330" s="6">
        <v>3.0</v>
      </c>
      <c r="M3330" s="8">
        <f t="shared" si="3"/>
        <v>0.27</v>
      </c>
      <c r="P3330" s="9"/>
    </row>
    <row r="3331">
      <c r="A3331" s="6" t="s">
        <v>7253</v>
      </c>
      <c r="B3331" s="6" t="s">
        <v>424</v>
      </c>
      <c r="C3331" s="6" t="s">
        <v>23</v>
      </c>
      <c r="D3331" s="6" t="s">
        <v>7252</v>
      </c>
      <c r="F3331" s="6" t="s">
        <v>37</v>
      </c>
      <c r="G3331" s="7">
        <v>0.1</v>
      </c>
      <c r="H3331" s="6" t="s">
        <v>181</v>
      </c>
      <c r="I3331" s="6" t="s">
        <v>20</v>
      </c>
      <c r="J3331" s="6">
        <v>2019.0</v>
      </c>
      <c r="L3331" s="6">
        <v>2.0</v>
      </c>
      <c r="M3331" s="8">
        <f t="shared" si="3"/>
        <v>0.2</v>
      </c>
      <c r="P3331" s="9"/>
    </row>
    <row r="3332">
      <c r="A3332" s="6" t="s">
        <v>7253</v>
      </c>
      <c r="B3332" s="6" t="s">
        <v>424</v>
      </c>
      <c r="C3332" s="6" t="s">
        <v>23</v>
      </c>
      <c r="D3332" s="6" t="s">
        <v>7252</v>
      </c>
      <c r="F3332" s="6" t="s">
        <v>37</v>
      </c>
      <c r="G3332" s="7">
        <v>0.15</v>
      </c>
      <c r="H3332" s="6" t="s">
        <v>181</v>
      </c>
      <c r="I3332" s="6" t="s">
        <v>20</v>
      </c>
      <c r="J3332" s="6">
        <v>2019.0</v>
      </c>
      <c r="L3332" s="6">
        <v>2.0</v>
      </c>
      <c r="M3332" s="8">
        <f t="shared" si="3"/>
        <v>0.3</v>
      </c>
      <c r="P3332" s="9"/>
    </row>
    <row r="3333">
      <c r="A3333" s="6" t="s">
        <v>7254</v>
      </c>
      <c r="B3333" s="6" t="s">
        <v>182</v>
      </c>
      <c r="C3333" s="6" t="s">
        <v>23</v>
      </c>
      <c r="D3333" s="6" t="s">
        <v>7255</v>
      </c>
      <c r="E3333" s="6" t="s">
        <v>533</v>
      </c>
      <c r="F3333" s="6" t="s">
        <v>65</v>
      </c>
      <c r="G3333" s="7">
        <v>0.03</v>
      </c>
      <c r="H3333" s="6" t="s">
        <v>526</v>
      </c>
      <c r="I3333" s="6" t="s">
        <v>20</v>
      </c>
      <c r="J3333" s="6">
        <v>2020.0</v>
      </c>
      <c r="L3333" s="6">
        <v>1.0</v>
      </c>
      <c r="M3333" s="8">
        <f t="shared" si="3"/>
        <v>0.03</v>
      </c>
      <c r="P3333" s="9"/>
    </row>
    <row r="3334">
      <c r="A3334" s="6" t="s">
        <v>7254</v>
      </c>
      <c r="B3334" s="6" t="s">
        <v>182</v>
      </c>
      <c r="C3334" s="6" t="s">
        <v>23</v>
      </c>
      <c r="D3334" s="6" t="s">
        <v>7255</v>
      </c>
      <c r="E3334" s="6" t="s">
        <v>533</v>
      </c>
      <c r="F3334" s="6" t="s">
        <v>65</v>
      </c>
      <c r="G3334" s="7">
        <v>0.04</v>
      </c>
      <c r="H3334" s="6" t="s">
        <v>526</v>
      </c>
      <c r="I3334" s="6" t="s">
        <v>20</v>
      </c>
      <c r="J3334" s="6">
        <v>2020.0</v>
      </c>
      <c r="L3334" s="6">
        <v>1.0</v>
      </c>
      <c r="M3334" s="8">
        <f t="shared" si="3"/>
        <v>0.04</v>
      </c>
      <c r="P3334" s="9"/>
    </row>
    <row r="3335">
      <c r="A3335" s="6" t="s">
        <v>7256</v>
      </c>
      <c r="B3335" s="6" t="s">
        <v>6517</v>
      </c>
      <c r="C3335" s="6" t="s">
        <v>23</v>
      </c>
      <c r="D3335" s="6" t="s">
        <v>7257</v>
      </c>
      <c r="E3335" s="6" t="s">
        <v>175</v>
      </c>
      <c r="F3335" s="6" t="s">
        <v>51</v>
      </c>
      <c r="G3335" s="7">
        <v>0.05</v>
      </c>
      <c r="H3335" s="6" t="s">
        <v>645</v>
      </c>
      <c r="I3335" s="6" t="s">
        <v>20</v>
      </c>
      <c r="J3335" s="6">
        <v>2024.0</v>
      </c>
      <c r="K3335" s="10">
        <v>46023.0</v>
      </c>
      <c r="L3335" s="6">
        <v>1.0</v>
      </c>
      <c r="M3335" s="8">
        <f t="shared" si="3"/>
        <v>0.05</v>
      </c>
      <c r="P3335" s="9"/>
    </row>
    <row r="3336">
      <c r="A3336" s="6" t="s">
        <v>7258</v>
      </c>
      <c r="B3336" s="6" t="s">
        <v>7259</v>
      </c>
      <c r="C3336" s="6" t="s">
        <v>23</v>
      </c>
      <c r="D3336" s="6" t="s">
        <v>7260</v>
      </c>
      <c r="E3336" s="6" t="s">
        <v>270</v>
      </c>
      <c r="F3336" s="6" t="s">
        <v>159</v>
      </c>
      <c r="G3336" s="7">
        <v>0.05</v>
      </c>
      <c r="H3336" s="6" t="s">
        <v>324</v>
      </c>
      <c r="I3336" s="6" t="s">
        <v>20</v>
      </c>
      <c r="J3336" s="6">
        <v>2025.0</v>
      </c>
      <c r="K3336" s="10">
        <v>46083.0</v>
      </c>
      <c r="L3336" s="6">
        <v>1.0</v>
      </c>
      <c r="M3336" s="8">
        <f t="shared" si="3"/>
        <v>0.05</v>
      </c>
      <c r="P3336" s="9"/>
    </row>
    <row r="3337">
      <c r="A3337" s="6" t="s">
        <v>7261</v>
      </c>
      <c r="B3337" s="6" t="s">
        <v>6242</v>
      </c>
      <c r="C3337" s="6" t="s">
        <v>449</v>
      </c>
      <c r="D3337" s="6" t="s">
        <v>7262</v>
      </c>
      <c r="E3337" s="6" t="s">
        <v>235</v>
      </c>
      <c r="F3337" s="6" t="s">
        <v>103</v>
      </c>
      <c r="G3337" s="7">
        <v>0.3</v>
      </c>
      <c r="H3337" s="6" t="s">
        <v>2680</v>
      </c>
      <c r="I3337" s="6" t="s">
        <v>20</v>
      </c>
      <c r="J3337" s="6">
        <v>1998.0</v>
      </c>
      <c r="K3337" s="10">
        <v>46023.0</v>
      </c>
      <c r="L3337" s="6">
        <v>2.0</v>
      </c>
      <c r="M3337" s="8">
        <f t="shared" si="3"/>
        <v>0.6</v>
      </c>
      <c r="P3337" s="9"/>
    </row>
    <row r="3338">
      <c r="A3338" s="6" t="s">
        <v>7263</v>
      </c>
      <c r="B3338" s="6" t="s">
        <v>62</v>
      </c>
      <c r="C3338" s="6" t="s">
        <v>23</v>
      </c>
      <c r="D3338" s="6" t="s">
        <v>7264</v>
      </c>
      <c r="E3338" s="6" t="s">
        <v>223</v>
      </c>
      <c r="F3338" s="6" t="s">
        <v>159</v>
      </c>
      <c r="G3338" s="7">
        <v>0.03</v>
      </c>
      <c r="H3338" s="6" t="s">
        <v>555</v>
      </c>
      <c r="I3338" s="6" t="s">
        <v>20</v>
      </c>
      <c r="J3338" s="6">
        <v>2017.0</v>
      </c>
      <c r="L3338" s="6">
        <v>1.0</v>
      </c>
      <c r="M3338" s="8">
        <f t="shared" si="3"/>
        <v>0.03</v>
      </c>
      <c r="P3338" s="9"/>
    </row>
    <row r="3339">
      <c r="A3339" s="6" t="s">
        <v>7265</v>
      </c>
      <c r="B3339" s="6" t="s">
        <v>331</v>
      </c>
      <c r="C3339" s="6" t="s">
        <v>23</v>
      </c>
      <c r="D3339" s="6" t="s">
        <v>7266</v>
      </c>
      <c r="E3339" s="6" t="s">
        <v>270</v>
      </c>
      <c r="F3339" s="6" t="s">
        <v>159</v>
      </c>
      <c r="G3339" s="7">
        <v>0.03</v>
      </c>
      <c r="H3339" s="6" t="s">
        <v>562</v>
      </c>
      <c r="I3339" s="6" t="s">
        <v>20</v>
      </c>
      <c r="J3339" s="6">
        <v>2017.0</v>
      </c>
      <c r="K3339" s="10">
        <v>46056.0</v>
      </c>
      <c r="L3339" s="6">
        <v>3.0</v>
      </c>
      <c r="M3339" s="8">
        <f t="shared" si="3"/>
        <v>0.09</v>
      </c>
      <c r="P3339" s="9"/>
    </row>
    <row r="3340">
      <c r="A3340" s="6" t="s">
        <v>7267</v>
      </c>
      <c r="B3340" s="6" t="s">
        <v>250</v>
      </c>
      <c r="C3340" s="6" t="s">
        <v>48</v>
      </c>
      <c r="D3340" s="6" t="s">
        <v>7268</v>
      </c>
      <c r="E3340" s="6" t="s">
        <v>625</v>
      </c>
      <c r="F3340" s="6" t="s">
        <v>37</v>
      </c>
      <c r="G3340" s="7">
        <v>0.09</v>
      </c>
      <c r="H3340" s="6" t="s">
        <v>574</v>
      </c>
      <c r="I3340" s="6" t="s">
        <v>20</v>
      </c>
      <c r="J3340" s="6">
        <v>2000.0</v>
      </c>
      <c r="L3340" s="6">
        <v>1.0</v>
      </c>
      <c r="M3340" s="8">
        <f t="shared" si="3"/>
        <v>0.09</v>
      </c>
      <c r="P3340" s="9"/>
    </row>
    <row r="3341">
      <c r="A3341" s="6" t="s">
        <v>7269</v>
      </c>
      <c r="B3341" s="6" t="s">
        <v>7270</v>
      </c>
      <c r="C3341" s="6" t="s">
        <v>34</v>
      </c>
      <c r="D3341" s="6" t="s">
        <v>7271</v>
      </c>
      <c r="E3341" s="6" t="s">
        <v>618</v>
      </c>
      <c r="F3341" s="6" t="s">
        <v>159</v>
      </c>
      <c r="G3341" s="7">
        <v>0.13</v>
      </c>
      <c r="H3341" s="6" t="s">
        <v>38</v>
      </c>
      <c r="I3341" s="6" t="s">
        <v>20</v>
      </c>
      <c r="J3341" s="6">
        <v>2026.0</v>
      </c>
      <c r="K3341" s="10">
        <v>46084.0</v>
      </c>
      <c r="L3341" s="6">
        <v>4.0</v>
      </c>
      <c r="M3341" s="8">
        <f t="shared" si="3"/>
        <v>0.52</v>
      </c>
      <c r="P3341" s="9"/>
    </row>
    <row r="3342">
      <c r="A3342" s="6" t="s">
        <v>7269</v>
      </c>
      <c r="B3342" s="6" t="s">
        <v>7270</v>
      </c>
      <c r="C3342" s="6" t="s">
        <v>34</v>
      </c>
      <c r="D3342" s="6" t="s">
        <v>7271</v>
      </c>
      <c r="E3342" s="6" t="s">
        <v>618</v>
      </c>
      <c r="F3342" s="6" t="s">
        <v>159</v>
      </c>
      <c r="G3342" s="7">
        <v>0.84</v>
      </c>
      <c r="H3342" s="6" t="s">
        <v>38</v>
      </c>
      <c r="I3342" s="6" t="s">
        <v>20</v>
      </c>
      <c r="J3342" s="6">
        <v>2026.0</v>
      </c>
      <c r="K3342" s="10">
        <v>46084.0</v>
      </c>
      <c r="L3342" s="6">
        <v>1.0</v>
      </c>
      <c r="M3342" s="8">
        <f t="shared" si="3"/>
        <v>0.84</v>
      </c>
      <c r="P3342" s="9"/>
    </row>
    <row r="3343">
      <c r="A3343" s="6" t="s">
        <v>7269</v>
      </c>
      <c r="B3343" s="6" t="s">
        <v>7270</v>
      </c>
      <c r="C3343" s="6" t="s">
        <v>34</v>
      </c>
      <c r="D3343" s="6" t="s">
        <v>7271</v>
      </c>
      <c r="E3343" s="6" t="s">
        <v>618</v>
      </c>
      <c r="F3343" s="6" t="s">
        <v>159</v>
      </c>
      <c r="G3343" s="7">
        <v>0.13</v>
      </c>
      <c r="H3343" s="6" t="s">
        <v>38</v>
      </c>
      <c r="I3343" s="6" t="s">
        <v>20</v>
      </c>
      <c r="J3343" s="6">
        <v>2026.0</v>
      </c>
      <c r="K3343" s="10">
        <v>46084.0</v>
      </c>
      <c r="L3343" s="6">
        <v>2.0</v>
      </c>
      <c r="M3343" s="8">
        <f t="shared" si="3"/>
        <v>0.26</v>
      </c>
      <c r="P3343" s="9"/>
    </row>
    <row r="3344">
      <c r="A3344" s="6" t="s">
        <v>7269</v>
      </c>
      <c r="B3344" s="6" t="s">
        <v>7270</v>
      </c>
      <c r="C3344" s="6" t="s">
        <v>34</v>
      </c>
      <c r="D3344" s="6" t="s">
        <v>7271</v>
      </c>
      <c r="E3344" s="6" t="s">
        <v>618</v>
      </c>
      <c r="F3344" s="6" t="s">
        <v>159</v>
      </c>
      <c r="G3344" s="7">
        <v>0.34</v>
      </c>
      <c r="H3344" s="6" t="s">
        <v>38</v>
      </c>
      <c r="I3344" s="6" t="s">
        <v>55</v>
      </c>
      <c r="J3344" s="6">
        <v>2026.0</v>
      </c>
      <c r="K3344" s="10">
        <v>46084.0</v>
      </c>
      <c r="L3344" s="6">
        <v>1.0</v>
      </c>
      <c r="M3344" s="8">
        <f t="shared" si="3"/>
        <v>0.34</v>
      </c>
      <c r="P3344" s="9"/>
    </row>
    <row r="3345">
      <c r="A3345" s="6" t="s">
        <v>7272</v>
      </c>
      <c r="B3345" s="6" t="s">
        <v>62</v>
      </c>
      <c r="C3345" s="6" t="s">
        <v>23</v>
      </c>
      <c r="D3345" s="6" t="s">
        <v>7273</v>
      </c>
      <c r="E3345" s="6" t="s">
        <v>196</v>
      </c>
      <c r="F3345" s="6" t="s">
        <v>65</v>
      </c>
      <c r="G3345" s="7">
        <v>0.03</v>
      </c>
      <c r="H3345" s="6" t="s">
        <v>299</v>
      </c>
      <c r="I3345" s="6" t="s">
        <v>20</v>
      </c>
      <c r="J3345" s="6">
        <v>2017.0</v>
      </c>
      <c r="L3345" s="6">
        <v>1.0</v>
      </c>
      <c r="M3345" s="8">
        <f t="shared" si="3"/>
        <v>0.03</v>
      </c>
      <c r="P3345" s="9"/>
    </row>
    <row r="3346">
      <c r="A3346" s="6" t="s">
        <v>7274</v>
      </c>
      <c r="B3346" s="6" t="s">
        <v>202</v>
      </c>
      <c r="C3346" s="6" t="s">
        <v>41</v>
      </c>
      <c r="D3346" s="6" t="s">
        <v>7275</v>
      </c>
      <c r="E3346" s="6" t="s">
        <v>30</v>
      </c>
      <c r="F3346" s="6" t="s">
        <v>18</v>
      </c>
      <c r="G3346" s="7">
        <v>0.35</v>
      </c>
      <c r="H3346" s="6" t="s">
        <v>200</v>
      </c>
      <c r="I3346" s="6" t="s">
        <v>20</v>
      </c>
      <c r="J3346" s="6">
        <v>2018.0</v>
      </c>
      <c r="L3346" s="6">
        <v>1.0</v>
      </c>
      <c r="M3346" s="8">
        <f t="shared" si="3"/>
        <v>0.35</v>
      </c>
      <c r="P3346" s="9"/>
    </row>
    <row r="3347">
      <c r="A3347" s="6" t="s">
        <v>7276</v>
      </c>
      <c r="B3347" s="6" t="s">
        <v>7277</v>
      </c>
      <c r="C3347" s="6" t="s">
        <v>41</v>
      </c>
      <c r="D3347" s="6" t="s">
        <v>7278</v>
      </c>
      <c r="E3347" s="6" t="s">
        <v>890</v>
      </c>
      <c r="F3347" s="6" t="s">
        <v>37</v>
      </c>
      <c r="G3347" s="7">
        <v>0.5</v>
      </c>
      <c r="H3347" s="6" t="s">
        <v>7279</v>
      </c>
      <c r="I3347" s="6" t="s">
        <v>20</v>
      </c>
      <c r="J3347" s="6">
        <v>2014.0</v>
      </c>
      <c r="L3347" s="6">
        <v>1.0</v>
      </c>
      <c r="M3347" s="8">
        <f t="shared" si="3"/>
        <v>0.5</v>
      </c>
      <c r="P3347" s="9"/>
    </row>
    <row r="3348">
      <c r="A3348" s="6" t="s">
        <v>7280</v>
      </c>
      <c r="B3348" s="6" t="s">
        <v>62</v>
      </c>
      <c r="C3348" s="6" t="s">
        <v>23</v>
      </c>
      <c r="D3348" s="6" t="s">
        <v>7281</v>
      </c>
      <c r="E3348" s="6" t="s">
        <v>270</v>
      </c>
      <c r="F3348" s="6" t="s">
        <v>159</v>
      </c>
      <c r="G3348" s="7">
        <v>0.08</v>
      </c>
      <c r="H3348" s="6" t="s">
        <v>88</v>
      </c>
      <c r="I3348" s="6" t="s">
        <v>20</v>
      </c>
      <c r="J3348" s="6">
        <v>2013.0</v>
      </c>
      <c r="L3348" s="6">
        <v>1.0</v>
      </c>
      <c r="M3348" s="8">
        <f t="shared" si="3"/>
        <v>0.08</v>
      </c>
      <c r="P3348" s="9"/>
    </row>
    <row r="3349">
      <c r="A3349" s="6" t="s">
        <v>7280</v>
      </c>
      <c r="B3349" s="6" t="s">
        <v>62</v>
      </c>
      <c r="C3349" s="6" t="s">
        <v>23</v>
      </c>
      <c r="D3349" s="6" t="s">
        <v>7281</v>
      </c>
      <c r="E3349" s="6" t="s">
        <v>270</v>
      </c>
      <c r="F3349" s="6" t="s">
        <v>159</v>
      </c>
      <c r="G3349" s="7">
        <v>0.08</v>
      </c>
      <c r="H3349" s="6" t="s">
        <v>88</v>
      </c>
      <c r="I3349" s="6" t="s">
        <v>20</v>
      </c>
      <c r="J3349" s="6">
        <v>2013.0</v>
      </c>
      <c r="L3349" s="6">
        <v>1.0</v>
      </c>
      <c r="M3349" s="8">
        <f t="shared" si="3"/>
        <v>0.08</v>
      </c>
      <c r="P3349" s="9"/>
    </row>
    <row r="3350">
      <c r="A3350" s="6" t="s">
        <v>7282</v>
      </c>
      <c r="B3350" s="6" t="s">
        <v>3094</v>
      </c>
      <c r="C3350" s="6" t="s">
        <v>23</v>
      </c>
      <c r="D3350" s="6" t="s">
        <v>7283</v>
      </c>
      <c r="E3350" s="6" t="s">
        <v>223</v>
      </c>
      <c r="F3350" s="6" t="s">
        <v>159</v>
      </c>
      <c r="G3350" s="7">
        <v>0.86</v>
      </c>
      <c r="H3350" s="6" t="s">
        <v>154</v>
      </c>
      <c r="I3350" s="6" t="s">
        <v>20</v>
      </c>
      <c r="J3350" s="6">
        <v>2013.0</v>
      </c>
      <c r="K3350" s="10">
        <v>46023.0</v>
      </c>
      <c r="L3350" s="6">
        <v>2.0</v>
      </c>
      <c r="M3350" s="8">
        <f t="shared" si="3"/>
        <v>1.72</v>
      </c>
      <c r="P3350" s="9"/>
    </row>
    <row r="3351">
      <c r="A3351" s="6" t="s">
        <v>7284</v>
      </c>
      <c r="B3351" s="6" t="s">
        <v>7285</v>
      </c>
      <c r="C3351" s="6" t="s">
        <v>34</v>
      </c>
      <c r="D3351" s="6" t="s">
        <v>7286</v>
      </c>
      <c r="E3351" s="6" t="s">
        <v>7287</v>
      </c>
      <c r="F3351" s="6" t="s">
        <v>159</v>
      </c>
      <c r="G3351" s="7">
        <v>0.2</v>
      </c>
      <c r="H3351" s="6" t="s">
        <v>2326</v>
      </c>
      <c r="I3351" s="6" t="s">
        <v>20</v>
      </c>
      <c r="J3351" s="6">
        <v>2026.0</v>
      </c>
      <c r="K3351" s="10">
        <v>46146.0</v>
      </c>
      <c r="L3351" s="6">
        <v>3.0</v>
      </c>
      <c r="M3351" s="8">
        <f t="shared" si="3"/>
        <v>0.6</v>
      </c>
      <c r="P3351" s="9"/>
    </row>
    <row r="3352">
      <c r="A3352" s="6" t="s">
        <v>7288</v>
      </c>
      <c r="B3352" s="6" t="s">
        <v>2209</v>
      </c>
      <c r="C3352" s="6" t="s">
        <v>23</v>
      </c>
      <c r="D3352" s="6" t="s">
        <v>7289</v>
      </c>
      <c r="E3352" s="6" t="s">
        <v>220</v>
      </c>
      <c r="F3352" s="6" t="s">
        <v>18</v>
      </c>
      <c r="G3352" s="7">
        <v>0.05</v>
      </c>
      <c r="H3352" s="6" t="s">
        <v>1933</v>
      </c>
      <c r="I3352" s="6" t="s">
        <v>20</v>
      </c>
      <c r="J3352" s="6">
        <v>2020.0</v>
      </c>
      <c r="K3352" s="10">
        <v>46115.0</v>
      </c>
      <c r="L3352" s="6">
        <v>1.0</v>
      </c>
      <c r="M3352" s="8">
        <f t="shared" si="3"/>
        <v>0.05</v>
      </c>
      <c r="P3352" s="9"/>
    </row>
    <row r="3353">
      <c r="A3353" s="6" t="s">
        <v>7290</v>
      </c>
      <c r="B3353" s="6" t="s">
        <v>62</v>
      </c>
      <c r="C3353" s="6" t="s">
        <v>23</v>
      </c>
      <c r="D3353" s="6" t="s">
        <v>7291</v>
      </c>
      <c r="E3353" s="6" t="s">
        <v>118</v>
      </c>
      <c r="F3353" s="6" t="s">
        <v>51</v>
      </c>
      <c r="G3353" s="7">
        <v>0.04</v>
      </c>
      <c r="H3353" s="6" t="s">
        <v>316</v>
      </c>
      <c r="I3353" s="6" t="s">
        <v>20</v>
      </c>
      <c r="J3353" s="6">
        <v>2016.0</v>
      </c>
      <c r="L3353" s="6">
        <v>1.0</v>
      </c>
      <c r="M3353" s="8">
        <f t="shared" si="3"/>
        <v>0.04</v>
      </c>
      <c r="P3353" s="9"/>
    </row>
    <row r="3354">
      <c r="A3354" s="6" t="s">
        <v>7292</v>
      </c>
      <c r="B3354" s="6" t="s">
        <v>2881</v>
      </c>
      <c r="C3354" s="6" t="s">
        <v>23</v>
      </c>
      <c r="D3354" s="6" t="s">
        <v>7293</v>
      </c>
      <c r="E3354" s="6" t="s">
        <v>6321</v>
      </c>
      <c r="F3354" s="6" t="s">
        <v>98</v>
      </c>
      <c r="G3354" s="7">
        <v>0.25</v>
      </c>
      <c r="H3354" s="6" t="s">
        <v>45</v>
      </c>
      <c r="I3354" s="6" t="s">
        <v>55</v>
      </c>
      <c r="J3354" s="6">
        <v>2025.0</v>
      </c>
      <c r="K3354" s="10">
        <v>46024.0</v>
      </c>
      <c r="L3354" s="6">
        <v>1.0</v>
      </c>
      <c r="M3354" s="8">
        <f t="shared" si="3"/>
        <v>0.25</v>
      </c>
      <c r="P3354" s="9"/>
    </row>
    <row r="3355">
      <c r="A3355" s="6" t="s">
        <v>7294</v>
      </c>
      <c r="B3355" s="6" t="s">
        <v>2109</v>
      </c>
      <c r="C3355" s="6" t="s">
        <v>15</v>
      </c>
      <c r="D3355" s="6" t="s">
        <v>7295</v>
      </c>
      <c r="E3355" s="6" t="s">
        <v>231</v>
      </c>
      <c r="F3355" s="6" t="s">
        <v>159</v>
      </c>
      <c r="G3355" s="7">
        <v>0.15</v>
      </c>
      <c r="H3355" s="6" t="s">
        <v>209</v>
      </c>
      <c r="I3355" s="6" t="s">
        <v>20</v>
      </c>
      <c r="J3355" s="6">
        <v>2025.0</v>
      </c>
      <c r="K3355" s="10">
        <v>46055.0</v>
      </c>
      <c r="L3355" s="6">
        <v>1.0</v>
      </c>
      <c r="M3355" s="8">
        <f t="shared" si="3"/>
        <v>0.15</v>
      </c>
      <c r="P3355" s="9"/>
    </row>
    <row r="3356">
      <c r="A3356" s="6" t="s">
        <v>7296</v>
      </c>
      <c r="B3356" s="6" t="s">
        <v>850</v>
      </c>
      <c r="C3356" s="6" t="s">
        <v>34</v>
      </c>
      <c r="D3356" s="6" t="s">
        <v>7297</v>
      </c>
      <c r="E3356" s="6" t="s">
        <v>2621</v>
      </c>
      <c r="F3356" s="6" t="s">
        <v>103</v>
      </c>
      <c r="G3356" s="7">
        <v>0.75</v>
      </c>
      <c r="H3356" s="6" t="s">
        <v>209</v>
      </c>
      <c r="I3356" s="6" t="s">
        <v>20</v>
      </c>
      <c r="J3356" s="6">
        <v>2025.0</v>
      </c>
      <c r="L3356" s="6">
        <v>11.0</v>
      </c>
      <c r="M3356" s="8">
        <f t="shared" si="3"/>
        <v>8.25</v>
      </c>
      <c r="P3356" s="9"/>
    </row>
    <row r="3357">
      <c r="A3357" s="6" t="s">
        <v>7298</v>
      </c>
      <c r="B3357" s="6" t="s">
        <v>683</v>
      </c>
      <c r="C3357" s="6" t="s">
        <v>15</v>
      </c>
      <c r="D3357" s="6" t="s">
        <v>7299</v>
      </c>
      <c r="E3357" s="6" t="s">
        <v>7300</v>
      </c>
      <c r="F3357" s="6" t="s">
        <v>3467</v>
      </c>
      <c r="G3357" s="7">
        <v>2.99</v>
      </c>
      <c r="H3357" s="6" t="s">
        <v>209</v>
      </c>
      <c r="I3357" s="6" t="s">
        <v>55</v>
      </c>
      <c r="J3357" s="6">
        <v>2025.0</v>
      </c>
      <c r="K3357" s="10">
        <v>46055.0</v>
      </c>
      <c r="L3357" s="6">
        <v>1.0</v>
      </c>
      <c r="M3357" s="8">
        <f t="shared" si="3"/>
        <v>2.99</v>
      </c>
      <c r="P3357" s="9"/>
    </row>
    <row r="3358">
      <c r="A3358" s="6" t="s">
        <v>7301</v>
      </c>
      <c r="B3358" s="6" t="s">
        <v>182</v>
      </c>
      <c r="C3358" s="6" t="s">
        <v>23</v>
      </c>
      <c r="D3358" s="6" t="s">
        <v>7302</v>
      </c>
      <c r="E3358" s="6" t="s">
        <v>238</v>
      </c>
      <c r="F3358" s="6" t="s">
        <v>159</v>
      </c>
      <c r="G3358" s="7">
        <v>0.05</v>
      </c>
      <c r="H3358" s="6" t="s">
        <v>430</v>
      </c>
      <c r="I3358" s="6" t="s">
        <v>20</v>
      </c>
      <c r="J3358" s="6">
        <v>2018.0</v>
      </c>
      <c r="L3358" s="6">
        <v>1.0</v>
      </c>
      <c r="M3358" s="8">
        <f t="shared" si="3"/>
        <v>0.05</v>
      </c>
      <c r="P3358" s="9"/>
    </row>
    <row r="3359">
      <c r="A3359" s="6" t="s">
        <v>7301</v>
      </c>
      <c r="B3359" s="6" t="s">
        <v>182</v>
      </c>
      <c r="C3359" s="6" t="s">
        <v>23</v>
      </c>
      <c r="D3359" s="6" t="s">
        <v>7302</v>
      </c>
      <c r="E3359" s="6" t="s">
        <v>238</v>
      </c>
      <c r="F3359" s="6" t="s">
        <v>159</v>
      </c>
      <c r="G3359" s="7">
        <v>0.05</v>
      </c>
      <c r="H3359" s="6" t="s">
        <v>430</v>
      </c>
      <c r="I3359" s="6" t="s">
        <v>20</v>
      </c>
      <c r="J3359" s="6">
        <v>2018.0</v>
      </c>
      <c r="L3359" s="6">
        <v>2.0</v>
      </c>
      <c r="M3359" s="8">
        <f t="shared" si="3"/>
        <v>0.1</v>
      </c>
      <c r="P3359" s="9"/>
    </row>
    <row r="3360">
      <c r="A3360" s="6" t="s">
        <v>7303</v>
      </c>
      <c r="B3360" s="6" t="s">
        <v>53</v>
      </c>
      <c r="C3360" s="6" t="s">
        <v>48</v>
      </c>
      <c r="D3360" s="6" t="s">
        <v>7304</v>
      </c>
      <c r="E3360" s="6" t="s">
        <v>112</v>
      </c>
      <c r="F3360" s="6" t="s">
        <v>65</v>
      </c>
      <c r="G3360" s="7">
        <v>0.25</v>
      </c>
      <c r="H3360" s="6" t="s">
        <v>45</v>
      </c>
      <c r="I3360" s="6" t="s">
        <v>20</v>
      </c>
      <c r="J3360" s="6">
        <v>2025.0</v>
      </c>
      <c r="L3360" s="6">
        <v>1.0</v>
      </c>
      <c r="M3360" s="8">
        <f t="shared" si="3"/>
        <v>0.25</v>
      </c>
      <c r="P3360" s="9"/>
    </row>
    <row r="3361">
      <c r="A3361" s="6" t="s">
        <v>7303</v>
      </c>
      <c r="B3361" s="6" t="s">
        <v>53</v>
      </c>
      <c r="C3361" s="6" t="s">
        <v>48</v>
      </c>
      <c r="D3361" s="6" t="s">
        <v>7304</v>
      </c>
      <c r="E3361" s="6" t="s">
        <v>112</v>
      </c>
      <c r="F3361" s="6" t="s">
        <v>65</v>
      </c>
      <c r="G3361" s="7">
        <v>2.97</v>
      </c>
      <c r="H3361" s="6" t="s">
        <v>45</v>
      </c>
      <c r="I3361" s="6" t="s">
        <v>55</v>
      </c>
      <c r="J3361" s="6">
        <v>2025.0</v>
      </c>
      <c r="L3361" s="6">
        <v>1.0</v>
      </c>
      <c r="M3361" s="8">
        <f t="shared" si="3"/>
        <v>2.97</v>
      </c>
      <c r="P3361" s="9"/>
    </row>
    <row r="3362">
      <c r="A3362" s="6" t="s">
        <v>7305</v>
      </c>
      <c r="B3362" s="6" t="s">
        <v>1298</v>
      </c>
      <c r="C3362" s="6" t="s">
        <v>23</v>
      </c>
      <c r="D3362" s="6" t="s">
        <v>7306</v>
      </c>
      <c r="E3362" s="6" t="s">
        <v>502</v>
      </c>
      <c r="F3362" s="6" t="s">
        <v>65</v>
      </c>
      <c r="G3362" s="7">
        <v>0.05</v>
      </c>
      <c r="H3362" s="6" t="s">
        <v>184</v>
      </c>
      <c r="I3362" s="6" t="s">
        <v>20</v>
      </c>
      <c r="J3362" s="6">
        <v>2015.0</v>
      </c>
      <c r="K3362" s="10">
        <v>46084.0</v>
      </c>
      <c r="L3362" s="6">
        <v>8.0</v>
      </c>
      <c r="M3362" s="8">
        <f t="shared" si="3"/>
        <v>0.4</v>
      </c>
      <c r="P3362" s="9"/>
    </row>
    <row r="3363">
      <c r="A3363" s="6" t="s">
        <v>7307</v>
      </c>
      <c r="B3363" s="6" t="s">
        <v>1456</v>
      </c>
      <c r="C3363" s="6" t="s">
        <v>23</v>
      </c>
      <c r="D3363" s="6" t="s">
        <v>7308</v>
      </c>
      <c r="E3363" s="6" t="s">
        <v>167</v>
      </c>
      <c r="F3363" s="6" t="s">
        <v>103</v>
      </c>
      <c r="G3363" s="7">
        <v>0.17</v>
      </c>
      <c r="H3363" s="6" t="s">
        <v>2861</v>
      </c>
      <c r="I3363" s="6" t="s">
        <v>20</v>
      </c>
      <c r="J3363" s="6">
        <v>2008.0</v>
      </c>
      <c r="K3363" s="10">
        <v>46023.0</v>
      </c>
      <c r="L3363" s="6">
        <v>4.0</v>
      </c>
      <c r="M3363" s="8">
        <f t="shared" si="3"/>
        <v>0.68</v>
      </c>
      <c r="P3363" s="9"/>
    </row>
    <row r="3364">
      <c r="A3364" s="6" t="s">
        <v>7309</v>
      </c>
      <c r="B3364" s="6" t="s">
        <v>2011</v>
      </c>
      <c r="C3364" s="6" t="s">
        <v>23</v>
      </c>
      <c r="D3364" s="6" t="s">
        <v>7310</v>
      </c>
      <c r="E3364" s="6" t="s">
        <v>3951</v>
      </c>
      <c r="F3364" s="6" t="s">
        <v>98</v>
      </c>
      <c r="G3364" s="7">
        <v>0.1</v>
      </c>
      <c r="H3364" s="6" t="s">
        <v>641</v>
      </c>
      <c r="I3364" s="6" t="s">
        <v>20</v>
      </c>
      <c r="J3364" s="6">
        <v>2026.0</v>
      </c>
      <c r="K3364" s="10">
        <v>46083.0</v>
      </c>
      <c r="L3364" s="6">
        <v>1.0</v>
      </c>
      <c r="M3364" s="8">
        <f t="shared" si="3"/>
        <v>0.1</v>
      </c>
      <c r="P3364" s="9"/>
    </row>
    <row r="3365">
      <c r="A3365" s="6" t="s">
        <v>7311</v>
      </c>
      <c r="B3365" s="6" t="s">
        <v>127</v>
      </c>
      <c r="C3365" s="6" t="s">
        <v>48</v>
      </c>
      <c r="D3365" s="6" t="s">
        <v>7312</v>
      </c>
      <c r="E3365" s="6" t="s">
        <v>108</v>
      </c>
      <c r="F3365" s="6" t="s">
        <v>103</v>
      </c>
      <c r="G3365" s="7">
        <v>0.19</v>
      </c>
      <c r="H3365" s="6" t="s">
        <v>163</v>
      </c>
      <c r="I3365" s="6" t="s">
        <v>20</v>
      </c>
      <c r="J3365" s="6">
        <v>2023.0</v>
      </c>
      <c r="K3365" s="10">
        <v>46055.0</v>
      </c>
      <c r="L3365" s="6">
        <v>1.0</v>
      </c>
      <c r="M3365" s="8">
        <f t="shared" si="3"/>
        <v>0.19</v>
      </c>
      <c r="P3365" s="9"/>
    </row>
    <row r="3366">
      <c r="A3366" s="6" t="s">
        <v>7311</v>
      </c>
      <c r="B3366" s="6" t="s">
        <v>127</v>
      </c>
      <c r="C3366" s="6" t="s">
        <v>41</v>
      </c>
      <c r="D3366" s="6" t="s">
        <v>7312</v>
      </c>
      <c r="E3366" s="6" t="s">
        <v>108</v>
      </c>
      <c r="F3366" s="6" t="s">
        <v>103</v>
      </c>
      <c r="G3366" s="7">
        <v>0.25</v>
      </c>
      <c r="H3366" s="6" t="s">
        <v>184</v>
      </c>
      <c r="I3366" s="6" t="s">
        <v>20</v>
      </c>
      <c r="J3366" s="6">
        <v>2015.0</v>
      </c>
      <c r="K3366" s="10">
        <v>46055.0</v>
      </c>
      <c r="L3366" s="6">
        <v>1.0</v>
      </c>
      <c r="M3366" s="8">
        <f t="shared" si="3"/>
        <v>0.25</v>
      </c>
      <c r="P3366" s="9"/>
    </row>
    <row r="3367">
      <c r="A3367" s="6" t="s">
        <v>7313</v>
      </c>
      <c r="B3367" s="6" t="s">
        <v>7314</v>
      </c>
      <c r="C3367" s="6" t="s">
        <v>23</v>
      </c>
      <c r="D3367" s="6" t="s">
        <v>7315</v>
      </c>
      <c r="E3367" s="6" t="s">
        <v>102</v>
      </c>
      <c r="F3367" s="6" t="s">
        <v>103</v>
      </c>
      <c r="G3367" s="7">
        <v>0.06</v>
      </c>
      <c r="H3367" s="6" t="s">
        <v>881</v>
      </c>
      <c r="I3367" s="6" t="s">
        <v>20</v>
      </c>
      <c r="J3367" s="6">
        <v>2021.0</v>
      </c>
      <c r="K3367" s="6" t="s">
        <v>597</v>
      </c>
      <c r="L3367" s="6">
        <v>1.0</v>
      </c>
      <c r="M3367" s="8">
        <f t="shared" si="3"/>
        <v>0.06</v>
      </c>
      <c r="P3367" s="9"/>
    </row>
    <row r="3368">
      <c r="A3368" s="6" t="s">
        <v>7316</v>
      </c>
      <c r="B3368" s="6" t="s">
        <v>62</v>
      </c>
      <c r="C3368" s="6" t="s">
        <v>48</v>
      </c>
      <c r="D3368" s="6" t="s">
        <v>7317</v>
      </c>
      <c r="E3368" s="6" t="s">
        <v>238</v>
      </c>
      <c r="F3368" s="6" t="s">
        <v>159</v>
      </c>
      <c r="G3368" s="7">
        <v>0.38</v>
      </c>
      <c r="H3368" s="6" t="s">
        <v>427</v>
      </c>
      <c r="I3368" s="6" t="s">
        <v>20</v>
      </c>
      <c r="J3368" s="6">
        <v>2009.0</v>
      </c>
      <c r="L3368" s="6">
        <v>1.0</v>
      </c>
      <c r="M3368" s="8">
        <f t="shared" si="3"/>
        <v>0.38</v>
      </c>
      <c r="P3368" s="9"/>
    </row>
    <row r="3369">
      <c r="A3369" s="6" t="s">
        <v>7316</v>
      </c>
      <c r="B3369" s="6" t="s">
        <v>62</v>
      </c>
      <c r="C3369" s="6" t="s">
        <v>48</v>
      </c>
      <c r="D3369" s="6" t="s">
        <v>7317</v>
      </c>
      <c r="E3369" s="6" t="s">
        <v>238</v>
      </c>
      <c r="F3369" s="6" t="s">
        <v>159</v>
      </c>
      <c r="G3369" s="7">
        <v>0.38</v>
      </c>
      <c r="H3369" s="6" t="s">
        <v>427</v>
      </c>
      <c r="I3369" s="6" t="s">
        <v>20</v>
      </c>
      <c r="J3369" s="6">
        <v>2009.0</v>
      </c>
      <c r="L3369" s="6">
        <v>1.0</v>
      </c>
      <c r="M3369" s="8">
        <f t="shared" si="3"/>
        <v>0.38</v>
      </c>
      <c r="P3369" s="9"/>
    </row>
    <row r="3370">
      <c r="A3370" s="6" t="s">
        <v>7318</v>
      </c>
      <c r="B3370" s="6" t="s">
        <v>7319</v>
      </c>
      <c r="C3370" s="6" t="s">
        <v>23</v>
      </c>
      <c r="D3370" s="6" t="s">
        <v>7320</v>
      </c>
      <c r="E3370" s="6" t="s">
        <v>625</v>
      </c>
      <c r="F3370" s="6" t="s">
        <v>37</v>
      </c>
      <c r="G3370" s="7">
        <v>0.09</v>
      </c>
      <c r="H3370" s="6" t="s">
        <v>2401</v>
      </c>
      <c r="I3370" s="6" t="s">
        <v>20</v>
      </c>
      <c r="J3370" s="6">
        <v>2018.0</v>
      </c>
      <c r="K3370" s="6" t="s">
        <v>89</v>
      </c>
      <c r="L3370" s="6">
        <v>1.0</v>
      </c>
      <c r="M3370" s="8">
        <f t="shared" si="3"/>
        <v>0.09</v>
      </c>
      <c r="P3370" s="9"/>
    </row>
    <row r="3371">
      <c r="A3371" s="6" t="s">
        <v>7321</v>
      </c>
      <c r="B3371" s="6" t="s">
        <v>677</v>
      </c>
      <c r="C3371" s="6" t="s">
        <v>23</v>
      </c>
      <c r="D3371" s="6" t="s">
        <v>7322</v>
      </c>
      <c r="E3371" s="6" t="s">
        <v>298</v>
      </c>
      <c r="F3371" s="6" t="s">
        <v>159</v>
      </c>
      <c r="G3371" s="7">
        <v>0.06</v>
      </c>
      <c r="H3371" s="6" t="s">
        <v>701</v>
      </c>
      <c r="I3371" s="6" t="s">
        <v>20</v>
      </c>
      <c r="J3371" s="6">
        <v>2012.0</v>
      </c>
      <c r="K3371" s="10">
        <v>46084.0</v>
      </c>
      <c r="L3371" s="6">
        <v>1.0</v>
      </c>
      <c r="M3371" s="8">
        <f t="shared" si="3"/>
        <v>0.06</v>
      </c>
      <c r="P3371" s="9"/>
    </row>
    <row r="3372">
      <c r="A3372" s="6" t="s">
        <v>7323</v>
      </c>
      <c r="B3372" s="6" t="s">
        <v>1041</v>
      </c>
      <c r="C3372" s="6" t="s">
        <v>15</v>
      </c>
      <c r="D3372" s="6" t="s">
        <v>7324</v>
      </c>
      <c r="E3372" s="6" t="s">
        <v>806</v>
      </c>
      <c r="F3372" s="6" t="s">
        <v>51</v>
      </c>
      <c r="G3372" s="7">
        <v>0.28</v>
      </c>
      <c r="H3372" s="6" t="s">
        <v>807</v>
      </c>
      <c r="I3372" s="6" t="s">
        <v>20</v>
      </c>
      <c r="J3372" s="6">
        <v>2026.0</v>
      </c>
      <c r="L3372" s="6">
        <v>1.0</v>
      </c>
      <c r="M3372" s="8">
        <f t="shared" si="3"/>
        <v>0.28</v>
      </c>
      <c r="P3372" s="9"/>
    </row>
    <row r="3373">
      <c r="A3373" s="6" t="s">
        <v>7325</v>
      </c>
      <c r="B3373" s="6" t="s">
        <v>7326</v>
      </c>
      <c r="C3373" s="6" t="s">
        <v>23</v>
      </c>
      <c r="D3373" s="6" t="s">
        <v>7327</v>
      </c>
      <c r="E3373" s="6" t="s">
        <v>298</v>
      </c>
      <c r="F3373" s="6" t="s">
        <v>159</v>
      </c>
      <c r="G3373" s="7">
        <v>0.1</v>
      </c>
      <c r="H3373" s="6" t="s">
        <v>192</v>
      </c>
      <c r="I3373" s="6" t="s">
        <v>20</v>
      </c>
      <c r="J3373" s="6">
        <v>2026.0</v>
      </c>
      <c r="K3373" s="10">
        <v>46116.0</v>
      </c>
      <c r="L3373" s="6">
        <v>1.0</v>
      </c>
      <c r="M3373" s="8">
        <f t="shared" si="3"/>
        <v>0.1</v>
      </c>
      <c r="P3373" s="9"/>
    </row>
    <row r="3374">
      <c r="A3374" s="6" t="s">
        <v>7328</v>
      </c>
      <c r="B3374" s="6" t="s">
        <v>2413</v>
      </c>
      <c r="C3374" s="6" t="s">
        <v>23</v>
      </c>
      <c r="E3374" s="6" t="s">
        <v>1570</v>
      </c>
      <c r="F3374" s="6" t="s">
        <v>159</v>
      </c>
      <c r="G3374" s="7">
        <v>0.01</v>
      </c>
      <c r="H3374" s="6" t="s">
        <v>406</v>
      </c>
      <c r="I3374" s="6" t="s">
        <v>20</v>
      </c>
      <c r="J3374" s="6">
        <v>2019.0</v>
      </c>
      <c r="K3374" s="10">
        <v>46180.0</v>
      </c>
      <c r="L3374" s="6">
        <v>1.0</v>
      </c>
      <c r="M3374" s="8">
        <f t="shared" si="3"/>
        <v>0.01</v>
      </c>
      <c r="P3374" s="9"/>
    </row>
    <row r="3375">
      <c r="A3375" s="6" t="s">
        <v>7329</v>
      </c>
      <c r="B3375" s="6" t="s">
        <v>3386</v>
      </c>
      <c r="C3375" s="6" t="s">
        <v>48</v>
      </c>
      <c r="D3375" s="6" t="s">
        <v>7330</v>
      </c>
      <c r="E3375" s="6" t="s">
        <v>1134</v>
      </c>
      <c r="F3375" s="6" t="s">
        <v>949</v>
      </c>
      <c r="G3375" s="7">
        <v>0.18</v>
      </c>
      <c r="H3375" s="6" t="s">
        <v>19</v>
      </c>
      <c r="I3375" s="6" t="s">
        <v>20</v>
      </c>
      <c r="J3375" s="6">
        <v>2023.0</v>
      </c>
      <c r="K3375" s="10">
        <v>46055.0</v>
      </c>
      <c r="L3375" s="6">
        <v>1.0</v>
      </c>
      <c r="M3375" s="8">
        <f t="shared" si="3"/>
        <v>0.18</v>
      </c>
      <c r="P3375" s="9"/>
    </row>
    <row r="3376">
      <c r="A3376" s="6" t="s">
        <v>7331</v>
      </c>
      <c r="B3376" s="6" t="s">
        <v>2789</v>
      </c>
      <c r="C3376" s="6" t="s">
        <v>15</v>
      </c>
      <c r="D3376" s="6" t="s">
        <v>7332</v>
      </c>
      <c r="E3376" s="6" t="s">
        <v>1134</v>
      </c>
      <c r="F3376" s="6" t="s">
        <v>949</v>
      </c>
      <c r="G3376" s="7">
        <v>0.25</v>
      </c>
      <c r="H3376" s="6" t="s">
        <v>19</v>
      </c>
      <c r="I3376" s="6" t="s">
        <v>20</v>
      </c>
      <c r="J3376" s="6">
        <v>2023.0</v>
      </c>
      <c r="K3376" s="10">
        <v>46055.0</v>
      </c>
      <c r="L3376" s="6">
        <v>1.0</v>
      </c>
      <c r="M3376" s="8">
        <f t="shared" si="3"/>
        <v>0.25</v>
      </c>
      <c r="P3376" s="9"/>
    </row>
    <row r="3377">
      <c r="A3377" s="6" t="s">
        <v>7333</v>
      </c>
      <c r="B3377" s="6" t="s">
        <v>194</v>
      </c>
      <c r="C3377" s="6" t="s">
        <v>34</v>
      </c>
      <c r="D3377" s="6" t="s">
        <v>7334</v>
      </c>
      <c r="E3377" s="6" t="s">
        <v>391</v>
      </c>
      <c r="F3377" s="6" t="s">
        <v>159</v>
      </c>
      <c r="G3377" s="7">
        <v>0.1</v>
      </c>
      <c r="H3377" s="6" t="s">
        <v>3050</v>
      </c>
      <c r="I3377" s="6" t="s">
        <v>20</v>
      </c>
      <c r="J3377" s="6">
        <v>2025.0</v>
      </c>
      <c r="L3377" s="6">
        <v>11.0</v>
      </c>
      <c r="M3377" s="8">
        <f t="shared" si="3"/>
        <v>1.1</v>
      </c>
      <c r="P3377" s="9"/>
    </row>
    <row r="3378">
      <c r="A3378" s="6" t="s">
        <v>7333</v>
      </c>
      <c r="B3378" s="6" t="s">
        <v>194</v>
      </c>
      <c r="C3378" s="6" t="s">
        <v>34</v>
      </c>
      <c r="D3378" s="6" t="s">
        <v>7334</v>
      </c>
      <c r="E3378" s="6" t="s">
        <v>391</v>
      </c>
      <c r="F3378" s="6" t="s">
        <v>159</v>
      </c>
      <c r="G3378" s="7">
        <v>0.1</v>
      </c>
      <c r="H3378" s="6" t="s">
        <v>3050</v>
      </c>
      <c r="I3378" s="6" t="s">
        <v>55</v>
      </c>
      <c r="J3378" s="6">
        <v>2025.0</v>
      </c>
      <c r="L3378" s="6">
        <v>1.0</v>
      </c>
      <c r="M3378" s="8">
        <f t="shared" si="3"/>
        <v>0.1</v>
      </c>
      <c r="P3378" s="9"/>
    </row>
    <row r="3379">
      <c r="A3379" s="6" t="s">
        <v>7335</v>
      </c>
      <c r="B3379" s="6" t="s">
        <v>307</v>
      </c>
      <c r="C3379" s="6" t="s">
        <v>48</v>
      </c>
      <c r="D3379" s="6" t="s">
        <v>7336</v>
      </c>
      <c r="E3379" s="6" t="s">
        <v>303</v>
      </c>
      <c r="F3379" s="6" t="s">
        <v>37</v>
      </c>
      <c r="G3379" s="7">
        <v>0.26</v>
      </c>
      <c r="H3379" s="6" t="s">
        <v>184</v>
      </c>
      <c r="I3379" s="6" t="s">
        <v>20</v>
      </c>
      <c r="J3379" s="6">
        <v>2015.0</v>
      </c>
      <c r="L3379" s="6">
        <v>1.0</v>
      </c>
      <c r="M3379" s="8">
        <f t="shared" si="3"/>
        <v>0.26</v>
      </c>
      <c r="P3379" s="9"/>
    </row>
    <row r="3380">
      <c r="A3380" s="6" t="s">
        <v>7337</v>
      </c>
      <c r="B3380" s="6" t="s">
        <v>307</v>
      </c>
      <c r="C3380" s="6" t="s">
        <v>23</v>
      </c>
      <c r="D3380" s="6" t="s">
        <v>7338</v>
      </c>
      <c r="E3380" s="6" t="s">
        <v>36</v>
      </c>
      <c r="F3380" s="6" t="s">
        <v>37</v>
      </c>
      <c r="G3380" s="7">
        <v>0.2</v>
      </c>
      <c r="H3380" s="6" t="s">
        <v>163</v>
      </c>
      <c r="I3380" s="6" t="s">
        <v>20</v>
      </c>
      <c r="J3380" s="6">
        <v>2023.0</v>
      </c>
      <c r="L3380" s="6">
        <v>1.0</v>
      </c>
      <c r="M3380" s="8">
        <f t="shared" si="3"/>
        <v>0.2</v>
      </c>
      <c r="P3380" s="9"/>
    </row>
    <row r="3381">
      <c r="A3381" s="6" t="s">
        <v>7337</v>
      </c>
      <c r="B3381" s="6" t="s">
        <v>301</v>
      </c>
      <c r="C3381" s="6" t="s">
        <v>34</v>
      </c>
      <c r="D3381" s="6" t="s">
        <v>7339</v>
      </c>
      <c r="E3381" s="6" t="s">
        <v>36</v>
      </c>
      <c r="F3381" s="6" t="s">
        <v>37</v>
      </c>
      <c r="G3381" s="7">
        <v>0.09</v>
      </c>
      <c r="H3381" s="6" t="s">
        <v>316</v>
      </c>
      <c r="I3381" s="6" t="s">
        <v>20</v>
      </c>
      <c r="J3381" s="6">
        <v>2016.0</v>
      </c>
      <c r="L3381" s="6">
        <v>4.0</v>
      </c>
      <c r="M3381" s="8">
        <f t="shared" si="3"/>
        <v>0.36</v>
      </c>
      <c r="P3381" s="9"/>
    </row>
    <row r="3382">
      <c r="A3382" s="6" t="s">
        <v>7340</v>
      </c>
      <c r="B3382" s="6" t="s">
        <v>182</v>
      </c>
      <c r="C3382" s="6" t="s">
        <v>23</v>
      </c>
      <c r="D3382" s="6" t="s">
        <v>7341</v>
      </c>
      <c r="E3382" s="6" t="s">
        <v>175</v>
      </c>
      <c r="F3382" s="6" t="s">
        <v>51</v>
      </c>
      <c r="G3382" s="7">
        <v>0.45</v>
      </c>
      <c r="H3382" s="6" t="s">
        <v>2680</v>
      </c>
      <c r="I3382" s="6" t="s">
        <v>20</v>
      </c>
      <c r="J3382" s="6">
        <v>1998.0</v>
      </c>
      <c r="L3382" s="6">
        <v>1.0</v>
      </c>
      <c r="M3382" s="8">
        <f t="shared" si="3"/>
        <v>0.45</v>
      </c>
      <c r="P3382" s="9"/>
    </row>
    <row r="3383">
      <c r="A3383" s="6" t="s">
        <v>7342</v>
      </c>
      <c r="B3383" s="6" t="s">
        <v>202</v>
      </c>
      <c r="C3383" s="6" t="s">
        <v>48</v>
      </c>
      <c r="D3383" s="6" t="s">
        <v>7343</v>
      </c>
      <c r="E3383" s="6" t="s">
        <v>79</v>
      </c>
      <c r="F3383" s="6" t="s">
        <v>51</v>
      </c>
      <c r="G3383" s="7">
        <v>0.04</v>
      </c>
      <c r="H3383" s="6" t="s">
        <v>406</v>
      </c>
      <c r="I3383" s="6" t="s">
        <v>20</v>
      </c>
      <c r="J3383" s="6">
        <v>2019.0</v>
      </c>
      <c r="L3383" s="6">
        <v>1.0</v>
      </c>
      <c r="M3383" s="8">
        <f t="shared" si="3"/>
        <v>0.04</v>
      </c>
      <c r="P3383" s="9"/>
    </row>
    <row r="3384">
      <c r="A3384" s="6" t="s">
        <v>7344</v>
      </c>
      <c r="B3384" s="6" t="s">
        <v>250</v>
      </c>
      <c r="C3384" s="6" t="s">
        <v>48</v>
      </c>
      <c r="D3384" s="6" t="s">
        <v>7345</v>
      </c>
      <c r="E3384" s="6" t="s">
        <v>243</v>
      </c>
      <c r="F3384" s="6" t="s">
        <v>37</v>
      </c>
      <c r="G3384" s="7">
        <v>0.48</v>
      </c>
      <c r="H3384" s="6" t="s">
        <v>7346</v>
      </c>
      <c r="I3384" s="6" t="s">
        <v>20</v>
      </c>
      <c r="J3384" s="6">
        <v>2022.0</v>
      </c>
      <c r="L3384" s="6">
        <v>4.0</v>
      </c>
      <c r="M3384" s="8">
        <f t="shared" si="3"/>
        <v>1.92</v>
      </c>
      <c r="P3384" s="9"/>
    </row>
    <row r="3385">
      <c r="A3385" s="6" t="s">
        <v>7347</v>
      </c>
      <c r="B3385" s="6" t="s">
        <v>7348</v>
      </c>
      <c r="C3385" s="6" t="s">
        <v>48</v>
      </c>
      <c r="D3385" s="6" t="s">
        <v>7349</v>
      </c>
      <c r="E3385" s="6" t="s">
        <v>2039</v>
      </c>
      <c r="F3385" s="6" t="s">
        <v>261</v>
      </c>
      <c r="G3385" s="7">
        <v>0.09</v>
      </c>
      <c r="H3385" s="6" t="s">
        <v>346</v>
      </c>
      <c r="I3385" s="6" t="s">
        <v>20</v>
      </c>
      <c r="J3385" s="6">
        <v>2024.0</v>
      </c>
      <c r="K3385" s="10">
        <v>46084.0</v>
      </c>
      <c r="L3385" s="6">
        <v>1.0</v>
      </c>
      <c r="M3385" s="8">
        <f t="shared" si="3"/>
        <v>0.09</v>
      </c>
      <c r="P3385" s="9"/>
    </row>
    <row r="3386">
      <c r="A3386" s="6" t="s">
        <v>7350</v>
      </c>
      <c r="B3386" s="6" t="s">
        <v>7351</v>
      </c>
      <c r="C3386" s="6" t="s">
        <v>48</v>
      </c>
      <c r="D3386" s="6" t="s">
        <v>7352</v>
      </c>
      <c r="E3386" s="6" t="s">
        <v>50</v>
      </c>
      <c r="F3386" s="6" t="s">
        <v>51</v>
      </c>
      <c r="G3386" s="7">
        <v>0.08</v>
      </c>
      <c r="H3386" s="6" t="s">
        <v>701</v>
      </c>
      <c r="I3386" s="6" t="s">
        <v>20</v>
      </c>
      <c r="J3386" s="6">
        <v>2012.0</v>
      </c>
      <c r="K3386" s="10">
        <v>46084.0</v>
      </c>
      <c r="L3386" s="6">
        <v>1.0</v>
      </c>
      <c r="M3386" s="8">
        <f t="shared" si="3"/>
        <v>0.08</v>
      </c>
      <c r="P3386" s="9"/>
    </row>
    <row r="3387">
      <c r="A3387" s="6" t="s">
        <v>7353</v>
      </c>
      <c r="B3387" s="6" t="s">
        <v>307</v>
      </c>
      <c r="C3387" s="6" t="s">
        <v>23</v>
      </c>
      <c r="D3387" s="6" t="s">
        <v>7354</v>
      </c>
      <c r="E3387" s="6" t="s">
        <v>36</v>
      </c>
      <c r="F3387" s="6" t="s">
        <v>37</v>
      </c>
      <c r="G3387" s="7">
        <v>1.69</v>
      </c>
      <c r="H3387" s="6" t="s">
        <v>845</v>
      </c>
      <c r="I3387" s="6" t="s">
        <v>20</v>
      </c>
      <c r="J3387" s="6">
        <v>2022.0</v>
      </c>
      <c r="L3387" s="6">
        <v>1.0</v>
      </c>
      <c r="M3387" s="8">
        <f t="shared" si="3"/>
        <v>1.69</v>
      </c>
      <c r="N3387" s="6" t="s">
        <v>172</v>
      </c>
      <c r="P3387" s="9"/>
    </row>
    <row r="3388">
      <c r="A3388" s="6" t="s">
        <v>7355</v>
      </c>
      <c r="B3388" s="6" t="s">
        <v>182</v>
      </c>
      <c r="C3388" s="6" t="s">
        <v>48</v>
      </c>
      <c r="D3388" s="6" t="s">
        <v>7356</v>
      </c>
      <c r="E3388" s="6" t="s">
        <v>112</v>
      </c>
      <c r="F3388" s="6" t="s">
        <v>65</v>
      </c>
      <c r="G3388" s="7">
        <v>0.06</v>
      </c>
      <c r="H3388" s="6" t="s">
        <v>621</v>
      </c>
      <c r="I3388" s="6" t="s">
        <v>20</v>
      </c>
      <c r="J3388" s="6">
        <v>2015.0</v>
      </c>
      <c r="L3388" s="6">
        <v>1.0</v>
      </c>
      <c r="M3388" s="8">
        <f t="shared" si="3"/>
        <v>0.06</v>
      </c>
      <c r="P3388" s="9"/>
    </row>
    <row r="3389">
      <c r="A3389" s="6" t="s">
        <v>7357</v>
      </c>
      <c r="B3389" s="6" t="s">
        <v>6148</v>
      </c>
      <c r="C3389" s="6" t="s">
        <v>48</v>
      </c>
      <c r="D3389" s="6" t="s">
        <v>7358</v>
      </c>
      <c r="E3389" s="6" t="s">
        <v>7359</v>
      </c>
      <c r="F3389" s="6" t="s">
        <v>60</v>
      </c>
      <c r="G3389" s="7">
        <v>0.17</v>
      </c>
      <c r="H3389" s="6" t="s">
        <v>45</v>
      </c>
      <c r="I3389" s="6" t="s">
        <v>20</v>
      </c>
      <c r="J3389" s="6">
        <v>2025.0</v>
      </c>
      <c r="K3389" s="6" t="s">
        <v>1035</v>
      </c>
      <c r="L3389" s="6">
        <v>1.0</v>
      </c>
      <c r="M3389" s="8">
        <f t="shared" si="3"/>
        <v>0.17</v>
      </c>
      <c r="P3389" s="9"/>
    </row>
    <row r="3390">
      <c r="A3390" s="6" t="s">
        <v>7360</v>
      </c>
      <c r="B3390" s="6" t="s">
        <v>7361</v>
      </c>
      <c r="C3390" s="6" t="s">
        <v>34</v>
      </c>
      <c r="D3390" s="6" t="s">
        <v>7362</v>
      </c>
      <c r="E3390" s="6" t="s">
        <v>696</v>
      </c>
      <c r="F3390" s="6" t="s">
        <v>37</v>
      </c>
      <c r="G3390" s="7">
        <v>0.04</v>
      </c>
      <c r="H3390" s="6" t="s">
        <v>141</v>
      </c>
      <c r="I3390" s="6" t="s">
        <v>20</v>
      </c>
      <c r="J3390" s="6">
        <v>2019.0</v>
      </c>
      <c r="K3390" s="10">
        <v>46147.0</v>
      </c>
      <c r="L3390" s="6">
        <v>3.0</v>
      </c>
      <c r="M3390" s="8">
        <f t="shared" si="3"/>
        <v>0.12</v>
      </c>
      <c r="P3390" s="9"/>
    </row>
    <row r="3391">
      <c r="A3391" s="6" t="s">
        <v>7363</v>
      </c>
      <c r="B3391" s="6" t="s">
        <v>202</v>
      </c>
      <c r="C3391" s="6" t="s">
        <v>48</v>
      </c>
      <c r="D3391" s="6" t="s">
        <v>7364</v>
      </c>
      <c r="E3391" s="6" t="s">
        <v>79</v>
      </c>
      <c r="F3391" s="6" t="s">
        <v>51</v>
      </c>
      <c r="G3391" s="7">
        <v>0.75</v>
      </c>
      <c r="H3391" s="6" t="s">
        <v>2401</v>
      </c>
      <c r="I3391" s="6" t="s">
        <v>55</v>
      </c>
      <c r="J3391" s="6">
        <v>2018.0</v>
      </c>
      <c r="L3391" s="6">
        <v>1.0</v>
      </c>
      <c r="M3391" s="8">
        <f t="shared" si="3"/>
        <v>0.75</v>
      </c>
      <c r="P3391" s="9"/>
    </row>
    <row r="3392">
      <c r="A3392" s="6" t="s">
        <v>7365</v>
      </c>
      <c r="B3392" s="6" t="s">
        <v>871</v>
      </c>
      <c r="C3392" s="6" t="s">
        <v>23</v>
      </c>
      <c r="D3392" s="6" t="s">
        <v>7366</v>
      </c>
      <c r="E3392" s="6" t="s">
        <v>238</v>
      </c>
      <c r="F3392" s="6" t="s">
        <v>159</v>
      </c>
      <c r="G3392" s="7">
        <v>0.09</v>
      </c>
      <c r="H3392" s="6" t="s">
        <v>2009</v>
      </c>
      <c r="I3392" s="6" t="s">
        <v>20</v>
      </c>
      <c r="J3392" s="6">
        <v>2005.0</v>
      </c>
      <c r="K3392" s="10">
        <v>46023.0</v>
      </c>
      <c r="L3392" s="6">
        <v>1.0</v>
      </c>
      <c r="M3392" s="8">
        <f t="shared" si="3"/>
        <v>0.09</v>
      </c>
      <c r="P3392" s="9"/>
    </row>
    <row r="3393">
      <c r="A3393" s="6" t="s">
        <v>7367</v>
      </c>
      <c r="B3393" s="6" t="s">
        <v>7368</v>
      </c>
      <c r="C3393" s="6" t="s">
        <v>15</v>
      </c>
      <c r="D3393" s="6" t="s">
        <v>7369</v>
      </c>
      <c r="E3393" s="6" t="s">
        <v>681</v>
      </c>
      <c r="F3393" s="6" t="s">
        <v>65</v>
      </c>
      <c r="G3393" s="7">
        <v>0.25</v>
      </c>
      <c r="H3393" s="6" t="s">
        <v>209</v>
      </c>
      <c r="I3393" s="6" t="s">
        <v>20</v>
      </c>
      <c r="J3393" s="6">
        <v>2025.0</v>
      </c>
      <c r="K3393" s="10">
        <v>46055.0</v>
      </c>
      <c r="L3393" s="6">
        <v>3.0</v>
      </c>
      <c r="M3393" s="8">
        <f t="shared" si="3"/>
        <v>0.75</v>
      </c>
      <c r="P3393" s="9"/>
    </row>
    <row r="3394">
      <c r="A3394" s="6" t="s">
        <v>7370</v>
      </c>
      <c r="B3394" s="6" t="s">
        <v>169</v>
      </c>
      <c r="C3394" s="6" t="s">
        <v>287</v>
      </c>
      <c r="D3394" s="6" t="s">
        <v>7371</v>
      </c>
      <c r="E3394" s="6" t="s">
        <v>175</v>
      </c>
      <c r="F3394" s="6" t="s">
        <v>51</v>
      </c>
      <c r="G3394" s="7">
        <v>0.19</v>
      </c>
      <c r="H3394" s="6" t="s">
        <v>75</v>
      </c>
      <c r="I3394" s="6" t="s">
        <v>20</v>
      </c>
      <c r="J3394" s="6">
        <v>1995.0</v>
      </c>
      <c r="L3394" s="6">
        <v>1.0</v>
      </c>
      <c r="M3394" s="8">
        <f t="shared" si="3"/>
        <v>0.19</v>
      </c>
      <c r="P3394" s="9"/>
    </row>
    <row r="3395">
      <c r="A3395" s="6" t="s">
        <v>7372</v>
      </c>
      <c r="B3395" s="6" t="s">
        <v>62</v>
      </c>
      <c r="C3395" s="6" t="s">
        <v>48</v>
      </c>
      <c r="D3395" s="6" t="s">
        <v>7373</v>
      </c>
      <c r="E3395" s="6" t="s">
        <v>1139</v>
      </c>
      <c r="F3395" s="6" t="s">
        <v>60</v>
      </c>
      <c r="G3395" s="7">
        <v>0.17</v>
      </c>
      <c r="H3395" s="6" t="s">
        <v>384</v>
      </c>
      <c r="I3395" s="6" t="s">
        <v>20</v>
      </c>
      <c r="J3395" s="6">
        <v>2022.0</v>
      </c>
      <c r="L3395" s="6">
        <v>1.0</v>
      </c>
      <c r="M3395" s="8">
        <f t="shared" si="3"/>
        <v>0.17</v>
      </c>
      <c r="P3395" s="9"/>
    </row>
    <row r="3396">
      <c r="A3396" s="6" t="s">
        <v>7374</v>
      </c>
      <c r="B3396" s="6" t="s">
        <v>4844</v>
      </c>
      <c r="C3396" s="6" t="s">
        <v>1956</v>
      </c>
      <c r="D3396" s="6" t="s">
        <v>7375</v>
      </c>
      <c r="E3396" s="6" t="s">
        <v>6795</v>
      </c>
      <c r="F3396" s="6" t="s">
        <v>159</v>
      </c>
      <c r="G3396" s="7">
        <v>3.99</v>
      </c>
      <c r="H3396" s="6" t="s">
        <v>1514</v>
      </c>
      <c r="I3396" s="6" t="s">
        <v>20</v>
      </c>
      <c r="J3396" s="6">
        <v>2009.0</v>
      </c>
      <c r="K3396" s="6" t="s">
        <v>697</v>
      </c>
      <c r="L3396" s="6">
        <v>1.0</v>
      </c>
      <c r="M3396" s="8">
        <f t="shared" si="3"/>
        <v>3.99</v>
      </c>
      <c r="N3396" s="6" t="s">
        <v>172</v>
      </c>
      <c r="P3396" s="9"/>
    </row>
    <row r="3397">
      <c r="A3397" s="6" t="s">
        <v>7376</v>
      </c>
      <c r="B3397" s="6" t="s">
        <v>194</v>
      </c>
      <c r="C3397" s="6" t="s">
        <v>48</v>
      </c>
      <c r="D3397" s="6" t="s">
        <v>7377</v>
      </c>
      <c r="E3397" s="6" t="s">
        <v>79</v>
      </c>
      <c r="F3397" s="6" t="s">
        <v>51</v>
      </c>
      <c r="G3397" s="7">
        <v>0.06</v>
      </c>
      <c r="H3397" s="6" t="s">
        <v>641</v>
      </c>
      <c r="I3397" s="6" t="s">
        <v>20</v>
      </c>
      <c r="J3397" s="6">
        <v>2026.0</v>
      </c>
      <c r="L3397" s="6">
        <v>1.0</v>
      </c>
      <c r="M3397" s="8">
        <f t="shared" si="3"/>
        <v>0.06</v>
      </c>
      <c r="P3397" s="9"/>
    </row>
    <row r="3398">
      <c r="A3398" s="6" t="s">
        <v>7378</v>
      </c>
      <c r="B3398" s="6" t="s">
        <v>131</v>
      </c>
      <c r="C3398" s="6" t="s">
        <v>23</v>
      </c>
      <c r="D3398" s="6" t="s">
        <v>7379</v>
      </c>
      <c r="E3398" s="6" t="s">
        <v>50</v>
      </c>
      <c r="F3398" s="6" t="s">
        <v>51</v>
      </c>
      <c r="G3398" s="7">
        <v>0.08</v>
      </c>
      <c r="H3398" s="6" t="s">
        <v>19</v>
      </c>
      <c r="I3398" s="6" t="s">
        <v>20</v>
      </c>
      <c r="J3398" s="6">
        <v>2023.0</v>
      </c>
      <c r="K3398" s="10">
        <v>46084.0</v>
      </c>
      <c r="L3398" s="6">
        <v>1.0</v>
      </c>
      <c r="M3398" s="8">
        <f t="shared" si="3"/>
        <v>0.08</v>
      </c>
      <c r="P3398" s="9"/>
    </row>
    <row r="3399">
      <c r="A3399" s="6" t="s">
        <v>7380</v>
      </c>
      <c r="B3399" s="6" t="s">
        <v>1509</v>
      </c>
      <c r="C3399" s="6" t="s">
        <v>23</v>
      </c>
      <c r="D3399" s="6" t="s">
        <v>7381</v>
      </c>
      <c r="E3399" s="6" t="s">
        <v>248</v>
      </c>
      <c r="F3399" s="6" t="s">
        <v>18</v>
      </c>
      <c r="G3399" s="7">
        <v>0.03</v>
      </c>
      <c r="H3399" s="6" t="s">
        <v>265</v>
      </c>
      <c r="I3399" s="6" t="s">
        <v>20</v>
      </c>
      <c r="J3399" s="6">
        <v>2017.0</v>
      </c>
      <c r="K3399" s="10">
        <v>46023.0</v>
      </c>
      <c r="L3399" s="6">
        <v>1.0</v>
      </c>
      <c r="M3399" s="8">
        <f t="shared" si="3"/>
        <v>0.03</v>
      </c>
      <c r="P3399" s="9"/>
    </row>
    <row r="3400">
      <c r="A3400" s="6" t="s">
        <v>7382</v>
      </c>
      <c r="B3400" s="6" t="s">
        <v>1459</v>
      </c>
      <c r="C3400" s="6" t="s">
        <v>23</v>
      </c>
      <c r="D3400" s="6" t="s">
        <v>7383</v>
      </c>
      <c r="E3400" s="6" t="s">
        <v>112</v>
      </c>
      <c r="F3400" s="6" t="s">
        <v>65</v>
      </c>
      <c r="G3400" s="7">
        <v>0.1</v>
      </c>
      <c r="H3400" s="6" t="s">
        <v>324</v>
      </c>
      <c r="I3400" s="6" t="s">
        <v>20</v>
      </c>
      <c r="J3400" s="6">
        <v>2025.0</v>
      </c>
      <c r="K3400" s="10">
        <v>46024.0</v>
      </c>
      <c r="L3400" s="6">
        <v>1.0</v>
      </c>
      <c r="M3400" s="8">
        <f t="shared" si="3"/>
        <v>0.1</v>
      </c>
      <c r="P3400" s="9"/>
    </row>
    <row r="3401">
      <c r="A3401" s="6" t="s">
        <v>7384</v>
      </c>
      <c r="B3401" s="6" t="s">
        <v>331</v>
      </c>
      <c r="C3401" s="6" t="s">
        <v>23</v>
      </c>
      <c r="E3401" s="6" t="s">
        <v>118</v>
      </c>
      <c r="F3401" s="6" t="s">
        <v>51</v>
      </c>
      <c r="G3401" s="7">
        <v>0.03</v>
      </c>
      <c r="H3401" s="6" t="s">
        <v>185</v>
      </c>
      <c r="I3401" s="6" t="s">
        <v>20</v>
      </c>
      <c r="J3401" s="6">
        <v>2019.0</v>
      </c>
      <c r="K3401" s="10">
        <v>46025.0</v>
      </c>
      <c r="L3401" s="6">
        <v>1.0</v>
      </c>
      <c r="M3401" s="8">
        <f t="shared" si="3"/>
        <v>0.03</v>
      </c>
      <c r="P3401" s="9"/>
    </row>
    <row r="3402">
      <c r="A3402" s="6" t="s">
        <v>7385</v>
      </c>
      <c r="B3402" s="6" t="s">
        <v>1032</v>
      </c>
      <c r="C3402" s="6" t="s">
        <v>23</v>
      </c>
      <c r="D3402" s="6" t="s">
        <v>7386</v>
      </c>
      <c r="E3402" s="6" t="s">
        <v>25</v>
      </c>
      <c r="F3402" s="6" t="s">
        <v>18</v>
      </c>
      <c r="G3402" s="7">
        <v>0.04</v>
      </c>
      <c r="H3402" s="6" t="s">
        <v>978</v>
      </c>
      <c r="I3402" s="6" t="s">
        <v>20</v>
      </c>
      <c r="J3402" s="6">
        <v>2022.0</v>
      </c>
      <c r="K3402" s="6" t="s">
        <v>1035</v>
      </c>
      <c r="L3402" s="6">
        <v>1.0</v>
      </c>
      <c r="M3402" s="8">
        <f t="shared" si="3"/>
        <v>0.04</v>
      </c>
      <c r="P3402" s="9"/>
    </row>
    <row r="3403">
      <c r="A3403" s="6" t="s">
        <v>7387</v>
      </c>
      <c r="B3403" s="6" t="s">
        <v>543</v>
      </c>
      <c r="C3403" s="6" t="s">
        <v>23</v>
      </c>
      <c r="D3403" s="6" t="s">
        <v>7388</v>
      </c>
      <c r="E3403" s="6" t="s">
        <v>235</v>
      </c>
      <c r="F3403" s="6" t="s">
        <v>103</v>
      </c>
      <c r="G3403" s="7">
        <v>0.1</v>
      </c>
      <c r="H3403" s="6" t="s">
        <v>994</v>
      </c>
      <c r="I3403" s="6" t="s">
        <v>20</v>
      </c>
      <c r="J3403" s="6">
        <v>2024.0</v>
      </c>
      <c r="L3403" s="6">
        <v>1.0</v>
      </c>
      <c r="M3403" s="8">
        <f t="shared" si="3"/>
        <v>0.1</v>
      </c>
      <c r="P3403" s="9"/>
    </row>
    <row r="3404">
      <c r="A3404" s="6" t="s">
        <v>7389</v>
      </c>
      <c r="B3404" s="6" t="s">
        <v>7390</v>
      </c>
      <c r="C3404" s="6" t="s">
        <v>23</v>
      </c>
      <c r="D3404" s="6" t="s">
        <v>7391</v>
      </c>
      <c r="E3404" s="6" t="s">
        <v>7392</v>
      </c>
      <c r="F3404" s="6" t="s">
        <v>284</v>
      </c>
      <c r="G3404" s="7">
        <v>0.08</v>
      </c>
      <c r="H3404" s="6" t="s">
        <v>99</v>
      </c>
      <c r="I3404" s="6" t="s">
        <v>20</v>
      </c>
      <c r="J3404" s="6">
        <v>2026.0</v>
      </c>
      <c r="K3404" s="6" t="s">
        <v>7393</v>
      </c>
      <c r="L3404" s="6">
        <v>3.0</v>
      </c>
      <c r="M3404" s="8">
        <f t="shared" si="3"/>
        <v>0.24</v>
      </c>
      <c r="P3404" s="9"/>
    </row>
    <row r="3405">
      <c r="A3405" s="6" t="s">
        <v>7394</v>
      </c>
      <c r="B3405" s="6" t="s">
        <v>7395</v>
      </c>
      <c r="C3405" s="6" t="s">
        <v>48</v>
      </c>
      <c r="D3405" s="6" t="s">
        <v>7396</v>
      </c>
      <c r="E3405" s="6" t="s">
        <v>248</v>
      </c>
      <c r="F3405" s="6" t="s">
        <v>18</v>
      </c>
      <c r="G3405" s="7">
        <v>0.15</v>
      </c>
      <c r="H3405" s="6" t="s">
        <v>185</v>
      </c>
      <c r="I3405" s="6" t="s">
        <v>20</v>
      </c>
      <c r="J3405" s="6">
        <v>2019.0</v>
      </c>
      <c r="K3405" s="10">
        <v>46023.0</v>
      </c>
      <c r="L3405" s="6">
        <v>4.0</v>
      </c>
      <c r="M3405" s="8">
        <f t="shared" si="3"/>
        <v>0.6</v>
      </c>
      <c r="P3405" s="9"/>
    </row>
    <row r="3406">
      <c r="A3406" s="6" t="s">
        <v>7397</v>
      </c>
      <c r="B3406" s="6" t="s">
        <v>139</v>
      </c>
      <c r="C3406" s="6" t="s">
        <v>23</v>
      </c>
      <c r="D3406" s="6" t="s">
        <v>7398</v>
      </c>
      <c r="E3406" s="6" t="s">
        <v>50</v>
      </c>
      <c r="F3406" s="6" t="s">
        <v>51</v>
      </c>
      <c r="G3406" s="7">
        <v>0.03</v>
      </c>
      <c r="H3406" s="6" t="s">
        <v>555</v>
      </c>
      <c r="I3406" s="6" t="s">
        <v>20</v>
      </c>
      <c r="J3406" s="6">
        <v>2017.0</v>
      </c>
      <c r="K3406" s="10">
        <v>46084.0</v>
      </c>
      <c r="L3406" s="6">
        <v>3.0</v>
      </c>
      <c r="M3406" s="8">
        <f t="shared" si="3"/>
        <v>0.09</v>
      </c>
      <c r="P3406" s="9"/>
    </row>
    <row r="3407">
      <c r="A3407" s="6" t="s">
        <v>7399</v>
      </c>
      <c r="B3407" s="6" t="s">
        <v>250</v>
      </c>
      <c r="C3407" s="6" t="s">
        <v>48</v>
      </c>
      <c r="D3407" s="6" t="s">
        <v>7400</v>
      </c>
      <c r="E3407" s="6" t="s">
        <v>36</v>
      </c>
      <c r="F3407" s="6" t="s">
        <v>37</v>
      </c>
      <c r="G3407" s="7">
        <v>0.3</v>
      </c>
      <c r="H3407" s="6" t="s">
        <v>641</v>
      </c>
      <c r="I3407" s="6" t="s">
        <v>55</v>
      </c>
      <c r="J3407" s="6">
        <v>2026.0</v>
      </c>
      <c r="L3407" s="6">
        <v>1.0</v>
      </c>
      <c r="M3407" s="8">
        <f t="shared" si="3"/>
        <v>0.3</v>
      </c>
      <c r="P3407" s="9"/>
    </row>
    <row r="3408">
      <c r="A3408" s="6" t="s">
        <v>7399</v>
      </c>
      <c r="B3408" s="6" t="s">
        <v>250</v>
      </c>
      <c r="C3408" s="6" t="s">
        <v>48</v>
      </c>
      <c r="D3408" s="6" t="s">
        <v>7400</v>
      </c>
      <c r="E3408" s="6" t="s">
        <v>36</v>
      </c>
      <c r="F3408" s="6" t="s">
        <v>37</v>
      </c>
      <c r="G3408" s="7">
        <v>0.2</v>
      </c>
      <c r="H3408" s="6" t="s">
        <v>641</v>
      </c>
      <c r="I3408" s="6" t="s">
        <v>20</v>
      </c>
      <c r="J3408" s="6">
        <v>2026.0</v>
      </c>
      <c r="L3408" s="6">
        <v>1.0</v>
      </c>
      <c r="M3408" s="8">
        <f t="shared" si="3"/>
        <v>0.2</v>
      </c>
      <c r="P3408" s="9"/>
    </row>
    <row r="3409">
      <c r="A3409" s="6" t="s">
        <v>7401</v>
      </c>
      <c r="B3409" s="6" t="s">
        <v>165</v>
      </c>
      <c r="C3409" s="6" t="s">
        <v>512</v>
      </c>
      <c r="D3409" s="6" t="s">
        <v>7402</v>
      </c>
      <c r="E3409" s="6" t="s">
        <v>1088</v>
      </c>
      <c r="F3409" s="6" t="s">
        <v>159</v>
      </c>
      <c r="G3409" s="7">
        <v>0.41</v>
      </c>
      <c r="H3409" s="6" t="s">
        <v>1043</v>
      </c>
      <c r="I3409" s="6" t="s">
        <v>20</v>
      </c>
      <c r="J3409" s="6">
        <v>2025.0</v>
      </c>
      <c r="L3409" s="6">
        <v>1.0</v>
      </c>
      <c r="M3409" s="8">
        <f t="shared" si="3"/>
        <v>0.41</v>
      </c>
      <c r="P3409" s="9"/>
    </row>
    <row r="3410">
      <c r="A3410" s="6" t="s">
        <v>7403</v>
      </c>
      <c r="B3410" s="6" t="s">
        <v>7404</v>
      </c>
      <c r="C3410" s="6" t="s">
        <v>571</v>
      </c>
      <c r="D3410" s="6" t="s">
        <v>7405</v>
      </c>
      <c r="E3410" s="6" t="s">
        <v>602</v>
      </c>
      <c r="F3410" s="6" t="s">
        <v>159</v>
      </c>
      <c r="G3410" s="7">
        <v>0.2</v>
      </c>
      <c r="H3410" s="6" t="s">
        <v>641</v>
      </c>
      <c r="I3410" s="6" t="s">
        <v>20</v>
      </c>
      <c r="J3410" s="6">
        <v>2026.0</v>
      </c>
      <c r="K3410" s="10">
        <v>46116.0</v>
      </c>
      <c r="L3410" s="6">
        <v>1.0</v>
      </c>
      <c r="M3410" s="8">
        <f t="shared" si="3"/>
        <v>0.2</v>
      </c>
      <c r="P3410" s="9"/>
    </row>
    <row r="3411">
      <c r="A3411" s="6" t="s">
        <v>7406</v>
      </c>
      <c r="B3411" s="6" t="s">
        <v>182</v>
      </c>
      <c r="C3411" s="6" t="s">
        <v>23</v>
      </c>
      <c r="D3411" s="6" t="s">
        <v>7407</v>
      </c>
      <c r="E3411" s="6" t="s">
        <v>1005</v>
      </c>
      <c r="F3411" s="6" t="s">
        <v>65</v>
      </c>
      <c r="G3411" s="7">
        <v>0.03</v>
      </c>
      <c r="H3411" s="6" t="s">
        <v>265</v>
      </c>
      <c r="I3411" s="6" t="s">
        <v>20</v>
      </c>
      <c r="J3411" s="6">
        <v>2017.0</v>
      </c>
      <c r="L3411" s="6">
        <v>1.0</v>
      </c>
      <c r="M3411" s="8">
        <f t="shared" si="3"/>
        <v>0.03</v>
      </c>
      <c r="P3411" s="9"/>
    </row>
    <row r="3412">
      <c r="A3412" s="6" t="s">
        <v>7408</v>
      </c>
      <c r="B3412" s="6" t="s">
        <v>7409</v>
      </c>
      <c r="C3412" s="6" t="s">
        <v>23</v>
      </c>
      <c r="D3412" s="6" t="s">
        <v>7410</v>
      </c>
      <c r="E3412" s="6" t="s">
        <v>7411</v>
      </c>
      <c r="F3412" s="6" t="s">
        <v>284</v>
      </c>
      <c r="G3412" s="7">
        <v>0.1</v>
      </c>
      <c r="H3412" s="6" t="s">
        <v>192</v>
      </c>
      <c r="I3412" s="6" t="s">
        <v>20</v>
      </c>
      <c r="J3412" s="6">
        <v>2026.0</v>
      </c>
      <c r="K3412" s="10">
        <v>46146.0</v>
      </c>
      <c r="L3412" s="6">
        <v>2.0</v>
      </c>
      <c r="M3412" s="8">
        <f t="shared" si="3"/>
        <v>0.2</v>
      </c>
      <c r="P3412" s="9"/>
    </row>
    <row r="3413">
      <c r="A3413" s="6" t="s">
        <v>7412</v>
      </c>
      <c r="B3413" s="6" t="s">
        <v>7413</v>
      </c>
      <c r="C3413" s="6" t="s">
        <v>15</v>
      </c>
      <c r="D3413" s="6" t="s">
        <v>7414</v>
      </c>
      <c r="E3413" s="6">
        <v>2.0</v>
      </c>
      <c r="F3413" s="6" t="s">
        <v>37</v>
      </c>
      <c r="G3413" s="7">
        <v>0.23</v>
      </c>
      <c r="H3413" s="6" t="s">
        <v>209</v>
      </c>
      <c r="I3413" s="6" t="s">
        <v>20</v>
      </c>
      <c r="J3413" s="6">
        <v>2025.0</v>
      </c>
      <c r="K3413" s="6" t="s">
        <v>597</v>
      </c>
      <c r="L3413" s="6">
        <v>1.0</v>
      </c>
      <c r="M3413" s="8">
        <f t="shared" si="3"/>
        <v>0.23</v>
      </c>
      <c r="P3413" s="9"/>
    </row>
    <row r="3414">
      <c r="A3414" s="6" t="s">
        <v>7415</v>
      </c>
      <c r="B3414" s="6" t="s">
        <v>7416</v>
      </c>
      <c r="C3414" s="6" t="s">
        <v>72</v>
      </c>
      <c r="D3414" s="6" t="s">
        <v>7417</v>
      </c>
      <c r="E3414" s="6" t="s">
        <v>175</v>
      </c>
      <c r="F3414" s="6" t="s">
        <v>51</v>
      </c>
      <c r="G3414" s="7">
        <v>0.99</v>
      </c>
      <c r="H3414" s="6" t="s">
        <v>119</v>
      </c>
      <c r="I3414" s="6" t="s">
        <v>20</v>
      </c>
      <c r="J3414" s="6">
        <v>1995.0</v>
      </c>
      <c r="L3414" s="6">
        <v>2.0</v>
      </c>
      <c r="M3414" s="8">
        <f t="shared" si="3"/>
        <v>1.98</v>
      </c>
      <c r="P3414" s="9"/>
    </row>
    <row r="3415">
      <c r="A3415" s="6" t="s">
        <v>7418</v>
      </c>
      <c r="B3415" s="6" t="s">
        <v>182</v>
      </c>
      <c r="C3415" s="6" t="s">
        <v>23</v>
      </c>
      <c r="D3415" s="6" t="s">
        <v>7419</v>
      </c>
      <c r="E3415" s="6" t="s">
        <v>802</v>
      </c>
      <c r="F3415" s="6" t="s">
        <v>98</v>
      </c>
      <c r="G3415" s="7">
        <v>0.05</v>
      </c>
      <c r="H3415" s="6" t="s">
        <v>88</v>
      </c>
      <c r="I3415" s="6" t="s">
        <v>20</v>
      </c>
      <c r="J3415" s="6">
        <v>2013.0</v>
      </c>
      <c r="L3415" s="6">
        <v>5.0</v>
      </c>
      <c r="M3415" s="8">
        <f t="shared" si="3"/>
        <v>0.25</v>
      </c>
      <c r="P3415" s="9"/>
    </row>
    <row r="3416">
      <c r="A3416" s="6" t="s">
        <v>7420</v>
      </c>
      <c r="B3416" s="6" t="s">
        <v>4461</v>
      </c>
      <c r="C3416" s="6" t="s">
        <v>48</v>
      </c>
      <c r="D3416" s="6" t="s">
        <v>7421</v>
      </c>
      <c r="E3416" s="6" t="s">
        <v>533</v>
      </c>
      <c r="F3416" s="6" t="s">
        <v>65</v>
      </c>
      <c r="G3416" s="7">
        <v>0.09</v>
      </c>
      <c r="H3416" s="6" t="s">
        <v>626</v>
      </c>
      <c r="I3416" s="6" t="s">
        <v>20</v>
      </c>
      <c r="J3416" s="6">
        <v>2013.0</v>
      </c>
      <c r="K3416" s="10">
        <v>46084.0</v>
      </c>
      <c r="L3416" s="6">
        <v>1.0</v>
      </c>
      <c r="M3416" s="8">
        <f t="shared" si="3"/>
        <v>0.09</v>
      </c>
      <c r="P3416" s="9"/>
    </row>
    <row r="3417">
      <c r="A3417" s="6" t="s">
        <v>7422</v>
      </c>
      <c r="B3417" s="6" t="s">
        <v>463</v>
      </c>
      <c r="C3417" s="6" t="s">
        <v>23</v>
      </c>
      <c r="D3417" s="6" t="s">
        <v>7423</v>
      </c>
      <c r="E3417" s="6" t="s">
        <v>112</v>
      </c>
      <c r="F3417" s="6" t="s">
        <v>65</v>
      </c>
      <c r="G3417" s="7">
        <v>0.1</v>
      </c>
      <c r="H3417" s="6" t="s">
        <v>192</v>
      </c>
      <c r="I3417" s="6" t="s">
        <v>20</v>
      </c>
      <c r="J3417" s="6">
        <v>2026.0</v>
      </c>
      <c r="K3417" s="10">
        <v>46055.0</v>
      </c>
      <c r="L3417" s="6">
        <v>2.0</v>
      </c>
      <c r="M3417" s="8">
        <f t="shared" si="3"/>
        <v>0.2</v>
      </c>
      <c r="P3417" s="9"/>
    </row>
    <row r="3418">
      <c r="A3418" s="6" t="s">
        <v>7424</v>
      </c>
      <c r="B3418" s="6" t="s">
        <v>543</v>
      </c>
      <c r="C3418" s="6" t="s">
        <v>23</v>
      </c>
      <c r="D3418" s="6" t="s">
        <v>7425</v>
      </c>
      <c r="E3418" s="6" t="s">
        <v>985</v>
      </c>
      <c r="F3418" s="6" t="s">
        <v>986</v>
      </c>
      <c r="G3418" s="7">
        <v>0.4</v>
      </c>
      <c r="H3418" s="6" t="s">
        <v>99</v>
      </c>
      <c r="I3418" s="6" t="s">
        <v>20</v>
      </c>
      <c r="J3418" s="6">
        <v>2026.0</v>
      </c>
      <c r="L3418" s="6">
        <v>3.0</v>
      </c>
      <c r="M3418" s="8">
        <f t="shared" si="3"/>
        <v>1.2</v>
      </c>
      <c r="P3418" s="9"/>
    </row>
    <row r="3419">
      <c r="A3419" s="6" t="s">
        <v>7426</v>
      </c>
      <c r="B3419" s="6" t="s">
        <v>194</v>
      </c>
      <c r="C3419" s="6" t="s">
        <v>571</v>
      </c>
      <c r="D3419" s="6" t="s">
        <v>7427</v>
      </c>
      <c r="E3419" s="6" t="s">
        <v>3515</v>
      </c>
      <c r="F3419" s="6" t="s">
        <v>7428</v>
      </c>
      <c r="G3419" s="7">
        <v>0.1</v>
      </c>
      <c r="H3419" s="6" t="s">
        <v>1519</v>
      </c>
      <c r="I3419" s="6" t="s">
        <v>20</v>
      </c>
      <c r="J3419" s="6">
        <v>2005.0</v>
      </c>
      <c r="L3419" s="6">
        <v>1.0</v>
      </c>
      <c r="M3419" s="8">
        <f t="shared" si="3"/>
        <v>0.1</v>
      </c>
      <c r="P3419" s="9"/>
    </row>
    <row r="3420">
      <c r="A3420" s="6" t="s">
        <v>7429</v>
      </c>
      <c r="B3420" s="6" t="s">
        <v>7430</v>
      </c>
      <c r="C3420" s="6" t="s">
        <v>23</v>
      </c>
      <c r="D3420" s="6" t="s">
        <v>7431</v>
      </c>
      <c r="E3420" s="6" t="s">
        <v>7432</v>
      </c>
      <c r="F3420" s="6" t="s">
        <v>215</v>
      </c>
      <c r="G3420" s="7">
        <v>0.1</v>
      </c>
      <c r="H3420" s="6" t="s">
        <v>192</v>
      </c>
      <c r="I3420" s="6" t="s">
        <v>20</v>
      </c>
      <c r="J3420" s="6">
        <v>2026.0</v>
      </c>
      <c r="K3420" s="10">
        <v>46084.0</v>
      </c>
      <c r="L3420" s="6">
        <v>1.0</v>
      </c>
      <c r="M3420" s="8">
        <f t="shared" si="3"/>
        <v>0.1</v>
      </c>
      <c r="P3420" s="9"/>
    </row>
    <row r="3421">
      <c r="A3421" s="6" t="s">
        <v>7433</v>
      </c>
      <c r="B3421" s="6" t="s">
        <v>182</v>
      </c>
      <c r="C3421" s="6" t="s">
        <v>48</v>
      </c>
      <c r="D3421" s="6" t="s">
        <v>7434</v>
      </c>
      <c r="E3421" s="6" t="s">
        <v>112</v>
      </c>
      <c r="F3421" s="6" t="s">
        <v>65</v>
      </c>
      <c r="G3421" s="7">
        <v>0.71</v>
      </c>
      <c r="H3421" s="6" t="s">
        <v>2401</v>
      </c>
      <c r="I3421" s="6" t="s">
        <v>20</v>
      </c>
      <c r="J3421" s="6">
        <v>2018.0</v>
      </c>
      <c r="L3421" s="6">
        <v>1.0</v>
      </c>
      <c r="M3421" s="8">
        <f t="shared" si="3"/>
        <v>0.71</v>
      </c>
      <c r="P3421" s="9"/>
    </row>
    <row r="3422">
      <c r="A3422" s="6" t="s">
        <v>7435</v>
      </c>
      <c r="B3422" s="6" t="s">
        <v>182</v>
      </c>
      <c r="C3422" s="6" t="s">
        <v>23</v>
      </c>
      <c r="D3422" s="6" t="s">
        <v>7436</v>
      </c>
      <c r="E3422" s="6" t="s">
        <v>502</v>
      </c>
      <c r="F3422" s="6" t="s">
        <v>65</v>
      </c>
      <c r="G3422" s="7">
        <v>0.1</v>
      </c>
      <c r="H3422" s="6" t="s">
        <v>109</v>
      </c>
      <c r="I3422" s="6" t="s">
        <v>20</v>
      </c>
      <c r="J3422" s="6">
        <v>1995.0</v>
      </c>
      <c r="K3422" s="6">
        <v>0.1</v>
      </c>
      <c r="L3422" s="6">
        <v>1.0</v>
      </c>
      <c r="M3422" s="8">
        <f t="shared" si="3"/>
        <v>0.1</v>
      </c>
      <c r="P3422" s="9"/>
    </row>
    <row r="3423">
      <c r="A3423" s="6" t="s">
        <v>7437</v>
      </c>
      <c r="B3423" s="6" t="s">
        <v>194</v>
      </c>
      <c r="C3423" s="6" t="s">
        <v>48</v>
      </c>
      <c r="D3423" s="6" t="s">
        <v>7438</v>
      </c>
      <c r="E3423" s="6" t="s">
        <v>79</v>
      </c>
      <c r="F3423" s="6" t="s">
        <v>51</v>
      </c>
      <c r="G3423" s="7">
        <v>0.19</v>
      </c>
      <c r="H3423" s="6" t="s">
        <v>641</v>
      </c>
      <c r="I3423" s="6" t="s">
        <v>20</v>
      </c>
      <c r="J3423" s="6">
        <v>2026.0</v>
      </c>
      <c r="L3423" s="6">
        <v>1.0</v>
      </c>
      <c r="M3423" s="8">
        <f t="shared" si="3"/>
        <v>0.19</v>
      </c>
      <c r="P3423" s="9"/>
    </row>
    <row r="3424">
      <c r="A3424" s="6" t="s">
        <v>7439</v>
      </c>
      <c r="B3424" s="6" t="s">
        <v>7440</v>
      </c>
      <c r="C3424" s="6" t="s">
        <v>34</v>
      </c>
      <c r="D3424" s="6" t="s">
        <v>7441</v>
      </c>
      <c r="E3424" s="6" t="s">
        <v>1767</v>
      </c>
      <c r="F3424" s="6" t="s">
        <v>18</v>
      </c>
      <c r="G3424" s="7">
        <v>0.05</v>
      </c>
      <c r="H3424" s="6" t="s">
        <v>209</v>
      </c>
      <c r="I3424" s="6" t="s">
        <v>20</v>
      </c>
      <c r="J3424" s="6">
        <v>2025.0</v>
      </c>
      <c r="K3424" s="10">
        <v>46113.0</v>
      </c>
      <c r="L3424" s="6">
        <v>7.0</v>
      </c>
      <c r="M3424" s="8">
        <f t="shared" si="3"/>
        <v>0.35</v>
      </c>
      <c r="P3424" s="9"/>
    </row>
    <row r="3425">
      <c r="A3425" s="6" t="s">
        <v>7442</v>
      </c>
      <c r="B3425" s="6" t="s">
        <v>7443</v>
      </c>
      <c r="C3425" s="6" t="s">
        <v>48</v>
      </c>
      <c r="D3425" s="6" t="s">
        <v>7444</v>
      </c>
      <c r="E3425" s="6" t="s">
        <v>2129</v>
      </c>
      <c r="F3425" s="6" t="s">
        <v>65</v>
      </c>
      <c r="G3425" s="7">
        <v>0.11</v>
      </c>
      <c r="H3425" s="6" t="s">
        <v>994</v>
      </c>
      <c r="I3425" s="6" t="s">
        <v>20</v>
      </c>
      <c r="J3425" s="6">
        <v>2024.0</v>
      </c>
      <c r="K3425" s="10">
        <v>46147.0</v>
      </c>
      <c r="L3425" s="6">
        <v>1.0</v>
      </c>
      <c r="M3425" s="8">
        <f t="shared" si="3"/>
        <v>0.11</v>
      </c>
      <c r="P3425" s="9"/>
    </row>
    <row r="3426">
      <c r="A3426" s="6" t="s">
        <v>7445</v>
      </c>
      <c r="B3426" s="6" t="s">
        <v>796</v>
      </c>
      <c r="C3426" s="6" t="s">
        <v>15</v>
      </c>
      <c r="D3426" s="6" t="s">
        <v>7446</v>
      </c>
      <c r="E3426" s="6" t="s">
        <v>650</v>
      </c>
      <c r="F3426" s="6" t="s">
        <v>858</v>
      </c>
      <c r="G3426" s="7">
        <v>0.37</v>
      </c>
      <c r="H3426" s="6" t="s">
        <v>807</v>
      </c>
      <c r="I3426" s="6" t="s">
        <v>20</v>
      </c>
      <c r="J3426" s="6">
        <v>2026.0</v>
      </c>
      <c r="L3426" s="6">
        <v>1.0</v>
      </c>
      <c r="M3426" s="8">
        <f t="shared" si="3"/>
        <v>0.37</v>
      </c>
      <c r="P3426" s="9"/>
    </row>
    <row r="3427">
      <c r="A3427" s="6" t="s">
        <v>7447</v>
      </c>
      <c r="B3427" s="6" t="s">
        <v>1141</v>
      </c>
      <c r="C3427" s="6" t="s">
        <v>48</v>
      </c>
      <c r="D3427" s="6" t="s">
        <v>7448</v>
      </c>
      <c r="E3427" s="6" t="s">
        <v>5914</v>
      </c>
      <c r="F3427" s="6" t="s">
        <v>51</v>
      </c>
      <c r="G3427" s="7">
        <v>0.05</v>
      </c>
      <c r="H3427" s="6" t="s">
        <v>359</v>
      </c>
      <c r="I3427" s="6" t="s">
        <v>20</v>
      </c>
      <c r="J3427" s="6">
        <v>2014.0</v>
      </c>
      <c r="K3427" s="10">
        <v>46178.0</v>
      </c>
      <c r="L3427" s="6">
        <v>1.0</v>
      </c>
      <c r="M3427" s="8">
        <f t="shared" si="3"/>
        <v>0.05</v>
      </c>
      <c r="P3427" s="9"/>
    </row>
    <row r="3428">
      <c r="A3428" s="6" t="s">
        <v>7449</v>
      </c>
      <c r="B3428" s="6" t="s">
        <v>7450</v>
      </c>
      <c r="C3428" s="6" t="s">
        <v>23</v>
      </c>
      <c r="D3428" s="6" t="s">
        <v>7451</v>
      </c>
      <c r="E3428" s="6" t="s">
        <v>298</v>
      </c>
      <c r="F3428" s="6" t="s">
        <v>159</v>
      </c>
      <c r="G3428" s="7">
        <v>0.03</v>
      </c>
      <c r="H3428" s="6" t="s">
        <v>562</v>
      </c>
      <c r="I3428" s="6" t="s">
        <v>20</v>
      </c>
      <c r="J3428" s="6">
        <v>2017.0</v>
      </c>
      <c r="K3428" s="10">
        <v>46085.0</v>
      </c>
      <c r="L3428" s="6">
        <v>3.0</v>
      </c>
      <c r="M3428" s="8">
        <f t="shared" si="3"/>
        <v>0.09</v>
      </c>
      <c r="P3428" s="9"/>
    </row>
    <row r="3429">
      <c r="A3429" s="6" t="s">
        <v>7452</v>
      </c>
      <c r="B3429" s="6" t="s">
        <v>2789</v>
      </c>
      <c r="C3429" s="6" t="s">
        <v>15</v>
      </c>
      <c r="D3429" s="6" t="s">
        <v>7453</v>
      </c>
      <c r="E3429" s="6" t="s">
        <v>179</v>
      </c>
      <c r="F3429" s="6" t="s">
        <v>65</v>
      </c>
      <c r="G3429" s="7">
        <v>0.25</v>
      </c>
      <c r="H3429" s="6" t="s">
        <v>209</v>
      </c>
      <c r="I3429" s="6" t="s">
        <v>20</v>
      </c>
      <c r="J3429" s="6">
        <v>2025.0</v>
      </c>
      <c r="K3429" s="10">
        <v>46024.0</v>
      </c>
      <c r="L3429" s="6">
        <v>3.0</v>
      </c>
      <c r="M3429" s="8">
        <f t="shared" si="3"/>
        <v>0.75</v>
      </c>
      <c r="P3429" s="9"/>
    </row>
    <row r="3430">
      <c r="A3430" s="6" t="s">
        <v>7454</v>
      </c>
      <c r="B3430" s="6" t="s">
        <v>7455</v>
      </c>
      <c r="C3430" s="6" t="s">
        <v>23</v>
      </c>
      <c r="D3430" s="6" t="s">
        <v>7456</v>
      </c>
      <c r="E3430" s="6" t="s">
        <v>2312</v>
      </c>
      <c r="F3430" s="6" t="s">
        <v>103</v>
      </c>
      <c r="G3430" s="7">
        <v>0.03</v>
      </c>
      <c r="H3430" s="6" t="s">
        <v>555</v>
      </c>
      <c r="I3430" s="6" t="s">
        <v>20</v>
      </c>
      <c r="J3430" s="6">
        <v>2017.0</v>
      </c>
      <c r="K3430" s="10">
        <v>46084.0</v>
      </c>
      <c r="L3430" s="6">
        <v>1.0</v>
      </c>
      <c r="M3430" s="8">
        <f t="shared" si="3"/>
        <v>0.03</v>
      </c>
      <c r="P3430" s="9"/>
    </row>
    <row r="3431">
      <c r="A3431" s="6" t="s">
        <v>7457</v>
      </c>
      <c r="B3431" s="6" t="s">
        <v>62</v>
      </c>
      <c r="C3431" s="6" t="s">
        <v>23</v>
      </c>
      <c r="D3431" s="6" t="s">
        <v>7458</v>
      </c>
      <c r="E3431" s="6" t="s">
        <v>149</v>
      </c>
      <c r="F3431" s="6" t="s">
        <v>18</v>
      </c>
      <c r="G3431" s="7">
        <v>0.04</v>
      </c>
      <c r="H3431" s="6" t="s">
        <v>185</v>
      </c>
      <c r="I3431" s="6" t="s">
        <v>20</v>
      </c>
      <c r="J3431" s="6">
        <v>2019.0</v>
      </c>
      <c r="L3431" s="6">
        <v>2.0</v>
      </c>
      <c r="M3431" s="8">
        <f t="shared" si="3"/>
        <v>0.08</v>
      </c>
      <c r="P3431" s="9"/>
    </row>
    <row r="3432">
      <c r="A3432" s="6" t="s">
        <v>7457</v>
      </c>
      <c r="B3432" s="6" t="s">
        <v>62</v>
      </c>
      <c r="C3432" s="6" t="s">
        <v>23</v>
      </c>
      <c r="D3432" s="6" t="s">
        <v>7458</v>
      </c>
      <c r="E3432" s="6" t="s">
        <v>149</v>
      </c>
      <c r="F3432" s="6" t="s">
        <v>18</v>
      </c>
      <c r="G3432" s="7">
        <v>0.04</v>
      </c>
      <c r="H3432" s="6" t="s">
        <v>185</v>
      </c>
      <c r="I3432" s="6" t="s">
        <v>20</v>
      </c>
      <c r="J3432" s="6">
        <v>2019.0</v>
      </c>
      <c r="L3432" s="6">
        <v>1.0</v>
      </c>
      <c r="M3432" s="8">
        <f t="shared" si="3"/>
        <v>0.04</v>
      </c>
      <c r="N3432" s="6" t="s">
        <v>518</v>
      </c>
      <c r="P3432" s="9"/>
    </row>
    <row r="3433">
      <c r="A3433" s="6" t="s">
        <v>7459</v>
      </c>
      <c r="B3433" s="6" t="s">
        <v>1990</v>
      </c>
      <c r="C3433" s="6" t="s">
        <v>23</v>
      </c>
      <c r="D3433" s="6" t="s">
        <v>2962</v>
      </c>
      <c r="E3433" s="6" t="s">
        <v>25</v>
      </c>
      <c r="F3433" s="6" t="s">
        <v>18</v>
      </c>
      <c r="G3433" s="7">
        <v>0.06</v>
      </c>
      <c r="H3433" s="6" t="s">
        <v>204</v>
      </c>
      <c r="I3433" s="6" t="s">
        <v>20</v>
      </c>
      <c r="J3433" s="6">
        <v>2026.0</v>
      </c>
      <c r="L3433" s="6">
        <v>1.0</v>
      </c>
      <c r="M3433" s="8">
        <f t="shared" si="3"/>
        <v>0.06</v>
      </c>
      <c r="P3433" s="9"/>
    </row>
    <row r="3434">
      <c r="A3434" s="6" t="s">
        <v>7460</v>
      </c>
      <c r="B3434" s="6" t="s">
        <v>1052</v>
      </c>
      <c r="C3434" s="6" t="s">
        <v>23</v>
      </c>
      <c r="D3434" s="6" t="s">
        <v>7461</v>
      </c>
      <c r="E3434" s="6" t="s">
        <v>36</v>
      </c>
      <c r="F3434" s="6" t="s">
        <v>37</v>
      </c>
      <c r="G3434" s="7">
        <v>0.03</v>
      </c>
      <c r="H3434" s="6" t="s">
        <v>113</v>
      </c>
      <c r="I3434" s="6" t="s">
        <v>20</v>
      </c>
      <c r="J3434" s="6">
        <v>2024.0</v>
      </c>
      <c r="L3434" s="6">
        <v>3.0</v>
      </c>
      <c r="M3434" s="8">
        <f t="shared" si="3"/>
        <v>0.09</v>
      </c>
      <c r="P3434" s="9"/>
    </row>
    <row r="3435">
      <c r="A3435" s="6" t="s">
        <v>7462</v>
      </c>
      <c r="B3435" s="6" t="s">
        <v>143</v>
      </c>
      <c r="C3435" s="6" t="s">
        <v>23</v>
      </c>
      <c r="D3435" s="6" t="s">
        <v>7463</v>
      </c>
      <c r="E3435" s="6" t="s">
        <v>36</v>
      </c>
      <c r="F3435" s="6" t="s">
        <v>37</v>
      </c>
      <c r="G3435" s="7">
        <v>0.03</v>
      </c>
      <c r="H3435" s="6" t="s">
        <v>113</v>
      </c>
      <c r="I3435" s="6" t="s">
        <v>20</v>
      </c>
      <c r="J3435" s="6">
        <v>2024.0</v>
      </c>
      <c r="L3435" s="6">
        <v>1.0</v>
      </c>
      <c r="M3435" s="8">
        <f t="shared" si="3"/>
        <v>0.03</v>
      </c>
      <c r="P3435" s="9"/>
    </row>
    <row r="3436">
      <c r="A3436" s="6" t="s">
        <v>7464</v>
      </c>
      <c r="B3436" s="6" t="s">
        <v>62</v>
      </c>
      <c r="C3436" s="6" t="s">
        <v>23</v>
      </c>
      <c r="D3436" s="6" t="s">
        <v>7465</v>
      </c>
      <c r="E3436" s="6" t="s">
        <v>558</v>
      </c>
      <c r="F3436" s="6" t="s">
        <v>18</v>
      </c>
      <c r="G3436" s="7">
        <v>0.06</v>
      </c>
      <c r="H3436" s="6" t="s">
        <v>1293</v>
      </c>
      <c r="I3436" s="6" t="s">
        <v>20</v>
      </c>
      <c r="J3436" s="6">
        <v>2011.0</v>
      </c>
      <c r="L3436" s="6">
        <v>1.0</v>
      </c>
      <c r="M3436" s="8">
        <f t="shared" si="3"/>
        <v>0.06</v>
      </c>
      <c r="P3436" s="9"/>
    </row>
    <row r="3437">
      <c r="A3437" s="6" t="s">
        <v>7466</v>
      </c>
      <c r="B3437" s="6" t="s">
        <v>1449</v>
      </c>
      <c r="C3437" s="6" t="s">
        <v>23</v>
      </c>
      <c r="D3437" s="6" t="s">
        <v>7467</v>
      </c>
      <c r="E3437" s="6" t="s">
        <v>153</v>
      </c>
      <c r="F3437" s="6" t="s">
        <v>103</v>
      </c>
      <c r="G3437" s="7">
        <v>0.08</v>
      </c>
      <c r="H3437" s="6" t="s">
        <v>396</v>
      </c>
      <c r="I3437" s="6" t="s">
        <v>20</v>
      </c>
      <c r="J3437" s="6">
        <v>2007.0</v>
      </c>
      <c r="K3437" s="10">
        <v>46056.0</v>
      </c>
      <c r="L3437" s="6">
        <v>1.0</v>
      </c>
      <c r="M3437" s="8">
        <f t="shared" si="3"/>
        <v>0.08</v>
      </c>
      <c r="P3437" s="9"/>
    </row>
    <row r="3438">
      <c r="A3438" s="6" t="s">
        <v>7468</v>
      </c>
      <c r="B3438" s="6" t="s">
        <v>7469</v>
      </c>
      <c r="C3438" s="6" t="s">
        <v>15</v>
      </c>
      <c r="D3438" s="6" t="s">
        <v>7470</v>
      </c>
      <c r="E3438" s="6" t="s">
        <v>618</v>
      </c>
      <c r="F3438" s="6" t="s">
        <v>159</v>
      </c>
      <c r="G3438" s="7">
        <v>0.19</v>
      </c>
      <c r="H3438" s="6" t="s">
        <v>209</v>
      </c>
      <c r="I3438" s="6" t="s">
        <v>20</v>
      </c>
      <c r="J3438" s="6">
        <v>2025.0</v>
      </c>
      <c r="K3438" s="10">
        <v>46083.0</v>
      </c>
      <c r="L3438" s="6">
        <v>1.0</v>
      </c>
      <c r="M3438" s="8">
        <f t="shared" si="3"/>
        <v>0.19</v>
      </c>
      <c r="P3438" s="9"/>
    </row>
    <row r="3439">
      <c r="A3439" s="6" t="s">
        <v>7471</v>
      </c>
      <c r="B3439" s="6" t="s">
        <v>1052</v>
      </c>
      <c r="C3439" s="6" t="s">
        <v>48</v>
      </c>
      <c r="D3439" s="6" t="s">
        <v>7472</v>
      </c>
      <c r="E3439" s="6" t="s">
        <v>175</v>
      </c>
      <c r="F3439" s="6" t="s">
        <v>51</v>
      </c>
      <c r="G3439" s="7">
        <v>0.17</v>
      </c>
      <c r="H3439" s="6" t="s">
        <v>192</v>
      </c>
      <c r="I3439" s="6" t="s">
        <v>20</v>
      </c>
      <c r="J3439" s="6">
        <v>2026.0</v>
      </c>
      <c r="L3439" s="6">
        <v>1.0</v>
      </c>
      <c r="M3439" s="8">
        <f t="shared" si="3"/>
        <v>0.17</v>
      </c>
      <c r="P3439" s="9"/>
    </row>
    <row r="3440">
      <c r="A3440" s="6" t="s">
        <v>7473</v>
      </c>
      <c r="B3440" s="6" t="s">
        <v>7474</v>
      </c>
      <c r="C3440" s="6" t="s">
        <v>15</v>
      </c>
      <c r="D3440" s="6" t="s">
        <v>7475</v>
      </c>
      <c r="E3440" s="6" t="s">
        <v>1767</v>
      </c>
      <c r="F3440" s="6" t="s">
        <v>18</v>
      </c>
      <c r="G3440" s="7">
        <v>1.13</v>
      </c>
      <c r="H3440" s="6" t="s">
        <v>209</v>
      </c>
      <c r="I3440" s="6" t="s">
        <v>55</v>
      </c>
      <c r="J3440" s="6">
        <v>2025.0</v>
      </c>
      <c r="K3440" s="10">
        <v>46055.0</v>
      </c>
      <c r="L3440" s="6">
        <v>1.0</v>
      </c>
      <c r="M3440" s="8">
        <f t="shared" si="3"/>
        <v>1.13</v>
      </c>
      <c r="P3440" s="9"/>
    </row>
    <row r="3441">
      <c r="A3441" s="6" t="s">
        <v>7473</v>
      </c>
      <c r="B3441" s="6" t="s">
        <v>7474</v>
      </c>
      <c r="C3441" s="6" t="s">
        <v>15</v>
      </c>
      <c r="D3441" s="6" t="s">
        <v>7475</v>
      </c>
      <c r="E3441" s="6" t="s">
        <v>1767</v>
      </c>
      <c r="F3441" s="6" t="s">
        <v>18</v>
      </c>
      <c r="G3441" s="7">
        <v>0.19</v>
      </c>
      <c r="H3441" s="6" t="s">
        <v>209</v>
      </c>
      <c r="I3441" s="6" t="s">
        <v>20</v>
      </c>
      <c r="J3441" s="6">
        <v>2025.0</v>
      </c>
      <c r="K3441" s="10">
        <v>46055.0</v>
      </c>
      <c r="L3441" s="6">
        <v>1.0</v>
      </c>
      <c r="M3441" s="8">
        <f t="shared" si="3"/>
        <v>0.19</v>
      </c>
      <c r="P3441" s="9"/>
    </row>
    <row r="3442">
      <c r="A3442" s="6" t="s">
        <v>7476</v>
      </c>
      <c r="B3442" s="6" t="s">
        <v>7477</v>
      </c>
      <c r="C3442" s="6" t="s">
        <v>34</v>
      </c>
      <c r="D3442" s="6" t="s">
        <v>7478</v>
      </c>
      <c r="E3442" s="6" t="s">
        <v>3882</v>
      </c>
      <c r="F3442" s="6" t="s">
        <v>2365</v>
      </c>
      <c r="G3442" s="7">
        <v>0.05</v>
      </c>
      <c r="H3442" s="6" t="s">
        <v>3050</v>
      </c>
      <c r="I3442" s="6" t="s">
        <v>20</v>
      </c>
      <c r="J3442" s="6">
        <v>2025.0</v>
      </c>
      <c r="K3442" s="10">
        <v>46056.0</v>
      </c>
      <c r="L3442" s="6">
        <v>13.0</v>
      </c>
      <c r="M3442" s="8">
        <f t="shared" si="3"/>
        <v>0.65</v>
      </c>
      <c r="P3442" s="9"/>
    </row>
    <row r="3443">
      <c r="A3443" s="6" t="s">
        <v>7479</v>
      </c>
      <c r="B3443" s="6" t="s">
        <v>229</v>
      </c>
      <c r="C3443" s="6" t="s">
        <v>212</v>
      </c>
      <c r="D3443" s="6" t="s">
        <v>7480</v>
      </c>
      <c r="E3443" s="6" t="s">
        <v>231</v>
      </c>
      <c r="F3443" s="6" t="s">
        <v>37</v>
      </c>
      <c r="G3443" s="7">
        <v>0.15</v>
      </c>
      <c r="H3443" s="6" t="s">
        <v>209</v>
      </c>
      <c r="I3443" s="6" t="s">
        <v>20</v>
      </c>
      <c r="J3443" s="6">
        <v>2025.0</v>
      </c>
      <c r="L3443" s="6">
        <v>3.0</v>
      </c>
      <c r="M3443" s="8">
        <f t="shared" si="3"/>
        <v>0.45</v>
      </c>
      <c r="P3443" s="9"/>
    </row>
    <row r="3444">
      <c r="A3444" s="6" t="s">
        <v>7481</v>
      </c>
      <c r="B3444" s="6" t="s">
        <v>7482</v>
      </c>
      <c r="C3444" s="6" t="s">
        <v>23</v>
      </c>
      <c r="D3444" s="6" t="s">
        <v>7483</v>
      </c>
      <c r="E3444" s="6" t="s">
        <v>1771</v>
      </c>
      <c r="F3444" s="6" t="s">
        <v>51</v>
      </c>
      <c r="G3444" s="7">
        <v>0.03</v>
      </c>
      <c r="H3444" s="6" t="s">
        <v>45</v>
      </c>
      <c r="I3444" s="6" t="s">
        <v>20</v>
      </c>
      <c r="J3444" s="6">
        <v>2025.0</v>
      </c>
      <c r="K3444" s="10">
        <v>46145.0</v>
      </c>
      <c r="L3444" s="6">
        <v>3.0</v>
      </c>
      <c r="M3444" s="8">
        <f t="shared" si="3"/>
        <v>0.09</v>
      </c>
      <c r="P3444" s="9"/>
    </row>
    <row r="3445">
      <c r="A3445" s="6" t="s">
        <v>7481</v>
      </c>
      <c r="B3445" s="6" t="s">
        <v>7482</v>
      </c>
      <c r="C3445" s="6" t="s">
        <v>23</v>
      </c>
      <c r="D3445" s="6" t="s">
        <v>7483</v>
      </c>
      <c r="E3445" s="6" t="s">
        <v>1771</v>
      </c>
      <c r="F3445" s="6" t="s">
        <v>51</v>
      </c>
      <c r="G3445" s="7">
        <v>0.04</v>
      </c>
      <c r="H3445" s="6" t="s">
        <v>45</v>
      </c>
      <c r="I3445" s="6" t="s">
        <v>20</v>
      </c>
      <c r="J3445" s="6">
        <v>2025.0</v>
      </c>
      <c r="K3445" s="10">
        <v>46145.0</v>
      </c>
      <c r="L3445" s="6">
        <v>4.0</v>
      </c>
      <c r="M3445" s="8">
        <f t="shared" si="3"/>
        <v>0.16</v>
      </c>
      <c r="P3445" s="9"/>
    </row>
    <row r="3446">
      <c r="A3446" s="6" t="s">
        <v>7484</v>
      </c>
      <c r="B3446" s="6" t="s">
        <v>182</v>
      </c>
      <c r="C3446" s="6" t="s">
        <v>23</v>
      </c>
      <c r="D3446" s="6" t="s">
        <v>7485</v>
      </c>
      <c r="E3446" s="6" t="s">
        <v>223</v>
      </c>
      <c r="F3446" s="6" t="s">
        <v>159</v>
      </c>
      <c r="G3446" s="7">
        <v>0.07</v>
      </c>
      <c r="H3446" s="6" t="s">
        <v>93</v>
      </c>
      <c r="I3446" s="6" t="s">
        <v>20</v>
      </c>
      <c r="J3446" s="6">
        <v>2016.0</v>
      </c>
      <c r="L3446" s="6">
        <v>1.0</v>
      </c>
      <c r="M3446" s="8">
        <f t="shared" si="3"/>
        <v>0.07</v>
      </c>
      <c r="P3446" s="9"/>
    </row>
    <row r="3447">
      <c r="A3447" s="6" t="s">
        <v>7486</v>
      </c>
      <c r="B3447" s="6" t="s">
        <v>472</v>
      </c>
      <c r="C3447" s="6" t="s">
        <v>23</v>
      </c>
      <c r="D3447" s="6" t="s">
        <v>7487</v>
      </c>
      <c r="E3447" s="6" t="s">
        <v>611</v>
      </c>
      <c r="F3447" s="6" t="s">
        <v>103</v>
      </c>
      <c r="G3447" s="7">
        <v>0.05</v>
      </c>
      <c r="H3447" s="6" t="s">
        <v>184</v>
      </c>
      <c r="I3447" s="6" t="s">
        <v>20</v>
      </c>
      <c r="J3447" s="6">
        <v>2015.0</v>
      </c>
      <c r="K3447" s="10">
        <v>46056.0</v>
      </c>
      <c r="L3447" s="6">
        <v>5.0</v>
      </c>
      <c r="M3447" s="8">
        <f t="shared" si="3"/>
        <v>0.25</v>
      </c>
      <c r="P3447" s="9"/>
    </row>
    <row r="3448">
      <c r="A3448" s="6" t="s">
        <v>7486</v>
      </c>
      <c r="B3448" s="6" t="s">
        <v>472</v>
      </c>
      <c r="C3448" s="6" t="s">
        <v>23</v>
      </c>
      <c r="D3448" s="6" t="s">
        <v>7487</v>
      </c>
      <c r="E3448" s="6" t="s">
        <v>611</v>
      </c>
      <c r="F3448" s="6" t="s">
        <v>103</v>
      </c>
      <c r="G3448" s="7">
        <v>0.05</v>
      </c>
      <c r="H3448" s="6" t="s">
        <v>184</v>
      </c>
      <c r="I3448" s="6" t="s">
        <v>20</v>
      </c>
      <c r="J3448" s="6">
        <v>2015.0</v>
      </c>
      <c r="K3448" s="10">
        <v>46056.0</v>
      </c>
      <c r="L3448" s="6">
        <v>2.0</v>
      </c>
      <c r="M3448" s="8">
        <f t="shared" si="3"/>
        <v>0.1</v>
      </c>
      <c r="P3448" s="9"/>
    </row>
    <row r="3449">
      <c r="A3449" s="6" t="s">
        <v>7488</v>
      </c>
      <c r="B3449" s="6" t="s">
        <v>7489</v>
      </c>
      <c r="C3449" s="6" t="s">
        <v>48</v>
      </c>
      <c r="D3449" s="6" t="s">
        <v>7490</v>
      </c>
      <c r="E3449" s="6" t="s">
        <v>825</v>
      </c>
      <c r="F3449" s="6" t="s">
        <v>826</v>
      </c>
      <c r="G3449" s="7">
        <v>0.1</v>
      </c>
      <c r="H3449" s="6" t="s">
        <v>3810</v>
      </c>
      <c r="I3449" s="6" t="s">
        <v>20</v>
      </c>
      <c r="J3449" s="6">
        <v>2023.0</v>
      </c>
      <c r="K3449" s="10">
        <v>46084.0</v>
      </c>
      <c r="L3449" s="6">
        <v>1.0</v>
      </c>
      <c r="M3449" s="8">
        <f t="shared" si="3"/>
        <v>0.1</v>
      </c>
      <c r="P3449" s="9"/>
    </row>
    <row r="3450">
      <c r="A3450" s="6" t="s">
        <v>7491</v>
      </c>
      <c r="B3450" s="6" t="s">
        <v>424</v>
      </c>
      <c r="C3450" s="6" t="s">
        <v>23</v>
      </c>
      <c r="D3450" s="6" t="s">
        <v>7492</v>
      </c>
      <c r="F3450" s="6" t="s">
        <v>37</v>
      </c>
      <c r="G3450" s="7">
        <v>0.3</v>
      </c>
      <c r="H3450" s="6" t="s">
        <v>577</v>
      </c>
      <c r="I3450" s="6" t="s">
        <v>20</v>
      </c>
      <c r="J3450" s="6">
        <v>2017.0</v>
      </c>
      <c r="L3450" s="6">
        <v>2.0</v>
      </c>
      <c r="M3450" s="8">
        <f t="shared" si="3"/>
        <v>0.6</v>
      </c>
      <c r="P3450" s="9"/>
    </row>
    <row r="3451">
      <c r="A3451" s="6" t="s">
        <v>7491</v>
      </c>
      <c r="B3451" s="6" t="s">
        <v>424</v>
      </c>
      <c r="C3451" s="6" t="s">
        <v>23</v>
      </c>
      <c r="D3451" s="6" t="s">
        <v>7492</v>
      </c>
      <c r="F3451" s="6" t="s">
        <v>37</v>
      </c>
      <c r="G3451" s="7">
        <v>0.3</v>
      </c>
      <c r="H3451" s="6" t="s">
        <v>188</v>
      </c>
      <c r="I3451" s="6" t="s">
        <v>20</v>
      </c>
      <c r="J3451" s="6">
        <v>2014.0</v>
      </c>
      <c r="L3451" s="6">
        <v>1.0</v>
      </c>
      <c r="M3451" s="8">
        <f t="shared" si="3"/>
        <v>0.3</v>
      </c>
      <c r="P3451" s="9"/>
    </row>
    <row r="3452">
      <c r="A3452" s="6" t="s">
        <v>7493</v>
      </c>
      <c r="B3452" s="6" t="s">
        <v>796</v>
      </c>
      <c r="C3452" s="6" t="s">
        <v>34</v>
      </c>
      <c r="D3452" s="6" t="s">
        <v>7494</v>
      </c>
      <c r="E3452" s="6" t="s">
        <v>279</v>
      </c>
      <c r="F3452" s="6" t="s">
        <v>51</v>
      </c>
      <c r="G3452" s="7">
        <v>0.05</v>
      </c>
      <c r="H3452" s="6" t="s">
        <v>1043</v>
      </c>
      <c r="I3452" s="6" t="s">
        <v>20</v>
      </c>
      <c r="J3452" s="6">
        <v>2025.0</v>
      </c>
      <c r="L3452" s="6">
        <v>1.0</v>
      </c>
      <c r="M3452" s="8">
        <f t="shared" si="3"/>
        <v>0.05</v>
      </c>
      <c r="P3452" s="9"/>
    </row>
    <row r="3453">
      <c r="A3453" s="6" t="s">
        <v>7495</v>
      </c>
      <c r="B3453" s="6" t="s">
        <v>62</v>
      </c>
      <c r="C3453" s="6" t="s">
        <v>23</v>
      </c>
      <c r="D3453" s="6" t="s">
        <v>7496</v>
      </c>
      <c r="E3453" s="6" t="s">
        <v>149</v>
      </c>
      <c r="F3453" s="6" t="s">
        <v>18</v>
      </c>
      <c r="G3453" s="7">
        <v>0.04</v>
      </c>
      <c r="H3453" s="6" t="s">
        <v>1084</v>
      </c>
      <c r="I3453" s="6" t="s">
        <v>20</v>
      </c>
      <c r="J3453" s="6">
        <v>2018.0</v>
      </c>
      <c r="L3453" s="6">
        <v>4.0</v>
      </c>
      <c r="M3453" s="8">
        <f t="shared" si="3"/>
        <v>0.16</v>
      </c>
      <c r="P3453" s="9"/>
    </row>
    <row r="3454">
      <c r="A3454" s="6" t="s">
        <v>7497</v>
      </c>
      <c r="B3454" s="6" t="s">
        <v>3893</v>
      </c>
      <c r="C3454" s="6" t="s">
        <v>34</v>
      </c>
      <c r="D3454" s="6" t="s">
        <v>7498</v>
      </c>
      <c r="E3454" s="6" t="s">
        <v>208</v>
      </c>
      <c r="F3454" s="6" t="s">
        <v>51</v>
      </c>
      <c r="G3454" s="7">
        <v>0.13</v>
      </c>
      <c r="H3454" s="6" t="s">
        <v>38</v>
      </c>
      <c r="I3454" s="6" t="s">
        <v>20</v>
      </c>
      <c r="J3454" s="6">
        <v>2026.0</v>
      </c>
      <c r="K3454" s="10">
        <v>46082.0</v>
      </c>
      <c r="L3454" s="6">
        <v>1.0</v>
      </c>
      <c r="M3454" s="8">
        <f t="shared" si="3"/>
        <v>0.13</v>
      </c>
      <c r="P3454" s="9"/>
    </row>
    <row r="3455">
      <c r="A3455" s="6" t="s">
        <v>7497</v>
      </c>
      <c r="B3455" s="6" t="s">
        <v>3893</v>
      </c>
      <c r="C3455" s="6" t="s">
        <v>34</v>
      </c>
      <c r="D3455" s="6" t="s">
        <v>7498</v>
      </c>
      <c r="E3455" s="6" t="s">
        <v>208</v>
      </c>
      <c r="F3455" s="6" t="s">
        <v>51</v>
      </c>
      <c r="G3455" s="7">
        <v>0.11</v>
      </c>
      <c r="H3455" s="6" t="s">
        <v>38</v>
      </c>
      <c r="I3455" s="6" t="s">
        <v>20</v>
      </c>
      <c r="J3455" s="6">
        <v>2026.0</v>
      </c>
      <c r="K3455" s="10">
        <v>46082.0</v>
      </c>
      <c r="L3455" s="6">
        <v>2.0</v>
      </c>
      <c r="M3455" s="8">
        <f t="shared" si="3"/>
        <v>0.22</v>
      </c>
      <c r="P3455" s="9"/>
    </row>
    <row r="3456">
      <c r="A3456" s="6" t="s">
        <v>7499</v>
      </c>
      <c r="B3456" s="6" t="s">
        <v>7500</v>
      </c>
      <c r="C3456" s="6" t="s">
        <v>41</v>
      </c>
      <c r="D3456" s="6" t="s">
        <v>7501</v>
      </c>
      <c r="E3456" s="6" t="s">
        <v>124</v>
      </c>
      <c r="F3456" s="6" t="s">
        <v>103</v>
      </c>
      <c r="G3456" s="7">
        <v>0.8</v>
      </c>
      <c r="H3456" s="6" t="s">
        <v>453</v>
      </c>
      <c r="I3456" s="6" t="s">
        <v>20</v>
      </c>
      <c r="J3456" s="6">
        <v>1995.0</v>
      </c>
      <c r="K3456" s="10">
        <v>46024.0</v>
      </c>
      <c r="L3456" s="6">
        <v>1.0</v>
      </c>
      <c r="M3456" s="8">
        <f t="shared" si="3"/>
        <v>0.8</v>
      </c>
      <c r="P3456" s="9"/>
    </row>
    <row r="3457">
      <c r="A3457" s="6" t="s">
        <v>7502</v>
      </c>
      <c r="B3457" s="6" t="s">
        <v>758</v>
      </c>
      <c r="C3457" s="6" t="s">
        <v>23</v>
      </c>
      <c r="D3457" s="6" t="s">
        <v>7503</v>
      </c>
      <c r="E3457" s="6" t="s">
        <v>602</v>
      </c>
      <c r="F3457" s="6" t="s">
        <v>159</v>
      </c>
      <c r="G3457" s="7">
        <v>0.05</v>
      </c>
      <c r="H3457" s="6" t="s">
        <v>192</v>
      </c>
      <c r="I3457" s="6" t="s">
        <v>20</v>
      </c>
      <c r="J3457" s="6">
        <v>2026.0</v>
      </c>
      <c r="K3457" s="10">
        <v>46085.0</v>
      </c>
      <c r="L3457" s="6">
        <v>5.0</v>
      </c>
      <c r="M3457" s="8">
        <f t="shared" si="3"/>
        <v>0.25</v>
      </c>
      <c r="P3457" s="9"/>
    </row>
    <row r="3458">
      <c r="A3458" s="6" t="s">
        <v>7504</v>
      </c>
      <c r="B3458" s="6" t="s">
        <v>182</v>
      </c>
      <c r="C3458" s="6" t="s">
        <v>23</v>
      </c>
      <c r="D3458" s="6" t="s">
        <v>7505</v>
      </c>
      <c r="E3458" s="6" t="s">
        <v>502</v>
      </c>
      <c r="F3458" s="6" t="s">
        <v>65</v>
      </c>
      <c r="G3458" s="7">
        <v>0.06</v>
      </c>
      <c r="H3458" s="6" t="s">
        <v>626</v>
      </c>
      <c r="I3458" s="6" t="s">
        <v>20</v>
      </c>
      <c r="J3458" s="6">
        <v>2013.0</v>
      </c>
      <c r="L3458" s="6">
        <v>1.0</v>
      </c>
      <c r="M3458" s="8">
        <f t="shared" si="3"/>
        <v>0.06</v>
      </c>
      <c r="P3458" s="9"/>
    </row>
    <row r="3459">
      <c r="A3459" s="6" t="s">
        <v>7506</v>
      </c>
      <c r="B3459" s="6" t="s">
        <v>2703</v>
      </c>
      <c r="C3459" s="6" t="s">
        <v>23</v>
      </c>
      <c r="D3459" s="6" t="s">
        <v>7507</v>
      </c>
      <c r="E3459" s="6" t="s">
        <v>611</v>
      </c>
      <c r="F3459" s="6" t="s">
        <v>103</v>
      </c>
      <c r="G3459" s="7">
        <v>0.03</v>
      </c>
      <c r="H3459" s="6" t="s">
        <v>526</v>
      </c>
      <c r="I3459" s="6" t="s">
        <v>20</v>
      </c>
      <c r="J3459" s="6">
        <v>2020.0</v>
      </c>
      <c r="K3459" s="10">
        <v>46117.0</v>
      </c>
      <c r="L3459" s="6">
        <v>2.0</v>
      </c>
      <c r="M3459" s="8">
        <f t="shared" si="3"/>
        <v>0.06</v>
      </c>
      <c r="P3459" s="9"/>
    </row>
    <row r="3460">
      <c r="A3460" s="6" t="s">
        <v>7508</v>
      </c>
      <c r="B3460" s="6" t="s">
        <v>7509</v>
      </c>
      <c r="C3460" s="6" t="s">
        <v>48</v>
      </c>
      <c r="D3460" s="6" t="s">
        <v>7510</v>
      </c>
      <c r="E3460" s="6" t="s">
        <v>5713</v>
      </c>
      <c r="F3460" s="6" t="s">
        <v>426</v>
      </c>
      <c r="G3460" s="7">
        <v>0.15</v>
      </c>
      <c r="H3460" s="6" t="s">
        <v>276</v>
      </c>
      <c r="I3460" s="6" t="s">
        <v>20</v>
      </c>
      <c r="J3460" s="6">
        <v>2014.0</v>
      </c>
      <c r="K3460" s="10">
        <v>46083.0</v>
      </c>
      <c r="L3460" s="6">
        <v>1.0</v>
      </c>
      <c r="M3460" s="8">
        <f t="shared" si="3"/>
        <v>0.15</v>
      </c>
      <c r="P3460" s="9"/>
    </row>
    <row r="3461">
      <c r="A3461" s="6" t="s">
        <v>7511</v>
      </c>
      <c r="B3461" s="6" t="s">
        <v>4407</v>
      </c>
      <c r="C3461" s="6" t="s">
        <v>23</v>
      </c>
      <c r="D3461" s="6" t="s">
        <v>7512</v>
      </c>
      <c r="E3461" s="6" t="s">
        <v>196</v>
      </c>
      <c r="F3461" s="6" t="s">
        <v>65</v>
      </c>
      <c r="G3461" s="7">
        <v>0.08</v>
      </c>
      <c r="H3461" s="6" t="s">
        <v>3856</v>
      </c>
      <c r="I3461" s="6" t="s">
        <v>20</v>
      </c>
      <c r="J3461" s="6">
        <v>2003.0</v>
      </c>
      <c r="K3461" s="10">
        <v>46023.0</v>
      </c>
      <c r="L3461" s="6">
        <v>1.0</v>
      </c>
      <c r="M3461" s="8">
        <f t="shared" si="3"/>
        <v>0.08</v>
      </c>
      <c r="P3461" s="9"/>
    </row>
    <row r="3462">
      <c r="A3462" s="6" t="s">
        <v>7513</v>
      </c>
      <c r="B3462" s="6" t="s">
        <v>677</v>
      </c>
      <c r="C3462" s="6" t="s">
        <v>23</v>
      </c>
      <c r="D3462" s="6" t="s">
        <v>7514</v>
      </c>
      <c r="E3462" s="6" t="s">
        <v>64</v>
      </c>
      <c r="F3462" s="6" t="s">
        <v>65</v>
      </c>
      <c r="G3462" s="7">
        <v>0.03</v>
      </c>
      <c r="H3462" s="6" t="s">
        <v>406</v>
      </c>
      <c r="I3462" s="6" t="s">
        <v>20</v>
      </c>
      <c r="J3462" s="6">
        <v>2019.0</v>
      </c>
      <c r="K3462" s="10">
        <v>46085.0</v>
      </c>
      <c r="L3462" s="6">
        <v>3.0</v>
      </c>
      <c r="M3462" s="8">
        <f t="shared" si="3"/>
        <v>0.09</v>
      </c>
      <c r="P3462" s="9"/>
    </row>
    <row r="3463">
      <c r="A3463" s="6" t="s">
        <v>7515</v>
      </c>
      <c r="B3463" s="6" t="s">
        <v>202</v>
      </c>
      <c r="C3463" s="6" t="s">
        <v>48</v>
      </c>
      <c r="D3463" s="6" t="s">
        <v>7516</v>
      </c>
      <c r="E3463" s="6" t="s">
        <v>153</v>
      </c>
      <c r="F3463" s="6" t="s">
        <v>103</v>
      </c>
      <c r="G3463" s="7">
        <v>0.06</v>
      </c>
      <c r="H3463" s="6" t="s">
        <v>129</v>
      </c>
      <c r="I3463" s="6" t="s">
        <v>20</v>
      </c>
      <c r="J3463" s="6">
        <v>2014.0</v>
      </c>
      <c r="L3463" s="6">
        <v>1.0</v>
      </c>
      <c r="M3463" s="8">
        <f t="shared" si="3"/>
        <v>0.06</v>
      </c>
      <c r="P3463" s="9"/>
    </row>
    <row r="3464">
      <c r="A3464" s="6" t="s">
        <v>7517</v>
      </c>
      <c r="B3464" s="6" t="s">
        <v>62</v>
      </c>
      <c r="C3464" s="6" t="s">
        <v>23</v>
      </c>
      <c r="D3464" s="6" t="s">
        <v>7518</v>
      </c>
      <c r="E3464" s="6" t="s">
        <v>2129</v>
      </c>
      <c r="F3464" s="6" t="s">
        <v>65</v>
      </c>
      <c r="G3464" s="7">
        <v>0.04</v>
      </c>
      <c r="H3464" s="6" t="s">
        <v>4377</v>
      </c>
      <c r="I3464" s="6" t="s">
        <v>20</v>
      </c>
      <c r="J3464" s="6">
        <v>2004.0</v>
      </c>
      <c r="L3464" s="6">
        <v>1.0</v>
      </c>
      <c r="M3464" s="8">
        <f t="shared" si="3"/>
        <v>0.04</v>
      </c>
      <c r="N3464" s="6" t="s">
        <v>518</v>
      </c>
      <c r="P3464" s="9"/>
    </row>
    <row r="3465">
      <c r="A3465" s="6" t="s">
        <v>7519</v>
      </c>
      <c r="B3465" s="6" t="s">
        <v>182</v>
      </c>
      <c r="C3465" s="6" t="s">
        <v>23</v>
      </c>
      <c r="D3465" s="6" t="s">
        <v>7520</v>
      </c>
      <c r="E3465" s="6" t="s">
        <v>167</v>
      </c>
      <c r="F3465" s="6" t="s">
        <v>103</v>
      </c>
      <c r="G3465" s="7">
        <v>0.09</v>
      </c>
      <c r="H3465" s="6" t="s">
        <v>119</v>
      </c>
      <c r="I3465" s="6" t="s">
        <v>55</v>
      </c>
      <c r="J3465" s="6">
        <v>1995.0</v>
      </c>
      <c r="L3465" s="6">
        <v>1.0</v>
      </c>
      <c r="M3465" s="8">
        <f t="shared" si="3"/>
        <v>0.09</v>
      </c>
      <c r="P3465" s="9"/>
    </row>
    <row r="3466">
      <c r="A3466" s="6" t="s">
        <v>7519</v>
      </c>
      <c r="B3466" s="6" t="s">
        <v>182</v>
      </c>
      <c r="C3466" s="6" t="s">
        <v>23</v>
      </c>
      <c r="D3466" s="6" t="s">
        <v>7520</v>
      </c>
      <c r="E3466" s="6" t="s">
        <v>167</v>
      </c>
      <c r="F3466" s="6" t="s">
        <v>103</v>
      </c>
      <c r="G3466" s="7">
        <v>0.09</v>
      </c>
      <c r="H3466" s="6" t="s">
        <v>109</v>
      </c>
      <c r="I3466" s="6" t="s">
        <v>20</v>
      </c>
      <c r="J3466" s="6">
        <v>1994.0</v>
      </c>
      <c r="L3466" s="6">
        <v>5.0</v>
      </c>
      <c r="M3466" s="8">
        <f t="shared" si="3"/>
        <v>0.45</v>
      </c>
      <c r="P3466" s="9"/>
    </row>
    <row r="3467">
      <c r="A3467" s="6" t="s">
        <v>7519</v>
      </c>
      <c r="B3467" s="6" t="s">
        <v>182</v>
      </c>
      <c r="C3467" s="6" t="s">
        <v>23</v>
      </c>
      <c r="D3467" s="6" t="s">
        <v>7520</v>
      </c>
      <c r="E3467" s="6" t="s">
        <v>167</v>
      </c>
      <c r="F3467" s="6" t="s">
        <v>103</v>
      </c>
      <c r="G3467" s="7">
        <v>0.35</v>
      </c>
      <c r="H3467" s="6" t="s">
        <v>1382</v>
      </c>
      <c r="I3467" s="6" t="s">
        <v>20</v>
      </c>
      <c r="J3467" s="6">
        <v>1994.0</v>
      </c>
      <c r="L3467" s="6">
        <v>4.0</v>
      </c>
      <c r="M3467" s="8">
        <f t="shared" si="3"/>
        <v>1.4</v>
      </c>
      <c r="P3467" s="9"/>
    </row>
    <row r="3468">
      <c r="A3468" s="6" t="s">
        <v>7519</v>
      </c>
      <c r="B3468" s="6" t="s">
        <v>182</v>
      </c>
      <c r="C3468" s="6" t="s">
        <v>23</v>
      </c>
      <c r="D3468" s="6" t="s">
        <v>7520</v>
      </c>
      <c r="E3468" s="6" t="s">
        <v>167</v>
      </c>
      <c r="F3468" s="6" t="s">
        <v>103</v>
      </c>
      <c r="G3468" s="7">
        <v>0.14</v>
      </c>
      <c r="H3468" s="6" t="s">
        <v>607</v>
      </c>
      <c r="I3468" s="6" t="s">
        <v>20</v>
      </c>
      <c r="J3468" s="6">
        <v>1994.0</v>
      </c>
      <c r="L3468" s="6">
        <v>2.0</v>
      </c>
      <c r="M3468" s="8">
        <f t="shared" si="3"/>
        <v>0.28</v>
      </c>
      <c r="P3468" s="9"/>
    </row>
    <row r="3469">
      <c r="A3469" s="6" t="s">
        <v>7519</v>
      </c>
      <c r="B3469" s="6" t="s">
        <v>182</v>
      </c>
      <c r="C3469" s="6" t="s">
        <v>23</v>
      </c>
      <c r="D3469" s="6" t="s">
        <v>7520</v>
      </c>
      <c r="E3469" s="6" t="s">
        <v>167</v>
      </c>
      <c r="F3469" s="6" t="s">
        <v>103</v>
      </c>
      <c r="G3469" s="7">
        <v>0.14</v>
      </c>
      <c r="H3469" s="6" t="s">
        <v>546</v>
      </c>
      <c r="I3469" s="6" t="s">
        <v>55</v>
      </c>
      <c r="J3469" s="6">
        <v>2001.0</v>
      </c>
      <c r="L3469" s="6">
        <v>1.0</v>
      </c>
      <c r="M3469" s="8">
        <f t="shared" si="3"/>
        <v>0.14</v>
      </c>
      <c r="P3469" s="9"/>
    </row>
    <row r="3470">
      <c r="A3470" s="6" t="s">
        <v>7521</v>
      </c>
      <c r="B3470" s="6" t="s">
        <v>62</v>
      </c>
      <c r="C3470" s="6" t="s">
        <v>23</v>
      </c>
      <c r="D3470" s="6" t="s">
        <v>7522</v>
      </c>
      <c r="E3470" s="6" t="s">
        <v>118</v>
      </c>
      <c r="F3470" s="6" t="s">
        <v>51</v>
      </c>
      <c r="G3470" s="7">
        <v>0.03</v>
      </c>
      <c r="H3470" s="6" t="s">
        <v>636</v>
      </c>
      <c r="I3470" s="6" t="s">
        <v>20</v>
      </c>
      <c r="J3470" s="6">
        <v>2015.0</v>
      </c>
      <c r="L3470" s="6">
        <v>1.0</v>
      </c>
      <c r="M3470" s="8">
        <f t="shared" si="3"/>
        <v>0.03</v>
      </c>
      <c r="P3470" s="9"/>
    </row>
    <row r="3471">
      <c r="A3471" s="6" t="s">
        <v>7523</v>
      </c>
      <c r="B3471" s="6" t="s">
        <v>960</v>
      </c>
      <c r="C3471" s="6" t="s">
        <v>23</v>
      </c>
      <c r="D3471" s="6" t="s">
        <v>7524</v>
      </c>
      <c r="F3471" s="6" t="s">
        <v>426</v>
      </c>
      <c r="G3471" s="7">
        <v>0.09</v>
      </c>
      <c r="H3471" s="6" t="s">
        <v>185</v>
      </c>
      <c r="I3471" s="6" t="s">
        <v>20</v>
      </c>
      <c r="J3471" s="6">
        <v>2019.0</v>
      </c>
      <c r="L3471" s="6">
        <v>4.0</v>
      </c>
      <c r="M3471" s="8">
        <f t="shared" si="3"/>
        <v>0.36</v>
      </c>
      <c r="P3471" s="9"/>
    </row>
    <row r="3472">
      <c r="A3472" s="6" t="s">
        <v>7525</v>
      </c>
      <c r="B3472" s="6" t="s">
        <v>1782</v>
      </c>
      <c r="C3472" s="6" t="s">
        <v>48</v>
      </c>
      <c r="D3472" s="6" t="s">
        <v>7526</v>
      </c>
      <c r="E3472" s="6" t="s">
        <v>7527</v>
      </c>
      <c r="F3472" s="6" t="s">
        <v>426</v>
      </c>
      <c r="G3472" s="7">
        <v>0.06</v>
      </c>
      <c r="H3472" s="6" t="s">
        <v>271</v>
      </c>
      <c r="I3472" s="6" t="s">
        <v>20</v>
      </c>
      <c r="J3472" s="6">
        <v>2012.0</v>
      </c>
      <c r="K3472" s="10">
        <v>46025.0</v>
      </c>
      <c r="L3472" s="6">
        <v>1.0</v>
      </c>
      <c r="M3472" s="8">
        <f t="shared" si="3"/>
        <v>0.06</v>
      </c>
      <c r="P3472" s="9"/>
    </row>
    <row r="3473">
      <c r="A3473" s="6" t="s">
        <v>7528</v>
      </c>
      <c r="B3473" s="6" t="s">
        <v>1192</v>
      </c>
      <c r="C3473" s="6" t="s">
        <v>23</v>
      </c>
      <c r="D3473" s="6" t="s">
        <v>7529</v>
      </c>
      <c r="E3473" s="6" t="s">
        <v>5713</v>
      </c>
      <c r="F3473" s="6" t="s">
        <v>426</v>
      </c>
      <c r="G3473" s="7">
        <v>0.03</v>
      </c>
      <c r="H3473" s="6" t="s">
        <v>185</v>
      </c>
      <c r="I3473" s="6" t="s">
        <v>20</v>
      </c>
      <c r="J3473" s="6">
        <v>2019.0</v>
      </c>
      <c r="K3473" s="10">
        <v>46056.0</v>
      </c>
      <c r="L3473" s="6">
        <v>2.0</v>
      </c>
      <c r="M3473" s="8">
        <f t="shared" si="3"/>
        <v>0.06</v>
      </c>
      <c r="P3473" s="9"/>
    </row>
    <row r="3474">
      <c r="A3474" s="6" t="s">
        <v>7530</v>
      </c>
      <c r="B3474" s="6" t="s">
        <v>7531</v>
      </c>
      <c r="C3474" s="6" t="s">
        <v>48</v>
      </c>
      <c r="D3474" s="6" t="s">
        <v>7532</v>
      </c>
      <c r="E3474" s="6" t="s">
        <v>611</v>
      </c>
      <c r="F3474" s="6" t="s">
        <v>103</v>
      </c>
      <c r="G3474" s="7">
        <v>0.08</v>
      </c>
      <c r="H3474" s="6" t="s">
        <v>559</v>
      </c>
      <c r="I3474" s="6" t="s">
        <v>20</v>
      </c>
      <c r="J3474" s="6">
        <v>2015.0</v>
      </c>
      <c r="K3474" s="10">
        <v>46176.0</v>
      </c>
      <c r="L3474" s="6">
        <v>1.0</v>
      </c>
      <c r="M3474" s="8">
        <f t="shared" si="3"/>
        <v>0.08</v>
      </c>
      <c r="N3474" s="6" t="s">
        <v>518</v>
      </c>
      <c r="P3474" s="9"/>
    </row>
    <row r="3475">
      <c r="A3475" s="6" t="s">
        <v>7533</v>
      </c>
      <c r="B3475" s="6" t="s">
        <v>62</v>
      </c>
      <c r="C3475" s="6" t="s">
        <v>23</v>
      </c>
      <c r="D3475" s="6" t="s">
        <v>7534</v>
      </c>
      <c r="E3475" s="6" t="s">
        <v>79</v>
      </c>
      <c r="F3475" s="6" t="s">
        <v>51</v>
      </c>
      <c r="G3475" s="7">
        <v>0.2</v>
      </c>
      <c r="H3475" s="6" t="s">
        <v>1560</v>
      </c>
      <c r="I3475" s="6" t="s">
        <v>20</v>
      </c>
      <c r="J3475" s="6">
        <v>2016.0</v>
      </c>
      <c r="L3475" s="6">
        <v>2.0</v>
      </c>
      <c r="M3475" s="8">
        <f t="shared" si="3"/>
        <v>0.4</v>
      </c>
      <c r="P3475" s="9"/>
    </row>
    <row r="3476">
      <c r="A3476" s="6" t="s">
        <v>7535</v>
      </c>
      <c r="B3476" s="6" t="s">
        <v>62</v>
      </c>
      <c r="C3476" s="6" t="s">
        <v>41</v>
      </c>
      <c r="D3476" s="6" t="s">
        <v>7536</v>
      </c>
      <c r="E3476" s="6" t="s">
        <v>298</v>
      </c>
      <c r="F3476" s="6" t="s">
        <v>159</v>
      </c>
      <c r="G3476" s="7">
        <v>0.2</v>
      </c>
      <c r="H3476" s="6" t="s">
        <v>185</v>
      </c>
      <c r="I3476" s="6" t="s">
        <v>20</v>
      </c>
      <c r="J3476" s="6">
        <v>2019.0</v>
      </c>
      <c r="L3476" s="6">
        <v>2.0</v>
      </c>
      <c r="M3476" s="8">
        <f t="shared" si="3"/>
        <v>0.4</v>
      </c>
      <c r="P3476" s="9"/>
    </row>
    <row r="3477">
      <c r="A3477" s="6" t="s">
        <v>7537</v>
      </c>
      <c r="B3477" s="6" t="s">
        <v>507</v>
      </c>
      <c r="C3477" s="6" t="s">
        <v>48</v>
      </c>
      <c r="D3477" s="6" t="s">
        <v>7538</v>
      </c>
      <c r="E3477" s="6" t="s">
        <v>724</v>
      </c>
      <c r="F3477" s="6" t="s">
        <v>159</v>
      </c>
      <c r="G3477" s="7">
        <v>1.78</v>
      </c>
      <c r="H3477" s="6" t="s">
        <v>163</v>
      </c>
      <c r="I3477" s="6" t="s">
        <v>20</v>
      </c>
      <c r="J3477" s="6">
        <v>2023.0</v>
      </c>
      <c r="K3477" s="10">
        <v>46210.0</v>
      </c>
      <c r="L3477" s="6">
        <v>1.0</v>
      </c>
      <c r="M3477" s="8">
        <f t="shared" si="3"/>
        <v>1.78</v>
      </c>
      <c r="N3477" s="6" t="s">
        <v>172</v>
      </c>
      <c r="P3477" s="9"/>
    </row>
    <row r="3478">
      <c r="A3478" s="6" t="s">
        <v>7539</v>
      </c>
      <c r="B3478" s="6" t="s">
        <v>2583</v>
      </c>
      <c r="C3478" s="6" t="s">
        <v>23</v>
      </c>
      <c r="D3478" s="6" t="s">
        <v>7540</v>
      </c>
      <c r="E3478" s="6" t="s">
        <v>533</v>
      </c>
      <c r="F3478" s="6" t="s">
        <v>65</v>
      </c>
      <c r="G3478" s="7">
        <v>0.03</v>
      </c>
      <c r="H3478" s="6" t="s">
        <v>200</v>
      </c>
      <c r="I3478" s="6" t="s">
        <v>20</v>
      </c>
      <c r="J3478" s="6">
        <v>2018.0</v>
      </c>
      <c r="K3478" s="10">
        <v>46116.0</v>
      </c>
      <c r="L3478" s="6">
        <v>1.0</v>
      </c>
      <c r="M3478" s="8">
        <f t="shared" si="3"/>
        <v>0.03</v>
      </c>
      <c r="P3478" s="9"/>
    </row>
    <row r="3479">
      <c r="A3479" s="6" t="s">
        <v>7541</v>
      </c>
      <c r="B3479" s="6" t="s">
        <v>3412</v>
      </c>
      <c r="C3479" s="6" t="s">
        <v>23</v>
      </c>
      <c r="D3479" s="6" t="s">
        <v>7542</v>
      </c>
      <c r="E3479" s="6" t="s">
        <v>64</v>
      </c>
      <c r="F3479" s="6" t="s">
        <v>65</v>
      </c>
      <c r="G3479" s="7">
        <v>0.05</v>
      </c>
      <c r="H3479" s="6" t="s">
        <v>645</v>
      </c>
      <c r="I3479" s="6" t="s">
        <v>20</v>
      </c>
      <c r="J3479" s="6">
        <v>2024.0</v>
      </c>
      <c r="K3479" s="10">
        <v>46113.0</v>
      </c>
      <c r="L3479" s="6">
        <v>1.0</v>
      </c>
      <c r="M3479" s="8">
        <f t="shared" si="3"/>
        <v>0.05</v>
      </c>
      <c r="P3479" s="9"/>
    </row>
    <row r="3480">
      <c r="A3480" s="6" t="s">
        <v>7543</v>
      </c>
      <c r="B3480" s="6" t="s">
        <v>7351</v>
      </c>
      <c r="C3480" s="6" t="s">
        <v>23</v>
      </c>
      <c r="D3480" s="6" t="s">
        <v>7544</v>
      </c>
      <c r="E3480" s="6" t="s">
        <v>50</v>
      </c>
      <c r="F3480" s="6" t="s">
        <v>51</v>
      </c>
      <c r="G3480" s="7">
        <v>0.05</v>
      </c>
      <c r="H3480" s="6" t="s">
        <v>574</v>
      </c>
      <c r="I3480" s="6" t="s">
        <v>20</v>
      </c>
      <c r="J3480" s="6">
        <v>2000.0</v>
      </c>
      <c r="K3480" s="10">
        <v>46055.0</v>
      </c>
      <c r="L3480" s="6">
        <v>1.0</v>
      </c>
      <c r="M3480" s="8">
        <f t="shared" si="3"/>
        <v>0.05</v>
      </c>
      <c r="P3480" s="9"/>
    </row>
    <row r="3481">
      <c r="A3481" s="6" t="s">
        <v>7545</v>
      </c>
      <c r="B3481" s="6" t="s">
        <v>182</v>
      </c>
      <c r="C3481" s="6" t="s">
        <v>23</v>
      </c>
      <c r="D3481" s="6" t="s">
        <v>7546</v>
      </c>
      <c r="E3481" s="6" t="s">
        <v>223</v>
      </c>
      <c r="F3481" s="6" t="s">
        <v>159</v>
      </c>
      <c r="G3481" s="7">
        <v>0.03</v>
      </c>
      <c r="H3481" s="6" t="s">
        <v>294</v>
      </c>
      <c r="I3481" s="6" t="s">
        <v>20</v>
      </c>
      <c r="J3481" s="6">
        <v>2010.0</v>
      </c>
      <c r="K3481" s="6" t="s">
        <v>1901</v>
      </c>
      <c r="L3481" s="6">
        <v>8.0</v>
      </c>
      <c r="M3481" s="8">
        <f t="shared" si="3"/>
        <v>0.24</v>
      </c>
      <c r="P3481" s="9"/>
    </row>
    <row r="3482">
      <c r="A3482" s="6" t="s">
        <v>7547</v>
      </c>
      <c r="B3482" s="6" t="s">
        <v>7548</v>
      </c>
      <c r="C3482" s="6" t="s">
        <v>48</v>
      </c>
      <c r="D3482" s="6" t="s">
        <v>7549</v>
      </c>
      <c r="E3482" s="6" t="s">
        <v>243</v>
      </c>
      <c r="F3482" s="6" t="s">
        <v>37</v>
      </c>
      <c r="G3482" s="7">
        <v>0.06</v>
      </c>
      <c r="H3482" s="6" t="s">
        <v>184</v>
      </c>
      <c r="I3482" s="6" t="s">
        <v>20</v>
      </c>
      <c r="J3482" s="6">
        <v>2015.0</v>
      </c>
      <c r="K3482" s="10">
        <v>46083.0</v>
      </c>
      <c r="L3482" s="6">
        <v>2.0</v>
      </c>
      <c r="M3482" s="8">
        <f t="shared" si="3"/>
        <v>0.12</v>
      </c>
      <c r="P3482" s="9"/>
    </row>
    <row r="3483">
      <c r="A3483" s="6" t="s">
        <v>7550</v>
      </c>
      <c r="B3483" s="6" t="s">
        <v>7551</v>
      </c>
      <c r="C3483" s="6" t="s">
        <v>41</v>
      </c>
      <c r="D3483" s="6" t="s">
        <v>7552</v>
      </c>
      <c r="E3483" s="6" t="s">
        <v>2129</v>
      </c>
      <c r="F3483" s="6" t="s">
        <v>65</v>
      </c>
      <c r="G3483" s="7">
        <v>0.39</v>
      </c>
      <c r="H3483" s="6" t="s">
        <v>45</v>
      </c>
      <c r="I3483" s="6" t="s">
        <v>20</v>
      </c>
      <c r="J3483" s="6">
        <v>2025.0</v>
      </c>
      <c r="K3483" s="10">
        <v>46116.0</v>
      </c>
      <c r="L3483" s="6">
        <v>1.0</v>
      </c>
      <c r="M3483" s="8">
        <f t="shared" si="3"/>
        <v>0.39</v>
      </c>
      <c r="P3483" s="9"/>
    </row>
    <row r="3484">
      <c r="A3484" s="6" t="s">
        <v>7553</v>
      </c>
      <c r="B3484" s="6" t="s">
        <v>165</v>
      </c>
      <c r="C3484" s="6" t="s">
        <v>15</v>
      </c>
      <c r="D3484" s="6" t="s">
        <v>7554</v>
      </c>
      <c r="E3484" s="6" t="s">
        <v>7555</v>
      </c>
      <c r="F3484" s="6" t="s">
        <v>65</v>
      </c>
      <c r="G3484" s="7">
        <v>0.14</v>
      </c>
      <c r="H3484" s="6" t="s">
        <v>209</v>
      </c>
      <c r="I3484" s="6" t="s">
        <v>20</v>
      </c>
      <c r="J3484" s="6">
        <v>2025.0</v>
      </c>
      <c r="L3484" s="6">
        <v>1.0</v>
      </c>
      <c r="M3484" s="8">
        <f t="shared" si="3"/>
        <v>0.14</v>
      </c>
      <c r="P3484" s="9"/>
    </row>
    <row r="3485">
      <c r="A3485" s="6" t="s">
        <v>7553</v>
      </c>
      <c r="B3485" s="6" t="s">
        <v>165</v>
      </c>
      <c r="C3485" s="6" t="s">
        <v>15</v>
      </c>
      <c r="D3485" s="6" t="s">
        <v>7554</v>
      </c>
      <c r="E3485" s="6" t="s">
        <v>7555</v>
      </c>
      <c r="F3485" s="6" t="s">
        <v>65</v>
      </c>
      <c r="G3485" s="7">
        <v>0.49</v>
      </c>
      <c r="H3485" s="6" t="s">
        <v>209</v>
      </c>
      <c r="I3485" s="6" t="s">
        <v>55</v>
      </c>
      <c r="J3485" s="6">
        <v>2025.0</v>
      </c>
      <c r="L3485" s="6">
        <v>1.0</v>
      </c>
      <c r="M3485" s="8">
        <f t="shared" si="3"/>
        <v>0.49</v>
      </c>
      <c r="P3485" s="9"/>
    </row>
    <row r="3486">
      <c r="A3486" s="6" t="s">
        <v>7556</v>
      </c>
      <c r="B3486" s="6" t="s">
        <v>182</v>
      </c>
      <c r="C3486" s="6" t="s">
        <v>48</v>
      </c>
      <c r="D3486" s="6" t="s">
        <v>7557</v>
      </c>
      <c r="E3486" s="6" t="s">
        <v>196</v>
      </c>
      <c r="F3486" s="6" t="s">
        <v>65</v>
      </c>
      <c r="G3486" s="7">
        <v>0.2</v>
      </c>
      <c r="H3486" s="6" t="s">
        <v>19</v>
      </c>
      <c r="I3486" s="6" t="s">
        <v>20</v>
      </c>
      <c r="J3486" s="6">
        <v>2023.0</v>
      </c>
      <c r="L3486" s="6">
        <v>1.0</v>
      </c>
      <c r="M3486" s="8">
        <f t="shared" si="3"/>
        <v>0.2</v>
      </c>
      <c r="P3486" s="9"/>
    </row>
    <row r="3487">
      <c r="A3487" s="6" t="s">
        <v>7558</v>
      </c>
      <c r="B3487" s="6" t="s">
        <v>2545</v>
      </c>
      <c r="C3487" s="6" t="s">
        <v>23</v>
      </c>
      <c r="D3487" s="6" t="s">
        <v>7559</v>
      </c>
      <c r="E3487" s="6" t="s">
        <v>502</v>
      </c>
      <c r="F3487" s="6" t="s">
        <v>65</v>
      </c>
      <c r="G3487" s="7">
        <v>0.18</v>
      </c>
      <c r="H3487" s="6" t="s">
        <v>163</v>
      </c>
      <c r="I3487" s="6" t="s">
        <v>20</v>
      </c>
      <c r="J3487" s="6">
        <v>2023.0</v>
      </c>
      <c r="K3487" s="10">
        <v>46084.0</v>
      </c>
      <c r="L3487" s="6">
        <v>1.0</v>
      </c>
      <c r="M3487" s="8">
        <f t="shared" si="3"/>
        <v>0.18</v>
      </c>
      <c r="P3487" s="9"/>
    </row>
    <row r="3488">
      <c r="A3488" s="6" t="s">
        <v>7560</v>
      </c>
      <c r="B3488" s="6" t="s">
        <v>6664</v>
      </c>
      <c r="C3488" s="6" t="s">
        <v>23</v>
      </c>
      <c r="D3488" s="6" t="s">
        <v>7561</v>
      </c>
      <c r="E3488" s="6" t="s">
        <v>1950</v>
      </c>
      <c r="F3488" s="6" t="s">
        <v>65</v>
      </c>
      <c r="G3488" s="7">
        <v>0.2</v>
      </c>
      <c r="H3488" s="6" t="s">
        <v>163</v>
      </c>
      <c r="I3488" s="6" t="s">
        <v>20</v>
      </c>
      <c r="J3488" s="6">
        <v>2023.0</v>
      </c>
      <c r="K3488" s="10">
        <v>46117.0</v>
      </c>
      <c r="L3488" s="6">
        <v>1.0</v>
      </c>
      <c r="M3488" s="8">
        <f t="shared" si="3"/>
        <v>0.2</v>
      </c>
      <c r="P3488" s="9"/>
    </row>
    <row r="3489">
      <c r="A3489" s="6" t="s">
        <v>7562</v>
      </c>
      <c r="B3489" s="6" t="s">
        <v>1041</v>
      </c>
      <c r="C3489" s="6" t="s">
        <v>15</v>
      </c>
      <c r="D3489" s="6" t="s">
        <v>7563</v>
      </c>
      <c r="E3489" s="6" t="s">
        <v>1307</v>
      </c>
      <c r="F3489" s="6" t="s">
        <v>65</v>
      </c>
      <c r="G3489" s="7">
        <v>0.29</v>
      </c>
      <c r="H3489" s="6" t="s">
        <v>2326</v>
      </c>
      <c r="I3489" s="6" t="s">
        <v>20</v>
      </c>
      <c r="J3489" s="6">
        <v>2026.0</v>
      </c>
      <c r="L3489" s="6">
        <v>2.0</v>
      </c>
      <c r="M3489" s="8">
        <f t="shared" si="3"/>
        <v>0.58</v>
      </c>
      <c r="P3489" s="9"/>
    </row>
    <row r="3490">
      <c r="A3490" s="6" t="s">
        <v>7564</v>
      </c>
      <c r="B3490" s="6" t="s">
        <v>2994</v>
      </c>
      <c r="C3490" s="6" t="s">
        <v>48</v>
      </c>
      <c r="D3490" s="6" t="s">
        <v>7565</v>
      </c>
      <c r="E3490" s="6" t="s">
        <v>533</v>
      </c>
      <c r="F3490" s="6" t="s">
        <v>65</v>
      </c>
      <c r="G3490" s="7">
        <v>0.09</v>
      </c>
      <c r="H3490" s="6" t="s">
        <v>192</v>
      </c>
      <c r="I3490" s="6" t="s">
        <v>20</v>
      </c>
      <c r="J3490" s="6">
        <v>2026.0</v>
      </c>
      <c r="K3490" s="10">
        <v>46085.0</v>
      </c>
      <c r="L3490" s="6">
        <v>1.0</v>
      </c>
      <c r="M3490" s="8">
        <f t="shared" si="3"/>
        <v>0.09</v>
      </c>
      <c r="P3490" s="9"/>
    </row>
    <row r="3491">
      <c r="A3491" s="6" t="s">
        <v>7564</v>
      </c>
      <c r="B3491" s="6" t="s">
        <v>2994</v>
      </c>
      <c r="C3491" s="6" t="s">
        <v>48</v>
      </c>
      <c r="D3491" s="6" t="s">
        <v>7565</v>
      </c>
      <c r="E3491" s="6" t="s">
        <v>533</v>
      </c>
      <c r="F3491" s="6" t="s">
        <v>65</v>
      </c>
      <c r="G3491" s="7">
        <v>0.44</v>
      </c>
      <c r="H3491" s="6" t="s">
        <v>192</v>
      </c>
      <c r="I3491" s="6" t="s">
        <v>55</v>
      </c>
      <c r="J3491" s="6">
        <v>2026.0</v>
      </c>
      <c r="K3491" s="10">
        <v>46085.0</v>
      </c>
      <c r="L3491" s="6">
        <v>1.0</v>
      </c>
      <c r="M3491" s="8">
        <f t="shared" si="3"/>
        <v>0.44</v>
      </c>
      <c r="P3491" s="9"/>
    </row>
    <row r="3492">
      <c r="A3492" s="6" t="s">
        <v>7566</v>
      </c>
      <c r="B3492" s="6" t="s">
        <v>2994</v>
      </c>
      <c r="C3492" s="6" t="s">
        <v>41</v>
      </c>
      <c r="D3492" s="6" t="s">
        <v>7567</v>
      </c>
      <c r="E3492" s="6" t="s">
        <v>1005</v>
      </c>
      <c r="F3492" s="6" t="s">
        <v>65</v>
      </c>
      <c r="G3492" s="7">
        <v>7.45</v>
      </c>
      <c r="H3492" s="6" t="s">
        <v>192</v>
      </c>
      <c r="I3492" s="6" t="s">
        <v>20</v>
      </c>
      <c r="J3492" s="6">
        <v>2026.0</v>
      </c>
      <c r="K3492" s="10">
        <v>46083.0</v>
      </c>
      <c r="L3492" s="6">
        <v>1.0</v>
      </c>
      <c r="M3492" s="8">
        <f t="shared" si="3"/>
        <v>7.45</v>
      </c>
      <c r="P3492" s="9"/>
    </row>
    <row r="3493">
      <c r="A3493" s="6" t="s">
        <v>7568</v>
      </c>
      <c r="B3493" s="6" t="s">
        <v>2994</v>
      </c>
      <c r="C3493" s="6" t="s">
        <v>23</v>
      </c>
      <c r="D3493" s="6" t="s">
        <v>7569</v>
      </c>
      <c r="E3493" s="6" t="s">
        <v>112</v>
      </c>
      <c r="F3493" s="6" t="s">
        <v>65</v>
      </c>
      <c r="G3493" s="7">
        <v>0.1</v>
      </c>
      <c r="H3493" s="6" t="s">
        <v>192</v>
      </c>
      <c r="I3493" s="6" t="s">
        <v>20</v>
      </c>
      <c r="J3493" s="6">
        <v>2026.0</v>
      </c>
      <c r="K3493" s="10">
        <v>46082.0</v>
      </c>
      <c r="L3493" s="6">
        <v>4.0</v>
      </c>
      <c r="M3493" s="8">
        <f t="shared" si="3"/>
        <v>0.4</v>
      </c>
      <c r="P3493" s="9"/>
    </row>
    <row r="3494">
      <c r="A3494" s="6" t="s">
        <v>7570</v>
      </c>
      <c r="B3494" s="6" t="s">
        <v>796</v>
      </c>
      <c r="C3494" s="6" t="s">
        <v>34</v>
      </c>
      <c r="D3494" s="6" t="s">
        <v>7571</v>
      </c>
      <c r="E3494" s="6" t="s">
        <v>208</v>
      </c>
      <c r="F3494" s="6" t="s">
        <v>51</v>
      </c>
      <c r="G3494" s="7">
        <v>0.08</v>
      </c>
      <c r="H3494" s="6" t="s">
        <v>807</v>
      </c>
      <c r="I3494" s="6" t="s">
        <v>20</v>
      </c>
      <c r="J3494" s="6">
        <v>2026.0</v>
      </c>
      <c r="L3494" s="6">
        <v>2.0</v>
      </c>
      <c r="M3494" s="8">
        <f t="shared" si="3"/>
        <v>0.16</v>
      </c>
      <c r="P3494" s="9"/>
    </row>
    <row r="3495">
      <c r="A3495" s="6" t="s">
        <v>7572</v>
      </c>
      <c r="B3495" s="6" t="s">
        <v>507</v>
      </c>
      <c r="C3495" s="6" t="s">
        <v>23</v>
      </c>
      <c r="E3495" s="6" t="s">
        <v>118</v>
      </c>
      <c r="F3495" s="6" t="s">
        <v>51</v>
      </c>
      <c r="G3495" s="7">
        <v>0.03</v>
      </c>
      <c r="H3495" s="6" t="s">
        <v>555</v>
      </c>
      <c r="I3495" s="6" t="s">
        <v>20</v>
      </c>
      <c r="J3495" s="6">
        <v>2017.0</v>
      </c>
      <c r="K3495" s="10">
        <v>46025.0</v>
      </c>
      <c r="L3495" s="6">
        <v>6.0</v>
      </c>
      <c r="M3495" s="8">
        <f t="shared" si="3"/>
        <v>0.18</v>
      </c>
      <c r="P3495" s="9"/>
    </row>
    <row r="3496">
      <c r="A3496" s="6" t="s">
        <v>7572</v>
      </c>
      <c r="B3496" s="6" t="s">
        <v>507</v>
      </c>
      <c r="C3496" s="6" t="s">
        <v>23</v>
      </c>
      <c r="E3496" s="6" t="s">
        <v>118</v>
      </c>
      <c r="F3496" s="6" t="s">
        <v>51</v>
      </c>
      <c r="G3496" s="7">
        <v>0.03</v>
      </c>
      <c r="H3496" s="6" t="s">
        <v>875</v>
      </c>
      <c r="I3496" s="6" t="s">
        <v>20</v>
      </c>
      <c r="J3496" s="6">
        <v>2018.0</v>
      </c>
      <c r="K3496" s="10">
        <v>46025.0</v>
      </c>
      <c r="L3496" s="6">
        <v>4.0</v>
      </c>
      <c r="M3496" s="8">
        <f t="shared" si="3"/>
        <v>0.12</v>
      </c>
      <c r="P3496" s="9"/>
    </row>
    <row r="3497">
      <c r="A3497" s="6" t="s">
        <v>7573</v>
      </c>
      <c r="B3497" s="6" t="s">
        <v>7574</v>
      </c>
      <c r="C3497" s="6" t="s">
        <v>48</v>
      </c>
      <c r="D3497" s="6" t="s">
        <v>7575</v>
      </c>
      <c r="E3497" s="6" t="s">
        <v>1771</v>
      </c>
      <c r="F3497" s="6" t="s">
        <v>51</v>
      </c>
      <c r="G3497" s="7">
        <v>0.17</v>
      </c>
      <c r="H3497" s="6" t="s">
        <v>75</v>
      </c>
      <c r="I3497" s="6" t="s">
        <v>20</v>
      </c>
      <c r="J3497" s="6">
        <v>1995.0</v>
      </c>
      <c r="K3497" s="10">
        <v>46084.0</v>
      </c>
      <c r="L3497" s="6">
        <v>2.0</v>
      </c>
      <c r="M3497" s="8">
        <f t="shared" si="3"/>
        <v>0.34</v>
      </c>
      <c r="P3497" s="9"/>
    </row>
    <row r="3498">
      <c r="A3498" s="6" t="s">
        <v>7576</v>
      </c>
      <c r="B3498" s="6" t="s">
        <v>3605</v>
      </c>
      <c r="C3498" s="6" t="s">
        <v>212</v>
      </c>
      <c r="D3498" s="6" t="s">
        <v>7577</v>
      </c>
      <c r="E3498" s="6" t="s">
        <v>681</v>
      </c>
      <c r="F3498" s="6" t="s">
        <v>65</v>
      </c>
      <c r="G3498" s="7">
        <v>1.7</v>
      </c>
      <c r="H3498" s="6" t="s">
        <v>209</v>
      </c>
      <c r="I3498" s="6" t="s">
        <v>20</v>
      </c>
      <c r="J3498" s="6">
        <v>2025.0</v>
      </c>
      <c r="K3498" s="10">
        <v>46055.0</v>
      </c>
      <c r="L3498" s="6">
        <v>1.0</v>
      </c>
      <c r="M3498" s="8">
        <f t="shared" si="3"/>
        <v>1.7</v>
      </c>
      <c r="P3498" s="9"/>
    </row>
    <row r="3499">
      <c r="A3499" s="6" t="s">
        <v>7578</v>
      </c>
      <c r="B3499" s="6" t="s">
        <v>190</v>
      </c>
      <c r="C3499" s="6" t="s">
        <v>23</v>
      </c>
      <c r="D3499" s="6" t="s">
        <v>7579</v>
      </c>
      <c r="E3499" s="6" t="s">
        <v>223</v>
      </c>
      <c r="F3499" s="6" t="s">
        <v>159</v>
      </c>
      <c r="G3499" s="7">
        <v>0.19</v>
      </c>
      <c r="H3499" s="6" t="s">
        <v>45</v>
      </c>
      <c r="I3499" s="6" t="s">
        <v>55</v>
      </c>
      <c r="J3499" s="6">
        <v>2025.0</v>
      </c>
      <c r="K3499" s="10">
        <v>46024.0</v>
      </c>
      <c r="L3499" s="6">
        <v>1.0</v>
      </c>
      <c r="M3499" s="8">
        <f t="shared" si="3"/>
        <v>0.19</v>
      </c>
      <c r="P3499" s="9"/>
    </row>
    <row r="3500">
      <c r="A3500" s="6" t="s">
        <v>7578</v>
      </c>
      <c r="B3500" s="6" t="s">
        <v>190</v>
      </c>
      <c r="C3500" s="6" t="s">
        <v>23</v>
      </c>
      <c r="D3500" s="6" t="s">
        <v>7579</v>
      </c>
      <c r="E3500" s="6" t="s">
        <v>223</v>
      </c>
      <c r="F3500" s="6" t="s">
        <v>159</v>
      </c>
      <c r="G3500" s="7">
        <v>0.1</v>
      </c>
      <c r="H3500" s="6" t="s">
        <v>45</v>
      </c>
      <c r="I3500" s="6" t="s">
        <v>20</v>
      </c>
      <c r="J3500" s="6">
        <v>2025.0</v>
      </c>
      <c r="K3500" s="10">
        <v>46024.0</v>
      </c>
      <c r="L3500" s="6">
        <v>5.0</v>
      </c>
      <c r="M3500" s="8">
        <f t="shared" si="3"/>
        <v>0.5</v>
      </c>
      <c r="P3500" s="9"/>
    </row>
    <row r="3501">
      <c r="A3501" s="6" t="s">
        <v>7580</v>
      </c>
      <c r="B3501" s="6" t="s">
        <v>62</v>
      </c>
      <c r="C3501" s="6" t="s">
        <v>48</v>
      </c>
      <c r="D3501" s="6" t="s">
        <v>7581</v>
      </c>
      <c r="E3501" s="6" t="s">
        <v>2018</v>
      </c>
      <c r="F3501" s="6" t="s">
        <v>65</v>
      </c>
      <c r="G3501" s="7">
        <v>0.13</v>
      </c>
      <c r="H3501" s="6" t="s">
        <v>163</v>
      </c>
      <c r="I3501" s="6" t="s">
        <v>20</v>
      </c>
      <c r="J3501" s="6">
        <v>2023.0</v>
      </c>
      <c r="L3501" s="6">
        <v>1.0</v>
      </c>
      <c r="M3501" s="8">
        <f t="shared" si="3"/>
        <v>0.13</v>
      </c>
      <c r="P3501" s="9"/>
    </row>
    <row r="3502">
      <c r="A3502" s="6" t="s">
        <v>7582</v>
      </c>
      <c r="B3502" s="6" t="s">
        <v>677</v>
      </c>
      <c r="C3502" s="6" t="s">
        <v>23</v>
      </c>
      <c r="D3502" s="6" t="s">
        <v>7583</v>
      </c>
      <c r="E3502" s="6" t="s">
        <v>298</v>
      </c>
      <c r="F3502" s="6" t="s">
        <v>159</v>
      </c>
      <c r="G3502" s="7">
        <v>0.03</v>
      </c>
      <c r="H3502" s="6" t="s">
        <v>359</v>
      </c>
      <c r="I3502" s="6" t="s">
        <v>20</v>
      </c>
      <c r="J3502" s="6">
        <v>2014.0</v>
      </c>
      <c r="K3502" s="10">
        <v>46114.0</v>
      </c>
      <c r="L3502" s="6">
        <v>2.0</v>
      </c>
      <c r="M3502" s="8">
        <f t="shared" si="3"/>
        <v>0.06</v>
      </c>
      <c r="P3502" s="9"/>
    </row>
    <row r="3503">
      <c r="A3503" s="6" t="s">
        <v>7584</v>
      </c>
      <c r="B3503" s="6" t="s">
        <v>7585</v>
      </c>
      <c r="C3503" s="6" t="s">
        <v>48</v>
      </c>
      <c r="D3503" s="6" t="s">
        <v>7586</v>
      </c>
      <c r="E3503" s="6" t="s">
        <v>30</v>
      </c>
      <c r="F3503" s="6" t="s">
        <v>18</v>
      </c>
      <c r="G3503" s="7">
        <v>0.1</v>
      </c>
      <c r="H3503" s="6" t="s">
        <v>192</v>
      </c>
      <c r="I3503" s="6" t="s">
        <v>20</v>
      </c>
      <c r="J3503" s="6">
        <v>2026.0</v>
      </c>
      <c r="K3503" s="10">
        <v>46084.0</v>
      </c>
      <c r="L3503" s="6">
        <v>1.0</v>
      </c>
      <c r="M3503" s="8">
        <f t="shared" si="3"/>
        <v>0.1</v>
      </c>
      <c r="P3503" s="9"/>
    </row>
    <row r="3504">
      <c r="A3504" s="6" t="s">
        <v>7587</v>
      </c>
      <c r="B3504" s="6" t="s">
        <v>62</v>
      </c>
      <c r="C3504" s="6" t="s">
        <v>23</v>
      </c>
      <c r="D3504" s="6" t="s">
        <v>7588</v>
      </c>
      <c r="E3504" s="6" t="s">
        <v>79</v>
      </c>
      <c r="F3504" s="6" t="s">
        <v>51</v>
      </c>
      <c r="G3504" s="7">
        <v>0.05</v>
      </c>
      <c r="H3504" s="6" t="s">
        <v>626</v>
      </c>
      <c r="I3504" s="6" t="s">
        <v>20</v>
      </c>
      <c r="J3504" s="6">
        <v>2013.0</v>
      </c>
      <c r="L3504" s="6">
        <v>1.0</v>
      </c>
      <c r="M3504" s="8">
        <f t="shared" si="3"/>
        <v>0.05</v>
      </c>
      <c r="P3504" s="9"/>
    </row>
    <row r="3505">
      <c r="A3505" s="6" t="s">
        <v>7589</v>
      </c>
      <c r="B3505" s="6" t="s">
        <v>194</v>
      </c>
      <c r="C3505" s="6" t="s">
        <v>23</v>
      </c>
      <c r="D3505" s="6" t="s">
        <v>7590</v>
      </c>
      <c r="E3505" s="6" t="s">
        <v>118</v>
      </c>
      <c r="F3505" s="6" t="s">
        <v>51</v>
      </c>
      <c r="G3505" s="7">
        <v>0.05</v>
      </c>
      <c r="H3505" s="6" t="s">
        <v>45</v>
      </c>
      <c r="I3505" s="6" t="s">
        <v>20</v>
      </c>
      <c r="J3505" s="6">
        <v>2025.0</v>
      </c>
      <c r="L3505" s="6">
        <v>4.0</v>
      </c>
      <c r="M3505" s="8">
        <f t="shared" si="3"/>
        <v>0.2</v>
      </c>
      <c r="P3505" s="9"/>
    </row>
    <row r="3506">
      <c r="A3506" s="6" t="s">
        <v>7589</v>
      </c>
      <c r="B3506" s="6" t="s">
        <v>194</v>
      </c>
      <c r="C3506" s="6" t="s">
        <v>23</v>
      </c>
      <c r="D3506" s="6" t="s">
        <v>7590</v>
      </c>
      <c r="E3506" s="6" t="s">
        <v>118</v>
      </c>
      <c r="F3506" s="6" t="s">
        <v>51</v>
      </c>
      <c r="G3506" s="7">
        <v>0.05</v>
      </c>
      <c r="H3506" s="6" t="s">
        <v>45</v>
      </c>
      <c r="I3506" s="6" t="s">
        <v>20</v>
      </c>
      <c r="J3506" s="6">
        <v>2025.0</v>
      </c>
      <c r="L3506" s="6">
        <v>2.0</v>
      </c>
      <c r="M3506" s="8">
        <f t="shared" si="3"/>
        <v>0.1</v>
      </c>
      <c r="P3506" s="9"/>
    </row>
    <row r="3507">
      <c r="A3507" s="6" t="s">
        <v>7591</v>
      </c>
      <c r="B3507" s="6" t="s">
        <v>1978</v>
      </c>
      <c r="C3507" s="6" t="s">
        <v>23</v>
      </c>
      <c r="D3507" s="6" t="s">
        <v>7592</v>
      </c>
      <c r="E3507" s="6" t="s">
        <v>50</v>
      </c>
      <c r="F3507" s="6" t="s">
        <v>51</v>
      </c>
      <c r="G3507" s="7">
        <v>0.06</v>
      </c>
      <c r="H3507" s="6" t="s">
        <v>188</v>
      </c>
      <c r="I3507" s="6" t="s">
        <v>20</v>
      </c>
      <c r="J3507" s="6">
        <v>2014.0</v>
      </c>
      <c r="K3507" s="10">
        <v>46055.0</v>
      </c>
      <c r="L3507" s="6">
        <v>2.0</v>
      </c>
      <c r="M3507" s="8">
        <f t="shared" si="3"/>
        <v>0.12</v>
      </c>
      <c r="P3507" s="9"/>
    </row>
    <row r="3508">
      <c r="A3508" s="6" t="s">
        <v>7593</v>
      </c>
      <c r="B3508" s="6" t="s">
        <v>1978</v>
      </c>
      <c r="C3508" s="6" t="s">
        <v>23</v>
      </c>
      <c r="D3508" s="6" t="s">
        <v>7594</v>
      </c>
      <c r="E3508" s="6" t="s">
        <v>50</v>
      </c>
      <c r="F3508" s="6" t="s">
        <v>51</v>
      </c>
      <c r="G3508" s="7">
        <v>0.09</v>
      </c>
      <c r="H3508" s="6" t="s">
        <v>574</v>
      </c>
      <c r="I3508" s="6" t="s">
        <v>20</v>
      </c>
      <c r="J3508" s="6">
        <v>2000.0</v>
      </c>
      <c r="K3508" s="10">
        <v>46055.0</v>
      </c>
      <c r="L3508" s="6">
        <v>1.0</v>
      </c>
      <c r="M3508" s="8">
        <f t="shared" si="3"/>
        <v>0.09</v>
      </c>
      <c r="P3508" s="9"/>
    </row>
    <row r="3509">
      <c r="A3509" s="6" t="s">
        <v>7595</v>
      </c>
      <c r="B3509" s="6" t="s">
        <v>7596</v>
      </c>
      <c r="C3509" s="6" t="s">
        <v>48</v>
      </c>
      <c r="D3509" s="6" t="s">
        <v>7597</v>
      </c>
      <c r="E3509" s="6" t="s">
        <v>502</v>
      </c>
      <c r="F3509" s="6" t="s">
        <v>65</v>
      </c>
      <c r="G3509" s="7">
        <v>0.07</v>
      </c>
      <c r="H3509" s="6" t="s">
        <v>645</v>
      </c>
      <c r="I3509" s="6" t="s">
        <v>20</v>
      </c>
      <c r="J3509" s="6">
        <v>2024.0</v>
      </c>
      <c r="K3509" s="10">
        <v>46116.0</v>
      </c>
      <c r="L3509" s="6">
        <v>1.0</v>
      </c>
      <c r="M3509" s="8">
        <f t="shared" si="3"/>
        <v>0.07</v>
      </c>
      <c r="P3509" s="9"/>
    </row>
    <row r="3510">
      <c r="A3510" s="6" t="s">
        <v>7598</v>
      </c>
      <c r="B3510" s="6" t="s">
        <v>165</v>
      </c>
      <c r="C3510" s="6" t="s">
        <v>15</v>
      </c>
      <c r="D3510" s="6" t="s">
        <v>7599</v>
      </c>
      <c r="E3510" s="6" t="s">
        <v>3920</v>
      </c>
      <c r="F3510" s="6" t="s">
        <v>159</v>
      </c>
      <c r="G3510" s="7">
        <v>0.29</v>
      </c>
      <c r="H3510" s="6" t="s">
        <v>209</v>
      </c>
      <c r="I3510" s="6" t="s">
        <v>20</v>
      </c>
      <c r="J3510" s="6">
        <v>2025.0</v>
      </c>
      <c r="L3510" s="6">
        <v>1.0</v>
      </c>
      <c r="M3510" s="8">
        <f t="shared" si="3"/>
        <v>0.29</v>
      </c>
      <c r="P3510" s="9"/>
    </row>
    <row r="3511">
      <c r="A3511" s="6" t="s">
        <v>7598</v>
      </c>
      <c r="B3511" s="6" t="s">
        <v>165</v>
      </c>
      <c r="C3511" s="6" t="s">
        <v>15</v>
      </c>
      <c r="D3511" s="6" t="s">
        <v>7599</v>
      </c>
      <c r="E3511" s="6" t="s">
        <v>3920</v>
      </c>
      <c r="F3511" s="6" t="s">
        <v>159</v>
      </c>
      <c r="G3511" s="7">
        <v>0.99</v>
      </c>
      <c r="H3511" s="6" t="s">
        <v>209</v>
      </c>
      <c r="I3511" s="6" t="s">
        <v>55</v>
      </c>
      <c r="J3511" s="6">
        <v>2025.0</v>
      </c>
      <c r="L3511" s="6">
        <v>1.0</v>
      </c>
      <c r="M3511" s="8">
        <f t="shared" si="3"/>
        <v>0.99</v>
      </c>
      <c r="P3511" s="9"/>
    </row>
    <row r="3512">
      <c r="A3512" s="6" t="s">
        <v>7600</v>
      </c>
      <c r="B3512" s="6" t="s">
        <v>182</v>
      </c>
      <c r="C3512" s="6" t="s">
        <v>23</v>
      </c>
      <c r="D3512" s="6" t="s">
        <v>7601</v>
      </c>
      <c r="E3512" s="6" t="s">
        <v>235</v>
      </c>
      <c r="F3512" s="6" t="s">
        <v>103</v>
      </c>
      <c r="G3512" s="7">
        <v>0.38</v>
      </c>
      <c r="H3512" s="6" t="s">
        <v>7279</v>
      </c>
      <c r="I3512" s="6" t="s">
        <v>20</v>
      </c>
      <c r="J3512" s="6">
        <v>2014.0</v>
      </c>
      <c r="L3512" s="6">
        <v>1.0</v>
      </c>
      <c r="M3512" s="8">
        <f t="shared" si="3"/>
        <v>0.38</v>
      </c>
      <c r="P3512" s="9"/>
    </row>
    <row r="3513">
      <c r="A3513" s="6" t="s">
        <v>7600</v>
      </c>
      <c r="B3513" s="6" t="s">
        <v>182</v>
      </c>
      <c r="C3513" s="6" t="s">
        <v>23</v>
      </c>
      <c r="D3513" s="6" t="s">
        <v>7601</v>
      </c>
      <c r="E3513" s="6" t="s">
        <v>235</v>
      </c>
      <c r="F3513" s="6" t="s">
        <v>103</v>
      </c>
      <c r="G3513" s="7">
        <v>0.3</v>
      </c>
      <c r="H3513" s="6" t="s">
        <v>184</v>
      </c>
      <c r="I3513" s="6" t="s">
        <v>20</v>
      </c>
      <c r="J3513" s="6">
        <v>2015.0</v>
      </c>
      <c r="L3513" s="6">
        <v>7.0</v>
      </c>
      <c r="M3513" s="8">
        <f t="shared" si="3"/>
        <v>2.1</v>
      </c>
      <c r="P3513" s="9"/>
    </row>
    <row r="3514">
      <c r="A3514" s="6" t="s">
        <v>7602</v>
      </c>
      <c r="B3514" s="6" t="s">
        <v>4693</v>
      </c>
      <c r="C3514" s="6" t="s">
        <v>41</v>
      </c>
      <c r="D3514" s="6" t="s">
        <v>7603</v>
      </c>
      <c r="E3514" s="6" t="s">
        <v>248</v>
      </c>
      <c r="F3514" s="6" t="s">
        <v>18</v>
      </c>
      <c r="G3514" s="7">
        <v>1.5</v>
      </c>
      <c r="H3514" s="6" t="s">
        <v>88</v>
      </c>
      <c r="I3514" s="6" t="s">
        <v>55</v>
      </c>
      <c r="J3514" s="6">
        <v>2013.0</v>
      </c>
      <c r="K3514" s="10">
        <v>46023.0</v>
      </c>
      <c r="L3514" s="6">
        <v>1.0</v>
      </c>
      <c r="M3514" s="8">
        <f t="shared" si="3"/>
        <v>1.5</v>
      </c>
      <c r="N3514" s="6" t="s">
        <v>172</v>
      </c>
      <c r="P3514" s="9"/>
    </row>
    <row r="3515">
      <c r="A3515" s="6" t="s">
        <v>7604</v>
      </c>
      <c r="B3515" s="6" t="s">
        <v>182</v>
      </c>
      <c r="C3515" s="6" t="s">
        <v>23</v>
      </c>
      <c r="D3515" s="6" t="s">
        <v>7605</v>
      </c>
      <c r="E3515" s="6" t="s">
        <v>235</v>
      </c>
      <c r="F3515" s="6" t="s">
        <v>103</v>
      </c>
      <c r="G3515" s="7">
        <v>0.04</v>
      </c>
      <c r="H3515" s="6" t="s">
        <v>1494</v>
      </c>
      <c r="I3515" s="6" t="s">
        <v>20</v>
      </c>
      <c r="J3515" s="6">
        <v>2012.0</v>
      </c>
      <c r="L3515" s="6">
        <v>1.0</v>
      </c>
      <c r="M3515" s="8">
        <f t="shared" si="3"/>
        <v>0.04</v>
      </c>
      <c r="P3515" s="9"/>
    </row>
    <row r="3516">
      <c r="A3516" s="6" t="s">
        <v>7606</v>
      </c>
      <c r="B3516" s="6" t="s">
        <v>62</v>
      </c>
      <c r="C3516" s="6" t="s">
        <v>48</v>
      </c>
      <c r="D3516" s="6" t="s">
        <v>7607</v>
      </c>
      <c r="E3516" s="6" t="s">
        <v>873</v>
      </c>
      <c r="F3516" s="6" t="s">
        <v>874</v>
      </c>
      <c r="G3516" s="7">
        <v>0.05</v>
      </c>
      <c r="H3516" s="6" t="s">
        <v>276</v>
      </c>
      <c r="I3516" s="6" t="s">
        <v>20</v>
      </c>
      <c r="J3516" s="6">
        <v>2014.0</v>
      </c>
      <c r="L3516" s="6">
        <v>2.0</v>
      </c>
      <c r="M3516" s="8">
        <f t="shared" si="3"/>
        <v>0.1</v>
      </c>
      <c r="P3516" s="9"/>
    </row>
    <row r="3517">
      <c r="A3517" s="6" t="s">
        <v>7608</v>
      </c>
      <c r="B3517" s="6" t="s">
        <v>2298</v>
      </c>
      <c r="C3517" s="6" t="s">
        <v>41</v>
      </c>
      <c r="D3517" s="6" t="s">
        <v>7609</v>
      </c>
      <c r="E3517" s="6" t="s">
        <v>7610</v>
      </c>
      <c r="F3517" s="6" t="s">
        <v>284</v>
      </c>
      <c r="G3517" s="7">
        <v>0.15</v>
      </c>
      <c r="H3517" s="6" t="s">
        <v>265</v>
      </c>
      <c r="I3517" s="6" t="s">
        <v>20</v>
      </c>
      <c r="J3517" s="6">
        <v>2017.0</v>
      </c>
      <c r="L3517" s="6">
        <v>1.0</v>
      </c>
      <c r="M3517" s="8">
        <f t="shared" si="3"/>
        <v>0.15</v>
      </c>
      <c r="P3517" s="9"/>
    </row>
    <row r="3518">
      <c r="A3518" s="6" t="s">
        <v>7611</v>
      </c>
      <c r="B3518" s="6" t="s">
        <v>182</v>
      </c>
      <c r="C3518" s="6" t="s">
        <v>23</v>
      </c>
      <c r="D3518" s="6" t="s">
        <v>7612</v>
      </c>
      <c r="E3518" s="6" t="s">
        <v>102</v>
      </c>
      <c r="F3518" s="6" t="s">
        <v>103</v>
      </c>
      <c r="G3518" s="7">
        <v>0.05</v>
      </c>
      <c r="H3518" s="6" t="s">
        <v>184</v>
      </c>
      <c r="I3518" s="6" t="s">
        <v>20</v>
      </c>
      <c r="J3518" s="6">
        <v>2015.0</v>
      </c>
      <c r="L3518" s="6">
        <v>6.0</v>
      </c>
      <c r="M3518" s="8">
        <f t="shared" si="3"/>
        <v>0.3</v>
      </c>
      <c r="P3518" s="9"/>
    </row>
    <row r="3519">
      <c r="A3519" s="6" t="s">
        <v>7611</v>
      </c>
      <c r="B3519" s="6" t="s">
        <v>182</v>
      </c>
      <c r="C3519" s="6" t="s">
        <v>23</v>
      </c>
      <c r="D3519" s="6" t="s">
        <v>7612</v>
      </c>
      <c r="E3519" s="6" t="s">
        <v>102</v>
      </c>
      <c r="F3519" s="6" t="s">
        <v>103</v>
      </c>
      <c r="G3519" s="7">
        <v>0.05</v>
      </c>
      <c r="H3519" s="6" t="s">
        <v>184</v>
      </c>
      <c r="I3519" s="6" t="s">
        <v>20</v>
      </c>
      <c r="J3519" s="6">
        <v>2015.0</v>
      </c>
      <c r="L3519" s="6">
        <v>2.0</v>
      </c>
      <c r="M3519" s="8">
        <f t="shared" si="3"/>
        <v>0.1</v>
      </c>
      <c r="P3519" s="9"/>
    </row>
    <row r="3520">
      <c r="A3520" s="6" t="s">
        <v>7613</v>
      </c>
      <c r="B3520" s="6" t="s">
        <v>1234</v>
      </c>
      <c r="C3520" s="6" t="s">
        <v>48</v>
      </c>
      <c r="D3520" s="6" t="s">
        <v>7614</v>
      </c>
      <c r="E3520" s="6" t="s">
        <v>167</v>
      </c>
      <c r="F3520" s="6" t="s">
        <v>103</v>
      </c>
      <c r="G3520" s="7">
        <v>0.05</v>
      </c>
      <c r="H3520" s="6" t="s">
        <v>336</v>
      </c>
      <c r="I3520" s="6" t="s">
        <v>20</v>
      </c>
      <c r="J3520" s="6">
        <v>2016.0</v>
      </c>
      <c r="K3520" s="10">
        <v>46024.0</v>
      </c>
      <c r="L3520" s="6">
        <v>1.0</v>
      </c>
      <c r="M3520" s="8">
        <f t="shared" si="3"/>
        <v>0.05</v>
      </c>
      <c r="P3520" s="9"/>
    </row>
    <row r="3521">
      <c r="A3521" s="6" t="s">
        <v>7615</v>
      </c>
      <c r="B3521" s="6" t="s">
        <v>899</v>
      </c>
      <c r="C3521" s="6" t="s">
        <v>23</v>
      </c>
      <c r="D3521" s="6" t="s">
        <v>7616</v>
      </c>
      <c r="E3521" s="6" t="s">
        <v>223</v>
      </c>
      <c r="F3521" s="6" t="s">
        <v>159</v>
      </c>
      <c r="G3521" s="7">
        <v>0.04</v>
      </c>
      <c r="H3521" s="6" t="s">
        <v>45</v>
      </c>
      <c r="I3521" s="6" t="s">
        <v>20</v>
      </c>
      <c r="J3521" s="6">
        <v>2025.0</v>
      </c>
      <c r="K3521" s="10">
        <v>46055.0</v>
      </c>
      <c r="L3521" s="6">
        <v>2.0</v>
      </c>
      <c r="M3521" s="8">
        <f t="shared" si="3"/>
        <v>0.08</v>
      </c>
      <c r="P3521" s="9"/>
    </row>
    <row r="3522">
      <c r="A3522" s="6" t="s">
        <v>7617</v>
      </c>
      <c r="B3522" s="6" t="s">
        <v>165</v>
      </c>
      <c r="C3522" s="6" t="s">
        <v>34</v>
      </c>
      <c r="D3522" s="6" t="s">
        <v>7618</v>
      </c>
      <c r="E3522" s="6" t="s">
        <v>1304</v>
      </c>
      <c r="F3522" s="6" t="s">
        <v>65</v>
      </c>
      <c r="G3522" s="7">
        <v>3.15</v>
      </c>
      <c r="H3522" s="6" t="s">
        <v>180</v>
      </c>
      <c r="I3522" s="6" t="s">
        <v>20</v>
      </c>
      <c r="J3522" s="6">
        <v>2014.0</v>
      </c>
      <c r="L3522" s="6">
        <v>1.0</v>
      </c>
      <c r="M3522" s="8">
        <f t="shared" si="3"/>
        <v>3.15</v>
      </c>
      <c r="P3522" s="9"/>
    </row>
    <row r="3523">
      <c r="A3523" s="6" t="s">
        <v>7619</v>
      </c>
      <c r="B3523" s="6" t="s">
        <v>1420</v>
      </c>
      <c r="C3523" s="6" t="s">
        <v>23</v>
      </c>
      <c r="D3523" s="6" t="s">
        <v>7620</v>
      </c>
      <c r="E3523" s="6" t="s">
        <v>223</v>
      </c>
      <c r="F3523" s="6" t="s">
        <v>159</v>
      </c>
      <c r="G3523" s="7">
        <v>0.06</v>
      </c>
      <c r="H3523" s="6" t="s">
        <v>5219</v>
      </c>
      <c r="I3523" s="6" t="s">
        <v>20</v>
      </c>
      <c r="J3523" s="6">
        <v>2021.0</v>
      </c>
      <c r="K3523" s="10">
        <v>46055.0</v>
      </c>
      <c r="L3523" s="6">
        <v>4.0</v>
      </c>
      <c r="M3523" s="8">
        <f t="shared" si="3"/>
        <v>0.24</v>
      </c>
      <c r="P3523" s="9"/>
    </row>
    <row r="3524">
      <c r="A3524" s="6" t="s">
        <v>7621</v>
      </c>
      <c r="B3524" s="6" t="s">
        <v>7622</v>
      </c>
      <c r="C3524" s="6" t="s">
        <v>23</v>
      </c>
      <c r="D3524" s="6" t="s">
        <v>7623</v>
      </c>
      <c r="E3524" s="6" t="s">
        <v>64</v>
      </c>
      <c r="F3524" s="6" t="s">
        <v>65</v>
      </c>
      <c r="G3524" s="7">
        <v>0.05</v>
      </c>
      <c r="H3524" s="6" t="s">
        <v>701</v>
      </c>
      <c r="I3524" s="6" t="s">
        <v>20</v>
      </c>
      <c r="J3524" s="6">
        <v>2012.0</v>
      </c>
      <c r="K3524" s="10">
        <v>46025.0</v>
      </c>
      <c r="L3524" s="6">
        <v>1.0</v>
      </c>
      <c r="M3524" s="8">
        <f t="shared" si="3"/>
        <v>0.05</v>
      </c>
      <c r="P3524" s="9"/>
    </row>
    <row r="3525">
      <c r="A3525" s="6" t="s">
        <v>7624</v>
      </c>
      <c r="B3525" s="6" t="s">
        <v>258</v>
      </c>
      <c r="C3525" s="6" t="s">
        <v>23</v>
      </c>
      <c r="D3525" s="6" t="s">
        <v>7625</v>
      </c>
      <c r="E3525" s="6" t="s">
        <v>112</v>
      </c>
      <c r="F3525" s="6" t="s">
        <v>65</v>
      </c>
      <c r="G3525" s="7">
        <v>0.49</v>
      </c>
      <c r="H3525" s="6" t="s">
        <v>316</v>
      </c>
      <c r="I3525" s="6" t="s">
        <v>20</v>
      </c>
      <c r="J3525" s="6">
        <v>2016.0</v>
      </c>
      <c r="K3525" s="10">
        <v>46082.0</v>
      </c>
      <c r="L3525" s="6">
        <v>1.0</v>
      </c>
      <c r="M3525" s="8">
        <f t="shared" si="3"/>
        <v>0.49</v>
      </c>
      <c r="P3525" s="9"/>
    </row>
    <row r="3526">
      <c r="A3526" s="6" t="s">
        <v>7624</v>
      </c>
      <c r="B3526" s="6" t="s">
        <v>258</v>
      </c>
      <c r="C3526" s="6" t="s">
        <v>23</v>
      </c>
      <c r="D3526" s="6" t="s">
        <v>7625</v>
      </c>
      <c r="E3526" s="6" t="s">
        <v>112</v>
      </c>
      <c r="F3526" s="6" t="s">
        <v>65</v>
      </c>
      <c r="G3526" s="7">
        <v>0.49</v>
      </c>
      <c r="H3526" s="6" t="s">
        <v>316</v>
      </c>
      <c r="I3526" s="6" t="s">
        <v>20</v>
      </c>
      <c r="J3526" s="6">
        <v>2016.0</v>
      </c>
      <c r="K3526" s="10">
        <v>46082.0</v>
      </c>
      <c r="L3526" s="6">
        <v>2.0</v>
      </c>
      <c r="M3526" s="8">
        <f t="shared" si="3"/>
        <v>0.98</v>
      </c>
      <c r="P3526" s="9"/>
    </row>
    <row r="3527">
      <c r="A3527" s="6" t="s">
        <v>7626</v>
      </c>
      <c r="B3527" s="6" t="s">
        <v>182</v>
      </c>
      <c r="C3527" s="6" t="s">
        <v>48</v>
      </c>
      <c r="D3527" s="6" t="s">
        <v>7627</v>
      </c>
      <c r="E3527" s="6" t="s">
        <v>112</v>
      </c>
      <c r="F3527" s="6" t="s">
        <v>65</v>
      </c>
      <c r="G3527" s="7">
        <v>0.7</v>
      </c>
      <c r="H3527" s="6" t="s">
        <v>2696</v>
      </c>
      <c r="I3527" s="6" t="s">
        <v>20</v>
      </c>
      <c r="J3527" s="6">
        <v>2023.0</v>
      </c>
      <c r="L3527" s="6">
        <v>1.0</v>
      </c>
      <c r="M3527" s="8">
        <f t="shared" si="3"/>
        <v>0.7</v>
      </c>
      <c r="P3527" s="9"/>
    </row>
    <row r="3528">
      <c r="A3528" s="6" t="s">
        <v>7628</v>
      </c>
      <c r="B3528" s="6" t="s">
        <v>194</v>
      </c>
      <c r="C3528" s="6" t="s">
        <v>521</v>
      </c>
      <c r="D3528" s="6" t="s">
        <v>7629</v>
      </c>
      <c r="E3528" s="6" t="s">
        <v>112</v>
      </c>
      <c r="F3528" s="6" t="s">
        <v>3701</v>
      </c>
      <c r="G3528" s="7">
        <v>0.1</v>
      </c>
      <c r="H3528" s="6" t="s">
        <v>641</v>
      </c>
      <c r="I3528" s="6" t="s">
        <v>20</v>
      </c>
      <c r="J3528" s="6">
        <v>2026.0</v>
      </c>
      <c r="L3528" s="6">
        <v>1.0</v>
      </c>
      <c r="M3528" s="8">
        <f t="shared" si="3"/>
        <v>0.1</v>
      </c>
      <c r="P3528" s="9"/>
    </row>
    <row r="3529">
      <c r="A3529" s="6" t="s">
        <v>7630</v>
      </c>
      <c r="B3529" s="6" t="s">
        <v>7631</v>
      </c>
      <c r="C3529" s="6" t="s">
        <v>23</v>
      </c>
      <c r="D3529" s="6" t="s">
        <v>7632</v>
      </c>
      <c r="E3529" s="6" t="s">
        <v>112</v>
      </c>
      <c r="F3529" s="6" t="s">
        <v>65</v>
      </c>
      <c r="G3529" s="7">
        <v>0.04</v>
      </c>
      <c r="H3529" s="6" t="s">
        <v>276</v>
      </c>
      <c r="I3529" s="6" t="s">
        <v>20</v>
      </c>
      <c r="J3529" s="6">
        <v>2014.0</v>
      </c>
      <c r="K3529" s="10">
        <v>46024.0</v>
      </c>
      <c r="L3529" s="6">
        <v>1.0</v>
      </c>
      <c r="M3529" s="8">
        <f t="shared" si="3"/>
        <v>0.04</v>
      </c>
      <c r="P3529" s="9"/>
    </row>
    <row r="3530">
      <c r="A3530" s="6" t="s">
        <v>7633</v>
      </c>
      <c r="B3530" s="6" t="s">
        <v>291</v>
      </c>
      <c r="C3530" s="6" t="s">
        <v>23</v>
      </c>
      <c r="D3530" s="6" t="s">
        <v>7634</v>
      </c>
      <c r="E3530" s="6" t="s">
        <v>25</v>
      </c>
      <c r="F3530" s="6" t="s">
        <v>18</v>
      </c>
      <c r="G3530" s="7">
        <v>0.09</v>
      </c>
      <c r="H3530" s="6" t="s">
        <v>411</v>
      </c>
      <c r="I3530" s="6" t="s">
        <v>20</v>
      </c>
      <c r="J3530" s="6">
        <v>2014.0</v>
      </c>
      <c r="K3530" s="10">
        <v>46024.0</v>
      </c>
      <c r="L3530" s="6">
        <v>1.0</v>
      </c>
      <c r="M3530" s="8">
        <f t="shared" si="3"/>
        <v>0.09</v>
      </c>
      <c r="P3530" s="9"/>
    </row>
    <row r="3531">
      <c r="A3531" s="6" t="s">
        <v>7633</v>
      </c>
      <c r="B3531" s="6" t="s">
        <v>291</v>
      </c>
      <c r="C3531" s="6" t="s">
        <v>48</v>
      </c>
      <c r="D3531" s="6" t="s">
        <v>7634</v>
      </c>
      <c r="E3531" s="6" t="s">
        <v>25</v>
      </c>
      <c r="F3531" s="6" t="s">
        <v>18</v>
      </c>
      <c r="G3531" s="7">
        <v>0.05</v>
      </c>
      <c r="H3531" s="6" t="s">
        <v>93</v>
      </c>
      <c r="I3531" s="6" t="s">
        <v>20</v>
      </c>
      <c r="J3531" s="6">
        <v>2016.0</v>
      </c>
      <c r="K3531" s="10">
        <v>46024.0</v>
      </c>
      <c r="L3531" s="6">
        <v>1.0</v>
      </c>
      <c r="M3531" s="8">
        <f t="shared" si="3"/>
        <v>0.05</v>
      </c>
      <c r="P3531" s="9"/>
    </row>
    <row r="3532">
      <c r="A3532" s="6" t="s">
        <v>7635</v>
      </c>
      <c r="B3532" s="6" t="s">
        <v>182</v>
      </c>
      <c r="C3532" s="6" t="s">
        <v>23</v>
      </c>
      <c r="D3532" s="6" t="s">
        <v>7636</v>
      </c>
      <c r="E3532" s="6" t="s">
        <v>235</v>
      </c>
      <c r="F3532" s="6" t="s">
        <v>103</v>
      </c>
      <c r="G3532" s="7">
        <v>0.05</v>
      </c>
      <c r="H3532" s="6" t="s">
        <v>418</v>
      </c>
      <c r="I3532" s="6" t="s">
        <v>20</v>
      </c>
      <c r="J3532" s="6">
        <v>2022.0</v>
      </c>
      <c r="L3532" s="6">
        <v>1.0</v>
      </c>
      <c r="M3532" s="8">
        <f t="shared" si="3"/>
        <v>0.05</v>
      </c>
      <c r="P3532" s="9"/>
    </row>
    <row r="3533">
      <c r="A3533" s="6" t="s">
        <v>7637</v>
      </c>
      <c r="B3533" s="6" t="s">
        <v>62</v>
      </c>
      <c r="C3533" s="6" t="s">
        <v>23</v>
      </c>
      <c r="D3533" s="6" t="s">
        <v>7638</v>
      </c>
      <c r="E3533" s="6" t="s">
        <v>238</v>
      </c>
      <c r="F3533" s="6" t="s">
        <v>159</v>
      </c>
      <c r="G3533" s="7">
        <v>0.08</v>
      </c>
      <c r="H3533" s="6" t="s">
        <v>184</v>
      </c>
      <c r="I3533" s="6" t="s">
        <v>20</v>
      </c>
      <c r="J3533" s="6">
        <v>2015.0</v>
      </c>
      <c r="L3533" s="6">
        <v>3.0</v>
      </c>
      <c r="M3533" s="8">
        <f t="shared" si="3"/>
        <v>0.24</v>
      </c>
      <c r="P3533" s="9"/>
    </row>
    <row r="3534">
      <c r="A3534" s="6" t="s">
        <v>7637</v>
      </c>
      <c r="B3534" s="6" t="s">
        <v>62</v>
      </c>
      <c r="C3534" s="6" t="s">
        <v>23</v>
      </c>
      <c r="D3534" s="6" t="s">
        <v>7638</v>
      </c>
      <c r="E3534" s="6" t="s">
        <v>238</v>
      </c>
      <c r="F3534" s="6" t="s">
        <v>159</v>
      </c>
      <c r="G3534" s="7">
        <v>0.08</v>
      </c>
      <c r="H3534" s="6" t="s">
        <v>184</v>
      </c>
      <c r="I3534" s="6" t="s">
        <v>20</v>
      </c>
      <c r="J3534" s="6">
        <v>2015.0</v>
      </c>
      <c r="L3534" s="6">
        <v>2.0</v>
      </c>
      <c r="M3534" s="8">
        <f t="shared" si="3"/>
        <v>0.16</v>
      </c>
      <c r="P3534" s="9"/>
    </row>
    <row r="3535">
      <c r="A3535" s="6" t="s">
        <v>7639</v>
      </c>
      <c r="B3535" s="6" t="s">
        <v>258</v>
      </c>
      <c r="C3535" s="6" t="s">
        <v>48</v>
      </c>
      <c r="D3535" s="6" t="s">
        <v>7640</v>
      </c>
      <c r="E3535" s="6" t="s">
        <v>6097</v>
      </c>
      <c r="F3535" s="6" t="s">
        <v>60</v>
      </c>
      <c r="G3535" s="7">
        <v>0.08</v>
      </c>
      <c r="H3535" s="6" t="s">
        <v>184</v>
      </c>
      <c r="I3535" s="6" t="s">
        <v>20</v>
      </c>
      <c r="J3535" s="6">
        <v>2015.0</v>
      </c>
      <c r="K3535" s="10">
        <v>46083.0</v>
      </c>
      <c r="L3535" s="6">
        <v>2.0</v>
      </c>
      <c r="M3535" s="8">
        <f t="shared" si="3"/>
        <v>0.16</v>
      </c>
      <c r="P3535" s="9"/>
    </row>
    <row r="3536">
      <c r="A3536" s="6" t="s">
        <v>7641</v>
      </c>
      <c r="B3536" s="6" t="s">
        <v>182</v>
      </c>
      <c r="C3536" s="6" t="s">
        <v>48</v>
      </c>
      <c r="D3536" s="6" t="s">
        <v>7642</v>
      </c>
      <c r="E3536" s="6" t="s">
        <v>270</v>
      </c>
      <c r="F3536" s="6" t="s">
        <v>159</v>
      </c>
      <c r="G3536" s="7">
        <v>0.23</v>
      </c>
      <c r="H3536" s="6" t="s">
        <v>2861</v>
      </c>
      <c r="I3536" s="6" t="s">
        <v>20</v>
      </c>
      <c r="J3536" s="6">
        <v>2008.0</v>
      </c>
      <c r="L3536" s="6">
        <v>1.0</v>
      </c>
      <c r="M3536" s="8">
        <f t="shared" si="3"/>
        <v>0.23</v>
      </c>
      <c r="P3536" s="9"/>
    </row>
    <row r="3537">
      <c r="A3537" s="6" t="s">
        <v>7643</v>
      </c>
      <c r="B3537" s="6" t="s">
        <v>850</v>
      </c>
      <c r="C3537" s="6" t="s">
        <v>34</v>
      </c>
      <c r="D3537" s="6" t="s">
        <v>7644</v>
      </c>
      <c r="E3537" s="6" t="s">
        <v>681</v>
      </c>
      <c r="F3537" s="6" t="s">
        <v>65</v>
      </c>
      <c r="G3537" s="7">
        <v>0.12</v>
      </c>
      <c r="H3537" s="6" t="s">
        <v>209</v>
      </c>
      <c r="I3537" s="6" t="s">
        <v>20</v>
      </c>
      <c r="J3537" s="6">
        <v>2025.0</v>
      </c>
      <c r="L3537" s="6">
        <v>5.0</v>
      </c>
      <c r="M3537" s="8">
        <f t="shared" si="3"/>
        <v>0.6</v>
      </c>
      <c r="P3537" s="9"/>
    </row>
    <row r="3538">
      <c r="A3538" s="6" t="s">
        <v>7643</v>
      </c>
      <c r="B3538" s="6" t="s">
        <v>850</v>
      </c>
      <c r="C3538" s="6" t="s">
        <v>34</v>
      </c>
      <c r="D3538" s="6" t="s">
        <v>7644</v>
      </c>
      <c r="E3538" s="6" t="s">
        <v>681</v>
      </c>
      <c r="F3538" s="6" t="s">
        <v>65</v>
      </c>
      <c r="G3538" s="7">
        <v>0.4</v>
      </c>
      <c r="H3538" s="6" t="s">
        <v>209</v>
      </c>
      <c r="I3538" s="6" t="s">
        <v>55</v>
      </c>
      <c r="J3538" s="6">
        <v>2025.0</v>
      </c>
      <c r="L3538" s="6">
        <v>2.0</v>
      </c>
      <c r="M3538" s="8">
        <f t="shared" si="3"/>
        <v>0.8</v>
      </c>
      <c r="P3538" s="9"/>
    </row>
    <row r="3539">
      <c r="A3539" s="6" t="s">
        <v>7645</v>
      </c>
      <c r="B3539" s="6" t="s">
        <v>7646</v>
      </c>
      <c r="C3539" s="6" t="s">
        <v>23</v>
      </c>
      <c r="D3539" s="6" t="s">
        <v>7647</v>
      </c>
      <c r="E3539" s="6" t="s">
        <v>102</v>
      </c>
      <c r="F3539" s="6" t="s">
        <v>103</v>
      </c>
      <c r="G3539" s="7">
        <v>0.1</v>
      </c>
      <c r="H3539" s="6" t="s">
        <v>31</v>
      </c>
      <c r="I3539" s="6" t="s">
        <v>20</v>
      </c>
      <c r="J3539" s="6">
        <v>2026.0</v>
      </c>
      <c r="K3539" s="10">
        <v>46054.0</v>
      </c>
      <c r="L3539" s="6">
        <v>1.0</v>
      </c>
      <c r="M3539" s="8">
        <f t="shared" si="3"/>
        <v>0.1</v>
      </c>
      <c r="P3539" s="9"/>
    </row>
    <row r="3540">
      <c r="A3540" s="6" t="s">
        <v>7648</v>
      </c>
      <c r="B3540" s="6" t="s">
        <v>7649</v>
      </c>
      <c r="C3540" s="6" t="s">
        <v>34</v>
      </c>
      <c r="D3540" s="6" t="s">
        <v>7650</v>
      </c>
      <c r="E3540" s="6" t="s">
        <v>2621</v>
      </c>
      <c r="F3540" s="6" t="s">
        <v>103</v>
      </c>
      <c r="G3540" s="7">
        <v>0.35</v>
      </c>
      <c r="H3540" s="6" t="s">
        <v>38</v>
      </c>
      <c r="I3540" s="6" t="s">
        <v>55</v>
      </c>
      <c r="J3540" s="6">
        <v>2026.0</v>
      </c>
      <c r="K3540" s="10">
        <v>46054.0</v>
      </c>
      <c r="L3540" s="6">
        <v>1.0</v>
      </c>
      <c r="M3540" s="8">
        <f t="shared" si="3"/>
        <v>0.35</v>
      </c>
      <c r="P3540" s="9"/>
    </row>
    <row r="3541">
      <c r="A3541" s="6" t="s">
        <v>7648</v>
      </c>
      <c r="B3541" s="6" t="s">
        <v>7649</v>
      </c>
      <c r="C3541" s="6" t="s">
        <v>34</v>
      </c>
      <c r="D3541" s="6" t="s">
        <v>7650</v>
      </c>
      <c r="E3541" s="6" t="s">
        <v>2621</v>
      </c>
      <c r="F3541" s="6" t="s">
        <v>103</v>
      </c>
      <c r="G3541" s="7">
        <v>0.13</v>
      </c>
      <c r="H3541" s="6" t="s">
        <v>38</v>
      </c>
      <c r="I3541" s="6" t="s">
        <v>20</v>
      </c>
      <c r="J3541" s="6">
        <v>2026.0</v>
      </c>
      <c r="K3541" s="10">
        <v>46054.0</v>
      </c>
      <c r="L3541" s="6">
        <v>1.0</v>
      </c>
      <c r="M3541" s="8">
        <f t="shared" si="3"/>
        <v>0.13</v>
      </c>
      <c r="P3541" s="9"/>
    </row>
    <row r="3542">
      <c r="A3542" s="6" t="s">
        <v>7651</v>
      </c>
      <c r="B3542" s="6" t="s">
        <v>7652</v>
      </c>
      <c r="C3542" s="6" t="s">
        <v>34</v>
      </c>
      <c r="D3542" s="6" t="s">
        <v>7653</v>
      </c>
      <c r="E3542" s="6" t="s">
        <v>2469</v>
      </c>
      <c r="F3542" s="6" t="s">
        <v>65</v>
      </c>
      <c r="G3542" s="7">
        <v>0.05</v>
      </c>
      <c r="H3542" s="6" t="s">
        <v>1043</v>
      </c>
      <c r="I3542" s="6" t="s">
        <v>20</v>
      </c>
      <c r="J3542" s="6">
        <v>2025.0</v>
      </c>
      <c r="K3542" s="10">
        <v>46084.0</v>
      </c>
      <c r="L3542" s="6">
        <v>1.0</v>
      </c>
      <c r="M3542" s="8">
        <f t="shared" si="3"/>
        <v>0.05</v>
      </c>
      <c r="P3542" s="9"/>
    </row>
    <row r="3543">
      <c r="A3543" s="6" t="s">
        <v>7654</v>
      </c>
      <c r="B3543" s="6" t="s">
        <v>1790</v>
      </c>
      <c r="C3543" s="6" t="s">
        <v>48</v>
      </c>
      <c r="D3543" s="6" t="s">
        <v>7655</v>
      </c>
      <c r="E3543" s="6" t="s">
        <v>7656</v>
      </c>
      <c r="F3543" s="6" t="s">
        <v>60</v>
      </c>
      <c r="G3543" s="7">
        <v>0.06</v>
      </c>
      <c r="H3543" s="6" t="s">
        <v>562</v>
      </c>
      <c r="I3543" s="6" t="s">
        <v>20</v>
      </c>
      <c r="J3543" s="6">
        <v>2017.0</v>
      </c>
      <c r="L3543" s="6">
        <v>1.0</v>
      </c>
      <c r="M3543" s="8">
        <f t="shared" si="3"/>
        <v>0.06</v>
      </c>
      <c r="P3543" s="9"/>
    </row>
    <row r="3544">
      <c r="A3544" s="6" t="s">
        <v>7657</v>
      </c>
      <c r="B3544" s="6" t="s">
        <v>372</v>
      </c>
      <c r="C3544" s="6" t="s">
        <v>23</v>
      </c>
      <c r="D3544" s="6" t="s">
        <v>7658</v>
      </c>
      <c r="E3544" s="6" t="s">
        <v>25</v>
      </c>
      <c r="F3544" s="6" t="s">
        <v>18</v>
      </c>
      <c r="G3544" s="7">
        <v>0.04</v>
      </c>
      <c r="H3544" s="6" t="s">
        <v>559</v>
      </c>
      <c r="I3544" s="6" t="s">
        <v>20</v>
      </c>
      <c r="J3544" s="6">
        <v>2015.0</v>
      </c>
      <c r="L3544" s="6">
        <v>2.0</v>
      </c>
      <c r="M3544" s="8">
        <f t="shared" si="3"/>
        <v>0.08</v>
      </c>
      <c r="P3544" s="9"/>
    </row>
    <row r="3545">
      <c r="A3545" s="6" t="s">
        <v>7659</v>
      </c>
      <c r="B3545" s="6" t="s">
        <v>182</v>
      </c>
      <c r="C3545" s="6" t="s">
        <v>23</v>
      </c>
      <c r="D3545" s="6" t="s">
        <v>7660</v>
      </c>
      <c r="E3545" s="6" t="s">
        <v>502</v>
      </c>
      <c r="F3545" s="6" t="s">
        <v>65</v>
      </c>
      <c r="G3545" s="7">
        <v>0.06</v>
      </c>
      <c r="H3545" s="6" t="s">
        <v>93</v>
      </c>
      <c r="I3545" s="6" t="s">
        <v>20</v>
      </c>
      <c r="J3545" s="6">
        <v>2016.0</v>
      </c>
      <c r="L3545" s="6">
        <v>1.0</v>
      </c>
      <c r="M3545" s="8">
        <f t="shared" si="3"/>
        <v>0.06</v>
      </c>
      <c r="P3545" s="9"/>
    </row>
    <row r="3546">
      <c r="A3546" s="6" t="s">
        <v>7659</v>
      </c>
      <c r="B3546" s="6" t="s">
        <v>182</v>
      </c>
      <c r="C3546" s="6" t="s">
        <v>23</v>
      </c>
      <c r="D3546" s="6" t="s">
        <v>7660</v>
      </c>
      <c r="E3546" s="6" t="s">
        <v>502</v>
      </c>
      <c r="F3546" s="6" t="s">
        <v>65</v>
      </c>
      <c r="G3546" s="7">
        <v>0.04</v>
      </c>
      <c r="H3546" s="6" t="s">
        <v>93</v>
      </c>
      <c r="I3546" s="6" t="s">
        <v>20</v>
      </c>
      <c r="J3546" s="6">
        <v>2016.0</v>
      </c>
      <c r="L3546" s="6">
        <v>2.0</v>
      </c>
      <c r="M3546" s="8">
        <f t="shared" si="3"/>
        <v>0.08</v>
      </c>
      <c r="P3546" s="9"/>
    </row>
    <row r="3547">
      <c r="A3547" s="6" t="s">
        <v>7661</v>
      </c>
      <c r="B3547" s="6" t="s">
        <v>7662</v>
      </c>
      <c r="C3547" s="6" t="s">
        <v>41</v>
      </c>
      <c r="D3547" s="6" t="s">
        <v>7663</v>
      </c>
      <c r="E3547" s="6" t="s">
        <v>30</v>
      </c>
      <c r="F3547" s="6" t="s">
        <v>18</v>
      </c>
      <c r="G3547" s="7">
        <v>0.19</v>
      </c>
      <c r="H3547" s="6" t="s">
        <v>2401</v>
      </c>
      <c r="I3547" s="6" t="s">
        <v>20</v>
      </c>
      <c r="J3547" s="6">
        <v>2018.0</v>
      </c>
      <c r="K3547" s="6" t="s">
        <v>422</v>
      </c>
      <c r="L3547" s="6">
        <v>1.0</v>
      </c>
      <c r="M3547" s="8">
        <f t="shared" si="3"/>
        <v>0.19</v>
      </c>
      <c r="P3547" s="9"/>
    </row>
    <row r="3548">
      <c r="A3548" s="6" t="s">
        <v>7664</v>
      </c>
      <c r="B3548" s="6" t="s">
        <v>3148</v>
      </c>
      <c r="C3548" s="6" t="s">
        <v>48</v>
      </c>
      <c r="D3548" s="6" t="s">
        <v>7665</v>
      </c>
      <c r="E3548" s="6" t="s">
        <v>4525</v>
      </c>
      <c r="F3548" s="6" t="s">
        <v>98</v>
      </c>
      <c r="G3548" s="7">
        <v>0.06</v>
      </c>
      <c r="H3548" s="6" t="s">
        <v>104</v>
      </c>
      <c r="I3548" s="6" t="s">
        <v>20</v>
      </c>
      <c r="J3548" s="6">
        <v>2018.0</v>
      </c>
      <c r="K3548" s="10">
        <v>46114.0</v>
      </c>
      <c r="L3548" s="6">
        <v>1.0</v>
      </c>
      <c r="M3548" s="8">
        <f t="shared" si="3"/>
        <v>0.06</v>
      </c>
      <c r="P3548" s="9"/>
    </row>
    <row r="3549">
      <c r="A3549" s="6" t="s">
        <v>7666</v>
      </c>
      <c r="B3549" s="6" t="s">
        <v>7667</v>
      </c>
      <c r="C3549" s="6" t="s">
        <v>23</v>
      </c>
      <c r="E3549" s="6" t="s">
        <v>64</v>
      </c>
      <c r="F3549" s="6" t="s">
        <v>65</v>
      </c>
      <c r="G3549" s="7">
        <v>0.06</v>
      </c>
      <c r="H3549" s="6" t="s">
        <v>154</v>
      </c>
      <c r="I3549" s="6" t="s">
        <v>20</v>
      </c>
      <c r="J3549" s="6">
        <v>2013.0</v>
      </c>
      <c r="K3549" s="10">
        <v>46026.0</v>
      </c>
      <c r="L3549" s="6">
        <v>1.0</v>
      </c>
      <c r="M3549" s="8">
        <f t="shared" si="3"/>
        <v>0.06</v>
      </c>
      <c r="P3549" s="9"/>
    </row>
    <row r="3550">
      <c r="A3550" s="6" t="s">
        <v>7668</v>
      </c>
      <c r="B3550" s="6" t="s">
        <v>62</v>
      </c>
      <c r="C3550" s="6" t="s">
        <v>48</v>
      </c>
      <c r="D3550" s="6" t="s">
        <v>7669</v>
      </c>
      <c r="E3550" s="6" t="s">
        <v>158</v>
      </c>
      <c r="F3550" s="6" t="s">
        <v>159</v>
      </c>
      <c r="G3550" s="7">
        <v>0.05</v>
      </c>
      <c r="H3550" s="6" t="s">
        <v>185</v>
      </c>
      <c r="I3550" s="6" t="s">
        <v>20</v>
      </c>
      <c r="J3550" s="6">
        <v>2019.0</v>
      </c>
      <c r="L3550" s="6">
        <v>1.0</v>
      </c>
      <c r="M3550" s="8">
        <f t="shared" si="3"/>
        <v>0.05</v>
      </c>
      <c r="N3550" s="6" t="s">
        <v>518</v>
      </c>
      <c r="P3550" s="9"/>
    </row>
    <row r="3551">
      <c r="A3551" s="6" t="s">
        <v>7670</v>
      </c>
      <c r="B3551" s="6" t="s">
        <v>62</v>
      </c>
      <c r="C3551" s="6" t="s">
        <v>23</v>
      </c>
      <c r="D3551" s="6" t="s">
        <v>7671</v>
      </c>
      <c r="E3551" s="6" t="s">
        <v>175</v>
      </c>
      <c r="F3551" s="6" t="s">
        <v>51</v>
      </c>
      <c r="G3551" s="7">
        <v>0.06</v>
      </c>
      <c r="H3551" s="6" t="s">
        <v>418</v>
      </c>
      <c r="I3551" s="6" t="s">
        <v>20</v>
      </c>
      <c r="J3551" s="6">
        <v>2022.0</v>
      </c>
      <c r="L3551" s="6">
        <v>1.0</v>
      </c>
      <c r="M3551" s="8">
        <f t="shared" si="3"/>
        <v>0.06</v>
      </c>
      <c r="P3551" s="9"/>
    </row>
    <row r="3552">
      <c r="A3552" s="6" t="s">
        <v>7672</v>
      </c>
      <c r="B3552" s="6" t="s">
        <v>413</v>
      </c>
      <c r="C3552" s="6" t="s">
        <v>287</v>
      </c>
      <c r="D3552" s="6" t="s">
        <v>7673</v>
      </c>
      <c r="E3552" s="6" t="s">
        <v>175</v>
      </c>
      <c r="F3552" s="6" t="s">
        <v>51</v>
      </c>
      <c r="G3552" s="7">
        <v>0.11</v>
      </c>
      <c r="H3552" s="6" t="s">
        <v>289</v>
      </c>
      <c r="I3552" s="6" t="s">
        <v>20</v>
      </c>
      <c r="J3552" s="6">
        <v>1996.0</v>
      </c>
      <c r="L3552" s="6">
        <v>1.0</v>
      </c>
      <c r="M3552" s="8">
        <f t="shared" si="3"/>
        <v>0.11</v>
      </c>
      <c r="P3552" s="9"/>
    </row>
    <row r="3553">
      <c r="A3553" s="6" t="s">
        <v>7674</v>
      </c>
      <c r="B3553" s="6" t="s">
        <v>62</v>
      </c>
      <c r="C3553" s="6" t="s">
        <v>48</v>
      </c>
      <c r="D3553" s="6" t="s">
        <v>7675</v>
      </c>
      <c r="E3553" s="6" t="s">
        <v>6629</v>
      </c>
      <c r="F3553" s="6" t="s">
        <v>874</v>
      </c>
      <c r="G3553" s="7">
        <v>0.13</v>
      </c>
      <c r="H3553" s="6" t="s">
        <v>1361</v>
      </c>
      <c r="I3553" s="6" t="s">
        <v>20</v>
      </c>
      <c r="J3553" s="6">
        <v>2008.0</v>
      </c>
      <c r="L3553" s="6">
        <v>1.0</v>
      </c>
      <c r="M3553" s="8">
        <f t="shared" si="3"/>
        <v>0.13</v>
      </c>
      <c r="P3553" s="9"/>
    </row>
    <row r="3554">
      <c r="A3554" s="6" t="s">
        <v>7676</v>
      </c>
      <c r="B3554" s="6" t="s">
        <v>7677</v>
      </c>
      <c r="C3554" s="6" t="s">
        <v>15</v>
      </c>
      <c r="D3554" s="6" t="s">
        <v>7678</v>
      </c>
      <c r="E3554" s="6">
        <v>6.0</v>
      </c>
      <c r="F3554" s="6" t="s">
        <v>37</v>
      </c>
      <c r="G3554" s="7">
        <v>0.4</v>
      </c>
      <c r="H3554" s="6" t="s">
        <v>209</v>
      </c>
      <c r="I3554" s="6" t="s">
        <v>55</v>
      </c>
      <c r="J3554" s="6">
        <v>2025.0</v>
      </c>
      <c r="K3554" s="10">
        <v>46148.0</v>
      </c>
      <c r="L3554" s="6">
        <v>1.0</v>
      </c>
      <c r="M3554" s="8">
        <f t="shared" si="3"/>
        <v>0.4</v>
      </c>
      <c r="P3554" s="9"/>
    </row>
    <row r="3555">
      <c r="A3555" s="6" t="s">
        <v>7676</v>
      </c>
      <c r="B3555" s="6" t="s">
        <v>7677</v>
      </c>
      <c r="C3555" s="6" t="s">
        <v>15</v>
      </c>
      <c r="D3555" s="6" t="s">
        <v>7678</v>
      </c>
      <c r="E3555" s="6">
        <v>6.0</v>
      </c>
      <c r="F3555" s="6" t="s">
        <v>37</v>
      </c>
      <c r="G3555" s="7">
        <v>0.18</v>
      </c>
      <c r="H3555" s="6" t="s">
        <v>209</v>
      </c>
      <c r="I3555" s="6" t="s">
        <v>20</v>
      </c>
      <c r="J3555" s="6">
        <v>2025.0</v>
      </c>
      <c r="K3555" s="10">
        <v>46148.0</v>
      </c>
      <c r="L3555" s="6">
        <v>1.0</v>
      </c>
      <c r="M3555" s="8">
        <f t="shared" si="3"/>
        <v>0.18</v>
      </c>
      <c r="P3555" s="9"/>
    </row>
    <row r="3556">
      <c r="A3556" s="6" t="s">
        <v>7679</v>
      </c>
      <c r="B3556" s="6" t="s">
        <v>165</v>
      </c>
      <c r="C3556" s="6" t="s">
        <v>15</v>
      </c>
      <c r="D3556" s="6" t="s">
        <v>7680</v>
      </c>
      <c r="E3556" s="6" t="s">
        <v>7681</v>
      </c>
      <c r="F3556" s="6" t="s">
        <v>18</v>
      </c>
      <c r="G3556" s="7">
        <v>0.5</v>
      </c>
      <c r="H3556" s="6" t="s">
        <v>209</v>
      </c>
      <c r="I3556" s="6" t="s">
        <v>55</v>
      </c>
      <c r="J3556" s="6">
        <v>2025.0</v>
      </c>
      <c r="L3556" s="6">
        <v>1.0</v>
      </c>
      <c r="M3556" s="8">
        <f t="shared" si="3"/>
        <v>0.5</v>
      </c>
      <c r="P3556" s="9"/>
    </row>
    <row r="3557">
      <c r="A3557" s="6" t="s">
        <v>7682</v>
      </c>
      <c r="B3557" s="6" t="s">
        <v>7683</v>
      </c>
      <c r="C3557" s="6" t="s">
        <v>23</v>
      </c>
      <c r="D3557" s="6" t="s">
        <v>7684</v>
      </c>
      <c r="E3557" s="6" t="s">
        <v>79</v>
      </c>
      <c r="F3557" s="6" t="s">
        <v>51</v>
      </c>
      <c r="G3557" s="7">
        <v>0.09</v>
      </c>
      <c r="H3557" s="6" t="s">
        <v>641</v>
      </c>
      <c r="I3557" s="6" t="s">
        <v>20</v>
      </c>
      <c r="J3557" s="6">
        <v>2026.0</v>
      </c>
      <c r="K3557" s="10">
        <v>46116.0</v>
      </c>
      <c r="L3557" s="6">
        <v>4.0</v>
      </c>
      <c r="M3557" s="8">
        <f t="shared" si="3"/>
        <v>0.36</v>
      </c>
      <c r="P3557" s="9"/>
    </row>
    <row r="3558">
      <c r="A3558" s="6" t="s">
        <v>7685</v>
      </c>
      <c r="B3558" s="6" t="s">
        <v>165</v>
      </c>
      <c r="C3558" s="6" t="s">
        <v>34</v>
      </c>
      <c r="D3558" s="6" t="s">
        <v>7686</v>
      </c>
      <c r="E3558" s="6" t="s">
        <v>7687</v>
      </c>
      <c r="F3558" s="6" t="s">
        <v>858</v>
      </c>
      <c r="G3558" s="7">
        <v>0.09</v>
      </c>
      <c r="H3558" s="6" t="s">
        <v>807</v>
      </c>
      <c r="I3558" s="6" t="s">
        <v>20</v>
      </c>
      <c r="J3558" s="6">
        <v>2026.0</v>
      </c>
      <c r="L3558" s="6">
        <v>1.0</v>
      </c>
      <c r="M3558" s="8">
        <f t="shared" si="3"/>
        <v>0.09</v>
      </c>
      <c r="P3558" s="9"/>
    </row>
    <row r="3559">
      <c r="A3559" s="6" t="s">
        <v>7688</v>
      </c>
      <c r="B3559" s="6" t="s">
        <v>182</v>
      </c>
      <c r="C3559" s="6" t="s">
        <v>23</v>
      </c>
      <c r="D3559" s="6" t="s">
        <v>7689</v>
      </c>
      <c r="E3559" s="6" t="s">
        <v>196</v>
      </c>
      <c r="F3559" s="6" t="s">
        <v>65</v>
      </c>
      <c r="G3559" s="7">
        <v>0.07</v>
      </c>
      <c r="H3559" s="6" t="s">
        <v>316</v>
      </c>
      <c r="I3559" s="6" t="s">
        <v>20</v>
      </c>
      <c r="J3559" s="6">
        <v>2016.0</v>
      </c>
      <c r="L3559" s="6">
        <v>1.0</v>
      </c>
      <c r="M3559" s="8">
        <f t="shared" si="3"/>
        <v>0.07</v>
      </c>
      <c r="P3559" s="9"/>
    </row>
    <row r="3560">
      <c r="A3560" s="6" t="s">
        <v>7690</v>
      </c>
      <c r="B3560" s="6" t="s">
        <v>62</v>
      </c>
      <c r="C3560" s="6" t="s">
        <v>23</v>
      </c>
      <c r="D3560" s="6" t="s">
        <v>7691</v>
      </c>
      <c r="E3560" s="6" t="s">
        <v>79</v>
      </c>
      <c r="F3560" s="6" t="s">
        <v>51</v>
      </c>
      <c r="G3560" s="7">
        <v>0.3</v>
      </c>
      <c r="H3560" s="6" t="s">
        <v>2401</v>
      </c>
      <c r="I3560" s="6" t="s">
        <v>55</v>
      </c>
      <c r="J3560" s="6">
        <v>2018.0</v>
      </c>
      <c r="L3560" s="6">
        <v>1.0</v>
      </c>
      <c r="M3560" s="8">
        <f t="shared" si="3"/>
        <v>0.3</v>
      </c>
      <c r="P3560" s="9"/>
    </row>
    <row r="3561">
      <c r="A3561" s="6" t="s">
        <v>7692</v>
      </c>
      <c r="B3561" s="6" t="s">
        <v>7693</v>
      </c>
      <c r="C3561" s="6" t="s">
        <v>15</v>
      </c>
      <c r="D3561" s="6" t="s">
        <v>7694</v>
      </c>
      <c r="E3561" s="6" t="s">
        <v>4798</v>
      </c>
      <c r="F3561" s="6" t="s">
        <v>103</v>
      </c>
      <c r="G3561" s="7">
        <v>0.21</v>
      </c>
      <c r="H3561" s="6" t="s">
        <v>209</v>
      </c>
      <c r="I3561" s="6" t="s">
        <v>20</v>
      </c>
      <c r="J3561" s="6">
        <v>2025.0</v>
      </c>
      <c r="K3561" s="10">
        <v>46024.0</v>
      </c>
      <c r="L3561" s="6">
        <v>2.0</v>
      </c>
      <c r="M3561" s="8">
        <f t="shared" si="3"/>
        <v>0.42</v>
      </c>
      <c r="P3561" s="9"/>
    </row>
    <row r="3562">
      <c r="A3562" s="6" t="s">
        <v>7695</v>
      </c>
      <c r="B3562" s="6" t="s">
        <v>740</v>
      </c>
      <c r="C3562" s="6" t="s">
        <v>23</v>
      </c>
      <c r="D3562" s="6" t="s">
        <v>7696</v>
      </c>
      <c r="E3562" s="6" t="s">
        <v>238</v>
      </c>
      <c r="F3562" s="6" t="s">
        <v>159</v>
      </c>
      <c r="G3562" s="7">
        <v>0.03</v>
      </c>
      <c r="H3562" s="6" t="s">
        <v>359</v>
      </c>
      <c r="I3562" s="6" t="s">
        <v>20</v>
      </c>
      <c r="J3562" s="6">
        <v>2014.0</v>
      </c>
      <c r="K3562" s="10">
        <v>46023.0</v>
      </c>
      <c r="L3562" s="6">
        <v>5.0</v>
      </c>
      <c r="M3562" s="8">
        <f t="shared" si="3"/>
        <v>0.15</v>
      </c>
      <c r="P3562" s="9"/>
    </row>
    <row r="3563">
      <c r="A3563" s="6" t="s">
        <v>7697</v>
      </c>
      <c r="B3563" s="6" t="s">
        <v>796</v>
      </c>
      <c r="C3563" s="6" t="s">
        <v>34</v>
      </c>
      <c r="D3563" s="6" t="s">
        <v>7698</v>
      </c>
      <c r="E3563" s="6" t="s">
        <v>7699</v>
      </c>
      <c r="F3563" s="6" t="s">
        <v>18</v>
      </c>
      <c r="G3563" s="7">
        <v>0.09</v>
      </c>
      <c r="H3563" s="6" t="s">
        <v>180</v>
      </c>
      <c r="I3563" s="6" t="s">
        <v>20</v>
      </c>
      <c r="J3563" s="6">
        <v>2014.0</v>
      </c>
      <c r="L3563" s="6">
        <v>1.0</v>
      </c>
      <c r="M3563" s="8">
        <f t="shared" si="3"/>
        <v>0.09</v>
      </c>
      <c r="P3563" s="9"/>
    </row>
    <row r="3564">
      <c r="A3564" s="6" t="s">
        <v>7700</v>
      </c>
      <c r="B3564" s="6" t="s">
        <v>62</v>
      </c>
      <c r="C3564" s="6" t="s">
        <v>48</v>
      </c>
      <c r="D3564" s="6" t="s">
        <v>7701</v>
      </c>
      <c r="E3564" s="6" t="s">
        <v>118</v>
      </c>
      <c r="F3564" s="6" t="s">
        <v>51</v>
      </c>
      <c r="G3564" s="7">
        <v>0.15</v>
      </c>
      <c r="H3564" s="6" t="s">
        <v>66</v>
      </c>
      <c r="I3564" s="6" t="s">
        <v>20</v>
      </c>
      <c r="J3564" s="6">
        <v>2016.0</v>
      </c>
      <c r="L3564" s="6">
        <v>2.0</v>
      </c>
      <c r="M3564" s="8">
        <f t="shared" si="3"/>
        <v>0.3</v>
      </c>
      <c r="P3564" s="9"/>
    </row>
    <row r="3565">
      <c r="A3565" s="6" t="s">
        <v>7702</v>
      </c>
      <c r="B3565" s="6" t="s">
        <v>1882</v>
      </c>
      <c r="C3565" s="6" t="s">
        <v>23</v>
      </c>
      <c r="D3565" s="6" t="s">
        <v>7703</v>
      </c>
      <c r="E3565" s="6" t="s">
        <v>118</v>
      </c>
      <c r="F3565" s="6" t="s">
        <v>51</v>
      </c>
      <c r="G3565" s="7">
        <v>0.09</v>
      </c>
      <c r="H3565" s="6" t="s">
        <v>821</v>
      </c>
      <c r="I3565" s="6" t="s">
        <v>20</v>
      </c>
      <c r="J3565" s="6">
        <v>1995.0</v>
      </c>
      <c r="K3565" s="10">
        <v>46054.0</v>
      </c>
      <c r="L3565" s="6">
        <v>2.0</v>
      </c>
      <c r="M3565" s="8">
        <f t="shared" si="3"/>
        <v>0.18</v>
      </c>
      <c r="P3565" s="9"/>
    </row>
    <row r="3566">
      <c r="A3566" s="6" t="s">
        <v>7704</v>
      </c>
      <c r="B3566" s="6" t="s">
        <v>7705</v>
      </c>
      <c r="C3566" s="6" t="s">
        <v>48</v>
      </c>
      <c r="D3566" s="6" t="s">
        <v>7706</v>
      </c>
      <c r="E3566" s="6" t="s">
        <v>558</v>
      </c>
      <c r="F3566" s="6" t="s">
        <v>18</v>
      </c>
      <c r="G3566" s="7">
        <v>0.1</v>
      </c>
      <c r="H3566" s="6" t="s">
        <v>418</v>
      </c>
      <c r="I3566" s="6" t="s">
        <v>20</v>
      </c>
      <c r="J3566" s="6">
        <v>2022.0</v>
      </c>
      <c r="K3566" s="10">
        <v>46115.0</v>
      </c>
      <c r="L3566" s="6">
        <v>1.0</v>
      </c>
      <c r="M3566" s="8">
        <f t="shared" si="3"/>
        <v>0.1</v>
      </c>
      <c r="P3566" s="9"/>
    </row>
    <row r="3567">
      <c r="A3567" s="6" t="s">
        <v>7707</v>
      </c>
      <c r="B3567" s="6" t="s">
        <v>413</v>
      </c>
      <c r="C3567" s="6" t="s">
        <v>72</v>
      </c>
      <c r="D3567" s="6" t="s">
        <v>7708</v>
      </c>
      <c r="E3567" s="6" t="s">
        <v>118</v>
      </c>
      <c r="F3567" s="6" t="s">
        <v>51</v>
      </c>
      <c r="G3567" s="7">
        <v>0.14</v>
      </c>
      <c r="H3567" s="6" t="s">
        <v>289</v>
      </c>
      <c r="I3567" s="6" t="s">
        <v>20</v>
      </c>
      <c r="J3567" s="6">
        <v>1996.0</v>
      </c>
      <c r="L3567" s="6">
        <v>1.0</v>
      </c>
      <c r="M3567" s="8">
        <f t="shared" si="3"/>
        <v>0.14</v>
      </c>
      <c r="P3567" s="9"/>
    </row>
    <row r="3568">
      <c r="A3568" s="6" t="s">
        <v>7709</v>
      </c>
      <c r="B3568" s="6" t="s">
        <v>7710</v>
      </c>
      <c r="C3568" s="6" t="s">
        <v>41</v>
      </c>
      <c r="D3568" s="6" t="s">
        <v>7711</v>
      </c>
      <c r="E3568" s="6" t="s">
        <v>345</v>
      </c>
      <c r="F3568" s="6" t="s">
        <v>18</v>
      </c>
      <c r="G3568" s="7">
        <v>24.7</v>
      </c>
      <c r="H3568" s="6" t="s">
        <v>26</v>
      </c>
      <c r="I3568" s="6" t="s">
        <v>20</v>
      </c>
      <c r="J3568" s="6">
        <v>2026.0</v>
      </c>
      <c r="K3568" s="10">
        <v>46116.0</v>
      </c>
      <c r="L3568" s="6">
        <v>1.0</v>
      </c>
      <c r="M3568" s="8">
        <f t="shared" si="3"/>
        <v>24.7</v>
      </c>
      <c r="P3568" s="9"/>
    </row>
    <row r="3569">
      <c r="A3569" s="6" t="s">
        <v>7712</v>
      </c>
      <c r="B3569" s="6" t="s">
        <v>3378</v>
      </c>
      <c r="C3569" s="6" t="s">
        <v>15</v>
      </c>
      <c r="D3569" s="6" t="s">
        <v>7713</v>
      </c>
      <c r="E3569" s="6" t="s">
        <v>7714</v>
      </c>
      <c r="F3569" s="6" t="s">
        <v>51</v>
      </c>
      <c r="G3569" s="7">
        <v>0.09</v>
      </c>
      <c r="H3569" s="6" t="s">
        <v>1043</v>
      </c>
      <c r="I3569" s="6" t="s">
        <v>20</v>
      </c>
      <c r="J3569" s="6">
        <v>2025.0</v>
      </c>
      <c r="K3569" s="10">
        <v>46178.0</v>
      </c>
      <c r="L3569" s="6">
        <v>1.0</v>
      </c>
      <c r="M3569" s="8">
        <f t="shared" si="3"/>
        <v>0.09</v>
      </c>
      <c r="P3569" s="9"/>
    </row>
    <row r="3570">
      <c r="A3570" s="6" t="s">
        <v>7715</v>
      </c>
      <c r="B3570" s="6" t="s">
        <v>543</v>
      </c>
      <c r="C3570" s="6" t="s">
        <v>34</v>
      </c>
      <c r="D3570" s="6" t="s">
        <v>7716</v>
      </c>
      <c r="E3570" s="6" t="s">
        <v>4798</v>
      </c>
      <c r="F3570" s="6" t="s">
        <v>2365</v>
      </c>
      <c r="G3570" s="7">
        <v>0.1</v>
      </c>
      <c r="H3570" s="6" t="s">
        <v>1733</v>
      </c>
      <c r="I3570" s="6" t="s">
        <v>20</v>
      </c>
      <c r="J3570" s="6">
        <v>2025.0</v>
      </c>
      <c r="L3570" s="6">
        <v>3.0</v>
      </c>
      <c r="M3570" s="8">
        <f t="shared" si="3"/>
        <v>0.3</v>
      </c>
      <c r="P3570" s="9"/>
    </row>
    <row r="3571">
      <c r="A3571" s="6" t="s">
        <v>7715</v>
      </c>
      <c r="B3571" s="6" t="s">
        <v>543</v>
      </c>
      <c r="C3571" s="6" t="s">
        <v>34</v>
      </c>
      <c r="D3571" s="6" t="s">
        <v>7716</v>
      </c>
      <c r="E3571" s="6" t="s">
        <v>4798</v>
      </c>
      <c r="F3571" s="6" t="s">
        <v>2365</v>
      </c>
      <c r="G3571" s="7">
        <v>0.1</v>
      </c>
      <c r="H3571" s="6" t="s">
        <v>1733</v>
      </c>
      <c r="I3571" s="6" t="s">
        <v>55</v>
      </c>
      <c r="J3571" s="6">
        <v>2025.0</v>
      </c>
      <c r="L3571" s="6">
        <v>10.0</v>
      </c>
      <c r="M3571" s="8">
        <f t="shared" si="3"/>
        <v>1</v>
      </c>
      <c r="P3571" s="9"/>
    </row>
    <row r="3572">
      <c r="A3572" s="6" t="s">
        <v>7717</v>
      </c>
      <c r="B3572" s="6" t="s">
        <v>7718</v>
      </c>
      <c r="C3572" s="6" t="s">
        <v>48</v>
      </c>
      <c r="D3572" s="6" t="s">
        <v>7719</v>
      </c>
      <c r="E3572" s="6" t="s">
        <v>2129</v>
      </c>
      <c r="F3572" s="6" t="s">
        <v>65</v>
      </c>
      <c r="G3572" s="7">
        <v>0.04</v>
      </c>
      <c r="H3572" s="6" t="s">
        <v>1050</v>
      </c>
      <c r="I3572" s="6" t="s">
        <v>20</v>
      </c>
      <c r="J3572" s="6">
        <v>2023.0</v>
      </c>
      <c r="K3572" s="10">
        <v>46147.0</v>
      </c>
      <c r="L3572" s="6">
        <v>1.0</v>
      </c>
      <c r="M3572" s="8">
        <f t="shared" si="3"/>
        <v>0.04</v>
      </c>
      <c r="P3572" s="9"/>
    </row>
    <row r="3573">
      <c r="A3573" s="6" t="s">
        <v>7720</v>
      </c>
      <c r="B3573" s="6" t="s">
        <v>139</v>
      </c>
      <c r="C3573" s="6" t="s">
        <v>48</v>
      </c>
      <c r="D3573" s="6" t="s">
        <v>7721</v>
      </c>
      <c r="E3573" s="6" t="s">
        <v>7722</v>
      </c>
      <c r="F3573" s="6" t="s">
        <v>98</v>
      </c>
      <c r="G3573" s="7">
        <v>0.08</v>
      </c>
      <c r="H3573" s="6" t="s">
        <v>141</v>
      </c>
      <c r="I3573" s="6" t="s">
        <v>20</v>
      </c>
      <c r="J3573" s="6">
        <v>2019.0</v>
      </c>
      <c r="K3573" s="10">
        <v>46057.0</v>
      </c>
      <c r="L3573" s="6">
        <v>2.0</v>
      </c>
      <c r="M3573" s="8">
        <f t="shared" si="3"/>
        <v>0.16</v>
      </c>
      <c r="P3573" s="9"/>
    </row>
    <row r="3574">
      <c r="A3574" s="6" t="s">
        <v>7723</v>
      </c>
      <c r="B3574" s="6" t="s">
        <v>151</v>
      </c>
      <c r="C3574" s="6" t="s">
        <v>48</v>
      </c>
      <c r="D3574" s="6" t="s">
        <v>7724</v>
      </c>
      <c r="E3574" s="6" t="s">
        <v>7725</v>
      </c>
      <c r="F3574" s="6" t="s">
        <v>98</v>
      </c>
      <c r="G3574" s="7">
        <v>0.12</v>
      </c>
      <c r="H3574" s="6" t="s">
        <v>636</v>
      </c>
      <c r="I3574" s="6" t="s">
        <v>20</v>
      </c>
      <c r="J3574" s="6">
        <v>2015.0</v>
      </c>
      <c r="K3574" s="10">
        <v>46055.0</v>
      </c>
      <c r="L3574" s="6">
        <v>1.0</v>
      </c>
      <c r="M3574" s="8">
        <f t="shared" si="3"/>
        <v>0.12</v>
      </c>
      <c r="P3574" s="9"/>
    </row>
    <row r="3575">
      <c r="A3575" s="6" t="s">
        <v>7726</v>
      </c>
      <c r="B3575" s="6" t="s">
        <v>2388</v>
      </c>
      <c r="C3575" s="6" t="s">
        <v>48</v>
      </c>
      <c r="D3575" s="6" t="s">
        <v>7727</v>
      </c>
      <c r="E3575" s="6" t="s">
        <v>118</v>
      </c>
      <c r="F3575" s="6" t="s">
        <v>51</v>
      </c>
      <c r="G3575" s="7">
        <v>0.03</v>
      </c>
      <c r="H3575" s="6" t="s">
        <v>299</v>
      </c>
      <c r="I3575" s="6" t="s">
        <v>20</v>
      </c>
      <c r="J3575" s="6">
        <v>2017.0</v>
      </c>
      <c r="K3575" s="10">
        <v>46024.0</v>
      </c>
      <c r="L3575" s="6">
        <v>1.0</v>
      </c>
      <c r="M3575" s="8">
        <f t="shared" si="3"/>
        <v>0.03</v>
      </c>
      <c r="P3575" s="9"/>
    </row>
    <row r="3576">
      <c r="A3576" s="6" t="s">
        <v>7728</v>
      </c>
      <c r="B3576" s="6" t="s">
        <v>80</v>
      </c>
      <c r="C3576" s="6" t="s">
        <v>23</v>
      </c>
      <c r="D3576" s="6" t="s">
        <v>7729</v>
      </c>
      <c r="E3576" s="6" t="s">
        <v>235</v>
      </c>
      <c r="F3576" s="6" t="s">
        <v>103</v>
      </c>
      <c r="G3576" s="7">
        <v>0.04</v>
      </c>
      <c r="H3576" s="6" t="s">
        <v>645</v>
      </c>
      <c r="I3576" s="6" t="s">
        <v>20</v>
      </c>
      <c r="J3576" s="6">
        <v>2024.0</v>
      </c>
      <c r="K3576" s="10">
        <v>46026.0</v>
      </c>
      <c r="L3576" s="6">
        <v>1.0</v>
      </c>
      <c r="M3576" s="8">
        <f t="shared" si="3"/>
        <v>0.04</v>
      </c>
      <c r="P3576" s="9"/>
    </row>
    <row r="3577">
      <c r="A3577" s="6" t="s">
        <v>7730</v>
      </c>
      <c r="B3577" s="6" t="s">
        <v>182</v>
      </c>
      <c r="C3577" s="6" t="s">
        <v>48</v>
      </c>
      <c r="D3577" s="6" t="s">
        <v>7731</v>
      </c>
      <c r="E3577" s="6" t="s">
        <v>395</v>
      </c>
      <c r="F3577" s="6" t="s">
        <v>51</v>
      </c>
      <c r="G3577" s="7">
        <v>0.8</v>
      </c>
      <c r="H3577" s="6" t="s">
        <v>607</v>
      </c>
      <c r="I3577" s="6" t="s">
        <v>20</v>
      </c>
      <c r="J3577" s="6">
        <v>1994.0</v>
      </c>
      <c r="L3577" s="6">
        <v>1.0</v>
      </c>
      <c r="M3577" s="8">
        <f t="shared" si="3"/>
        <v>0.8</v>
      </c>
      <c r="P3577" s="9"/>
    </row>
    <row r="3578">
      <c r="A3578" s="6" t="s">
        <v>7732</v>
      </c>
      <c r="B3578" s="6" t="s">
        <v>4392</v>
      </c>
      <c r="C3578" s="6" t="s">
        <v>571</v>
      </c>
      <c r="D3578" s="6" t="s">
        <v>7733</v>
      </c>
      <c r="E3578" s="6" t="s">
        <v>235</v>
      </c>
      <c r="F3578" s="6" t="s">
        <v>103</v>
      </c>
      <c r="G3578" s="7">
        <v>0.07</v>
      </c>
      <c r="H3578" s="6" t="s">
        <v>641</v>
      </c>
      <c r="I3578" s="6" t="s">
        <v>20</v>
      </c>
      <c r="J3578" s="6">
        <v>2026.0</v>
      </c>
      <c r="K3578" s="10">
        <v>46057.0</v>
      </c>
      <c r="L3578" s="6">
        <v>1.0</v>
      </c>
      <c r="M3578" s="8">
        <f t="shared" si="3"/>
        <v>0.07</v>
      </c>
      <c r="P3578" s="9"/>
    </row>
    <row r="3579">
      <c r="A3579" s="6" t="s">
        <v>7734</v>
      </c>
      <c r="B3579" s="6" t="s">
        <v>62</v>
      </c>
      <c r="C3579" s="6" t="s">
        <v>23</v>
      </c>
      <c r="D3579" s="6" t="s">
        <v>7735</v>
      </c>
      <c r="E3579" s="6" t="s">
        <v>248</v>
      </c>
      <c r="F3579" s="6" t="s">
        <v>18</v>
      </c>
      <c r="G3579" s="7">
        <v>0.05</v>
      </c>
      <c r="H3579" s="6" t="s">
        <v>276</v>
      </c>
      <c r="I3579" s="6" t="s">
        <v>20</v>
      </c>
      <c r="J3579" s="6">
        <v>2014.0</v>
      </c>
      <c r="L3579" s="6">
        <v>1.0</v>
      </c>
      <c r="M3579" s="8">
        <f t="shared" si="3"/>
        <v>0.05</v>
      </c>
      <c r="P3579" s="9"/>
    </row>
    <row r="3580">
      <c r="A3580" s="6" t="s">
        <v>7734</v>
      </c>
      <c r="B3580" s="6" t="s">
        <v>62</v>
      </c>
      <c r="C3580" s="6" t="s">
        <v>23</v>
      </c>
      <c r="D3580" s="6" t="s">
        <v>7735</v>
      </c>
      <c r="E3580" s="6" t="s">
        <v>248</v>
      </c>
      <c r="F3580" s="6" t="s">
        <v>18</v>
      </c>
      <c r="G3580" s="7">
        <v>0.04</v>
      </c>
      <c r="H3580" s="6" t="s">
        <v>276</v>
      </c>
      <c r="I3580" s="6" t="s">
        <v>20</v>
      </c>
      <c r="J3580" s="6">
        <v>2014.0</v>
      </c>
      <c r="L3580" s="6">
        <v>1.0</v>
      </c>
      <c r="M3580" s="8">
        <f t="shared" si="3"/>
        <v>0.04</v>
      </c>
      <c r="P3580" s="9"/>
    </row>
    <row r="3581">
      <c r="A3581" s="6" t="s">
        <v>7736</v>
      </c>
      <c r="B3581" s="6" t="s">
        <v>543</v>
      </c>
      <c r="C3581" s="6" t="s">
        <v>48</v>
      </c>
      <c r="D3581" s="6" t="s">
        <v>7737</v>
      </c>
      <c r="E3581" s="6" t="s">
        <v>1005</v>
      </c>
      <c r="F3581" s="6" t="s">
        <v>65</v>
      </c>
      <c r="G3581" s="7">
        <v>0.12</v>
      </c>
      <c r="H3581" s="6" t="s">
        <v>75</v>
      </c>
      <c r="I3581" s="6" t="s">
        <v>20</v>
      </c>
      <c r="J3581" s="6">
        <v>1995.0</v>
      </c>
      <c r="L3581" s="6">
        <v>1.0</v>
      </c>
      <c r="M3581" s="8">
        <f t="shared" si="3"/>
        <v>0.12</v>
      </c>
      <c r="P3581" s="9"/>
    </row>
    <row r="3582">
      <c r="A3582" s="6" t="s">
        <v>7738</v>
      </c>
      <c r="B3582" s="6" t="s">
        <v>307</v>
      </c>
      <c r="C3582" s="6" t="s">
        <v>48</v>
      </c>
      <c r="D3582" s="6" t="s">
        <v>7739</v>
      </c>
      <c r="E3582" s="6" t="s">
        <v>243</v>
      </c>
      <c r="F3582" s="6" t="s">
        <v>37</v>
      </c>
      <c r="G3582" s="7">
        <v>0.06</v>
      </c>
      <c r="H3582" s="6" t="s">
        <v>541</v>
      </c>
      <c r="I3582" s="6" t="s">
        <v>20</v>
      </c>
      <c r="J3582" s="6">
        <v>2019.0</v>
      </c>
      <c r="L3582" s="6">
        <v>1.0</v>
      </c>
      <c r="M3582" s="8">
        <f t="shared" si="3"/>
        <v>0.06</v>
      </c>
      <c r="P3582" s="9"/>
    </row>
    <row r="3583">
      <c r="A3583" s="6" t="s">
        <v>7740</v>
      </c>
      <c r="B3583" s="6" t="s">
        <v>165</v>
      </c>
      <c r="C3583" s="6" t="s">
        <v>34</v>
      </c>
      <c r="D3583" s="6" t="s">
        <v>7741</v>
      </c>
      <c r="E3583" s="6" t="s">
        <v>17</v>
      </c>
      <c r="F3583" s="6" t="s">
        <v>18</v>
      </c>
      <c r="G3583" s="7">
        <v>0.05</v>
      </c>
      <c r="H3583" s="6" t="s">
        <v>209</v>
      </c>
      <c r="I3583" s="6" t="s">
        <v>20</v>
      </c>
      <c r="J3583" s="6">
        <v>2025.0</v>
      </c>
      <c r="L3583" s="6">
        <v>6.0</v>
      </c>
      <c r="M3583" s="8">
        <f t="shared" si="3"/>
        <v>0.3</v>
      </c>
      <c r="P3583" s="9"/>
    </row>
    <row r="3584">
      <c r="A3584" s="6" t="s">
        <v>7740</v>
      </c>
      <c r="B3584" s="6" t="s">
        <v>165</v>
      </c>
      <c r="C3584" s="6" t="s">
        <v>34</v>
      </c>
      <c r="D3584" s="6" t="s">
        <v>7741</v>
      </c>
      <c r="E3584" s="6" t="s">
        <v>17</v>
      </c>
      <c r="F3584" s="6" t="s">
        <v>18</v>
      </c>
      <c r="G3584" s="7">
        <v>0.14</v>
      </c>
      <c r="H3584" s="6" t="s">
        <v>209</v>
      </c>
      <c r="I3584" s="6" t="s">
        <v>55</v>
      </c>
      <c r="J3584" s="6">
        <v>2025.0</v>
      </c>
      <c r="L3584" s="6">
        <v>3.0</v>
      </c>
      <c r="M3584" s="8">
        <f t="shared" si="3"/>
        <v>0.42</v>
      </c>
      <c r="P3584" s="9"/>
    </row>
    <row r="3585">
      <c r="A3585" s="6" t="s">
        <v>7742</v>
      </c>
      <c r="B3585" s="6" t="s">
        <v>366</v>
      </c>
      <c r="C3585" s="6" t="s">
        <v>23</v>
      </c>
      <c r="D3585" s="6" t="s">
        <v>7743</v>
      </c>
      <c r="E3585" s="6" t="s">
        <v>25</v>
      </c>
      <c r="F3585" s="6" t="s">
        <v>18</v>
      </c>
      <c r="G3585" s="7">
        <v>0.1</v>
      </c>
      <c r="H3585" s="6" t="s">
        <v>192</v>
      </c>
      <c r="I3585" s="6" t="s">
        <v>20</v>
      </c>
      <c r="J3585" s="6">
        <v>2026.0</v>
      </c>
      <c r="L3585" s="6">
        <v>2.0</v>
      </c>
      <c r="M3585" s="8">
        <f t="shared" si="3"/>
        <v>0.2</v>
      </c>
      <c r="P3585" s="9"/>
    </row>
    <row r="3586">
      <c r="A3586" s="6" t="s">
        <v>7744</v>
      </c>
      <c r="B3586" s="6" t="s">
        <v>62</v>
      </c>
      <c r="C3586" s="6" t="s">
        <v>23</v>
      </c>
      <c r="D3586" s="6" t="s">
        <v>7745</v>
      </c>
      <c r="E3586" s="6" t="s">
        <v>102</v>
      </c>
      <c r="F3586" s="6" t="s">
        <v>103</v>
      </c>
      <c r="G3586" s="7">
        <v>0.2</v>
      </c>
      <c r="H3586" s="6" t="s">
        <v>418</v>
      </c>
      <c r="I3586" s="6" t="s">
        <v>20</v>
      </c>
      <c r="J3586" s="6">
        <v>2022.0</v>
      </c>
      <c r="L3586" s="6">
        <v>2.0</v>
      </c>
      <c r="M3586" s="8">
        <f t="shared" si="3"/>
        <v>0.4</v>
      </c>
      <c r="P3586" s="9"/>
    </row>
    <row r="3587">
      <c r="A3587" s="6" t="s">
        <v>7746</v>
      </c>
      <c r="B3587" s="6" t="s">
        <v>62</v>
      </c>
      <c r="C3587" s="6" t="s">
        <v>23</v>
      </c>
      <c r="D3587" s="6" t="s">
        <v>7747</v>
      </c>
      <c r="E3587" s="6" t="s">
        <v>223</v>
      </c>
      <c r="F3587" s="6" t="s">
        <v>159</v>
      </c>
      <c r="G3587" s="7">
        <v>0.13</v>
      </c>
      <c r="H3587" s="6" t="s">
        <v>406</v>
      </c>
      <c r="I3587" s="6" t="s">
        <v>20</v>
      </c>
      <c r="J3587" s="6">
        <v>2019.0</v>
      </c>
      <c r="L3587" s="6">
        <v>1.0</v>
      </c>
      <c r="M3587" s="8">
        <f t="shared" si="3"/>
        <v>0.13</v>
      </c>
      <c r="P3587" s="9"/>
    </row>
    <row r="3588">
      <c r="A3588" s="6" t="s">
        <v>7748</v>
      </c>
      <c r="B3588" s="6" t="s">
        <v>194</v>
      </c>
      <c r="C3588" s="6" t="s">
        <v>23</v>
      </c>
      <c r="D3588" s="6" t="s">
        <v>7749</v>
      </c>
      <c r="E3588" s="6" t="s">
        <v>30</v>
      </c>
      <c r="F3588" s="6" t="s">
        <v>18</v>
      </c>
      <c r="G3588" s="7">
        <v>0.05</v>
      </c>
      <c r="H3588" s="6" t="s">
        <v>192</v>
      </c>
      <c r="I3588" s="6" t="s">
        <v>20</v>
      </c>
      <c r="J3588" s="6">
        <v>2026.0</v>
      </c>
      <c r="L3588" s="6">
        <v>1.0</v>
      </c>
      <c r="M3588" s="8">
        <f t="shared" si="3"/>
        <v>0.05</v>
      </c>
      <c r="P3588" s="9"/>
    </row>
    <row r="3589">
      <c r="A3589" s="6" t="s">
        <v>7748</v>
      </c>
      <c r="B3589" s="6" t="s">
        <v>194</v>
      </c>
      <c r="C3589" s="6" t="s">
        <v>23</v>
      </c>
      <c r="D3589" s="6" t="s">
        <v>7749</v>
      </c>
      <c r="E3589" s="6" t="s">
        <v>30</v>
      </c>
      <c r="F3589" s="6" t="s">
        <v>18</v>
      </c>
      <c r="G3589" s="7">
        <v>0.2</v>
      </c>
      <c r="H3589" s="6" t="s">
        <v>192</v>
      </c>
      <c r="I3589" s="6" t="s">
        <v>55</v>
      </c>
      <c r="J3589" s="6">
        <v>2026.0</v>
      </c>
      <c r="L3589" s="6">
        <v>1.0</v>
      </c>
      <c r="M3589" s="8">
        <f t="shared" si="3"/>
        <v>0.2</v>
      </c>
      <c r="P3589" s="9"/>
    </row>
    <row r="3590">
      <c r="A3590" s="6" t="s">
        <v>7750</v>
      </c>
      <c r="B3590" s="6" t="s">
        <v>7751</v>
      </c>
      <c r="C3590" s="6" t="s">
        <v>23</v>
      </c>
      <c r="D3590" s="6" t="s">
        <v>7752</v>
      </c>
      <c r="E3590" s="6" t="s">
        <v>153</v>
      </c>
      <c r="F3590" s="6" t="s">
        <v>103</v>
      </c>
      <c r="G3590" s="7">
        <v>0.06</v>
      </c>
      <c r="H3590" s="6" t="s">
        <v>184</v>
      </c>
      <c r="I3590" s="6" t="s">
        <v>20</v>
      </c>
      <c r="J3590" s="6">
        <v>2015.0</v>
      </c>
      <c r="K3590" s="10">
        <v>46114.0</v>
      </c>
      <c r="L3590" s="6">
        <v>4.0</v>
      </c>
      <c r="M3590" s="8">
        <f t="shared" si="3"/>
        <v>0.24</v>
      </c>
      <c r="P3590" s="9"/>
    </row>
    <row r="3591">
      <c r="A3591" s="6" t="s">
        <v>7750</v>
      </c>
      <c r="B3591" s="6" t="s">
        <v>7751</v>
      </c>
      <c r="C3591" s="6" t="s">
        <v>23</v>
      </c>
      <c r="D3591" s="6" t="s">
        <v>7752</v>
      </c>
      <c r="E3591" s="6" t="s">
        <v>153</v>
      </c>
      <c r="F3591" s="6" t="s">
        <v>103</v>
      </c>
      <c r="G3591" s="7">
        <v>0.06</v>
      </c>
      <c r="H3591" s="6" t="s">
        <v>184</v>
      </c>
      <c r="I3591" s="6" t="s">
        <v>20</v>
      </c>
      <c r="J3591" s="6">
        <v>2015.0</v>
      </c>
      <c r="K3591" s="10">
        <v>46114.0</v>
      </c>
      <c r="L3591" s="6">
        <v>5.0</v>
      </c>
      <c r="M3591" s="8">
        <f t="shared" si="3"/>
        <v>0.3</v>
      </c>
      <c r="P3591" s="9"/>
    </row>
    <row r="3592">
      <c r="A3592" s="6" t="s">
        <v>7750</v>
      </c>
      <c r="B3592" s="6" t="s">
        <v>7751</v>
      </c>
      <c r="C3592" s="6" t="s">
        <v>23</v>
      </c>
      <c r="D3592" s="6" t="s">
        <v>7752</v>
      </c>
      <c r="E3592" s="6" t="s">
        <v>153</v>
      </c>
      <c r="F3592" s="6" t="s">
        <v>103</v>
      </c>
      <c r="G3592" s="7">
        <v>0.06</v>
      </c>
      <c r="H3592" s="6" t="s">
        <v>626</v>
      </c>
      <c r="I3592" s="6" t="s">
        <v>20</v>
      </c>
      <c r="J3592" s="6">
        <v>2013.0</v>
      </c>
      <c r="K3592" s="10">
        <v>46114.0</v>
      </c>
      <c r="L3592" s="6">
        <v>4.0</v>
      </c>
      <c r="M3592" s="8">
        <f t="shared" si="3"/>
        <v>0.24</v>
      </c>
      <c r="P3592" s="9"/>
    </row>
    <row r="3593">
      <c r="A3593" s="6" t="s">
        <v>7753</v>
      </c>
      <c r="B3593" s="6" t="s">
        <v>7754</v>
      </c>
      <c r="C3593" s="6" t="s">
        <v>23</v>
      </c>
      <c r="D3593" s="6" t="s">
        <v>7755</v>
      </c>
      <c r="E3593" s="6" t="s">
        <v>102</v>
      </c>
      <c r="F3593" s="6" t="s">
        <v>103</v>
      </c>
      <c r="G3593" s="7">
        <v>0.03</v>
      </c>
      <c r="H3593" s="6" t="s">
        <v>626</v>
      </c>
      <c r="I3593" s="6" t="s">
        <v>20</v>
      </c>
      <c r="J3593" s="6">
        <v>2013.0</v>
      </c>
      <c r="K3593" s="10">
        <v>46084.0</v>
      </c>
      <c r="L3593" s="6">
        <v>3.0</v>
      </c>
      <c r="M3593" s="8">
        <f t="shared" si="3"/>
        <v>0.09</v>
      </c>
      <c r="P3593" s="9"/>
    </row>
    <row r="3594">
      <c r="A3594" s="6" t="s">
        <v>7756</v>
      </c>
      <c r="B3594" s="6" t="s">
        <v>2916</v>
      </c>
      <c r="C3594" s="6" t="s">
        <v>23</v>
      </c>
      <c r="D3594" s="6" t="s">
        <v>7757</v>
      </c>
      <c r="E3594" s="6" t="s">
        <v>102</v>
      </c>
      <c r="F3594" s="6" t="s">
        <v>103</v>
      </c>
      <c r="G3594" s="7">
        <v>0.03</v>
      </c>
      <c r="H3594" s="6" t="s">
        <v>359</v>
      </c>
      <c r="I3594" s="6" t="s">
        <v>20</v>
      </c>
      <c r="J3594" s="6">
        <v>2014.0</v>
      </c>
      <c r="K3594" s="10">
        <v>46082.0</v>
      </c>
      <c r="L3594" s="6">
        <v>2.0</v>
      </c>
      <c r="M3594" s="8">
        <f t="shared" si="3"/>
        <v>0.06</v>
      </c>
      <c r="P3594" s="9"/>
    </row>
    <row r="3595">
      <c r="A3595" s="6" t="s">
        <v>7758</v>
      </c>
      <c r="B3595" s="6" t="s">
        <v>165</v>
      </c>
      <c r="C3595" s="6" t="s">
        <v>15</v>
      </c>
      <c r="D3595" s="6" t="s">
        <v>7759</v>
      </c>
      <c r="E3595" s="6" t="s">
        <v>3353</v>
      </c>
      <c r="F3595" s="6" t="s">
        <v>65</v>
      </c>
      <c r="G3595" s="7">
        <v>0.05</v>
      </c>
      <c r="H3595" s="6" t="s">
        <v>483</v>
      </c>
      <c r="I3595" s="6" t="s">
        <v>20</v>
      </c>
      <c r="J3595" s="6">
        <v>2014.0</v>
      </c>
      <c r="L3595" s="6">
        <v>3.0</v>
      </c>
      <c r="M3595" s="8">
        <f t="shared" si="3"/>
        <v>0.15</v>
      </c>
      <c r="P3595" s="9"/>
    </row>
    <row r="3596">
      <c r="A3596" s="6" t="s">
        <v>7760</v>
      </c>
      <c r="B3596" s="6" t="s">
        <v>307</v>
      </c>
      <c r="C3596" s="6" t="s">
        <v>48</v>
      </c>
      <c r="D3596" s="6" t="s">
        <v>7761</v>
      </c>
      <c r="E3596" s="6" t="s">
        <v>36</v>
      </c>
      <c r="F3596" s="6" t="s">
        <v>37</v>
      </c>
      <c r="G3596" s="7">
        <v>0.06</v>
      </c>
      <c r="H3596" s="6" t="s">
        <v>1361</v>
      </c>
      <c r="I3596" s="6" t="s">
        <v>20</v>
      </c>
      <c r="J3596" s="6">
        <v>2008.0</v>
      </c>
      <c r="L3596" s="6">
        <v>1.0</v>
      </c>
      <c r="M3596" s="8">
        <f t="shared" si="3"/>
        <v>0.06</v>
      </c>
      <c r="P3596" s="9"/>
    </row>
    <row r="3597">
      <c r="A3597" s="6" t="s">
        <v>7762</v>
      </c>
      <c r="B3597" s="6" t="s">
        <v>151</v>
      </c>
      <c r="C3597" s="6" t="s">
        <v>48</v>
      </c>
      <c r="D3597" s="6" t="s">
        <v>7763</v>
      </c>
      <c r="E3597" s="6" t="s">
        <v>611</v>
      </c>
      <c r="F3597" s="6" t="s">
        <v>103</v>
      </c>
      <c r="G3597" s="7">
        <v>0.09</v>
      </c>
      <c r="H3597" s="6" t="s">
        <v>184</v>
      </c>
      <c r="I3597" s="6" t="s">
        <v>20</v>
      </c>
      <c r="J3597" s="6">
        <v>2015.0</v>
      </c>
      <c r="K3597" s="6" t="s">
        <v>89</v>
      </c>
      <c r="L3597" s="6">
        <v>1.0</v>
      </c>
      <c r="M3597" s="8">
        <f t="shared" si="3"/>
        <v>0.09</v>
      </c>
      <c r="P3597" s="9"/>
    </row>
    <row r="3598">
      <c r="A3598" s="6" t="s">
        <v>7764</v>
      </c>
      <c r="B3598" s="6" t="s">
        <v>413</v>
      </c>
      <c r="C3598" s="6" t="s">
        <v>84</v>
      </c>
      <c r="D3598" s="6" t="s">
        <v>7765</v>
      </c>
      <c r="E3598" s="6" t="s">
        <v>738</v>
      </c>
      <c r="F3598" s="6" t="s">
        <v>51</v>
      </c>
      <c r="G3598" s="7">
        <v>0.89</v>
      </c>
      <c r="H3598" s="6" t="s">
        <v>119</v>
      </c>
      <c r="I3598" s="6" t="s">
        <v>20</v>
      </c>
      <c r="J3598" s="6">
        <v>1995.0</v>
      </c>
      <c r="L3598" s="6">
        <v>1.0</v>
      </c>
      <c r="M3598" s="8">
        <f t="shared" si="3"/>
        <v>0.89</v>
      </c>
      <c r="P3598" s="9"/>
    </row>
    <row r="3599">
      <c r="A3599" s="6" t="s">
        <v>7766</v>
      </c>
      <c r="B3599" s="6" t="s">
        <v>182</v>
      </c>
      <c r="C3599" s="6" t="s">
        <v>48</v>
      </c>
      <c r="D3599" s="6" t="s">
        <v>7767</v>
      </c>
      <c r="E3599" s="6" t="s">
        <v>220</v>
      </c>
      <c r="F3599" s="6" t="s">
        <v>18</v>
      </c>
      <c r="G3599" s="7">
        <v>0.17</v>
      </c>
      <c r="H3599" s="6" t="s">
        <v>299</v>
      </c>
      <c r="I3599" s="6" t="s">
        <v>20</v>
      </c>
      <c r="J3599" s="6">
        <v>2017.0</v>
      </c>
      <c r="L3599" s="6">
        <v>1.0</v>
      </c>
      <c r="M3599" s="8">
        <f t="shared" si="3"/>
        <v>0.17</v>
      </c>
      <c r="P3599" s="9"/>
    </row>
    <row r="3600">
      <c r="A3600" s="6" t="s">
        <v>7768</v>
      </c>
      <c r="B3600" s="6" t="s">
        <v>182</v>
      </c>
      <c r="C3600" s="6" t="s">
        <v>48</v>
      </c>
      <c r="D3600" s="6" t="s">
        <v>7769</v>
      </c>
      <c r="E3600" s="6" t="s">
        <v>270</v>
      </c>
      <c r="F3600" s="6" t="s">
        <v>159</v>
      </c>
      <c r="G3600" s="7">
        <v>0.05</v>
      </c>
      <c r="H3600" s="6" t="s">
        <v>359</v>
      </c>
      <c r="I3600" s="6" t="s">
        <v>20</v>
      </c>
      <c r="J3600" s="6">
        <v>2014.0</v>
      </c>
      <c r="L3600" s="6">
        <v>2.0</v>
      </c>
      <c r="M3600" s="8">
        <f t="shared" si="3"/>
        <v>0.1</v>
      </c>
      <c r="P3600" s="9"/>
    </row>
    <row r="3601">
      <c r="A3601" s="6" t="s">
        <v>7770</v>
      </c>
      <c r="B3601" s="6" t="s">
        <v>182</v>
      </c>
      <c r="C3601" s="6" t="s">
        <v>23</v>
      </c>
      <c r="D3601" s="6" t="s">
        <v>3552</v>
      </c>
      <c r="E3601" s="6" t="s">
        <v>118</v>
      </c>
      <c r="F3601" s="6" t="s">
        <v>51</v>
      </c>
      <c r="G3601" s="7">
        <v>0.2</v>
      </c>
      <c r="H3601" s="6" t="s">
        <v>7771</v>
      </c>
      <c r="I3601" s="6" t="s">
        <v>20</v>
      </c>
      <c r="J3601" s="6">
        <v>2020.0</v>
      </c>
      <c r="L3601" s="6">
        <v>1.0</v>
      </c>
      <c r="M3601" s="8">
        <f t="shared" si="3"/>
        <v>0.2</v>
      </c>
      <c r="P3601" s="9"/>
    </row>
    <row r="3602">
      <c r="A3602" s="6" t="s">
        <v>7770</v>
      </c>
      <c r="B3602" s="6" t="s">
        <v>182</v>
      </c>
      <c r="C3602" s="6" t="s">
        <v>23</v>
      </c>
      <c r="D3602" s="6" t="s">
        <v>3552</v>
      </c>
      <c r="E3602" s="6" t="s">
        <v>118</v>
      </c>
      <c r="F3602" s="6" t="s">
        <v>51</v>
      </c>
      <c r="G3602" s="7">
        <v>0.23</v>
      </c>
      <c r="H3602" s="6" t="s">
        <v>7772</v>
      </c>
      <c r="I3602" s="6" t="s">
        <v>20</v>
      </c>
      <c r="J3602" s="6">
        <v>2012.0</v>
      </c>
      <c r="L3602" s="6">
        <v>1.0</v>
      </c>
      <c r="M3602" s="8">
        <f t="shared" si="3"/>
        <v>0.23</v>
      </c>
      <c r="P3602" s="9"/>
    </row>
    <row r="3603">
      <c r="A3603" s="6" t="s">
        <v>7770</v>
      </c>
      <c r="B3603" s="6" t="s">
        <v>182</v>
      </c>
      <c r="C3603" s="6" t="s">
        <v>23</v>
      </c>
      <c r="D3603" s="6" t="s">
        <v>3552</v>
      </c>
      <c r="E3603" s="6" t="s">
        <v>118</v>
      </c>
      <c r="F3603" s="6" t="s">
        <v>51</v>
      </c>
      <c r="G3603" s="7">
        <v>0.23</v>
      </c>
      <c r="H3603" s="6" t="s">
        <v>7772</v>
      </c>
      <c r="I3603" s="6" t="s">
        <v>20</v>
      </c>
      <c r="J3603" s="6">
        <v>2012.0</v>
      </c>
      <c r="L3603" s="6">
        <v>1.0</v>
      </c>
      <c r="M3603" s="8">
        <f t="shared" si="3"/>
        <v>0.23</v>
      </c>
      <c r="P3603" s="9"/>
    </row>
    <row r="3604">
      <c r="A3604" s="6" t="s">
        <v>7770</v>
      </c>
      <c r="B3604" s="6" t="s">
        <v>182</v>
      </c>
      <c r="C3604" s="6" t="s">
        <v>23</v>
      </c>
      <c r="D3604" s="6" t="s">
        <v>3552</v>
      </c>
      <c r="E3604" s="6" t="s">
        <v>118</v>
      </c>
      <c r="F3604" s="6" t="s">
        <v>51</v>
      </c>
      <c r="G3604" s="7">
        <v>0.23</v>
      </c>
      <c r="H3604" s="6" t="s">
        <v>7772</v>
      </c>
      <c r="I3604" s="6" t="s">
        <v>20</v>
      </c>
      <c r="J3604" s="6">
        <v>2012.0</v>
      </c>
      <c r="L3604" s="6">
        <v>1.0</v>
      </c>
      <c r="M3604" s="8">
        <f t="shared" si="3"/>
        <v>0.23</v>
      </c>
      <c r="P3604" s="9"/>
    </row>
    <row r="3605">
      <c r="A3605" s="6" t="s">
        <v>7770</v>
      </c>
      <c r="B3605" s="6" t="s">
        <v>182</v>
      </c>
      <c r="C3605" s="6" t="s">
        <v>23</v>
      </c>
      <c r="D3605" s="6" t="s">
        <v>3552</v>
      </c>
      <c r="E3605" s="6" t="s">
        <v>118</v>
      </c>
      <c r="F3605" s="6" t="s">
        <v>51</v>
      </c>
      <c r="G3605" s="7">
        <v>0.12</v>
      </c>
      <c r="H3605" s="6" t="s">
        <v>7773</v>
      </c>
      <c r="I3605" s="6" t="s">
        <v>20</v>
      </c>
      <c r="J3605" s="6">
        <v>2020.0</v>
      </c>
      <c r="L3605" s="6">
        <v>1.0</v>
      </c>
      <c r="M3605" s="8">
        <f t="shared" si="3"/>
        <v>0.12</v>
      </c>
      <c r="P3605" s="9"/>
    </row>
    <row r="3606">
      <c r="A3606" s="6" t="s">
        <v>7774</v>
      </c>
      <c r="B3606" s="6" t="s">
        <v>62</v>
      </c>
      <c r="C3606" s="6" t="s">
        <v>23</v>
      </c>
      <c r="D3606" s="6" t="s">
        <v>7775</v>
      </c>
      <c r="E3606" s="6" t="s">
        <v>149</v>
      </c>
      <c r="F3606" s="6" t="s">
        <v>18</v>
      </c>
      <c r="G3606" s="7">
        <v>0.03</v>
      </c>
      <c r="H3606" s="6" t="s">
        <v>316</v>
      </c>
      <c r="I3606" s="6" t="s">
        <v>20</v>
      </c>
      <c r="J3606" s="6">
        <v>2016.0</v>
      </c>
      <c r="L3606" s="6">
        <v>4.0</v>
      </c>
      <c r="M3606" s="8">
        <f t="shared" si="3"/>
        <v>0.12</v>
      </c>
      <c r="P3606" s="9"/>
    </row>
    <row r="3607">
      <c r="A3607" s="6" t="s">
        <v>7776</v>
      </c>
      <c r="B3607" s="6" t="s">
        <v>2116</v>
      </c>
      <c r="C3607" s="6" t="s">
        <v>15</v>
      </c>
      <c r="D3607" s="6" t="s">
        <v>7777</v>
      </c>
      <c r="E3607" s="6" t="s">
        <v>1767</v>
      </c>
      <c r="F3607" s="6" t="s">
        <v>18</v>
      </c>
      <c r="G3607" s="7">
        <v>0.69</v>
      </c>
      <c r="H3607" s="6" t="s">
        <v>38</v>
      </c>
      <c r="I3607" s="6" t="s">
        <v>20</v>
      </c>
      <c r="J3607" s="6">
        <v>2026.0</v>
      </c>
      <c r="L3607" s="6">
        <v>2.0</v>
      </c>
      <c r="M3607" s="8">
        <f t="shared" si="3"/>
        <v>1.38</v>
      </c>
      <c r="P3607" s="9"/>
    </row>
    <row r="3608">
      <c r="A3608" s="6" t="s">
        <v>7778</v>
      </c>
      <c r="B3608" s="6" t="s">
        <v>7779</v>
      </c>
      <c r="C3608" s="6" t="s">
        <v>23</v>
      </c>
      <c r="D3608" s="6" t="s">
        <v>7780</v>
      </c>
      <c r="E3608" s="6" t="s">
        <v>2709</v>
      </c>
      <c r="F3608" s="6" t="s">
        <v>215</v>
      </c>
      <c r="G3608" s="7">
        <v>0.03</v>
      </c>
      <c r="H3608" s="6" t="s">
        <v>1084</v>
      </c>
      <c r="I3608" s="6" t="s">
        <v>20</v>
      </c>
      <c r="J3608" s="6">
        <v>2018.0</v>
      </c>
      <c r="K3608" s="10">
        <v>46055.0</v>
      </c>
      <c r="L3608" s="6">
        <v>1.0</v>
      </c>
      <c r="M3608" s="8">
        <f t="shared" si="3"/>
        <v>0.03</v>
      </c>
      <c r="P3608" s="9"/>
    </row>
    <row r="3609">
      <c r="A3609" s="6" t="s">
        <v>7781</v>
      </c>
      <c r="B3609" s="6" t="s">
        <v>6378</v>
      </c>
      <c r="C3609" s="6" t="s">
        <v>48</v>
      </c>
      <c r="D3609" s="6" t="s">
        <v>7782</v>
      </c>
      <c r="E3609" s="6" t="s">
        <v>243</v>
      </c>
      <c r="F3609" s="6" t="s">
        <v>37</v>
      </c>
      <c r="G3609" s="7">
        <v>2.5</v>
      </c>
      <c r="H3609" s="6" t="s">
        <v>562</v>
      </c>
      <c r="I3609" s="6" t="s">
        <v>20</v>
      </c>
      <c r="J3609" s="6">
        <v>2017.0</v>
      </c>
      <c r="L3609" s="6">
        <v>2.0</v>
      </c>
      <c r="M3609" s="8">
        <f t="shared" si="3"/>
        <v>5</v>
      </c>
      <c r="N3609" s="6" t="s">
        <v>172</v>
      </c>
      <c r="P3609" s="9"/>
    </row>
    <row r="3610">
      <c r="A3610" s="6" t="s">
        <v>7783</v>
      </c>
      <c r="B3610" s="6" t="s">
        <v>1509</v>
      </c>
      <c r="C3610" s="6" t="s">
        <v>23</v>
      </c>
      <c r="D3610" s="6" t="s">
        <v>7784</v>
      </c>
      <c r="E3610" s="6" t="s">
        <v>223</v>
      </c>
      <c r="F3610" s="6" t="s">
        <v>159</v>
      </c>
      <c r="G3610" s="7">
        <v>0.03</v>
      </c>
      <c r="H3610" s="6" t="s">
        <v>265</v>
      </c>
      <c r="I3610" s="6" t="s">
        <v>20</v>
      </c>
      <c r="J3610" s="6">
        <v>2017.0</v>
      </c>
      <c r="K3610" s="10">
        <v>46055.0</v>
      </c>
      <c r="L3610" s="6">
        <v>1.0</v>
      </c>
      <c r="M3610" s="8">
        <f t="shared" si="3"/>
        <v>0.03</v>
      </c>
      <c r="P3610" s="9"/>
    </row>
    <row r="3611">
      <c r="A3611" s="6" t="s">
        <v>7785</v>
      </c>
      <c r="B3611" s="6" t="s">
        <v>7786</v>
      </c>
      <c r="C3611" s="6" t="s">
        <v>23</v>
      </c>
      <c r="D3611" s="6" t="s">
        <v>7787</v>
      </c>
      <c r="E3611" s="6" t="s">
        <v>602</v>
      </c>
      <c r="F3611" s="6" t="s">
        <v>159</v>
      </c>
      <c r="G3611" s="7">
        <v>0.06</v>
      </c>
      <c r="H3611" s="6" t="s">
        <v>184</v>
      </c>
      <c r="I3611" s="6" t="s">
        <v>20</v>
      </c>
      <c r="J3611" s="6">
        <v>2015.0</v>
      </c>
      <c r="K3611" s="10">
        <v>46116.0</v>
      </c>
      <c r="L3611" s="6">
        <v>1.0</v>
      </c>
      <c r="M3611" s="8">
        <f t="shared" si="3"/>
        <v>0.06</v>
      </c>
      <c r="P3611" s="9"/>
    </row>
    <row r="3612">
      <c r="A3612" s="6" t="s">
        <v>7788</v>
      </c>
      <c r="B3612" s="6" t="s">
        <v>592</v>
      </c>
      <c r="C3612" s="6" t="s">
        <v>449</v>
      </c>
      <c r="D3612" s="6" t="s">
        <v>7789</v>
      </c>
      <c r="E3612" s="6" t="s">
        <v>395</v>
      </c>
      <c r="F3612" s="6" t="s">
        <v>904</v>
      </c>
      <c r="G3612" s="7">
        <v>0.32</v>
      </c>
      <c r="H3612" s="6" t="s">
        <v>586</v>
      </c>
      <c r="I3612" s="6" t="s">
        <v>20</v>
      </c>
      <c r="J3612" s="6">
        <v>2000.0</v>
      </c>
      <c r="L3612" s="6">
        <v>1.0</v>
      </c>
      <c r="M3612" s="8">
        <f t="shared" si="3"/>
        <v>0.32</v>
      </c>
      <c r="P3612" s="9"/>
    </row>
    <row r="3613">
      <c r="A3613" s="6" t="s">
        <v>7790</v>
      </c>
      <c r="B3613" s="6" t="s">
        <v>2923</v>
      </c>
      <c r="C3613" s="6" t="s">
        <v>23</v>
      </c>
      <c r="D3613" s="6" t="s">
        <v>7791</v>
      </c>
      <c r="E3613" s="6" t="s">
        <v>118</v>
      </c>
      <c r="F3613" s="6" t="s">
        <v>51</v>
      </c>
      <c r="G3613" s="7">
        <v>0.01</v>
      </c>
      <c r="H3613" s="6" t="s">
        <v>586</v>
      </c>
      <c r="I3613" s="6" t="s">
        <v>20</v>
      </c>
      <c r="J3613" s="6">
        <v>2000.0</v>
      </c>
      <c r="L3613" s="6">
        <v>1.0</v>
      </c>
      <c r="M3613" s="8">
        <f t="shared" si="3"/>
        <v>0.01</v>
      </c>
      <c r="P3613" s="9"/>
    </row>
    <row r="3614">
      <c r="A3614" s="6" t="s">
        <v>7792</v>
      </c>
      <c r="B3614" s="6" t="s">
        <v>7793</v>
      </c>
      <c r="C3614" s="6" t="s">
        <v>287</v>
      </c>
      <c r="D3614" s="6" t="s">
        <v>7794</v>
      </c>
      <c r="E3614" s="6" t="s">
        <v>1901</v>
      </c>
      <c r="F3614" s="6" t="s">
        <v>4194</v>
      </c>
      <c r="G3614" s="7">
        <v>0.2</v>
      </c>
      <c r="H3614" s="6" t="s">
        <v>265</v>
      </c>
      <c r="I3614" s="6" t="s">
        <v>20</v>
      </c>
      <c r="J3614" s="6">
        <v>2017.0</v>
      </c>
      <c r="L3614" s="6">
        <v>3.0</v>
      </c>
      <c r="M3614" s="8">
        <f t="shared" si="3"/>
        <v>0.6</v>
      </c>
      <c r="P3614" s="9"/>
    </row>
    <row r="3615">
      <c r="A3615" s="6" t="s">
        <v>7795</v>
      </c>
      <c r="B3615" s="6" t="s">
        <v>6910</v>
      </c>
      <c r="C3615" s="6" t="s">
        <v>23</v>
      </c>
      <c r="D3615" s="6" t="s">
        <v>7796</v>
      </c>
      <c r="E3615" s="6" t="s">
        <v>293</v>
      </c>
      <c r="F3615" s="6" t="s">
        <v>18</v>
      </c>
      <c r="G3615" s="7">
        <v>0.02</v>
      </c>
      <c r="H3615" s="6" t="s">
        <v>586</v>
      </c>
      <c r="I3615" s="6" t="s">
        <v>20</v>
      </c>
      <c r="J3615" s="6">
        <v>2000.0</v>
      </c>
      <c r="K3615" s="10">
        <v>46083.0</v>
      </c>
      <c r="L3615" s="6">
        <v>1.0</v>
      </c>
      <c r="M3615" s="8">
        <f t="shared" si="3"/>
        <v>0.02</v>
      </c>
      <c r="P3615" s="9"/>
    </row>
    <row r="3616">
      <c r="A3616" s="6" t="s">
        <v>7797</v>
      </c>
      <c r="B3616" s="6" t="s">
        <v>4607</v>
      </c>
      <c r="C3616" s="6" t="s">
        <v>15</v>
      </c>
      <c r="D3616" s="6" t="s">
        <v>7798</v>
      </c>
      <c r="E3616" s="6" t="s">
        <v>238</v>
      </c>
      <c r="F3616" s="6" t="s">
        <v>159</v>
      </c>
      <c r="G3616" s="7">
        <v>0.65</v>
      </c>
      <c r="H3616" s="6" t="s">
        <v>38</v>
      </c>
      <c r="I3616" s="6" t="s">
        <v>20</v>
      </c>
      <c r="J3616" s="6">
        <v>2026.0</v>
      </c>
      <c r="K3616" s="6" t="s">
        <v>1035</v>
      </c>
      <c r="L3616" s="6">
        <v>1.0</v>
      </c>
      <c r="M3616" s="8">
        <f t="shared" si="3"/>
        <v>0.65</v>
      </c>
      <c r="P3616" s="9"/>
    </row>
    <row r="3617">
      <c r="A3617" s="6" t="s">
        <v>7799</v>
      </c>
      <c r="B3617" s="6" t="s">
        <v>202</v>
      </c>
      <c r="C3617" s="6" t="s">
        <v>48</v>
      </c>
      <c r="D3617" s="6" t="s">
        <v>7800</v>
      </c>
      <c r="E3617" s="6" t="s">
        <v>149</v>
      </c>
      <c r="F3617" s="6" t="s">
        <v>18</v>
      </c>
      <c r="G3617" s="7">
        <v>0.05</v>
      </c>
      <c r="H3617" s="6" t="s">
        <v>265</v>
      </c>
      <c r="I3617" s="6" t="s">
        <v>20</v>
      </c>
      <c r="J3617" s="6">
        <v>2017.0</v>
      </c>
      <c r="L3617" s="6">
        <v>4.0</v>
      </c>
      <c r="M3617" s="8">
        <f t="shared" si="3"/>
        <v>0.2</v>
      </c>
      <c r="P3617" s="9"/>
    </row>
    <row r="3618">
      <c r="A3618" s="6" t="s">
        <v>7801</v>
      </c>
      <c r="B3618" s="6" t="s">
        <v>1041</v>
      </c>
      <c r="C3618" s="6" t="s">
        <v>15</v>
      </c>
      <c r="D3618" s="6" t="s">
        <v>7802</v>
      </c>
      <c r="E3618" s="6" t="s">
        <v>1265</v>
      </c>
      <c r="F3618" s="6" t="s">
        <v>159</v>
      </c>
      <c r="G3618" s="7">
        <v>1.14</v>
      </c>
      <c r="H3618" s="6" t="s">
        <v>209</v>
      </c>
      <c r="I3618" s="6" t="s">
        <v>55</v>
      </c>
      <c r="J3618" s="6">
        <v>2025.0</v>
      </c>
      <c r="L3618" s="6">
        <v>1.0</v>
      </c>
      <c r="M3618" s="8">
        <f t="shared" si="3"/>
        <v>1.14</v>
      </c>
      <c r="P3618" s="9"/>
    </row>
    <row r="3619">
      <c r="A3619" s="6" t="s">
        <v>7801</v>
      </c>
      <c r="B3619" s="6" t="s">
        <v>1041</v>
      </c>
      <c r="C3619" s="6" t="s">
        <v>15</v>
      </c>
      <c r="D3619" s="6" t="s">
        <v>7802</v>
      </c>
      <c r="E3619" s="6" t="s">
        <v>1265</v>
      </c>
      <c r="F3619" s="6" t="s">
        <v>159</v>
      </c>
      <c r="G3619" s="7">
        <v>0.28</v>
      </c>
      <c r="H3619" s="6" t="s">
        <v>209</v>
      </c>
      <c r="I3619" s="6" t="s">
        <v>20</v>
      </c>
      <c r="J3619" s="6">
        <v>2025.0</v>
      </c>
      <c r="L3619" s="6">
        <v>1.0</v>
      </c>
      <c r="M3619" s="8">
        <f t="shared" si="3"/>
        <v>0.28</v>
      </c>
      <c r="P3619" s="9"/>
    </row>
    <row r="3620">
      <c r="A3620" s="6" t="s">
        <v>7803</v>
      </c>
      <c r="B3620" s="6" t="s">
        <v>62</v>
      </c>
      <c r="C3620" s="6" t="s">
        <v>23</v>
      </c>
      <c r="D3620" s="6" t="s">
        <v>7804</v>
      </c>
      <c r="E3620" s="6" t="s">
        <v>175</v>
      </c>
      <c r="F3620" s="6" t="s">
        <v>51</v>
      </c>
      <c r="G3620" s="7">
        <v>0.05</v>
      </c>
      <c r="H3620" s="6" t="s">
        <v>596</v>
      </c>
      <c r="I3620" s="6" t="s">
        <v>20</v>
      </c>
      <c r="J3620" s="6">
        <v>2012.0</v>
      </c>
      <c r="L3620" s="6">
        <v>1.0</v>
      </c>
      <c r="M3620" s="8">
        <f t="shared" si="3"/>
        <v>0.05</v>
      </c>
      <c r="P3620" s="9"/>
    </row>
    <row r="3621">
      <c r="A3621" s="6" t="s">
        <v>7805</v>
      </c>
      <c r="B3621" s="6" t="s">
        <v>7806</v>
      </c>
      <c r="C3621" s="6" t="s">
        <v>571</v>
      </c>
      <c r="D3621" s="6" t="s">
        <v>7807</v>
      </c>
      <c r="E3621" s="6" t="s">
        <v>25</v>
      </c>
      <c r="F3621" s="6" t="s">
        <v>18</v>
      </c>
      <c r="G3621" s="7">
        <v>0.06</v>
      </c>
      <c r="H3621" s="6" t="s">
        <v>641</v>
      </c>
      <c r="I3621" s="6" t="s">
        <v>20</v>
      </c>
      <c r="J3621" s="6">
        <v>2026.0</v>
      </c>
      <c r="K3621" s="10">
        <v>46056.0</v>
      </c>
      <c r="L3621" s="6">
        <v>1.0</v>
      </c>
      <c r="M3621" s="8">
        <f t="shared" si="3"/>
        <v>0.06</v>
      </c>
      <c r="P3621" s="9"/>
    </row>
    <row r="3622">
      <c r="A3622" s="6" t="s">
        <v>7808</v>
      </c>
      <c r="B3622" s="6" t="s">
        <v>5972</v>
      </c>
      <c r="C3622" s="6" t="s">
        <v>15</v>
      </c>
      <c r="D3622" s="6" t="s">
        <v>7809</v>
      </c>
      <c r="E3622" s="6">
        <v>4.0</v>
      </c>
      <c r="F3622" s="6" t="s">
        <v>37</v>
      </c>
      <c r="G3622" s="7">
        <v>0.25</v>
      </c>
      <c r="H3622" s="6" t="s">
        <v>209</v>
      </c>
      <c r="I3622" s="6" t="s">
        <v>20</v>
      </c>
      <c r="J3622" s="6">
        <v>2025.0</v>
      </c>
      <c r="L3622" s="6">
        <v>1.0</v>
      </c>
      <c r="M3622" s="8">
        <f t="shared" si="3"/>
        <v>0.25</v>
      </c>
      <c r="P3622" s="9"/>
    </row>
    <row r="3623">
      <c r="A3623" s="6" t="s">
        <v>7808</v>
      </c>
      <c r="B3623" s="6" t="s">
        <v>5972</v>
      </c>
      <c r="C3623" s="6" t="s">
        <v>15</v>
      </c>
      <c r="D3623" s="6" t="s">
        <v>7809</v>
      </c>
      <c r="E3623" s="6">
        <v>4.0</v>
      </c>
      <c r="F3623" s="6" t="s">
        <v>37</v>
      </c>
      <c r="G3623" s="7">
        <v>0.89</v>
      </c>
      <c r="H3623" s="6" t="s">
        <v>209</v>
      </c>
      <c r="I3623" s="6" t="s">
        <v>55</v>
      </c>
      <c r="J3623" s="6">
        <v>2025.0</v>
      </c>
      <c r="L3623" s="6">
        <v>1.0</v>
      </c>
      <c r="M3623" s="8">
        <f t="shared" si="3"/>
        <v>0.89</v>
      </c>
      <c r="P3623" s="9"/>
    </row>
    <row r="3624">
      <c r="A3624" s="6" t="s">
        <v>7810</v>
      </c>
      <c r="B3624" s="6" t="s">
        <v>628</v>
      </c>
      <c r="C3624" s="6" t="s">
        <v>23</v>
      </c>
      <c r="D3624" s="6" t="s">
        <v>7811</v>
      </c>
      <c r="E3624" s="6" t="s">
        <v>220</v>
      </c>
      <c r="F3624" s="6" t="s">
        <v>18</v>
      </c>
      <c r="G3624" s="7">
        <v>0.06</v>
      </c>
      <c r="H3624" s="6" t="s">
        <v>184</v>
      </c>
      <c r="I3624" s="6" t="s">
        <v>20</v>
      </c>
      <c r="J3624" s="6">
        <v>2015.0</v>
      </c>
      <c r="K3624" s="10">
        <v>46084.0</v>
      </c>
      <c r="L3624" s="6">
        <v>1.0</v>
      </c>
      <c r="M3624" s="8">
        <f t="shared" si="3"/>
        <v>0.06</v>
      </c>
      <c r="P3624" s="9"/>
    </row>
    <row r="3625">
      <c r="A3625" s="6" t="s">
        <v>7810</v>
      </c>
      <c r="B3625" s="6" t="s">
        <v>628</v>
      </c>
      <c r="C3625" s="6" t="s">
        <v>23</v>
      </c>
      <c r="D3625" s="6" t="s">
        <v>7811</v>
      </c>
      <c r="E3625" s="6" t="s">
        <v>220</v>
      </c>
      <c r="F3625" s="6" t="s">
        <v>18</v>
      </c>
      <c r="G3625" s="7">
        <v>0.06</v>
      </c>
      <c r="H3625" s="6" t="s">
        <v>184</v>
      </c>
      <c r="I3625" s="6" t="s">
        <v>20</v>
      </c>
      <c r="J3625" s="6">
        <v>2015.0</v>
      </c>
      <c r="K3625" s="10">
        <v>46084.0</v>
      </c>
      <c r="L3625" s="6">
        <v>1.0</v>
      </c>
      <c r="M3625" s="8">
        <f t="shared" si="3"/>
        <v>0.06</v>
      </c>
      <c r="P3625" s="9"/>
    </row>
    <row r="3626">
      <c r="A3626" s="6" t="s">
        <v>7812</v>
      </c>
      <c r="B3626" s="6" t="s">
        <v>7813</v>
      </c>
      <c r="C3626" s="6" t="s">
        <v>15</v>
      </c>
      <c r="D3626" s="6" t="s">
        <v>7814</v>
      </c>
      <c r="E3626" s="6" t="s">
        <v>7815</v>
      </c>
      <c r="F3626" s="6" t="s">
        <v>1797</v>
      </c>
      <c r="G3626" s="7">
        <v>0.2</v>
      </c>
      <c r="H3626" s="6" t="s">
        <v>7816</v>
      </c>
      <c r="I3626" s="6" t="s">
        <v>20</v>
      </c>
      <c r="J3626" s="6">
        <v>2025.0</v>
      </c>
      <c r="K3626" s="10">
        <v>46116.0</v>
      </c>
      <c r="L3626" s="6">
        <v>2.0</v>
      </c>
      <c r="M3626" s="8">
        <f t="shared" si="3"/>
        <v>0.4</v>
      </c>
      <c r="P3626" s="9"/>
    </row>
    <row r="3627">
      <c r="A3627" s="6" t="s">
        <v>7817</v>
      </c>
      <c r="B3627" s="6" t="s">
        <v>331</v>
      </c>
      <c r="C3627" s="6" t="s">
        <v>23</v>
      </c>
      <c r="D3627" s="6" t="s">
        <v>7818</v>
      </c>
      <c r="E3627" s="6" t="s">
        <v>158</v>
      </c>
      <c r="F3627" s="6" t="s">
        <v>159</v>
      </c>
      <c r="G3627" s="7">
        <v>0.03</v>
      </c>
      <c r="H3627" s="6" t="s">
        <v>316</v>
      </c>
      <c r="I3627" s="6" t="s">
        <v>20</v>
      </c>
      <c r="J3627" s="6">
        <v>2016.0</v>
      </c>
      <c r="K3627" s="10">
        <v>46116.0</v>
      </c>
      <c r="L3627" s="6">
        <v>1.0</v>
      </c>
      <c r="M3627" s="8">
        <f t="shared" si="3"/>
        <v>0.03</v>
      </c>
      <c r="P3627" s="9"/>
    </row>
    <row r="3628">
      <c r="A3628" s="6" t="s">
        <v>7819</v>
      </c>
      <c r="B3628" s="6" t="s">
        <v>7820</v>
      </c>
      <c r="C3628" s="6" t="s">
        <v>23</v>
      </c>
      <c r="D3628" s="6" t="s">
        <v>7821</v>
      </c>
      <c r="E3628" s="6" t="s">
        <v>533</v>
      </c>
      <c r="F3628" s="6" t="s">
        <v>65</v>
      </c>
      <c r="G3628" s="7">
        <v>0.15</v>
      </c>
      <c r="H3628" s="6" t="s">
        <v>645</v>
      </c>
      <c r="I3628" s="6" t="s">
        <v>55</v>
      </c>
      <c r="J3628" s="6">
        <v>2024.0</v>
      </c>
      <c r="K3628" s="10">
        <v>46086.0</v>
      </c>
      <c r="L3628" s="6">
        <v>1.0</v>
      </c>
      <c r="M3628" s="8">
        <f t="shared" si="3"/>
        <v>0.15</v>
      </c>
      <c r="P3628" s="9"/>
    </row>
    <row r="3629">
      <c r="A3629" s="6" t="s">
        <v>7822</v>
      </c>
      <c r="B3629" s="6" t="s">
        <v>7823</v>
      </c>
      <c r="C3629" s="6" t="s">
        <v>23</v>
      </c>
      <c r="D3629" s="6" t="s">
        <v>7824</v>
      </c>
      <c r="E3629" s="6" t="s">
        <v>3669</v>
      </c>
      <c r="F3629" s="6" t="s">
        <v>65</v>
      </c>
      <c r="G3629" s="7">
        <v>0.03</v>
      </c>
      <c r="H3629" s="6" t="s">
        <v>541</v>
      </c>
      <c r="I3629" s="6" t="s">
        <v>20</v>
      </c>
      <c r="J3629" s="6">
        <v>2019.0</v>
      </c>
      <c r="K3629" s="10">
        <v>46148.0</v>
      </c>
      <c r="L3629" s="6">
        <v>1.0</v>
      </c>
      <c r="M3629" s="8">
        <f t="shared" si="3"/>
        <v>0.03</v>
      </c>
      <c r="P3629" s="9"/>
    </row>
    <row r="3630">
      <c r="A3630" s="6" t="s">
        <v>7825</v>
      </c>
      <c r="B3630" s="6" t="s">
        <v>182</v>
      </c>
      <c r="C3630" s="6" t="s">
        <v>48</v>
      </c>
      <c r="D3630" s="6" t="s">
        <v>7826</v>
      </c>
      <c r="E3630" s="6" t="s">
        <v>611</v>
      </c>
      <c r="F3630" s="6" t="s">
        <v>103</v>
      </c>
      <c r="G3630" s="7">
        <v>0.06</v>
      </c>
      <c r="H3630" s="6" t="s">
        <v>1514</v>
      </c>
      <c r="I3630" s="6" t="s">
        <v>20</v>
      </c>
      <c r="J3630" s="6">
        <v>2009.0</v>
      </c>
      <c r="L3630" s="6">
        <v>1.0</v>
      </c>
      <c r="M3630" s="8">
        <f t="shared" si="3"/>
        <v>0.06</v>
      </c>
      <c r="P3630" s="9"/>
    </row>
    <row r="3631">
      <c r="A3631" s="6" t="s">
        <v>7827</v>
      </c>
      <c r="B3631" s="6" t="s">
        <v>182</v>
      </c>
      <c r="C3631" s="6" t="s">
        <v>48</v>
      </c>
      <c r="D3631" s="6" t="s">
        <v>7828</v>
      </c>
      <c r="E3631" s="6" t="s">
        <v>1570</v>
      </c>
      <c r="F3631" s="6" t="s">
        <v>159</v>
      </c>
      <c r="G3631" s="7">
        <v>0.09</v>
      </c>
      <c r="H3631" s="6" t="s">
        <v>1692</v>
      </c>
      <c r="I3631" s="6" t="s">
        <v>20</v>
      </c>
      <c r="J3631" s="6">
        <v>2021.0</v>
      </c>
      <c r="L3631" s="6">
        <v>1.0</v>
      </c>
      <c r="M3631" s="8">
        <f t="shared" si="3"/>
        <v>0.09</v>
      </c>
      <c r="P3631" s="9"/>
    </row>
    <row r="3632">
      <c r="A3632" s="6" t="s">
        <v>7829</v>
      </c>
      <c r="B3632" s="6" t="s">
        <v>182</v>
      </c>
      <c r="C3632" s="6" t="s">
        <v>23</v>
      </c>
      <c r="D3632" s="6" t="s">
        <v>7830</v>
      </c>
      <c r="E3632" s="6" t="s">
        <v>223</v>
      </c>
      <c r="F3632" s="6" t="s">
        <v>159</v>
      </c>
      <c r="G3632" s="7">
        <v>0.2</v>
      </c>
      <c r="H3632" s="6" t="s">
        <v>216</v>
      </c>
      <c r="I3632" s="6" t="s">
        <v>20</v>
      </c>
      <c r="J3632" s="6">
        <v>2024.0</v>
      </c>
      <c r="L3632" s="6">
        <v>4.0</v>
      </c>
      <c r="M3632" s="8">
        <f t="shared" si="3"/>
        <v>0.8</v>
      </c>
      <c r="P3632" s="9"/>
    </row>
    <row r="3633">
      <c r="A3633" s="6" t="s">
        <v>7831</v>
      </c>
      <c r="B3633" s="6" t="s">
        <v>7832</v>
      </c>
      <c r="C3633" s="6" t="s">
        <v>48</v>
      </c>
      <c r="D3633" s="6" t="s">
        <v>7833</v>
      </c>
      <c r="E3633" s="6" t="s">
        <v>611</v>
      </c>
      <c r="F3633" s="6" t="s">
        <v>103</v>
      </c>
      <c r="G3633" s="7">
        <v>0.1</v>
      </c>
      <c r="H3633" s="6" t="s">
        <v>324</v>
      </c>
      <c r="I3633" s="6" t="s">
        <v>20</v>
      </c>
      <c r="J3633" s="6">
        <v>2025.0</v>
      </c>
      <c r="K3633" s="10">
        <v>46117.0</v>
      </c>
      <c r="L3633" s="6">
        <v>1.0</v>
      </c>
      <c r="M3633" s="8">
        <f t="shared" si="3"/>
        <v>0.1</v>
      </c>
      <c r="P3633" s="9"/>
    </row>
    <row r="3634">
      <c r="A3634" s="6" t="s">
        <v>7834</v>
      </c>
      <c r="B3634" s="6" t="s">
        <v>62</v>
      </c>
      <c r="C3634" s="6" t="s">
        <v>48</v>
      </c>
      <c r="D3634" s="6" t="s">
        <v>7835</v>
      </c>
      <c r="E3634" s="6" t="s">
        <v>153</v>
      </c>
      <c r="F3634" s="6" t="s">
        <v>103</v>
      </c>
      <c r="G3634" s="7">
        <v>0.05</v>
      </c>
      <c r="H3634" s="6" t="s">
        <v>359</v>
      </c>
      <c r="I3634" s="6" t="s">
        <v>20</v>
      </c>
      <c r="J3634" s="6">
        <v>2014.0</v>
      </c>
      <c r="L3634" s="6">
        <v>1.0</v>
      </c>
      <c r="M3634" s="8">
        <f t="shared" si="3"/>
        <v>0.05</v>
      </c>
      <c r="P3634" s="9"/>
    </row>
    <row r="3635">
      <c r="A3635" s="6" t="s">
        <v>7836</v>
      </c>
      <c r="B3635" s="6" t="s">
        <v>62</v>
      </c>
      <c r="C3635" s="6" t="s">
        <v>23</v>
      </c>
      <c r="D3635" s="6" t="s">
        <v>7837</v>
      </c>
      <c r="E3635" s="6" t="s">
        <v>223</v>
      </c>
      <c r="F3635" s="6" t="s">
        <v>159</v>
      </c>
      <c r="G3635" s="7">
        <v>0.03</v>
      </c>
      <c r="H3635" s="6" t="s">
        <v>555</v>
      </c>
      <c r="I3635" s="6" t="s">
        <v>20</v>
      </c>
      <c r="J3635" s="6">
        <v>2017.0</v>
      </c>
      <c r="L3635" s="6">
        <v>1.0</v>
      </c>
      <c r="M3635" s="8">
        <f t="shared" si="3"/>
        <v>0.03</v>
      </c>
      <c r="P3635" s="9"/>
    </row>
    <row r="3636">
      <c r="A3636" s="6" t="s">
        <v>7838</v>
      </c>
      <c r="B3636" s="6" t="s">
        <v>628</v>
      </c>
      <c r="C3636" s="6" t="s">
        <v>48</v>
      </c>
      <c r="D3636" s="6" t="s">
        <v>7839</v>
      </c>
      <c r="E3636" s="6" t="s">
        <v>650</v>
      </c>
      <c r="F3636" s="6" t="s">
        <v>284</v>
      </c>
      <c r="G3636" s="7">
        <v>0.03</v>
      </c>
      <c r="H3636" s="6" t="s">
        <v>265</v>
      </c>
      <c r="I3636" s="6" t="s">
        <v>20</v>
      </c>
      <c r="J3636" s="6">
        <v>2017.0</v>
      </c>
      <c r="K3636" s="10">
        <v>46082.0</v>
      </c>
      <c r="L3636" s="6">
        <v>2.0</v>
      </c>
      <c r="M3636" s="8">
        <f t="shared" si="3"/>
        <v>0.06</v>
      </c>
      <c r="P3636" s="9"/>
    </row>
    <row r="3637">
      <c r="A3637" s="6" t="s">
        <v>7840</v>
      </c>
      <c r="B3637" s="6" t="s">
        <v>182</v>
      </c>
      <c r="C3637" s="6" t="s">
        <v>48</v>
      </c>
      <c r="D3637" s="6" t="s">
        <v>7841</v>
      </c>
      <c r="E3637" s="6" t="s">
        <v>4818</v>
      </c>
      <c r="F3637" s="6" t="s">
        <v>717</v>
      </c>
      <c r="G3637" s="7">
        <v>0.06</v>
      </c>
      <c r="H3637" s="6" t="s">
        <v>1361</v>
      </c>
      <c r="I3637" s="6" t="s">
        <v>20</v>
      </c>
      <c r="J3637" s="6">
        <v>2008.0</v>
      </c>
      <c r="L3637" s="6">
        <v>2.0</v>
      </c>
      <c r="M3637" s="8">
        <f t="shared" si="3"/>
        <v>0.12</v>
      </c>
      <c r="P3637" s="9"/>
    </row>
    <row r="3638">
      <c r="A3638" s="6" t="s">
        <v>7842</v>
      </c>
      <c r="B3638" s="6" t="s">
        <v>424</v>
      </c>
      <c r="C3638" s="6" t="s">
        <v>23</v>
      </c>
      <c r="D3638" s="6" t="s">
        <v>7843</v>
      </c>
      <c r="F3638" s="6" t="s">
        <v>37</v>
      </c>
      <c r="G3638" s="7">
        <v>0.61</v>
      </c>
      <c r="H3638" s="6" t="s">
        <v>978</v>
      </c>
      <c r="I3638" s="6" t="s">
        <v>20</v>
      </c>
      <c r="J3638" s="6">
        <v>2022.0</v>
      </c>
      <c r="L3638" s="6">
        <v>2.0</v>
      </c>
      <c r="M3638" s="8">
        <f t="shared" si="3"/>
        <v>1.22</v>
      </c>
      <c r="P3638" s="9"/>
    </row>
    <row r="3639">
      <c r="A3639" s="6" t="s">
        <v>7844</v>
      </c>
      <c r="B3639" s="6" t="s">
        <v>740</v>
      </c>
      <c r="C3639" s="6" t="s">
        <v>48</v>
      </c>
      <c r="D3639" s="6" t="s">
        <v>7845</v>
      </c>
      <c r="E3639" s="6" t="s">
        <v>1454</v>
      </c>
      <c r="F3639" s="6" t="s">
        <v>426</v>
      </c>
      <c r="G3639" s="7">
        <v>0.06</v>
      </c>
      <c r="H3639" s="6" t="s">
        <v>271</v>
      </c>
      <c r="I3639" s="6" t="s">
        <v>20</v>
      </c>
      <c r="J3639" s="6">
        <v>2012.0</v>
      </c>
      <c r="K3639" s="10">
        <v>46055.0</v>
      </c>
      <c r="L3639" s="6">
        <v>1.0</v>
      </c>
      <c r="M3639" s="8">
        <f t="shared" si="3"/>
        <v>0.06</v>
      </c>
      <c r="P3639" s="9"/>
    </row>
    <row r="3640">
      <c r="A3640" s="6" t="s">
        <v>7846</v>
      </c>
      <c r="B3640" s="6" t="s">
        <v>7847</v>
      </c>
      <c r="C3640" s="6" t="s">
        <v>512</v>
      </c>
      <c r="D3640" s="6" t="s">
        <v>7848</v>
      </c>
      <c r="E3640" s="6" t="s">
        <v>1307</v>
      </c>
      <c r="F3640" s="6" t="s">
        <v>65</v>
      </c>
      <c r="G3640" s="7">
        <v>0.18</v>
      </c>
      <c r="H3640" s="6" t="s">
        <v>515</v>
      </c>
      <c r="I3640" s="6" t="s">
        <v>20</v>
      </c>
      <c r="J3640" s="6">
        <v>2019.0</v>
      </c>
      <c r="K3640" s="10">
        <v>46055.0</v>
      </c>
      <c r="L3640" s="6">
        <v>4.0</v>
      </c>
      <c r="M3640" s="8">
        <f t="shared" si="3"/>
        <v>0.72</v>
      </c>
      <c r="P3640" s="9"/>
    </row>
    <row r="3641">
      <c r="A3641" s="6" t="s">
        <v>7849</v>
      </c>
      <c r="B3641" s="6" t="s">
        <v>1900</v>
      </c>
      <c r="C3641" s="6" t="s">
        <v>1900</v>
      </c>
      <c r="D3641" s="6" t="s">
        <v>1900</v>
      </c>
      <c r="E3641" s="6" t="s">
        <v>1901</v>
      </c>
      <c r="F3641" s="6" t="s">
        <v>1901</v>
      </c>
      <c r="G3641" s="7">
        <v>0.99</v>
      </c>
      <c r="H3641" s="6" t="s">
        <v>7850</v>
      </c>
      <c r="I3641" s="6" t="s">
        <v>20</v>
      </c>
      <c r="J3641" s="6">
        <v>2026.0</v>
      </c>
      <c r="K3641" s="10">
        <v>46055.0</v>
      </c>
      <c r="L3641" s="6">
        <v>1.0</v>
      </c>
      <c r="M3641" s="8">
        <f t="shared" si="3"/>
        <v>0.99</v>
      </c>
      <c r="P3641" s="9"/>
    </row>
    <row r="3642">
      <c r="A3642" s="6" t="s">
        <v>7851</v>
      </c>
      <c r="B3642" s="6" t="s">
        <v>3083</v>
      </c>
      <c r="C3642" s="6" t="s">
        <v>41</v>
      </c>
      <c r="D3642" s="6" t="s">
        <v>1274</v>
      </c>
      <c r="E3642" s="6" t="s">
        <v>533</v>
      </c>
      <c r="F3642" s="6" t="s">
        <v>65</v>
      </c>
      <c r="G3642" s="7">
        <v>3.75</v>
      </c>
      <c r="H3642" s="6" t="s">
        <v>607</v>
      </c>
      <c r="I3642" s="6" t="s">
        <v>20</v>
      </c>
      <c r="J3642" s="6">
        <v>1994.0</v>
      </c>
      <c r="K3642" s="10">
        <v>46084.0</v>
      </c>
      <c r="L3642" s="6">
        <v>1.0</v>
      </c>
      <c r="M3642" s="8">
        <f t="shared" si="3"/>
        <v>3.75</v>
      </c>
      <c r="P3642" s="9"/>
    </row>
    <row r="3643">
      <c r="A3643" s="6" t="s">
        <v>7852</v>
      </c>
      <c r="B3643" s="6" t="s">
        <v>7853</v>
      </c>
      <c r="C3643" s="6" t="s">
        <v>41</v>
      </c>
      <c r="D3643" s="6" t="s">
        <v>7854</v>
      </c>
      <c r="E3643" s="6" t="s">
        <v>2074</v>
      </c>
      <c r="F3643" s="6" t="s">
        <v>826</v>
      </c>
      <c r="G3643" s="7">
        <v>3.49</v>
      </c>
      <c r="H3643" s="6" t="s">
        <v>370</v>
      </c>
      <c r="I3643" s="6" t="s">
        <v>20</v>
      </c>
      <c r="J3643" s="6">
        <v>1996.0</v>
      </c>
      <c r="K3643" s="10">
        <v>46146.0</v>
      </c>
      <c r="L3643" s="6">
        <v>1.0</v>
      </c>
      <c r="M3643" s="8">
        <f t="shared" si="3"/>
        <v>3.49</v>
      </c>
      <c r="N3643" s="6" t="s">
        <v>172</v>
      </c>
      <c r="P3643" s="9"/>
    </row>
    <row r="3644">
      <c r="A3644" s="6" t="s">
        <v>7855</v>
      </c>
      <c r="B3644" s="6" t="s">
        <v>1113</v>
      </c>
      <c r="C3644" s="6" t="s">
        <v>23</v>
      </c>
      <c r="D3644" s="6" t="s">
        <v>7856</v>
      </c>
      <c r="E3644" s="6" t="s">
        <v>64</v>
      </c>
      <c r="F3644" s="6" t="s">
        <v>65</v>
      </c>
      <c r="G3644" s="7">
        <v>0.06</v>
      </c>
      <c r="H3644" s="6" t="s">
        <v>2701</v>
      </c>
      <c r="I3644" s="6" t="s">
        <v>20</v>
      </c>
      <c r="J3644" s="6">
        <v>2003.0</v>
      </c>
      <c r="K3644" s="10">
        <v>46084.0</v>
      </c>
      <c r="L3644" s="6">
        <v>1.0</v>
      </c>
      <c r="M3644" s="8">
        <f t="shared" si="3"/>
        <v>0.06</v>
      </c>
      <c r="P3644" s="9"/>
    </row>
    <row r="3645">
      <c r="A3645" s="6" t="s">
        <v>7857</v>
      </c>
      <c r="B3645" s="6" t="s">
        <v>7858</v>
      </c>
      <c r="C3645" s="6" t="s">
        <v>23</v>
      </c>
      <c r="D3645" s="6" t="s">
        <v>7859</v>
      </c>
      <c r="E3645" s="6" t="s">
        <v>533</v>
      </c>
      <c r="F3645" s="6" t="s">
        <v>65</v>
      </c>
      <c r="G3645" s="7">
        <v>0.1</v>
      </c>
      <c r="H3645" s="6" t="s">
        <v>192</v>
      </c>
      <c r="I3645" s="6" t="s">
        <v>20</v>
      </c>
      <c r="J3645" s="6">
        <v>2026.0</v>
      </c>
      <c r="K3645" s="10">
        <v>46085.0</v>
      </c>
      <c r="L3645" s="6">
        <v>1.0</v>
      </c>
      <c r="M3645" s="8">
        <f t="shared" si="3"/>
        <v>0.1</v>
      </c>
      <c r="P3645" s="9"/>
    </row>
    <row r="3646">
      <c r="A3646" s="6" t="s">
        <v>7860</v>
      </c>
      <c r="B3646" s="6" t="s">
        <v>7861</v>
      </c>
      <c r="C3646" s="6" t="s">
        <v>23</v>
      </c>
      <c r="D3646" s="6" t="s">
        <v>7862</v>
      </c>
      <c r="E3646" s="6" t="s">
        <v>1570</v>
      </c>
      <c r="F3646" s="6" t="s">
        <v>159</v>
      </c>
      <c r="G3646" s="7">
        <v>0.1</v>
      </c>
      <c r="H3646" s="6" t="s">
        <v>192</v>
      </c>
      <c r="I3646" s="6" t="s">
        <v>20</v>
      </c>
      <c r="J3646" s="6">
        <v>2026.0</v>
      </c>
      <c r="K3646" s="10">
        <v>46210.0</v>
      </c>
      <c r="L3646" s="6">
        <v>2.0</v>
      </c>
      <c r="M3646" s="8">
        <f t="shared" si="3"/>
        <v>0.2</v>
      </c>
      <c r="P3646" s="9"/>
    </row>
    <row r="3647">
      <c r="A3647" s="6" t="s">
        <v>7863</v>
      </c>
      <c r="B3647" s="6" t="s">
        <v>194</v>
      </c>
      <c r="C3647" s="6" t="s">
        <v>23</v>
      </c>
      <c r="D3647" s="6" t="s">
        <v>7864</v>
      </c>
      <c r="E3647" s="6" t="s">
        <v>223</v>
      </c>
      <c r="F3647" s="6" t="s">
        <v>159</v>
      </c>
      <c r="G3647" s="7">
        <v>0.08</v>
      </c>
      <c r="H3647" s="6" t="s">
        <v>45</v>
      </c>
      <c r="I3647" s="6" t="s">
        <v>20</v>
      </c>
      <c r="J3647" s="6">
        <v>2025.0</v>
      </c>
      <c r="L3647" s="6">
        <v>2.0</v>
      </c>
      <c r="M3647" s="8">
        <f t="shared" si="3"/>
        <v>0.16</v>
      </c>
      <c r="P3647" s="9"/>
    </row>
    <row r="3648">
      <c r="A3648" s="6" t="s">
        <v>7865</v>
      </c>
      <c r="B3648" s="6" t="s">
        <v>250</v>
      </c>
      <c r="C3648" s="6" t="s">
        <v>72</v>
      </c>
      <c r="D3648" s="6" t="s">
        <v>7866</v>
      </c>
      <c r="E3648" s="6" t="s">
        <v>625</v>
      </c>
      <c r="F3648" s="6" t="s">
        <v>37</v>
      </c>
      <c r="G3648" s="7">
        <v>0.08</v>
      </c>
      <c r="H3648" s="6" t="s">
        <v>119</v>
      </c>
      <c r="I3648" s="6" t="s">
        <v>20</v>
      </c>
      <c r="J3648" s="6">
        <v>1995.0</v>
      </c>
      <c r="L3648" s="6">
        <v>1.0</v>
      </c>
      <c r="M3648" s="8">
        <f t="shared" si="3"/>
        <v>0.08</v>
      </c>
      <c r="P3648" s="9"/>
    </row>
    <row r="3649">
      <c r="A3649" s="6" t="s">
        <v>7865</v>
      </c>
      <c r="B3649" s="6" t="s">
        <v>250</v>
      </c>
      <c r="C3649" s="6" t="s">
        <v>72</v>
      </c>
      <c r="D3649" s="6" t="s">
        <v>7866</v>
      </c>
      <c r="E3649" s="6" t="s">
        <v>625</v>
      </c>
      <c r="F3649" s="6" t="s">
        <v>37</v>
      </c>
      <c r="G3649" s="7">
        <v>0.49</v>
      </c>
      <c r="H3649" s="6" t="s">
        <v>120</v>
      </c>
      <c r="I3649" s="6" t="s">
        <v>20</v>
      </c>
      <c r="J3649" s="6">
        <v>1995.0</v>
      </c>
      <c r="L3649" s="6">
        <v>2.0</v>
      </c>
      <c r="M3649" s="8">
        <f t="shared" si="3"/>
        <v>0.98</v>
      </c>
      <c r="P3649" s="9"/>
    </row>
    <row r="3650">
      <c r="A3650" s="6" t="s">
        <v>7865</v>
      </c>
      <c r="B3650" s="6" t="s">
        <v>307</v>
      </c>
      <c r="C3650" s="6" t="s">
        <v>48</v>
      </c>
      <c r="D3650" s="6" t="s">
        <v>7867</v>
      </c>
      <c r="E3650" s="6" t="s">
        <v>625</v>
      </c>
      <c r="F3650" s="6" t="s">
        <v>37</v>
      </c>
      <c r="G3650" s="7">
        <v>0.06</v>
      </c>
      <c r="H3650" s="6" t="s">
        <v>1514</v>
      </c>
      <c r="I3650" s="6" t="s">
        <v>20</v>
      </c>
      <c r="J3650" s="6">
        <v>2009.0</v>
      </c>
      <c r="L3650" s="6">
        <v>1.0</v>
      </c>
      <c r="M3650" s="8">
        <f t="shared" si="3"/>
        <v>0.06</v>
      </c>
      <c r="P3650" s="9"/>
    </row>
    <row r="3651">
      <c r="A3651" s="6" t="s">
        <v>7865</v>
      </c>
      <c r="B3651" s="6" t="s">
        <v>307</v>
      </c>
      <c r="C3651" s="6" t="s">
        <v>48</v>
      </c>
      <c r="D3651" s="6" t="s">
        <v>7867</v>
      </c>
      <c r="E3651" s="6" t="s">
        <v>625</v>
      </c>
      <c r="F3651" s="6" t="s">
        <v>37</v>
      </c>
      <c r="G3651" s="7">
        <v>0.05</v>
      </c>
      <c r="H3651" s="6" t="s">
        <v>154</v>
      </c>
      <c r="I3651" s="6" t="s">
        <v>20</v>
      </c>
      <c r="J3651" s="6">
        <v>2013.0</v>
      </c>
      <c r="L3651" s="6">
        <v>1.0</v>
      </c>
      <c r="M3651" s="8">
        <f t="shared" si="3"/>
        <v>0.05</v>
      </c>
      <c r="P3651" s="9"/>
    </row>
    <row r="3652">
      <c r="A3652" s="6" t="s">
        <v>7868</v>
      </c>
      <c r="B3652" s="6" t="s">
        <v>307</v>
      </c>
      <c r="C3652" s="6" t="s">
        <v>48</v>
      </c>
      <c r="D3652" s="6" t="s">
        <v>7869</v>
      </c>
      <c r="E3652" s="6" t="s">
        <v>625</v>
      </c>
      <c r="F3652" s="6" t="s">
        <v>37</v>
      </c>
      <c r="G3652" s="7">
        <v>0.09</v>
      </c>
      <c r="H3652" s="6" t="s">
        <v>7870</v>
      </c>
      <c r="I3652" s="6" t="s">
        <v>20</v>
      </c>
      <c r="J3652" s="6">
        <v>1999.0</v>
      </c>
      <c r="L3652" s="6">
        <v>1.0</v>
      </c>
      <c r="M3652" s="8">
        <f t="shared" si="3"/>
        <v>0.09</v>
      </c>
      <c r="P3652" s="9"/>
    </row>
    <row r="3653">
      <c r="A3653" s="6" t="s">
        <v>7871</v>
      </c>
      <c r="B3653" s="6" t="s">
        <v>424</v>
      </c>
      <c r="C3653" s="6" t="s">
        <v>48</v>
      </c>
      <c r="D3653" s="6" t="s">
        <v>7872</v>
      </c>
      <c r="F3653" s="6" t="s">
        <v>37</v>
      </c>
      <c r="G3653" s="7">
        <v>0.9</v>
      </c>
      <c r="H3653" s="6" t="s">
        <v>184</v>
      </c>
      <c r="I3653" s="6" t="s">
        <v>20</v>
      </c>
      <c r="J3653" s="6">
        <v>2015.0</v>
      </c>
      <c r="L3653" s="6">
        <v>1.0</v>
      </c>
      <c r="M3653" s="8">
        <f t="shared" si="3"/>
        <v>0.9</v>
      </c>
      <c r="N3653" s="6" t="s">
        <v>172</v>
      </c>
      <c r="P3653" s="9"/>
    </row>
    <row r="3654">
      <c r="A3654" s="6" t="s">
        <v>7873</v>
      </c>
      <c r="B3654" s="6" t="s">
        <v>2354</v>
      </c>
      <c r="C3654" s="6" t="s">
        <v>48</v>
      </c>
      <c r="D3654" s="6" t="s">
        <v>7874</v>
      </c>
      <c r="E3654" s="6" t="s">
        <v>149</v>
      </c>
      <c r="F3654" s="6" t="s">
        <v>18</v>
      </c>
      <c r="G3654" s="7">
        <v>0.1</v>
      </c>
      <c r="H3654" s="6" t="s">
        <v>509</v>
      </c>
      <c r="I3654" s="6" t="s">
        <v>55</v>
      </c>
      <c r="J3654" s="6">
        <v>2024.0</v>
      </c>
      <c r="K3654" s="10">
        <v>46082.0</v>
      </c>
      <c r="L3654" s="6">
        <v>1.0</v>
      </c>
      <c r="M3654" s="8">
        <f t="shared" si="3"/>
        <v>0.1</v>
      </c>
      <c r="P3654" s="9"/>
    </row>
    <row r="3655">
      <c r="A3655" s="6" t="s">
        <v>7875</v>
      </c>
      <c r="B3655" s="6" t="s">
        <v>182</v>
      </c>
      <c r="C3655" s="6" t="s">
        <v>48</v>
      </c>
      <c r="D3655" s="6" t="s">
        <v>7876</v>
      </c>
      <c r="E3655" s="6" t="s">
        <v>2018</v>
      </c>
      <c r="F3655" s="6" t="s">
        <v>65</v>
      </c>
      <c r="G3655" s="7">
        <v>0.09</v>
      </c>
      <c r="H3655" s="6" t="s">
        <v>621</v>
      </c>
      <c r="I3655" s="6" t="s">
        <v>20</v>
      </c>
      <c r="J3655" s="6">
        <v>2015.0</v>
      </c>
      <c r="L3655" s="6">
        <v>1.0</v>
      </c>
      <c r="M3655" s="8">
        <f t="shared" si="3"/>
        <v>0.09</v>
      </c>
      <c r="P3655" s="9"/>
    </row>
    <row r="3656">
      <c r="A3656" s="6" t="s">
        <v>7877</v>
      </c>
      <c r="B3656" s="6" t="s">
        <v>1926</v>
      </c>
      <c r="C3656" s="6" t="s">
        <v>23</v>
      </c>
      <c r="D3656" s="6" t="s">
        <v>7878</v>
      </c>
      <c r="E3656" s="6" t="s">
        <v>36</v>
      </c>
      <c r="F3656" s="6" t="s">
        <v>37</v>
      </c>
      <c r="G3656" s="7">
        <v>0.08</v>
      </c>
      <c r="H3656" s="6" t="s">
        <v>1361</v>
      </c>
      <c r="I3656" s="6" t="s">
        <v>20</v>
      </c>
      <c r="J3656" s="6">
        <v>2008.0</v>
      </c>
      <c r="K3656" s="10">
        <v>46084.0</v>
      </c>
      <c r="L3656" s="6">
        <v>1.0</v>
      </c>
      <c r="M3656" s="8">
        <f t="shared" si="3"/>
        <v>0.08</v>
      </c>
      <c r="P3656" s="9"/>
    </row>
    <row r="3657">
      <c r="A3657" s="6" t="s">
        <v>7879</v>
      </c>
      <c r="B3657" s="6" t="s">
        <v>5155</v>
      </c>
      <c r="C3657" s="6" t="s">
        <v>48</v>
      </c>
      <c r="D3657" s="6" t="s">
        <v>7880</v>
      </c>
      <c r="E3657" s="6" t="s">
        <v>7881</v>
      </c>
      <c r="F3657" s="6" t="s">
        <v>717</v>
      </c>
      <c r="G3657" s="7">
        <v>0.1</v>
      </c>
      <c r="H3657" s="6" t="s">
        <v>136</v>
      </c>
      <c r="I3657" s="6" t="s">
        <v>20</v>
      </c>
      <c r="J3657" s="6">
        <v>2022.0</v>
      </c>
      <c r="K3657" s="10">
        <v>46115.0</v>
      </c>
      <c r="L3657" s="6">
        <v>1.0</v>
      </c>
      <c r="M3657" s="8">
        <f t="shared" si="3"/>
        <v>0.1</v>
      </c>
      <c r="P3657" s="9"/>
    </row>
    <row r="3658">
      <c r="A3658" s="6" t="s">
        <v>7882</v>
      </c>
      <c r="B3658" s="6" t="s">
        <v>7883</v>
      </c>
      <c r="C3658" s="6" t="s">
        <v>15</v>
      </c>
      <c r="D3658" s="6" t="s">
        <v>7884</v>
      </c>
      <c r="E3658" s="6" t="s">
        <v>377</v>
      </c>
      <c r="F3658" s="6" t="s">
        <v>103</v>
      </c>
      <c r="G3658" s="7">
        <v>0.79</v>
      </c>
      <c r="H3658" s="6" t="s">
        <v>38</v>
      </c>
      <c r="I3658" s="6" t="s">
        <v>20</v>
      </c>
      <c r="J3658" s="6">
        <v>2026.0</v>
      </c>
      <c r="K3658" s="10">
        <v>46084.0</v>
      </c>
      <c r="L3658" s="6">
        <v>1.0</v>
      </c>
      <c r="M3658" s="8">
        <f t="shared" si="3"/>
        <v>0.79</v>
      </c>
      <c r="P3658" s="9"/>
    </row>
    <row r="3659">
      <c r="A3659" s="6" t="s">
        <v>7885</v>
      </c>
      <c r="B3659" s="6" t="s">
        <v>7886</v>
      </c>
      <c r="C3659" s="6" t="s">
        <v>34</v>
      </c>
      <c r="D3659" s="6" t="s">
        <v>7887</v>
      </c>
      <c r="E3659" s="6" t="s">
        <v>17</v>
      </c>
      <c r="F3659" s="6" t="s">
        <v>18</v>
      </c>
      <c r="G3659" s="7">
        <v>0.05</v>
      </c>
      <c r="H3659" s="6" t="s">
        <v>209</v>
      </c>
      <c r="I3659" s="6" t="s">
        <v>20</v>
      </c>
      <c r="J3659" s="6">
        <v>2025.0</v>
      </c>
      <c r="K3659" s="10">
        <v>46084.0</v>
      </c>
      <c r="L3659" s="6">
        <v>4.0</v>
      </c>
      <c r="M3659" s="8">
        <f t="shared" si="3"/>
        <v>0.2</v>
      </c>
      <c r="P3659" s="9"/>
    </row>
    <row r="3660">
      <c r="A3660" s="6" t="s">
        <v>7885</v>
      </c>
      <c r="B3660" s="6" t="s">
        <v>7886</v>
      </c>
      <c r="C3660" s="6" t="s">
        <v>34</v>
      </c>
      <c r="D3660" s="6" t="s">
        <v>7887</v>
      </c>
      <c r="E3660" s="6" t="s">
        <v>17</v>
      </c>
      <c r="F3660" s="6" t="s">
        <v>18</v>
      </c>
      <c r="G3660" s="7">
        <v>0.4</v>
      </c>
      <c r="H3660" s="6" t="s">
        <v>209</v>
      </c>
      <c r="I3660" s="6" t="s">
        <v>55</v>
      </c>
      <c r="J3660" s="6">
        <v>2025.0</v>
      </c>
      <c r="K3660" s="10">
        <v>46084.0</v>
      </c>
      <c r="L3660" s="6">
        <v>2.0</v>
      </c>
      <c r="M3660" s="8">
        <f t="shared" si="3"/>
        <v>0.8</v>
      </c>
      <c r="P3660" s="9"/>
    </row>
    <row r="3661">
      <c r="A3661" s="6" t="s">
        <v>7888</v>
      </c>
      <c r="B3661" s="6" t="s">
        <v>182</v>
      </c>
      <c r="C3661" s="6" t="s">
        <v>23</v>
      </c>
      <c r="D3661" s="6" t="s">
        <v>7889</v>
      </c>
      <c r="E3661" s="6" t="s">
        <v>270</v>
      </c>
      <c r="F3661" s="6" t="s">
        <v>159</v>
      </c>
      <c r="G3661" s="7">
        <v>0.06</v>
      </c>
      <c r="H3661" s="6" t="s">
        <v>93</v>
      </c>
      <c r="I3661" s="6" t="s">
        <v>20</v>
      </c>
      <c r="J3661" s="6">
        <v>2016.0</v>
      </c>
      <c r="L3661" s="6">
        <v>1.0</v>
      </c>
      <c r="M3661" s="8">
        <f t="shared" si="3"/>
        <v>0.06</v>
      </c>
      <c r="P3661" s="9"/>
    </row>
    <row r="3662">
      <c r="A3662" s="6" t="s">
        <v>7890</v>
      </c>
      <c r="B3662" s="6" t="s">
        <v>62</v>
      </c>
      <c r="C3662" s="6" t="s">
        <v>23</v>
      </c>
      <c r="D3662" s="6" t="s">
        <v>7891</v>
      </c>
      <c r="E3662" s="6" t="s">
        <v>223</v>
      </c>
      <c r="F3662" s="6" t="s">
        <v>159</v>
      </c>
      <c r="G3662" s="7">
        <v>0.06</v>
      </c>
      <c r="H3662" s="6" t="s">
        <v>185</v>
      </c>
      <c r="I3662" s="6" t="s">
        <v>20</v>
      </c>
      <c r="J3662" s="6">
        <v>2019.0</v>
      </c>
      <c r="L3662" s="6">
        <v>1.0</v>
      </c>
      <c r="M3662" s="8">
        <f t="shared" si="3"/>
        <v>0.06</v>
      </c>
      <c r="N3662" s="6" t="s">
        <v>518</v>
      </c>
      <c r="P3662" s="9"/>
    </row>
    <row r="3663">
      <c r="A3663" s="6" t="s">
        <v>7892</v>
      </c>
      <c r="B3663" s="6" t="s">
        <v>1199</v>
      </c>
      <c r="C3663" s="6" t="s">
        <v>23</v>
      </c>
      <c r="D3663" s="6" t="s">
        <v>7893</v>
      </c>
      <c r="E3663" s="6" t="s">
        <v>270</v>
      </c>
      <c r="F3663" s="6" t="s">
        <v>159</v>
      </c>
      <c r="G3663" s="7">
        <v>0.06</v>
      </c>
      <c r="H3663" s="6" t="s">
        <v>154</v>
      </c>
      <c r="I3663" s="6" t="s">
        <v>20</v>
      </c>
      <c r="J3663" s="6">
        <v>2013.0</v>
      </c>
      <c r="K3663" s="10">
        <v>46055.0</v>
      </c>
      <c r="L3663" s="6">
        <v>1.0</v>
      </c>
      <c r="M3663" s="8">
        <f t="shared" si="3"/>
        <v>0.06</v>
      </c>
      <c r="P3663" s="9"/>
    </row>
    <row r="3664">
      <c r="A3664" s="6" t="s">
        <v>7894</v>
      </c>
      <c r="B3664" s="6" t="s">
        <v>7895</v>
      </c>
      <c r="C3664" s="6" t="s">
        <v>15</v>
      </c>
      <c r="D3664" s="6" t="s">
        <v>7896</v>
      </c>
      <c r="E3664" s="6" t="s">
        <v>364</v>
      </c>
      <c r="F3664" s="6" t="s">
        <v>51</v>
      </c>
      <c r="G3664" s="7">
        <v>1.43</v>
      </c>
      <c r="H3664" s="6" t="s">
        <v>19</v>
      </c>
      <c r="I3664" s="6" t="s">
        <v>20</v>
      </c>
      <c r="J3664" s="6">
        <v>2023.0</v>
      </c>
      <c r="K3664" s="10">
        <v>46023.0</v>
      </c>
      <c r="L3664" s="6">
        <v>1.0</v>
      </c>
      <c r="M3664" s="8">
        <f t="shared" si="3"/>
        <v>1.43</v>
      </c>
      <c r="P3664" s="9"/>
    </row>
    <row r="3665">
      <c r="A3665" s="6" t="s">
        <v>7897</v>
      </c>
      <c r="B3665" s="6" t="s">
        <v>7898</v>
      </c>
      <c r="C3665" s="6" t="s">
        <v>48</v>
      </c>
      <c r="D3665" s="6" t="s">
        <v>7899</v>
      </c>
      <c r="E3665" s="6" t="s">
        <v>79</v>
      </c>
      <c r="F3665" s="6" t="s">
        <v>51</v>
      </c>
      <c r="G3665" s="7">
        <v>0.5</v>
      </c>
      <c r="H3665" s="6" t="s">
        <v>19</v>
      </c>
      <c r="I3665" s="6" t="s">
        <v>20</v>
      </c>
      <c r="J3665" s="6">
        <v>2023.0</v>
      </c>
      <c r="K3665" s="10">
        <v>46023.0</v>
      </c>
      <c r="L3665" s="6">
        <v>2.0</v>
      </c>
      <c r="M3665" s="8">
        <f t="shared" si="3"/>
        <v>1</v>
      </c>
      <c r="P3665" s="9"/>
    </row>
    <row r="3666">
      <c r="A3666" s="6" t="s">
        <v>7900</v>
      </c>
      <c r="B3666" s="6" t="s">
        <v>1657</v>
      </c>
      <c r="C3666" s="6" t="s">
        <v>48</v>
      </c>
      <c r="D3666" s="6" t="s">
        <v>7901</v>
      </c>
      <c r="E3666" s="6" t="s">
        <v>223</v>
      </c>
      <c r="F3666" s="6" t="s">
        <v>159</v>
      </c>
      <c r="G3666" s="7">
        <v>0.13</v>
      </c>
      <c r="H3666" s="6" t="s">
        <v>621</v>
      </c>
      <c r="I3666" s="6" t="s">
        <v>20</v>
      </c>
      <c r="J3666" s="6">
        <v>2015.0</v>
      </c>
      <c r="K3666" s="10">
        <v>46023.0</v>
      </c>
      <c r="L3666" s="6">
        <v>2.0</v>
      </c>
      <c r="M3666" s="8">
        <f t="shared" si="3"/>
        <v>0.26</v>
      </c>
      <c r="P3666" s="9"/>
    </row>
    <row r="3667">
      <c r="A3667" s="6" t="s">
        <v>7902</v>
      </c>
      <c r="B3667" s="6" t="s">
        <v>322</v>
      </c>
      <c r="C3667" s="6" t="s">
        <v>23</v>
      </c>
      <c r="D3667" s="6" t="s">
        <v>7903</v>
      </c>
      <c r="E3667" s="6" t="s">
        <v>303</v>
      </c>
      <c r="F3667" s="6" t="s">
        <v>37</v>
      </c>
      <c r="G3667" s="7">
        <v>0.18</v>
      </c>
      <c r="H3667" s="6" t="s">
        <v>75</v>
      </c>
      <c r="I3667" s="6" t="s">
        <v>20</v>
      </c>
      <c r="J3667" s="6">
        <v>1995.0</v>
      </c>
      <c r="K3667" s="6" t="s">
        <v>341</v>
      </c>
      <c r="L3667" s="6">
        <v>2.0</v>
      </c>
      <c r="M3667" s="8">
        <f t="shared" si="3"/>
        <v>0.36</v>
      </c>
      <c r="P3667" s="9"/>
    </row>
    <row r="3668">
      <c r="A3668" s="6" t="s">
        <v>7904</v>
      </c>
      <c r="B3668" s="6" t="s">
        <v>326</v>
      </c>
      <c r="C3668" s="6" t="s">
        <v>23</v>
      </c>
      <c r="E3668" s="6" t="s">
        <v>153</v>
      </c>
      <c r="F3668" s="6" t="s">
        <v>103</v>
      </c>
      <c r="G3668" s="7">
        <v>0.03</v>
      </c>
      <c r="H3668" s="6" t="s">
        <v>359</v>
      </c>
      <c r="I3668" s="6" t="s">
        <v>20</v>
      </c>
      <c r="J3668" s="6">
        <v>2014.0</v>
      </c>
      <c r="K3668" s="10">
        <v>46144.0</v>
      </c>
      <c r="L3668" s="6">
        <v>2.0</v>
      </c>
      <c r="M3668" s="8">
        <f t="shared" si="3"/>
        <v>0.06</v>
      </c>
      <c r="P3668" s="9"/>
    </row>
    <row r="3669">
      <c r="A3669" s="6" t="s">
        <v>7904</v>
      </c>
      <c r="B3669" s="6" t="s">
        <v>326</v>
      </c>
      <c r="C3669" s="6" t="s">
        <v>23</v>
      </c>
      <c r="E3669" s="6" t="s">
        <v>153</v>
      </c>
      <c r="F3669" s="6" t="s">
        <v>103</v>
      </c>
      <c r="G3669" s="7">
        <v>0.03</v>
      </c>
      <c r="H3669" s="6" t="s">
        <v>359</v>
      </c>
      <c r="I3669" s="6" t="s">
        <v>20</v>
      </c>
      <c r="J3669" s="6">
        <v>2014.0</v>
      </c>
      <c r="K3669" s="10">
        <v>46144.0</v>
      </c>
      <c r="L3669" s="6">
        <v>1.0</v>
      </c>
      <c r="M3669" s="8">
        <f t="shared" si="3"/>
        <v>0.03</v>
      </c>
      <c r="P3669" s="9"/>
    </row>
    <row r="3670">
      <c r="A3670" s="6" t="s">
        <v>7905</v>
      </c>
      <c r="B3670" s="6" t="s">
        <v>62</v>
      </c>
      <c r="C3670" s="6" t="s">
        <v>23</v>
      </c>
      <c r="D3670" s="6" t="s">
        <v>7906</v>
      </c>
      <c r="E3670" s="6" t="s">
        <v>167</v>
      </c>
      <c r="F3670" s="6" t="s">
        <v>103</v>
      </c>
      <c r="G3670" s="7">
        <v>1.25</v>
      </c>
      <c r="H3670" s="6" t="s">
        <v>1692</v>
      </c>
      <c r="I3670" s="6" t="s">
        <v>20</v>
      </c>
      <c r="J3670" s="6">
        <v>2021.0</v>
      </c>
      <c r="L3670" s="6">
        <v>1.0</v>
      </c>
      <c r="M3670" s="8">
        <f t="shared" si="3"/>
        <v>1.25</v>
      </c>
      <c r="N3670" s="6" t="s">
        <v>172</v>
      </c>
      <c r="P3670" s="9"/>
    </row>
    <row r="3671">
      <c r="A3671" s="6" t="s">
        <v>7907</v>
      </c>
      <c r="B3671" s="6" t="s">
        <v>2898</v>
      </c>
      <c r="C3671" s="6" t="s">
        <v>23</v>
      </c>
      <c r="D3671" s="6" t="s">
        <v>7908</v>
      </c>
      <c r="E3671" s="6" t="s">
        <v>153</v>
      </c>
      <c r="F3671" s="6" t="s">
        <v>103</v>
      </c>
      <c r="G3671" s="7">
        <v>0.09</v>
      </c>
      <c r="H3671" s="6" t="s">
        <v>93</v>
      </c>
      <c r="I3671" s="6" t="s">
        <v>20</v>
      </c>
      <c r="J3671" s="6">
        <v>2016.0</v>
      </c>
      <c r="K3671" s="10">
        <v>46114.0</v>
      </c>
      <c r="L3671" s="6">
        <v>1.0</v>
      </c>
      <c r="M3671" s="8">
        <f t="shared" si="3"/>
        <v>0.09</v>
      </c>
      <c r="P3671" s="9"/>
    </row>
    <row r="3672">
      <c r="A3672" s="6" t="s">
        <v>7909</v>
      </c>
      <c r="B3672" s="6" t="s">
        <v>7910</v>
      </c>
      <c r="C3672" s="6" t="s">
        <v>287</v>
      </c>
      <c r="D3672" s="6" t="s">
        <v>7911</v>
      </c>
      <c r="E3672" s="6" t="s">
        <v>235</v>
      </c>
      <c r="F3672" s="6" t="s">
        <v>103</v>
      </c>
      <c r="G3672" s="7">
        <v>0.19</v>
      </c>
      <c r="H3672" s="6" t="s">
        <v>184</v>
      </c>
      <c r="I3672" s="6" t="s">
        <v>20</v>
      </c>
      <c r="J3672" s="6">
        <v>2015.0</v>
      </c>
      <c r="L3672" s="6">
        <v>4.0</v>
      </c>
      <c r="M3672" s="8">
        <f t="shared" si="3"/>
        <v>0.76</v>
      </c>
      <c r="P3672" s="9"/>
    </row>
    <row r="3673">
      <c r="A3673" s="6" t="s">
        <v>7912</v>
      </c>
      <c r="B3673" s="6" t="s">
        <v>7913</v>
      </c>
      <c r="C3673" s="6" t="s">
        <v>23</v>
      </c>
      <c r="D3673" s="6" t="s">
        <v>7914</v>
      </c>
      <c r="E3673" s="6" t="s">
        <v>502</v>
      </c>
      <c r="F3673" s="6" t="s">
        <v>65</v>
      </c>
      <c r="G3673" s="7">
        <v>0.03</v>
      </c>
      <c r="H3673" s="6" t="s">
        <v>45</v>
      </c>
      <c r="I3673" s="6" t="s">
        <v>20</v>
      </c>
      <c r="J3673" s="6">
        <v>2025.0</v>
      </c>
      <c r="K3673" s="10">
        <v>46147.0</v>
      </c>
      <c r="L3673" s="6">
        <v>2.0</v>
      </c>
      <c r="M3673" s="8">
        <f t="shared" si="3"/>
        <v>0.06</v>
      </c>
      <c r="P3673" s="9"/>
    </row>
    <row r="3674">
      <c r="A3674" s="6" t="s">
        <v>7915</v>
      </c>
      <c r="B3674" s="6" t="s">
        <v>2978</v>
      </c>
      <c r="C3674" s="6" t="s">
        <v>15</v>
      </c>
      <c r="D3674" s="6" t="s">
        <v>7916</v>
      </c>
      <c r="E3674" s="6" t="s">
        <v>2469</v>
      </c>
      <c r="F3674" s="6" t="s">
        <v>65</v>
      </c>
      <c r="G3674" s="7">
        <v>0.11</v>
      </c>
      <c r="H3674" s="6" t="s">
        <v>1043</v>
      </c>
      <c r="I3674" s="6" t="s">
        <v>20</v>
      </c>
      <c r="J3674" s="6">
        <v>2025.0</v>
      </c>
      <c r="K3674" s="10">
        <v>46115.0</v>
      </c>
      <c r="L3674" s="6">
        <v>2.0</v>
      </c>
      <c r="M3674" s="8">
        <f t="shared" si="3"/>
        <v>0.22</v>
      </c>
      <c r="P3674" s="9"/>
    </row>
    <row r="3675">
      <c r="A3675" s="6" t="s">
        <v>7917</v>
      </c>
      <c r="B3675" s="6" t="s">
        <v>899</v>
      </c>
      <c r="C3675" s="6" t="s">
        <v>23</v>
      </c>
      <c r="D3675" s="6" t="s">
        <v>7918</v>
      </c>
      <c r="E3675" s="6" t="s">
        <v>25</v>
      </c>
      <c r="F3675" s="6" t="s">
        <v>18</v>
      </c>
      <c r="G3675" s="7">
        <v>0.05</v>
      </c>
      <c r="H3675" s="6" t="s">
        <v>45</v>
      </c>
      <c r="I3675" s="6" t="s">
        <v>20</v>
      </c>
      <c r="J3675" s="6">
        <v>2025.0</v>
      </c>
      <c r="K3675" s="10">
        <v>46055.0</v>
      </c>
      <c r="L3675" s="6">
        <v>3.0</v>
      </c>
      <c r="M3675" s="8">
        <f t="shared" si="3"/>
        <v>0.15</v>
      </c>
      <c r="P3675" s="9"/>
    </row>
    <row r="3676">
      <c r="A3676" s="6" t="s">
        <v>7919</v>
      </c>
      <c r="B3676" s="6" t="s">
        <v>7920</v>
      </c>
      <c r="C3676" s="6" t="s">
        <v>23</v>
      </c>
      <c r="D3676" s="6" t="s">
        <v>7921</v>
      </c>
      <c r="E3676" s="6" t="s">
        <v>611</v>
      </c>
      <c r="F3676" s="6" t="s">
        <v>103</v>
      </c>
      <c r="G3676" s="7">
        <v>0.11</v>
      </c>
      <c r="H3676" s="6" t="s">
        <v>31</v>
      </c>
      <c r="I3676" s="6" t="s">
        <v>20</v>
      </c>
      <c r="J3676" s="6">
        <v>2026.0</v>
      </c>
      <c r="K3676" s="10">
        <v>46116.0</v>
      </c>
      <c r="L3676" s="6">
        <v>1.0</v>
      </c>
      <c r="M3676" s="8">
        <f t="shared" si="3"/>
        <v>0.11</v>
      </c>
      <c r="P3676" s="9"/>
    </row>
    <row r="3677">
      <c r="A3677" s="6" t="s">
        <v>7922</v>
      </c>
      <c r="B3677" s="6" t="s">
        <v>7923</v>
      </c>
      <c r="C3677" s="6" t="s">
        <v>34</v>
      </c>
      <c r="D3677" s="6" t="s">
        <v>7924</v>
      </c>
      <c r="E3677" s="6" t="s">
        <v>3495</v>
      </c>
      <c r="F3677" s="6" t="s">
        <v>103</v>
      </c>
      <c r="G3677" s="7">
        <v>0.13</v>
      </c>
      <c r="H3677" s="6" t="s">
        <v>38</v>
      </c>
      <c r="I3677" s="6" t="s">
        <v>20</v>
      </c>
      <c r="J3677" s="6">
        <v>2026.0</v>
      </c>
      <c r="K3677" s="10">
        <v>46116.0</v>
      </c>
      <c r="L3677" s="6">
        <v>1.0</v>
      </c>
      <c r="M3677" s="8">
        <f t="shared" si="3"/>
        <v>0.13</v>
      </c>
      <c r="P3677" s="9"/>
    </row>
    <row r="3678">
      <c r="A3678" s="6" t="s">
        <v>7925</v>
      </c>
      <c r="B3678" s="6" t="s">
        <v>182</v>
      </c>
      <c r="C3678" s="6" t="s">
        <v>23</v>
      </c>
      <c r="D3678" s="6" t="s">
        <v>7926</v>
      </c>
      <c r="E3678" s="6" t="s">
        <v>533</v>
      </c>
      <c r="F3678" s="6" t="s">
        <v>65</v>
      </c>
      <c r="G3678" s="7">
        <v>0.04</v>
      </c>
      <c r="H3678" s="6" t="s">
        <v>185</v>
      </c>
      <c r="I3678" s="6" t="s">
        <v>20</v>
      </c>
      <c r="J3678" s="6">
        <v>2019.0</v>
      </c>
      <c r="L3678" s="6">
        <v>2.0</v>
      </c>
      <c r="M3678" s="8">
        <f t="shared" si="3"/>
        <v>0.08</v>
      </c>
      <c r="P3678" s="9"/>
    </row>
    <row r="3679">
      <c r="A3679" s="6" t="s">
        <v>7927</v>
      </c>
      <c r="B3679" s="6" t="s">
        <v>1509</v>
      </c>
      <c r="C3679" s="6" t="s">
        <v>23</v>
      </c>
      <c r="D3679" s="6" t="s">
        <v>7928</v>
      </c>
      <c r="E3679" s="6" t="s">
        <v>4150</v>
      </c>
      <c r="F3679" s="6" t="s">
        <v>826</v>
      </c>
      <c r="G3679" s="7">
        <v>0.03</v>
      </c>
      <c r="H3679" s="6" t="s">
        <v>185</v>
      </c>
      <c r="I3679" s="6" t="s">
        <v>20</v>
      </c>
      <c r="J3679" s="6">
        <v>2019.0</v>
      </c>
      <c r="K3679" s="10">
        <v>46083.0</v>
      </c>
      <c r="L3679" s="6">
        <v>1.0</v>
      </c>
      <c r="M3679" s="8">
        <f t="shared" si="3"/>
        <v>0.03</v>
      </c>
      <c r="P3679" s="9"/>
    </row>
    <row r="3680">
      <c r="A3680" s="6" t="s">
        <v>7929</v>
      </c>
      <c r="B3680" s="6" t="s">
        <v>7930</v>
      </c>
      <c r="C3680" s="6" t="s">
        <v>23</v>
      </c>
      <c r="D3680" s="6" t="s">
        <v>7931</v>
      </c>
      <c r="E3680" s="6" t="s">
        <v>502</v>
      </c>
      <c r="F3680" s="6" t="s">
        <v>65</v>
      </c>
      <c r="G3680" s="7">
        <v>0.04</v>
      </c>
      <c r="H3680" s="6" t="s">
        <v>185</v>
      </c>
      <c r="I3680" s="6" t="s">
        <v>20</v>
      </c>
      <c r="J3680" s="6">
        <v>2019.0</v>
      </c>
      <c r="K3680" s="10">
        <v>46148.0</v>
      </c>
      <c r="L3680" s="6">
        <v>1.0</v>
      </c>
      <c r="M3680" s="8">
        <f t="shared" si="3"/>
        <v>0.04</v>
      </c>
      <c r="P3680" s="9"/>
    </row>
    <row r="3681">
      <c r="A3681" s="6" t="s">
        <v>7932</v>
      </c>
      <c r="B3681" s="6" t="s">
        <v>2789</v>
      </c>
      <c r="C3681" s="6" t="s">
        <v>15</v>
      </c>
      <c r="D3681" s="6" t="s">
        <v>7933</v>
      </c>
      <c r="E3681" s="6" t="s">
        <v>857</v>
      </c>
      <c r="F3681" s="6" t="s">
        <v>2792</v>
      </c>
      <c r="G3681" s="7">
        <v>0.15</v>
      </c>
      <c r="H3681" s="6" t="s">
        <v>209</v>
      </c>
      <c r="I3681" s="6" t="s">
        <v>20</v>
      </c>
      <c r="J3681" s="6">
        <v>2025.0</v>
      </c>
      <c r="K3681" s="10">
        <v>46114.0</v>
      </c>
      <c r="L3681" s="6">
        <v>6.0</v>
      </c>
      <c r="M3681" s="8">
        <f t="shared" si="3"/>
        <v>0.9</v>
      </c>
      <c r="P3681" s="9"/>
    </row>
    <row r="3682">
      <c r="A3682" s="6" t="s">
        <v>7932</v>
      </c>
      <c r="B3682" s="6" t="s">
        <v>2789</v>
      </c>
      <c r="C3682" s="6" t="s">
        <v>15</v>
      </c>
      <c r="D3682" s="6" t="s">
        <v>7933</v>
      </c>
      <c r="E3682" s="6" t="s">
        <v>857</v>
      </c>
      <c r="F3682" s="6" t="s">
        <v>2792</v>
      </c>
      <c r="G3682" s="7">
        <v>0.4</v>
      </c>
      <c r="H3682" s="6" t="s">
        <v>209</v>
      </c>
      <c r="I3682" s="6" t="s">
        <v>55</v>
      </c>
      <c r="J3682" s="6">
        <v>2025.0</v>
      </c>
      <c r="K3682" s="10">
        <v>46114.0</v>
      </c>
      <c r="L3682" s="6">
        <v>1.0</v>
      </c>
      <c r="M3682" s="8">
        <f t="shared" si="3"/>
        <v>0.4</v>
      </c>
      <c r="P3682" s="9"/>
    </row>
    <row r="3683">
      <c r="A3683" s="6" t="s">
        <v>7934</v>
      </c>
      <c r="B3683" s="6" t="s">
        <v>424</v>
      </c>
      <c r="C3683" s="6" t="s">
        <v>23</v>
      </c>
      <c r="D3683" s="6" t="s">
        <v>7935</v>
      </c>
      <c r="F3683" s="6" t="s">
        <v>37</v>
      </c>
      <c r="G3683" s="7">
        <v>0.12</v>
      </c>
      <c r="H3683" s="6" t="s">
        <v>418</v>
      </c>
      <c r="I3683" s="6" t="s">
        <v>20</v>
      </c>
      <c r="J3683" s="6">
        <v>2022.0</v>
      </c>
      <c r="L3683" s="6">
        <v>3.0</v>
      </c>
      <c r="M3683" s="8">
        <f t="shared" si="3"/>
        <v>0.36</v>
      </c>
      <c r="P3683" s="9"/>
    </row>
    <row r="3684">
      <c r="A3684" s="6" t="s">
        <v>7934</v>
      </c>
      <c r="B3684" s="6" t="s">
        <v>424</v>
      </c>
      <c r="C3684" s="6" t="s">
        <v>23</v>
      </c>
      <c r="D3684" s="6" t="s">
        <v>7936</v>
      </c>
      <c r="F3684" s="6" t="s">
        <v>826</v>
      </c>
      <c r="G3684" s="7">
        <v>0.14</v>
      </c>
      <c r="H3684" s="6" t="s">
        <v>418</v>
      </c>
      <c r="I3684" s="6" t="s">
        <v>20</v>
      </c>
      <c r="J3684" s="6">
        <v>2022.0</v>
      </c>
      <c r="L3684" s="6">
        <v>1.0</v>
      </c>
      <c r="M3684" s="8">
        <f t="shared" si="3"/>
        <v>0.14</v>
      </c>
      <c r="P3684" s="9"/>
    </row>
    <row r="3685">
      <c r="A3685" s="6" t="s">
        <v>7937</v>
      </c>
      <c r="B3685" s="6" t="s">
        <v>7938</v>
      </c>
      <c r="C3685" s="6" t="s">
        <v>23</v>
      </c>
      <c r="D3685" s="6" t="s">
        <v>7939</v>
      </c>
      <c r="E3685" s="6" t="s">
        <v>102</v>
      </c>
      <c r="F3685" s="6" t="s">
        <v>103</v>
      </c>
      <c r="G3685" s="7">
        <v>0.03</v>
      </c>
      <c r="H3685" s="6" t="s">
        <v>265</v>
      </c>
      <c r="I3685" s="6" t="s">
        <v>20</v>
      </c>
      <c r="J3685" s="6">
        <v>2017.0</v>
      </c>
      <c r="K3685" s="10">
        <v>46023.0</v>
      </c>
      <c r="L3685" s="6">
        <v>1.0</v>
      </c>
      <c r="M3685" s="8">
        <f t="shared" si="3"/>
        <v>0.03</v>
      </c>
      <c r="P3685" s="9"/>
    </row>
    <row r="3686">
      <c r="A3686" s="6" t="s">
        <v>7940</v>
      </c>
      <c r="B3686" s="6" t="s">
        <v>2413</v>
      </c>
      <c r="C3686" s="6" t="s">
        <v>23</v>
      </c>
      <c r="E3686" s="6" t="s">
        <v>2074</v>
      </c>
      <c r="F3686" s="6" t="s">
        <v>826</v>
      </c>
      <c r="G3686" s="7">
        <v>0.03</v>
      </c>
      <c r="H3686" s="6" t="s">
        <v>88</v>
      </c>
      <c r="I3686" s="6" t="s">
        <v>20</v>
      </c>
      <c r="J3686" s="6">
        <v>2013.0</v>
      </c>
      <c r="K3686" s="10">
        <v>46180.0</v>
      </c>
      <c r="L3686" s="6">
        <v>1.0</v>
      </c>
      <c r="M3686" s="8">
        <f t="shared" si="3"/>
        <v>0.03</v>
      </c>
      <c r="P3686" s="9"/>
    </row>
    <row r="3687">
      <c r="A3687" s="6" t="s">
        <v>7941</v>
      </c>
      <c r="B3687" s="6" t="s">
        <v>1363</v>
      </c>
      <c r="C3687" s="6" t="s">
        <v>23</v>
      </c>
      <c r="D3687" s="6" t="s">
        <v>7942</v>
      </c>
      <c r="E3687" s="6" t="s">
        <v>196</v>
      </c>
      <c r="F3687" s="6" t="s">
        <v>65</v>
      </c>
      <c r="G3687" s="7">
        <v>0.04</v>
      </c>
      <c r="H3687" s="6" t="s">
        <v>316</v>
      </c>
      <c r="I3687" s="6" t="s">
        <v>20</v>
      </c>
      <c r="J3687" s="6">
        <v>2016.0</v>
      </c>
      <c r="K3687" s="10">
        <v>46023.0</v>
      </c>
      <c r="L3687" s="6">
        <v>1.0</v>
      </c>
      <c r="M3687" s="8">
        <f t="shared" si="3"/>
        <v>0.04</v>
      </c>
      <c r="P3687" s="9"/>
    </row>
    <row r="3688">
      <c r="A3688" s="6" t="s">
        <v>7943</v>
      </c>
      <c r="B3688" s="6" t="s">
        <v>53</v>
      </c>
      <c r="C3688" s="6" t="s">
        <v>48</v>
      </c>
      <c r="D3688" s="6" t="s">
        <v>7944</v>
      </c>
      <c r="E3688" s="6" t="s">
        <v>1336</v>
      </c>
      <c r="F3688" s="6" t="s">
        <v>103</v>
      </c>
      <c r="G3688" s="7">
        <v>0.15</v>
      </c>
      <c r="H3688" s="6" t="s">
        <v>45</v>
      </c>
      <c r="I3688" s="6" t="s">
        <v>20</v>
      </c>
      <c r="J3688" s="6">
        <v>2025.0</v>
      </c>
      <c r="L3688" s="6">
        <v>1.0</v>
      </c>
      <c r="M3688" s="8">
        <f t="shared" si="3"/>
        <v>0.15</v>
      </c>
      <c r="P3688" s="9"/>
    </row>
    <row r="3689">
      <c r="A3689" s="6" t="s">
        <v>7945</v>
      </c>
      <c r="B3689" s="6" t="s">
        <v>424</v>
      </c>
      <c r="C3689" s="6" t="s">
        <v>41</v>
      </c>
      <c r="D3689" s="6" t="s">
        <v>7946</v>
      </c>
      <c r="F3689" s="6" t="s">
        <v>37</v>
      </c>
      <c r="G3689" s="7">
        <v>0.17</v>
      </c>
      <c r="H3689" s="6" t="s">
        <v>336</v>
      </c>
      <c r="I3689" s="6" t="s">
        <v>20</v>
      </c>
      <c r="J3689" s="6">
        <v>2016.0</v>
      </c>
      <c r="L3689" s="6">
        <v>1.0</v>
      </c>
      <c r="M3689" s="8">
        <f t="shared" si="3"/>
        <v>0.17</v>
      </c>
      <c r="P3689" s="9"/>
    </row>
    <row r="3690">
      <c r="A3690" s="6" t="s">
        <v>7947</v>
      </c>
      <c r="B3690" s="6" t="s">
        <v>5662</v>
      </c>
      <c r="C3690" s="6" t="s">
        <v>48</v>
      </c>
      <c r="D3690" s="6" t="s">
        <v>7948</v>
      </c>
      <c r="E3690" s="6" t="s">
        <v>7949</v>
      </c>
      <c r="F3690" s="6" t="s">
        <v>826</v>
      </c>
      <c r="G3690" s="7">
        <v>0.14</v>
      </c>
      <c r="H3690" s="6" t="s">
        <v>136</v>
      </c>
      <c r="I3690" s="6" t="s">
        <v>20</v>
      </c>
      <c r="J3690" s="6">
        <v>2022.0</v>
      </c>
      <c r="K3690" s="10">
        <v>46084.0</v>
      </c>
      <c r="L3690" s="6">
        <v>1.0</v>
      </c>
      <c r="M3690" s="8">
        <f t="shared" si="3"/>
        <v>0.14</v>
      </c>
      <c r="P3690" s="9"/>
    </row>
    <row r="3691">
      <c r="A3691" s="6" t="s">
        <v>7950</v>
      </c>
      <c r="B3691" s="6" t="s">
        <v>7951</v>
      </c>
      <c r="C3691" s="6" t="s">
        <v>521</v>
      </c>
      <c r="D3691" s="6" t="s">
        <v>5474</v>
      </c>
      <c r="E3691" s="6" t="s">
        <v>937</v>
      </c>
      <c r="F3691" s="6" t="s">
        <v>159</v>
      </c>
      <c r="G3691" s="7">
        <v>0.05</v>
      </c>
      <c r="H3691" s="7" t="s">
        <v>154</v>
      </c>
      <c r="I3691" s="6" t="s">
        <v>20</v>
      </c>
      <c r="J3691" s="6">
        <v>2013.0</v>
      </c>
      <c r="K3691" s="10">
        <v>46116.0</v>
      </c>
      <c r="L3691" s="6">
        <v>1.0</v>
      </c>
      <c r="M3691" s="8">
        <f t="shared" si="3"/>
        <v>0.05</v>
      </c>
      <c r="P3691" s="9"/>
    </row>
    <row r="3692">
      <c r="A3692" s="6" t="s">
        <v>7952</v>
      </c>
      <c r="B3692" s="6" t="s">
        <v>677</v>
      </c>
      <c r="C3692" s="6" t="s">
        <v>23</v>
      </c>
      <c r="E3692" s="6" t="s">
        <v>937</v>
      </c>
      <c r="F3692" s="6" t="s">
        <v>159</v>
      </c>
      <c r="G3692" s="7">
        <v>0.05</v>
      </c>
      <c r="H3692" s="6" t="s">
        <v>154</v>
      </c>
      <c r="I3692" s="6" t="s">
        <v>20</v>
      </c>
      <c r="J3692" s="6">
        <v>2013.0</v>
      </c>
      <c r="K3692" s="10">
        <v>46116.0</v>
      </c>
      <c r="L3692" s="6">
        <v>2.0</v>
      </c>
      <c r="M3692" s="8">
        <f t="shared" si="3"/>
        <v>0.1</v>
      </c>
      <c r="P3692" s="9"/>
    </row>
    <row r="3693">
      <c r="A3693" s="6" t="s">
        <v>7952</v>
      </c>
      <c r="B3693" s="6" t="s">
        <v>677</v>
      </c>
      <c r="C3693" s="6" t="s">
        <v>23</v>
      </c>
      <c r="E3693" s="6" t="s">
        <v>937</v>
      </c>
      <c r="F3693" s="6" t="s">
        <v>159</v>
      </c>
      <c r="G3693" s="7">
        <v>0.05</v>
      </c>
      <c r="H3693" s="6" t="s">
        <v>154</v>
      </c>
      <c r="I3693" s="6" t="s">
        <v>20</v>
      </c>
      <c r="J3693" s="6">
        <v>2013.0</v>
      </c>
      <c r="K3693" s="10">
        <v>46116.0</v>
      </c>
      <c r="L3693" s="6">
        <v>1.0</v>
      </c>
      <c r="M3693" s="8">
        <f t="shared" si="3"/>
        <v>0.05</v>
      </c>
      <c r="P3693" s="9"/>
    </row>
    <row r="3694">
      <c r="A3694" s="6" t="s">
        <v>7953</v>
      </c>
      <c r="B3694" s="6" t="s">
        <v>1141</v>
      </c>
      <c r="C3694" s="6" t="s">
        <v>23</v>
      </c>
      <c r="D3694" s="6" t="s">
        <v>7954</v>
      </c>
      <c r="E3694" s="6" t="s">
        <v>1771</v>
      </c>
      <c r="F3694" s="6" t="s">
        <v>51</v>
      </c>
      <c r="G3694" s="7">
        <v>0.03</v>
      </c>
      <c r="H3694" s="6" t="s">
        <v>526</v>
      </c>
      <c r="I3694" s="6" t="s">
        <v>20</v>
      </c>
      <c r="J3694" s="6">
        <v>2020.0</v>
      </c>
      <c r="K3694" s="10">
        <v>46176.0</v>
      </c>
      <c r="L3694" s="6">
        <v>8.0</v>
      </c>
      <c r="M3694" s="8">
        <f t="shared" si="3"/>
        <v>0.24</v>
      </c>
      <c r="P3694" s="9"/>
    </row>
    <row r="3695">
      <c r="A3695" s="6" t="s">
        <v>7955</v>
      </c>
      <c r="B3695" s="6" t="s">
        <v>1456</v>
      </c>
      <c r="C3695" s="6" t="s">
        <v>23</v>
      </c>
      <c r="D3695" s="6" t="s">
        <v>7956</v>
      </c>
      <c r="E3695" s="6" t="s">
        <v>64</v>
      </c>
      <c r="F3695" s="6" t="s">
        <v>65</v>
      </c>
      <c r="G3695" s="7">
        <v>0.06</v>
      </c>
      <c r="H3695" s="6" t="s">
        <v>555</v>
      </c>
      <c r="I3695" s="6" t="s">
        <v>20</v>
      </c>
      <c r="J3695" s="6">
        <v>2017.0</v>
      </c>
      <c r="K3695" s="10">
        <v>46023.0</v>
      </c>
      <c r="L3695" s="6">
        <v>1.0</v>
      </c>
      <c r="M3695" s="8">
        <f t="shared" si="3"/>
        <v>0.06</v>
      </c>
      <c r="P3695" s="9"/>
    </row>
    <row r="3696">
      <c r="A3696" s="6" t="s">
        <v>7957</v>
      </c>
      <c r="B3696" s="6" t="s">
        <v>1990</v>
      </c>
      <c r="C3696" s="6" t="s">
        <v>23</v>
      </c>
      <c r="D3696" s="6" t="s">
        <v>7958</v>
      </c>
      <c r="E3696" s="6" t="s">
        <v>30</v>
      </c>
      <c r="F3696" s="6" t="s">
        <v>18</v>
      </c>
      <c r="G3696" s="7">
        <v>0.04</v>
      </c>
      <c r="H3696" s="6" t="s">
        <v>204</v>
      </c>
      <c r="I3696" s="6" t="s">
        <v>20</v>
      </c>
      <c r="J3696" s="6">
        <v>2026.0</v>
      </c>
      <c r="L3696" s="6">
        <v>2.0</v>
      </c>
      <c r="M3696" s="8">
        <f t="shared" si="3"/>
        <v>0.08</v>
      </c>
      <c r="P3696" s="9"/>
    </row>
    <row r="3697">
      <c r="A3697" s="6" t="s">
        <v>7957</v>
      </c>
      <c r="B3697" s="6" t="s">
        <v>1990</v>
      </c>
      <c r="C3697" s="6" t="s">
        <v>23</v>
      </c>
      <c r="D3697" s="6" t="s">
        <v>7958</v>
      </c>
      <c r="E3697" s="6" t="s">
        <v>30</v>
      </c>
      <c r="F3697" s="6" t="s">
        <v>18</v>
      </c>
      <c r="G3697" s="7">
        <v>0.2</v>
      </c>
      <c r="H3697" s="6" t="s">
        <v>204</v>
      </c>
      <c r="I3697" s="6" t="s">
        <v>55</v>
      </c>
      <c r="J3697" s="6">
        <v>2026.0</v>
      </c>
      <c r="L3697" s="6">
        <v>1.0</v>
      </c>
      <c r="M3697" s="8">
        <f t="shared" si="3"/>
        <v>0.2</v>
      </c>
      <c r="P3697" s="9"/>
    </row>
    <row r="3698">
      <c r="A3698" s="6" t="s">
        <v>7959</v>
      </c>
      <c r="B3698" s="6" t="s">
        <v>250</v>
      </c>
      <c r="C3698" s="6" t="s">
        <v>23</v>
      </c>
      <c r="D3698" s="6" t="s">
        <v>7960</v>
      </c>
      <c r="E3698" s="6" t="s">
        <v>696</v>
      </c>
      <c r="F3698" s="6" t="s">
        <v>37</v>
      </c>
      <c r="G3698" s="7">
        <v>0.07</v>
      </c>
      <c r="H3698" s="6" t="s">
        <v>769</v>
      </c>
      <c r="I3698" s="6" t="s">
        <v>20</v>
      </c>
      <c r="J3698" s="6">
        <v>2023.0</v>
      </c>
      <c r="L3698" s="6">
        <v>1.0</v>
      </c>
      <c r="M3698" s="8">
        <f t="shared" si="3"/>
        <v>0.07</v>
      </c>
      <c r="P3698" s="9"/>
    </row>
    <row r="3699">
      <c r="A3699" s="6" t="s">
        <v>7961</v>
      </c>
      <c r="B3699" s="6" t="s">
        <v>841</v>
      </c>
      <c r="C3699" s="6" t="s">
        <v>48</v>
      </c>
      <c r="D3699" s="6" t="s">
        <v>7962</v>
      </c>
      <c r="E3699" s="6" t="s">
        <v>625</v>
      </c>
      <c r="F3699" s="6" t="s">
        <v>37</v>
      </c>
      <c r="G3699" s="7">
        <v>0.05</v>
      </c>
      <c r="H3699" s="6" t="s">
        <v>93</v>
      </c>
      <c r="I3699" s="6" t="s">
        <v>20</v>
      </c>
      <c r="J3699" s="6">
        <v>2016.0</v>
      </c>
      <c r="K3699" s="10">
        <v>46178.0</v>
      </c>
      <c r="L3699" s="6">
        <v>3.0</v>
      </c>
      <c r="M3699" s="8">
        <f t="shared" si="3"/>
        <v>0.15</v>
      </c>
      <c r="P3699" s="9"/>
    </row>
    <row r="3700">
      <c r="A3700" s="6" t="s">
        <v>7963</v>
      </c>
      <c r="B3700" s="6" t="s">
        <v>3786</v>
      </c>
      <c r="C3700" s="6" t="s">
        <v>48</v>
      </c>
      <c r="D3700" s="6" t="s">
        <v>7964</v>
      </c>
      <c r="E3700" s="6" t="s">
        <v>25</v>
      </c>
      <c r="F3700" s="6" t="s">
        <v>18</v>
      </c>
      <c r="G3700" s="7">
        <v>0.05</v>
      </c>
      <c r="H3700" s="6" t="s">
        <v>113</v>
      </c>
      <c r="I3700" s="6" t="s">
        <v>20</v>
      </c>
      <c r="J3700" s="6">
        <v>2026.0</v>
      </c>
      <c r="K3700" s="6" t="s">
        <v>5875</v>
      </c>
      <c r="L3700" s="6">
        <v>1.0</v>
      </c>
      <c r="M3700" s="8">
        <f t="shared" si="3"/>
        <v>0.05</v>
      </c>
      <c r="P3700" s="9"/>
    </row>
    <row r="3701">
      <c r="A3701" s="6" t="s">
        <v>7965</v>
      </c>
      <c r="B3701" s="6" t="s">
        <v>4625</v>
      </c>
      <c r="C3701" s="6" t="s">
        <v>23</v>
      </c>
      <c r="E3701" s="6" t="s">
        <v>223</v>
      </c>
      <c r="F3701" s="6" t="s">
        <v>159</v>
      </c>
      <c r="G3701" s="7">
        <v>0.09</v>
      </c>
      <c r="H3701" s="6" t="s">
        <v>7966</v>
      </c>
      <c r="I3701" s="6" t="s">
        <v>20</v>
      </c>
      <c r="J3701" s="6">
        <v>2014.0</v>
      </c>
      <c r="K3701" s="10">
        <v>46055.0</v>
      </c>
      <c r="L3701" s="6">
        <v>2.0</v>
      </c>
      <c r="M3701" s="8">
        <f t="shared" si="3"/>
        <v>0.18</v>
      </c>
      <c r="P3701" s="9"/>
    </row>
    <row r="3702">
      <c r="A3702" s="6" t="s">
        <v>7967</v>
      </c>
      <c r="B3702" s="6" t="s">
        <v>841</v>
      </c>
      <c r="C3702" s="6" t="s">
        <v>48</v>
      </c>
      <c r="D3702" s="6" t="s">
        <v>7968</v>
      </c>
      <c r="E3702" s="6" t="s">
        <v>36</v>
      </c>
      <c r="F3702" s="6" t="s">
        <v>37</v>
      </c>
      <c r="G3702" s="7">
        <v>0.06</v>
      </c>
      <c r="H3702" s="6" t="s">
        <v>1418</v>
      </c>
      <c r="I3702" s="6" t="s">
        <v>20</v>
      </c>
      <c r="J3702" s="6">
        <v>2010.0</v>
      </c>
      <c r="K3702" s="10">
        <v>46055.0</v>
      </c>
      <c r="L3702" s="6">
        <v>2.0</v>
      </c>
      <c r="M3702" s="8">
        <f t="shared" si="3"/>
        <v>0.12</v>
      </c>
      <c r="P3702" s="9"/>
    </row>
    <row r="3703">
      <c r="A3703" s="6" t="s">
        <v>7969</v>
      </c>
      <c r="B3703" s="6" t="s">
        <v>372</v>
      </c>
      <c r="C3703" s="6" t="s">
        <v>23</v>
      </c>
      <c r="D3703" s="6" t="s">
        <v>7970</v>
      </c>
      <c r="E3703" s="6" t="s">
        <v>7971</v>
      </c>
      <c r="F3703" s="6" t="s">
        <v>826</v>
      </c>
      <c r="G3703" s="7">
        <v>0.15</v>
      </c>
      <c r="H3703" s="6" t="s">
        <v>1361</v>
      </c>
      <c r="I3703" s="6" t="s">
        <v>20</v>
      </c>
      <c r="J3703" s="6">
        <v>2008.0</v>
      </c>
      <c r="L3703" s="6">
        <v>1.0</v>
      </c>
      <c r="M3703" s="8">
        <f t="shared" si="3"/>
        <v>0.15</v>
      </c>
      <c r="P3703" s="9"/>
    </row>
    <row r="3704">
      <c r="A3704" s="6" t="s">
        <v>7972</v>
      </c>
      <c r="B3704" s="6" t="s">
        <v>250</v>
      </c>
      <c r="C3704" s="6" t="s">
        <v>23</v>
      </c>
      <c r="D3704" s="6" t="s">
        <v>7973</v>
      </c>
      <c r="E3704" s="6" t="s">
        <v>696</v>
      </c>
      <c r="F3704" s="6" t="s">
        <v>37</v>
      </c>
      <c r="G3704" s="7">
        <v>0.08</v>
      </c>
      <c r="H3704" s="6" t="s">
        <v>821</v>
      </c>
      <c r="I3704" s="6" t="s">
        <v>20</v>
      </c>
      <c r="J3704" s="6">
        <v>1995.0</v>
      </c>
      <c r="L3704" s="6">
        <v>1.0</v>
      </c>
      <c r="M3704" s="8">
        <f t="shared" si="3"/>
        <v>0.08</v>
      </c>
      <c r="P3704" s="9"/>
    </row>
    <row r="3705">
      <c r="A3705" s="6" t="s">
        <v>7974</v>
      </c>
      <c r="B3705" s="6" t="s">
        <v>628</v>
      </c>
      <c r="C3705" s="6" t="s">
        <v>23</v>
      </c>
      <c r="D3705" s="6" t="s">
        <v>7975</v>
      </c>
      <c r="E3705" s="6" t="s">
        <v>30</v>
      </c>
      <c r="F3705" s="6" t="s">
        <v>18</v>
      </c>
      <c r="G3705" s="7">
        <v>0.06</v>
      </c>
      <c r="H3705" s="6" t="s">
        <v>271</v>
      </c>
      <c r="I3705" s="6" t="s">
        <v>20</v>
      </c>
      <c r="J3705" s="6">
        <v>2012.0</v>
      </c>
      <c r="K3705" s="10">
        <v>46055.0</v>
      </c>
      <c r="L3705" s="6">
        <v>3.0</v>
      </c>
      <c r="M3705" s="8">
        <f t="shared" si="3"/>
        <v>0.18</v>
      </c>
      <c r="P3705" s="9"/>
    </row>
    <row r="3706">
      <c r="A3706" s="6" t="s">
        <v>7976</v>
      </c>
      <c r="B3706" s="6" t="s">
        <v>182</v>
      </c>
      <c r="C3706" s="6" t="s">
        <v>48</v>
      </c>
      <c r="D3706" s="6" t="s">
        <v>7977</v>
      </c>
      <c r="E3706" s="6" t="s">
        <v>25</v>
      </c>
      <c r="F3706" s="6" t="s">
        <v>18</v>
      </c>
      <c r="G3706" s="7">
        <v>0.06</v>
      </c>
      <c r="H3706" s="6" t="s">
        <v>491</v>
      </c>
      <c r="I3706" s="6" t="s">
        <v>20</v>
      </c>
      <c r="J3706" s="6">
        <v>2011.0</v>
      </c>
      <c r="L3706" s="6">
        <v>1.0</v>
      </c>
      <c r="M3706" s="8">
        <f t="shared" si="3"/>
        <v>0.06</v>
      </c>
      <c r="P3706" s="9"/>
    </row>
    <row r="3707">
      <c r="A3707" s="6" t="s">
        <v>7978</v>
      </c>
      <c r="B3707" s="6" t="s">
        <v>182</v>
      </c>
      <c r="C3707" s="6" t="s">
        <v>48</v>
      </c>
      <c r="D3707" s="6" t="s">
        <v>7979</v>
      </c>
      <c r="E3707" s="6" t="s">
        <v>175</v>
      </c>
      <c r="F3707" s="6" t="s">
        <v>51</v>
      </c>
      <c r="G3707" s="7">
        <v>0.04</v>
      </c>
      <c r="H3707" s="6" t="s">
        <v>136</v>
      </c>
      <c r="I3707" s="6" t="s">
        <v>20</v>
      </c>
      <c r="J3707" s="6">
        <v>2022.0</v>
      </c>
      <c r="L3707" s="6">
        <v>1.0</v>
      </c>
      <c r="M3707" s="8">
        <f t="shared" si="3"/>
        <v>0.04</v>
      </c>
      <c r="P3707" s="9"/>
    </row>
    <row r="3708">
      <c r="A3708" s="6" t="s">
        <v>7980</v>
      </c>
      <c r="B3708" s="6" t="s">
        <v>68</v>
      </c>
      <c r="C3708" s="6" t="s">
        <v>521</v>
      </c>
      <c r="D3708" s="6" t="s">
        <v>7981</v>
      </c>
      <c r="E3708" s="6" t="s">
        <v>1076</v>
      </c>
      <c r="F3708" s="6" t="s">
        <v>37</v>
      </c>
      <c r="G3708" s="7">
        <v>0.21</v>
      </c>
      <c r="H3708" s="6" t="s">
        <v>329</v>
      </c>
      <c r="I3708" s="6" t="s">
        <v>20</v>
      </c>
      <c r="J3708" s="6">
        <v>2011.0</v>
      </c>
      <c r="L3708" s="6">
        <v>1.0</v>
      </c>
      <c r="M3708" s="8">
        <f t="shared" si="3"/>
        <v>0.21</v>
      </c>
      <c r="P3708" s="9"/>
    </row>
    <row r="3709">
      <c r="A3709" s="6" t="s">
        <v>7982</v>
      </c>
      <c r="B3709" s="6" t="s">
        <v>7983</v>
      </c>
      <c r="C3709" s="6" t="s">
        <v>23</v>
      </c>
      <c r="D3709" s="6" t="s">
        <v>7984</v>
      </c>
      <c r="E3709" s="6" t="s">
        <v>298</v>
      </c>
      <c r="F3709" s="6" t="s">
        <v>159</v>
      </c>
      <c r="G3709" s="7">
        <v>0.1</v>
      </c>
      <c r="H3709" s="6" t="s">
        <v>114</v>
      </c>
      <c r="I3709" s="6" t="s">
        <v>20</v>
      </c>
      <c r="J3709" s="6">
        <v>2021.0</v>
      </c>
      <c r="K3709" s="10">
        <v>46023.0</v>
      </c>
      <c r="L3709" s="6">
        <v>1.0</v>
      </c>
      <c r="M3709" s="8">
        <f t="shared" si="3"/>
        <v>0.1</v>
      </c>
      <c r="P3709" s="9"/>
    </row>
    <row r="3710">
      <c r="A3710" s="6" t="s">
        <v>7985</v>
      </c>
      <c r="B3710" s="6" t="s">
        <v>194</v>
      </c>
      <c r="C3710" s="6" t="s">
        <v>23</v>
      </c>
      <c r="D3710" s="6" t="s">
        <v>7986</v>
      </c>
      <c r="E3710" s="6" t="s">
        <v>25</v>
      </c>
      <c r="F3710" s="6" t="s">
        <v>18</v>
      </c>
      <c r="G3710" s="7">
        <v>0.49</v>
      </c>
      <c r="H3710" s="6" t="s">
        <v>7987</v>
      </c>
      <c r="I3710" s="6" t="s">
        <v>20</v>
      </c>
      <c r="J3710" s="6">
        <v>2001.0</v>
      </c>
      <c r="L3710" s="6">
        <v>1.0</v>
      </c>
      <c r="M3710" s="8">
        <f t="shared" si="3"/>
        <v>0.49</v>
      </c>
      <c r="P3710" s="9"/>
    </row>
    <row r="3711">
      <c r="A3711" s="6" t="s">
        <v>7988</v>
      </c>
      <c r="B3711" s="6" t="s">
        <v>809</v>
      </c>
      <c r="C3711" s="6" t="s">
        <v>23</v>
      </c>
      <c r="E3711" s="6" t="s">
        <v>533</v>
      </c>
      <c r="F3711" s="6" t="s">
        <v>65</v>
      </c>
      <c r="G3711" s="7">
        <v>0.06</v>
      </c>
      <c r="H3711" s="6" t="s">
        <v>1494</v>
      </c>
      <c r="I3711" s="6" t="s">
        <v>20</v>
      </c>
      <c r="J3711" s="6">
        <v>2012.0</v>
      </c>
      <c r="K3711" s="10">
        <v>46084.0</v>
      </c>
      <c r="L3711" s="6">
        <v>1.0</v>
      </c>
      <c r="M3711" s="8">
        <f t="shared" si="3"/>
        <v>0.06</v>
      </c>
      <c r="P3711" s="9"/>
    </row>
    <row r="3712">
      <c r="A3712" s="6" t="s">
        <v>7989</v>
      </c>
      <c r="B3712" s="6" t="s">
        <v>7990</v>
      </c>
      <c r="C3712" s="6" t="s">
        <v>521</v>
      </c>
      <c r="D3712" s="6" t="s">
        <v>7991</v>
      </c>
      <c r="E3712" s="6" t="s">
        <v>298</v>
      </c>
      <c r="F3712" s="6" t="s">
        <v>159</v>
      </c>
      <c r="G3712" s="7">
        <v>0.1</v>
      </c>
      <c r="H3712" s="7" t="s">
        <v>994</v>
      </c>
      <c r="I3712" s="6" t="s">
        <v>20</v>
      </c>
      <c r="J3712" s="6">
        <v>2024.0</v>
      </c>
      <c r="K3712" s="10">
        <v>46116.0</v>
      </c>
      <c r="L3712" s="6">
        <v>1.0</v>
      </c>
      <c r="M3712" s="8">
        <f t="shared" si="3"/>
        <v>0.1</v>
      </c>
      <c r="P3712" s="9"/>
    </row>
    <row r="3713">
      <c r="A3713" s="6" t="s">
        <v>7992</v>
      </c>
      <c r="B3713" s="6" t="s">
        <v>250</v>
      </c>
      <c r="C3713" s="6" t="s">
        <v>521</v>
      </c>
      <c r="D3713" s="6" t="s">
        <v>7993</v>
      </c>
      <c r="E3713" s="6" t="s">
        <v>625</v>
      </c>
      <c r="F3713" s="6" t="s">
        <v>452</v>
      </c>
      <c r="G3713" s="7">
        <v>0.03</v>
      </c>
      <c r="H3713" s="6" t="s">
        <v>636</v>
      </c>
      <c r="I3713" s="6" t="s">
        <v>20</v>
      </c>
      <c r="J3713" s="6">
        <v>2015.0</v>
      </c>
      <c r="K3713" s="10">
        <v>46147.0</v>
      </c>
      <c r="L3713" s="6">
        <v>1.0</v>
      </c>
      <c r="M3713" s="8">
        <f t="shared" si="3"/>
        <v>0.03</v>
      </c>
      <c r="P3713" s="9"/>
    </row>
    <row r="3714">
      <c r="A3714" s="6" t="s">
        <v>7994</v>
      </c>
      <c r="B3714" s="6" t="s">
        <v>628</v>
      </c>
      <c r="C3714" s="6" t="s">
        <v>23</v>
      </c>
      <c r="D3714" s="6" t="s">
        <v>974</v>
      </c>
      <c r="E3714" s="6" t="s">
        <v>175</v>
      </c>
      <c r="F3714" s="6" t="s">
        <v>51</v>
      </c>
      <c r="G3714" s="7">
        <v>0.03</v>
      </c>
      <c r="H3714" s="6" t="s">
        <v>104</v>
      </c>
      <c r="I3714" s="6" t="s">
        <v>20</v>
      </c>
      <c r="J3714" s="6">
        <v>2018.0</v>
      </c>
      <c r="K3714" s="10">
        <v>46054.0</v>
      </c>
      <c r="L3714" s="6">
        <v>2.0</v>
      </c>
      <c r="M3714" s="8">
        <f t="shared" si="3"/>
        <v>0.06</v>
      </c>
      <c r="P3714" s="9"/>
    </row>
    <row r="3715">
      <c r="A3715" s="6" t="s">
        <v>7995</v>
      </c>
      <c r="B3715" s="6" t="s">
        <v>543</v>
      </c>
      <c r="C3715" s="6" t="s">
        <v>48</v>
      </c>
      <c r="D3715" s="6" t="s">
        <v>7996</v>
      </c>
      <c r="E3715" s="6" t="s">
        <v>167</v>
      </c>
      <c r="F3715" s="6" t="s">
        <v>103</v>
      </c>
      <c r="G3715" s="7">
        <v>0.23</v>
      </c>
      <c r="H3715" s="6" t="s">
        <v>994</v>
      </c>
      <c r="I3715" s="6" t="s">
        <v>20</v>
      </c>
      <c r="J3715" s="6">
        <v>2024.0</v>
      </c>
      <c r="L3715" s="6">
        <v>1.0</v>
      </c>
      <c r="M3715" s="8">
        <f t="shared" si="3"/>
        <v>0.23</v>
      </c>
      <c r="P3715" s="9"/>
    </row>
    <row r="3716">
      <c r="A3716" s="6" t="s">
        <v>7997</v>
      </c>
      <c r="B3716" s="6" t="s">
        <v>7998</v>
      </c>
      <c r="C3716" s="6" t="s">
        <v>15</v>
      </c>
      <c r="D3716" s="6" t="s">
        <v>7999</v>
      </c>
      <c r="E3716" s="6" t="s">
        <v>8000</v>
      </c>
      <c r="F3716" s="6" t="s">
        <v>3203</v>
      </c>
      <c r="G3716" s="7">
        <v>0.15</v>
      </c>
      <c r="H3716" s="6" t="s">
        <v>209</v>
      </c>
      <c r="I3716" s="6" t="s">
        <v>20</v>
      </c>
      <c r="J3716" s="6">
        <v>2025.0</v>
      </c>
      <c r="K3716" s="10">
        <v>46054.0</v>
      </c>
      <c r="L3716" s="6">
        <v>2.0</v>
      </c>
      <c r="M3716" s="8">
        <f t="shared" si="3"/>
        <v>0.3</v>
      </c>
      <c r="P3716" s="9"/>
    </row>
    <row r="3717">
      <c r="A3717" s="6" t="s">
        <v>8001</v>
      </c>
      <c r="B3717" s="6" t="s">
        <v>165</v>
      </c>
      <c r="C3717" s="6" t="s">
        <v>15</v>
      </c>
      <c r="D3717" s="6" t="s">
        <v>8002</v>
      </c>
      <c r="E3717" s="6" t="s">
        <v>1088</v>
      </c>
      <c r="F3717" s="6" t="s">
        <v>159</v>
      </c>
      <c r="G3717" s="7">
        <v>0.2</v>
      </c>
      <c r="H3717" s="6" t="s">
        <v>209</v>
      </c>
      <c r="I3717" s="6" t="s">
        <v>20</v>
      </c>
      <c r="J3717" s="6">
        <v>2025.0</v>
      </c>
      <c r="L3717" s="6">
        <v>1.0</v>
      </c>
      <c r="M3717" s="8">
        <f t="shared" si="3"/>
        <v>0.2</v>
      </c>
      <c r="P3717" s="9"/>
    </row>
    <row r="3718">
      <c r="A3718" s="6" t="s">
        <v>8003</v>
      </c>
      <c r="B3718" s="6" t="s">
        <v>4824</v>
      </c>
      <c r="C3718" s="6" t="s">
        <v>23</v>
      </c>
      <c r="D3718" s="6" t="s">
        <v>8004</v>
      </c>
      <c r="E3718" s="6" t="s">
        <v>25</v>
      </c>
      <c r="F3718" s="6" t="s">
        <v>18</v>
      </c>
      <c r="G3718" s="7">
        <v>0.09</v>
      </c>
      <c r="H3718" s="6" t="s">
        <v>31</v>
      </c>
      <c r="I3718" s="6" t="s">
        <v>20</v>
      </c>
      <c r="J3718" s="6">
        <v>2026.0</v>
      </c>
      <c r="K3718" s="10">
        <v>46055.0</v>
      </c>
      <c r="L3718" s="6">
        <v>1.0</v>
      </c>
      <c r="M3718" s="8">
        <f t="shared" si="3"/>
        <v>0.09</v>
      </c>
      <c r="P3718" s="9"/>
    </row>
    <row r="3719">
      <c r="A3719" s="6" t="s">
        <v>8005</v>
      </c>
      <c r="B3719" s="6" t="s">
        <v>2978</v>
      </c>
      <c r="C3719" s="6" t="s">
        <v>34</v>
      </c>
      <c r="D3719" s="6" t="s">
        <v>8006</v>
      </c>
      <c r="E3719" s="6" t="s">
        <v>1767</v>
      </c>
      <c r="F3719" s="6" t="s">
        <v>18</v>
      </c>
      <c r="G3719" s="7">
        <v>0.13</v>
      </c>
      <c r="H3719" s="6" t="s">
        <v>38</v>
      </c>
      <c r="I3719" s="6" t="s">
        <v>20</v>
      </c>
      <c r="J3719" s="6">
        <v>2026.0</v>
      </c>
      <c r="K3719" s="10">
        <v>46055.0</v>
      </c>
      <c r="L3719" s="6">
        <v>1.0</v>
      </c>
      <c r="M3719" s="8">
        <f t="shared" si="3"/>
        <v>0.13</v>
      </c>
      <c r="P3719" s="9"/>
    </row>
    <row r="3720">
      <c r="A3720" s="6" t="s">
        <v>8007</v>
      </c>
      <c r="B3720" s="6" t="s">
        <v>1052</v>
      </c>
      <c r="C3720" s="6" t="s">
        <v>23</v>
      </c>
      <c r="D3720" s="6" t="s">
        <v>8008</v>
      </c>
      <c r="E3720" s="6" t="s">
        <v>175</v>
      </c>
      <c r="F3720" s="6" t="s">
        <v>51</v>
      </c>
      <c r="G3720" s="7">
        <v>0.22</v>
      </c>
      <c r="H3720" s="6" t="s">
        <v>31</v>
      </c>
      <c r="I3720" s="6" t="s">
        <v>55</v>
      </c>
      <c r="J3720" s="6">
        <v>2026.0</v>
      </c>
      <c r="L3720" s="6">
        <v>1.0</v>
      </c>
      <c r="M3720" s="8">
        <f t="shared" si="3"/>
        <v>0.22</v>
      </c>
      <c r="P3720" s="9"/>
    </row>
    <row r="3721">
      <c r="A3721" s="6" t="s">
        <v>8009</v>
      </c>
      <c r="B3721" s="6" t="s">
        <v>8010</v>
      </c>
      <c r="C3721" s="6" t="s">
        <v>23</v>
      </c>
      <c r="D3721" s="6" t="s">
        <v>8011</v>
      </c>
      <c r="E3721" s="6" t="s">
        <v>1570</v>
      </c>
      <c r="F3721" s="6" t="s">
        <v>159</v>
      </c>
      <c r="G3721" s="7">
        <v>0.04</v>
      </c>
      <c r="H3721" s="6" t="s">
        <v>45</v>
      </c>
      <c r="I3721" s="6" t="s">
        <v>20</v>
      </c>
      <c r="J3721" s="6">
        <v>2025.0</v>
      </c>
      <c r="K3721" s="10">
        <v>46210.0</v>
      </c>
      <c r="L3721" s="6">
        <v>5.0</v>
      </c>
      <c r="M3721" s="8">
        <f t="shared" si="3"/>
        <v>0.2</v>
      </c>
      <c r="P3721" s="9"/>
    </row>
    <row r="3722">
      <c r="A3722" s="6" t="s">
        <v>8009</v>
      </c>
      <c r="B3722" s="6" t="s">
        <v>8010</v>
      </c>
      <c r="C3722" s="6" t="s">
        <v>23</v>
      </c>
      <c r="D3722" s="6" t="s">
        <v>8011</v>
      </c>
      <c r="E3722" s="6" t="s">
        <v>1570</v>
      </c>
      <c r="F3722" s="6" t="s">
        <v>159</v>
      </c>
      <c r="G3722" s="7">
        <v>0.34</v>
      </c>
      <c r="H3722" s="6" t="s">
        <v>45</v>
      </c>
      <c r="I3722" s="6" t="s">
        <v>55</v>
      </c>
      <c r="J3722" s="6">
        <v>2025.0</v>
      </c>
      <c r="K3722" s="10">
        <v>46210.0</v>
      </c>
      <c r="L3722" s="6">
        <v>1.0</v>
      </c>
      <c r="M3722" s="8">
        <f t="shared" si="3"/>
        <v>0.34</v>
      </c>
      <c r="P3722" s="9"/>
    </row>
    <row r="3723">
      <c r="A3723" s="6" t="s">
        <v>8012</v>
      </c>
      <c r="B3723" s="6" t="s">
        <v>1719</v>
      </c>
      <c r="C3723" s="6" t="s">
        <v>34</v>
      </c>
      <c r="D3723" s="6" t="s">
        <v>8013</v>
      </c>
      <c r="E3723" s="6" t="s">
        <v>681</v>
      </c>
      <c r="F3723" s="6" t="s">
        <v>65</v>
      </c>
      <c r="G3723" s="7">
        <v>0.17</v>
      </c>
      <c r="H3723" s="6" t="s">
        <v>209</v>
      </c>
      <c r="I3723" s="6" t="s">
        <v>20</v>
      </c>
      <c r="J3723" s="6">
        <v>2025.0</v>
      </c>
      <c r="K3723" s="10">
        <v>46024.0</v>
      </c>
      <c r="L3723" s="6">
        <v>10.0</v>
      </c>
      <c r="M3723" s="8">
        <f t="shared" si="3"/>
        <v>1.7</v>
      </c>
      <c r="P3723" s="9"/>
    </row>
    <row r="3724">
      <c r="A3724" s="6" t="s">
        <v>8012</v>
      </c>
      <c r="B3724" s="6" t="s">
        <v>1719</v>
      </c>
      <c r="C3724" s="6" t="s">
        <v>34</v>
      </c>
      <c r="D3724" s="6" t="s">
        <v>8013</v>
      </c>
      <c r="E3724" s="6" t="s">
        <v>681</v>
      </c>
      <c r="F3724" s="6" t="s">
        <v>65</v>
      </c>
      <c r="G3724" s="7">
        <v>0.24</v>
      </c>
      <c r="H3724" s="6" t="s">
        <v>209</v>
      </c>
      <c r="I3724" s="6" t="s">
        <v>55</v>
      </c>
      <c r="J3724" s="6">
        <v>2025.0</v>
      </c>
      <c r="K3724" s="10">
        <v>46024.0</v>
      </c>
      <c r="L3724" s="6">
        <v>1.0</v>
      </c>
      <c r="M3724" s="8">
        <f t="shared" si="3"/>
        <v>0.24</v>
      </c>
      <c r="P3724" s="9"/>
    </row>
    <row r="3725">
      <c r="A3725" s="6" t="s">
        <v>8014</v>
      </c>
      <c r="B3725" s="6" t="s">
        <v>1759</v>
      </c>
      <c r="C3725" s="6" t="s">
        <v>23</v>
      </c>
      <c r="D3725" s="6" t="s">
        <v>8015</v>
      </c>
      <c r="E3725" s="6" t="s">
        <v>64</v>
      </c>
      <c r="F3725" s="6" t="s">
        <v>65</v>
      </c>
      <c r="G3725" s="7">
        <v>0.05</v>
      </c>
      <c r="H3725" s="6" t="s">
        <v>245</v>
      </c>
      <c r="I3725" s="6" t="s">
        <v>20</v>
      </c>
      <c r="J3725" s="6">
        <v>1995.0</v>
      </c>
      <c r="K3725" s="10">
        <v>46024.0</v>
      </c>
      <c r="L3725" s="6">
        <v>3.0</v>
      </c>
      <c r="M3725" s="8">
        <f t="shared" si="3"/>
        <v>0.15</v>
      </c>
      <c r="P3725" s="9"/>
    </row>
    <row r="3726">
      <c r="A3726" s="6" t="s">
        <v>8016</v>
      </c>
      <c r="B3726" s="6" t="s">
        <v>372</v>
      </c>
      <c r="C3726" s="6" t="s">
        <v>48</v>
      </c>
      <c r="D3726" s="6" t="s">
        <v>8017</v>
      </c>
      <c r="E3726" s="6" t="s">
        <v>153</v>
      </c>
      <c r="F3726" s="6" t="s">
        <v>103</v>
      </c>
      <c r="G3726" s="7">
        <v>0.06</v>
      </c>
      <c r="H3726" s="6" t="s">
        <v>2669</v>
      </c>
      <c r="I3726" s="6" t="s">
        <v>20</v>
      </c>
      <c r="J3726" s="6">
        <v>2019.0</v>
      </c>
      <c r="L3726" s="6">
        <v>1.0</v>
      </c>
      <c r="M3726" s="8">
        <f t="shared" si="3"/>
        <v>0.06</v>
      </c>
      <c r="P3726" s="9"/>
    </row>
    <row r="3727">
      <c r="A3727" s="6" t="s">
        <v>8018</v>
      </c>
      <c r="B3727" s="6" t="s">
        <v>2522</v>
      </c>
      <c r="C3727" s="6" t="s">
        <v>521</v>
      </c>
      <c r="D3727" s="6" t="s">
        <v>8019</v>
      </c>
      <c r="E3727" s="6" t="s">
        <v>298</v>
      </c>
      <c r="F3727" s="6" t="s">
        <v>159</v>
      </c>
      <c r="G3727" s="7">
        <v>0.1</v>
      </c>
      <c r="H3727" s="6" t="s">
        <v>641</v>
      </c>
      <c r="I3727" s="6" t="s">
        <v>20</v>
      </c>
      <c r="J3727" s="6">
        <v>2026.0</v>
      </c>
      <c r="K3727" s="10">
        <v>46116.0</v>
      </c>
      <c r="L3727" s="6">
        <v>2.0</v>
      </c>
      <c r="M3727" s="8">
        <f t="shared" si="3"/>
        <v>0.2</v>
      </c>
      <c r="P3727" s="9"/>
    </row>
    <row r="3728">
      <c r="A3728" s="6" t="s">
        <v>8020</v>
      </c>
      <c r="B3728" s="6" t="s">
        <v>1420</v>
      </c>
      <c r="C3728" s="6" t="s">
        <v>23</v>
      </c>
      <c r="D3728" s="6" t="s">
        <v>8021</v>
      </c>
      <c r="E3728" s="6" t="s">
        <v>223</v>
      </c>
      <c r="F3728" s="6" t="s">
        <v>159</v>
      </c>
      <c r="G3728" s="7">
        <v>0.03</v>
      </c>
      <c r="H3728" s="6" t="s">
        <v>316</v>
      </c>
      <c r="I3728" s="6" t="s">
        <v>20</v>
      </c>
      <c r="J3728" s="6">
        <v>2016.0</v>
      </c>
      <c r="K3728" s="10">
        <v>46024.0</v>
      </c>
      <c r="L3728" s="6">
        <v>1.0</v>
      </c>
      <c r="M3728" s="8">
        <f t="shared" si="3"/>
        <v>0.03</v>
      </c>
      <c r="P3728" s="9"/>
    </row>
    <row r="3729">
      <c r="A3729" s="6" t="s">
        <v>8022</v>
      </c>
      <c r="B3729" s="6" t="s">
        <v>916</v>
      </c>
      <c r="C3729" s="6" t="s">
        <v>23</v>
      </c>
      <c r="D3729" s="6" t="s">
        <v>8023</v>
      </c>
      <c r="E3729" s="6" t="s">
        <v>573</v>
      </c>
      <c r="F3729" s="6" t="s">
        <v>51</v>
      </c>
      <c r="G3729" s="7">
        <v>0.04</v>
      </c>
      <c r="H3729" s="6" t="s">
        <v>129</v>
      </c>
      <c r="I3729" s="6" t="s">
        <v>20</v>
      </c>
      <c r="J3729" s="6">
        <v>2014.0</v>
      </c>
      <c r="K3729" s="10">
        <v>46143.0</v>
      </c>
      <c r="L3729" s="6">
        <v>1.0</v>
      </c>
      <c r="M3729" s="8">
        <f t="shared" si="3"/>
        <v>0.04</v>
      </c>
      <c r="P3729" s="9"/>
    </row>
    <row r="3730">
      <c r="A3730" s="6" t="s">
        <v>8024</v>
      </c>
      <c r="B3730" s="6" t="s">
        <v>850</v>
      </c>
      <c r="C3730" s="6" t="s">
        <v>34</v>
      </c>
      <c r="D3730" s="6" t="s">
        <v>8025</v>
      </c>
      <c r="E3730" s="6" t="s">
        <v>852</v>
      </c>
      <c r="F3730" s="6" t="s">
        <v>18</v>
      </c>
      <c r="G3730" s="7">
        <v>0.09</v>
      </c>
      <c r="H3730" s="6" t="s">
        <v>209</v>
      </c>
      <c r="I3730" s="6" t="s">
        <v>20</v>
      </c>
      <c r="J3730" s="6">
        <v>2025.0</v>
      </c>
      <c r="L3730" s="6">
        <v>5.0</v>
      </c>
      <c r="M3730" s="8">
        <f t="shared" si="3"/>
        <v>0.45</v>
      </c>
      <c r="P3730" s="9"/>
    </row>
    <row r="3731">
      <c r="A3731" s="6" t="s">
        <v>8026</v>
      </c>
      <c r="B3731" s="6" t="s">
        <v>4693</v>
      </c>
      <c r="C3731" s="6" t="s">
        <v>23</v>
      </c>
      <c r="D3731" s="6" t="s">
        <v>8027</v>
      </c>
      <c r="E3731" s="6" t="s">
        <v>25</v>
      </c>
      <c r="F3731" s="6" t="s">
        <v>18</v>
      </c>
      <c r="G3731" s="7">
        <v>0.09</v>
      </c>
      <c r="H3731" s="6" t="s">
        <v>88</v>
      </c>
      <c r="I3731" s="6" t="s">
        <v>20</v>
      </c>
      <c r="J3731" s="6">
        <v>2013.0</v>
      </c>
      <c r="K3731" s="10">
        <v>46083.0</v>
      </c>
      <c r="L3731" s="6">
        <v>1.0</v>
      </c>
      <c r="M3731" s="8">
        <f t="shared" si="3"/>
        <v>0.09</v>
      </c>
      <c r="P3731" s="9"/>
    </row>
    <row r="3732">
      <c r="A3732" s="6" t="s">
        <v>8028</v>
      </c>
      <c r="B3732" s="6" t="s">
        <v>703</v>
      </c>
      <c r="C3732" s="6" t="s">
        <v>23</v>
      </c>
      <c r="D3732" s="6" t="s">
        <v>8029</v>
      </c>
      <c r="E3732" s="6" t="s">
        <v>602</v>
      </c>
      <c r="F3732" s="6" t="s">
        <v>159</v>
      </c>
      <c r="G3732" s="7">
        <v>0.06</v>
      </c>
      <c r="H3732" s="6" t="s">
        <v>129</v>
      </c>
      <c r="I3732" s="6" t="s">
        <v>20</v>
      </c>
      <c r="J3732" s="6">
        <v>2014.0</v>
      </c>
      <c r="K3732" s="10">
        <v>46144.0</v>
      </c>
      <c r="L3732" s="6">
        <v>1.0</v>
      </c>
      <c r="M3732" s="8">
        <f t="shared" si="3"/>
        <v>0.06</v>
      </c>
      <c r="P3732" s="9"/>
    </row>
    <row r="3733">
      <c r="A3733" s="6" t="s">
        <v>8030</v>
      </c>
      <c r="B3733" s="6" t="s">
        <v>8031</v>
      </c>
      <c r="C3733" s="6" t="s">
        <v>34</v>
      </c>
      <c r="D3733" s="6" t="s">
        <v>8032</v>
      </c>
      <c r="E3733" s="6" t="s">
        <v>1129</v>
      </c>
      <c r="F3733" s="6" t="s">
        <v>18</v>
      </c>
      <c r="G3733" s="7">
        <v>0.05</v>
      </c>
      <c r="H3733" s="6" t="s">
        <v>4119</v>
      </c>
      <c r="I3733" s="6" t="s">
        <v>20</v>
      </c>
      <c r="J3733" s="6">
        <v>2025.0</v>
      </c>
      <c r="K3733" s="10">
        <v>46082.0</v>
      </c>
      <c r="L3733" s="6">
        <v>6.0</v>
      </c>
      <c r="M3733" s="8">
        <f t="shared" si="3"/>
        <v>0.3</v>
      </c>
      <c r="P3733" s="9"/>
    </row>
    <row r="3734">
      <c r="A3734" s="6" t="s">
        <v>8030</v>
      </c>
      <c r="B3734" s="6" t="s">
        <v>8031</v>
      </c>
      <c r="C3734" s="6" t="s">
        <v>34</v>
      </c>
      <c r="D3734" s="6" t="s">
        <v>8032</v>
      </c>
      <c r="E3734" s="6" t="s">
        <v>1129</v>
      </c>
      <c r="F3734" s="6" t="s">
        <v>18</v>
      </c>
      <c r="G3734" s="7">
        <v>0.05</v>
      </c>
      <c r="H3734" s="6" t="s">
        <v>4119</v>
      </c>
      <c r="I3734" s="6" t="s">
        <v>55</v>
      </c>
      <c r="J3734" s="6">
        <v>2025.0</v>
      </c>
      <c r="K3734" s="10">
        <v>46082.0</v>
      </c>
      <c r="L3734" s="6">
        <v>1.0</v>
      </c>
      <c r="M3734" s="8">
        <f t="shared" si="3"/>
        <v>0.05</v>
      </c>
      <c r="P3734" s="9"/>
    </row>
    <row r="3735">
      <c r="A3735" s="6" t="s">
        <v>8033</v>
      </c>
      <c r="B3735" s="6" t="s">
        <v>8034</v>
      </c>
      <c r="C3735" s="6" t="s">
        <v>48</v>
      </c>
      <c r="D3735" s="6" t="s">
        <v>8035</v>
      </c>
      <c r="E3735" s="6" t="s">
        <v>3849</v>
      </c>
      <c r="F3735" s="6" t="s">
        <v>60</v>
      </c>
      <c r="G3735" s="7">
        <v>0.43</v>
      </c>
      <c r="H3735" s="6" t="s">
        <v>406</v>
      </c>
      <c r="I3735" s="6" t="s">
        <v>20</v>
      </c>
      <c r="J3735" s="6">
        <v>2019.0</v>
      </c>
      <c r="L3735" s="6">
        <v>4.0</v>
      </c>
      <c r="M3735" s="8">
        <f t="shared" si="3"/>
        <v>1.72</v>
      </c>
      <c r="P3735" s="9"/>
    </row>
    <row r="3736">
      <c r="A3736" s="6" t="s">
        <v>8036</v>
      </c>
      <c r="B3736" s="6" t="s">
        <v>1363</v>
      </c>
      <c r="C3736" s="6" t="s">
        <v>23</v>
      </c>
      <c r="D3736" s="6" t="s">
        <v>8037</v>
      </c>
      <c r="E3736" s="6" t="s">
        <v>64</v>
      </c>
      <c r="F3736" s="6" t="s">
        <v>65</v>
      </c>
      <c r="G3736" s="7">
        <v>0.04</v>
      </c>
      <c r="H3736" s="6" t="s">
        <v>316</v>
      </c>
      <c r="I3736" s="6" t="s">
        <v>20</v>
      </c>
      <c r="J3736" s="6">
        <v>2016.0</v>
      </c>
      <c r="K3736" s="10">
        <v>46083.0</v>
      </c>
      <c r="L3736" s="6">
        <v>2.0</v>
      </c>
      <c r="M3736" s="8">
        <f t="shared" si="3"/>
        <v>0.08</v>
      </c>
      <c r="P3736" s="9"/>
    </row>
    <row r="3737">
      <c r="A3737" s="6" t="s">
        <v>8038</v>
      </c>
      <c r="B3737" s="6" t="s">
        <v>424</v>
      </c>
      <c r="C3737" s="6" t="s">
        <v>48</v>
      </c>
      <c r="D3737" s="6" t="s">
        <v>8039</v>
      </c>
      <c r="F3737" s="6" t="s">
        <v>717</v>
      </c>
      <c r="G3737" s="7">
        <v>0.6</v>
      </c>
      <c r="H3737" s="6" t="s">
        <v>494</v>
      </c>
      <c r="I3737" s="6" t="s">
        <v>20</v>
      </c>
      <c r="J3737" s="6">
        <v>2003.0</v>
      </c>
      <c r="L3737" s="6">
        <v>1.0</v>
      </c>
      <c r="M3737" s="8">
        <f t="shared" si="3"/>
        <v>0.6</v>
      </c>
      <c r="P3737" s="9"/>
    </row>
    <row r="3738">
      <c r="A3738" s="6" t="s">
        <v>8040</v>
      </c>
      <c r="B3738" s="6" t="s">
        <v>4384</v>
      </c>
      <c r="C3738" s="6" t="s">
        <v>15</v>
      </c>
      <c r="D3738" s="6" t="s">
        <v>8041</v>
      </c>
      <c r="E3738" s="6" t="s">
        <v>1307</v>
      </c>
      <c r="F3738" s="6" t="s">
        <v>65</v>
      </c>
      <c r="G3738" s="7">
        <v>0.09</v>
      </c>
      <c r="H3738" s="6" t="s">
        <v>19</v>
      </c>
      <c r="I3738" s="6" t="s">
        <v>20</v>
      </c>
      <c r="J3738" s="6">
        <v>2023.0</v>
      </c>
      <c r="K3738" s="10">
        <v>46023.0</v>
      </c>
      <c r="L3738" s="6">
        <v>1.0</v>
      </c>
      <c r="M3738" s="8">
        <f t="shared" si="3"/>
        <v>0.09</v>
      </c>
      <c r="P3738" s="9"/>
    </row>
    <row r="3739">
      <c r="A3739" s="6" t="s">
        <v>8042</v>
      </c>
      <c r="B3739" s="6" t="s">
        <v>561</v>
      </c>
      <c r="C3739" s="6" t="s">
        <v>48</v>
      </c>
      <c r="D3739" s="6" t="s">
        <v>8043</v>
      </c>
      <c r="E3739" s="6" t="s">
        <v>558</v>
      </c>
      <c r="F3739" s="6" t="s">
        <v>18</v>
      </c>
      <c r="G3739" s="7">
        <v>0.03</v>
      </c>
      <c r="H3739" s="6" t="s">
        <v>299</v>
      </c>
      <c r="I3739" s="6" t="s">
        <v>20</v>
      </c>
      <c r="J3739" s="6">
        <v>2017.0</v>
      </c>
      <c r="K3739" s="10">
        <v>46116.0</v>
      </c>
      <c r="L3739" s="6">
        <v>1.0</v>
      </c>
      <c r="M3739" s="8">
        <f t="shared" si="3"/>
        <v>0.03</v>
      </c>
      <c r="P3739" s="9"/>
    </row>
    <row r="3740">
      <c r="A3740" s="6" t="s">
        <v>8044</v>
      </c>
      <c r="B3740" s="6" t="s">
        <v>165</v>
      </c>
      <c r="C3740" s="6" t="s">
        <v>34</v>
      </c>
      <c r="D3740" s="6" t="s">
        <v>8045</v>
      </c>
      <c r="E3740" s="6" t="s">
        <v>238</v>
      </c>
      <c r="F3740" s="6" t="s">
        <v>159</v>
      </c>
      <c r="G3740" s="7">
        <v>0.05</v>
      </c>
      <c r="H3740" s="6" t="s">
        <v>1043</v>
      </c>
      <c r="I3740" s="6" t="s">
        <v>20</v>
      </c>
      <c r="J3740" s="6">
        <v>2025.0</v>
      </c>
      <c r="L3740" s="6">
        <v>1.0</v>
      </c>
      <c r="M3740" s="8">
        <f t="shared" si="3"/>
        <v>0.05</v>
      </c>
      <c r="P3740" s="9"/>
    </row>
    <row r="3741">
      <c r="A3741" s="6" t="s">
        <v>8046</v>
      </c>
      <c r="B3741" s="6" t="s">
        <v>8047</v>
      </c>
      <c r="C3741" s="6" t="s">
        <v>84</v>
      </c>
      <c r="D3741" s="6" t="s">
        <v>8048</v>
      </c>
      <c r="E3741" s="6" t="s">
        <v>50</v>
      </c>
      <c r="F3741" s="6" t="s">
        <v>51</v>
      </c>
      <c r="G3741" s="7">
        <v>0.06</v>
      </c>
      <c r="H3741" s="6" t="s">
        <v>4237</v>
      </c>
      <c r="I3741" s="6" t="s">
        <v>20</v>
      </c>
      <c r="J3741" s="6">
        <v>1995.0</v>
      </c>
      <c r="K3741" s="6" t="s">
        <v>341</v>
      </c>
      <c r="L3741" s="6">
        <v>2.0</v>
      </c>
      <c r="M3741" s="8">
        <f t="shared" si="3"/>
        <v>0.12</v>
      </c>
      <c r="P3741" s="9"/>
    </row>
    <row r="3742">
      <c r="A3742" s="6" t="s">
        <v>8049</v>
      </c>
      <c r="B3742" s="6" t="s">
        <v>8050</v>
      </c>
      <c r="C3742" s="6" t="s">
        <v>41</v>
      </c>
      <c r="D3742" s="6" t="s">
        <v>8051</v>
      </c>
      <c r="E3742" s="6" t="s">
        <v>50</v>
      </c>
      <c r="F3742" s="6" t="s">
        <v>51</v>
      </c>
      <c r="G3742" s="7">
        <v>0.06</v>
      </c>
      <c r="H3742" s="6" t="s">
        <v>75</v>
      </c>
      <c r="I3742" s="6" t="s">
        <v>20</v>
      </c>
      <c r="J3742" s="6">
        <v>1995.0</v>
      </c>
      <c r="K3742" s="6" t="s">
        <v>341</v>
      </c>
      <c r="L3742" s="6">
        <v>1.0</v>
      </c>
      <c r="M3742" s="8">
        <f t="shared" si="3"/>
        <v>0.06</v>
      </c>
      <c r="P3742" s="9"/>
    </row>
    <row r="3743">
      <c r="A3743" s="6" t="s">
        <v>8052</v>
      </c>
      <c r="B3743" s="6" t="s">
        <v>2913</v>
      </c>
      <c r="C3743" s="6" t="s">
        <v>23</v>
      </c>
      <c r="D3743" s="6" t="s">
        <v>8053</v>
      </c>
      <c r="E3743" s="6" t="s">
        <v>118</v>
      </c>
      <c r="F3743" s="6" t="s">
        <v>51</v>
      </c>
      <c r="G3743" s="7">
        <v>0.09</v>
      </c>
      <c r="H3743" s="6" t="s">
        <v>494</v>
      </c>
      <c r="I3743" s="6" t="s">
        <v>20</v>
      </c>
      <c r="J3743" s="6">
        <v>2003.0</v>
      </c>
      <c r="K3743" s="10">
        <v>46023.0</v>
      </c>
      <c r="L3743" s="6">
        <v>2.0</v>
      </c>
      <c r="M3743" s="8">
        <f t="shared" si="3"/>
        <v>0.18</v>
      </c>
      <c r="P3743" s="9"/>
    </row>
    <row r="3744">
      <c r="A3744" s="6" t="s">
        <v>8054</v>
      </c>
      <c r="B3744" s="6" t="s">
        <v>127</v>
      </c>
      <c r="C3744" s="6" t="s">
        <v>23</v>
      </c>
      <c r="D3744" s="6" t="s">
        <v>8055</v>
      </c>
      <c r="E3744" s="6" t="s">
        <v>118</v>
      </c>
      <c r="F3744" s="6" t="s">
        <v>51</v>
      </c>
      <c r="G3744" s="7">
        <v>0.15</v>
      </c>
      <c r="H3744" s="6" t="s">
        <v>136</v>
      </c>
      <c r="I3744" s="6" t="s">
        <v>55</v>
      </c>
      <c r="J3744" s="6">
        <v>2022.0</v>
      </c>
      <c r="K3744" s="10">
        <v>46024.0</v>
      </c>
      <c r="L3744" s="6">
        <v>1.0</v>
      </c>
      <c r="M3744" s="8">
        <f t="shared" si="3"/>
        <v>0.15</v>
      </c>
      <c r="P3744" s="9"/>
    </row>
    <row r="3745">
      <c r="A3745" s="6" t="s">
        <v>8054</v>
      </c>
      <c r="B3745" s="6" t="s">
        <v>127</v>
      </c>
      <c r="C3745" s="6" t="s">
        <v>23</v>
      </c>
      <c r="D3745" s="6" t="s">
        <v>8055</v>
      </c>
      <c r="E3745" s="6" t="s">
        <v>118</v>
      </c>
      <c r="F3745" s="6" t="s">
        <v>51</v>
      </c>
      <c r="G3745" s="7">
        <v>0.06</v>
      </c>
      <c r="H3745" s="6" t="s">
        <v>136</v>
      </c>
      <c r="I3745" s="6" t="s">
        <v>20</v>
      </c>
      <c r="J3745" s="6">
        <v>2022.0</v>
      </c>
      <c r="K3745" s="10">
        <v>46024.0</v>
      </c>
      <c r="L3745" s="6">
        <v>2.0</v>
      </c>
      <c r="M3745" s="8">
        <f t="shared" si="3"/>
        <v>0.12</v>
      </c>
      <c r="P3745" s="9"/>
    </row>
    <row r="3746">
      <c r="A3746" s="6" t="s">
        <v>8056</v>
      </c>
      <c r="B3746" s="6" t="s">
        <v>850</v>
      </c>
      <c r="C3746" s="6" t="s">
        <v>15</v>
      </c>
      <c r="D3746" s="6" t="s">
        <v>8057</v>
      </c>
      <c r="E3746" s="6" t="s">
        <v>179</v>
      </c>
      <c r="F3746" s="6" t="s">
        <v>65</v>
      </c>
      <c r="G3746" s="7">
        <v>0.2</v>
      </c>
      <c r="H3746" s="6" t="s">
        <v>209</v>
      </c>
      <c r="I3746" s="6" t="s">
        <v>20</v>
      </c>
      <c r="J3746" s="6">
        <v>2025.0</v>
      </c>
      <c r="L3746" s="6">
        <v>1.0</v>
      </c>
      <c r="M3746" s="8">
        <f t="shared" si="3"/>
        <v>0.2</v>
      </c>
      <c r="P3746" s="9"/>
    </row>
    <row r="3747">
      <c r="A3747" s="6" t="s">
        <v>8058</v>
      </c>
      <c r="B3747" s="6" t="s">
        <v>7898</v>
      </c>
      <c r="C3747" s="6" t="s">
        <v>48</v>
      </c>
      <c r="D3747" s="6" t="s">
        <v>8059</v>
      </c>
      <c r="E3747" s="6" t="s">
        <v>118</v>
      </c>
      <c r="F3747" s="6" t="s">
        <v>51</v>
      </c>
      <c r="G3747" s="7">
        <v>0.25</v>
      </c>
      <c r="H3747" s="6" t="s">
        <v>19</v>
      </c>
      <c r="I3747" s="6" t="s">
        <v>20</v>
      </c>
      <c r="J3747" s="6">
        <v>2023.0</v>
      </c>
      <c r="K3747" s="10">
        <v>46024.0</v>
      </c>
      <c r="L3747" s="6">
        <v>2.0</v>
      </c>
      <c r="M3747" s="8">
        <f t="shared" si="3"/>
        <v>0.5</v>
      </c>
      <c r="P3747" s="9"/>
    </row>
    <row r="3748">
      <c r="A3748" s="6" t="s">
        <v>8060</v>
      </c>
      <c r="B3748" s="6" t="s">
        <v>8061</v>
      </c>
      <c r="C3748" s="6" t="s">
        <v>41</v>
      </c>
      <c r="D3748" s="6" t="s">
        <v>8062</v>
      </c>
      <c r="E3748" s="6" t="s">
        <v>8063</v>
      </c>
      <c r="F3748" s="6" t="s">
        <v>60</v>
      </c>
      <c r="G3748" s="7">
        <v>0.27</v>
      </c>
      <c r="H3748" s="6" t="s">
        <v>641</v>
      </c>
      <c r="I3748" s="6" t="s">
        <v>20</v>
      </c>
      <c r="J3748" s="6">
        <v>2026.0</v>
      </c>
      <c r="K3748" s="10">
        <v>46114.0</v>
      </c>
      <c r="L3748" s="6">
        <v>1.0</v>
      </c>
      <c r="M3748" s="8">
        <f t="shared" si="3"/>
        <v>0.27</v>
      </c>
      <c r="P3748" s="9"/>
    </row>
    <row r="3749">
      <c r="A3749" s="6" t="s">
        <v>8064</v>
      </c>
      <c r="B3749" s="6" t="s">
        <v>194</v>
      </c>
      <c r="C3749" s="6" t="s">
        <v>23</v>
      </c>
      <c r="D3749" s="6" t="s">
        <v>8065</v>
      </c>
      <c r="E3749" s="6" t="s">
        <v>50</v>
      </c>
      <c r="F3749" s="6" t="s">
        <v>51</v>
      </c>
      <c r="G3749" s="7">
        <v>0.1</v>
      </c>
      <c r="H3749" s="6" t="s">
        <v>45</v>
      </c>
      <c r="I3749" s="6" t="s">
        <v>20</v>
      </c>
      <c r="J3749" s="6">
        <v>2025.0</v>
      </c>
      <c r="L3749" s="6">
        <v>1.0</v>
      </c>
      <c r="M3749" s="8">
        <f t="shared" si="3"/>
        <v>0.1</v>
      </c>
      <c r="P3749" s="9"/>
    </row>
    <row r="3750">
      <c r="A3750" s="6" t="s">
        <v>8066</v>
      </c>
      <c r="B3750" s="6" t="s">
        <v>62</v>
      </c>
      <c r="C3750" s="6" t="s">
        <v>23</v>
      </c>
      <c r="D3750" s="6" t="s">
        <v>8067</v>
      </c>
      <c r="E3750" s="6" t="s">
        <v>79</v>
      </c>
      <c r="F3750" s="6" t="s">
        <v>51</v>
      </c>
      <c r="G3750" s="7">
        <v>0.03</v>
      </c>
      <c r="H3750" s="6" t="s">
        <v>265</v>
      </c>
      <c r="I3750" s="6" t="s">
        <v>20</v>
      </c>
      <c r="J3750" s="6">
        <v>2017.0</v>
      </c>
      <c r="L3750" s="6">
        <v>1.0</v>
      </c>
      <c r="M3750" s="8">
        <f t="shared" si="3"/>
        <v>0.03</v>
      </c>
      <c r="P3750" s="9"/>
    </row>
    <row r="3751">
      <c r="A3751" s="6" t="s">
        <v>8068</v>
      </c>
      <c r="B3751" s="6" t="s">
        <v>424</v>
      </c>
      <c r="C3751" s="6" t="s">
        <v>23</v>
      </c>
      <c r="D3751" s="6" t="s">
        <v>8069</v>
      </c>
      <c r="F3751" s="6" t="s">
        <v>51</v>
      </c>
      <c r="G3751" s="7">
        <v>0.09</v>
      </c>
      <c r="H3751" s="6" t="s">
        <v>621</v>
      </c>
      <c r="I3751" s="6" t="s">
        <v>20</v>
      </c>
      <c r="J3751" s="6">
        <v>2015.0</v>
      </c>
      <c r="L3751" s="6">
        <v>1.0</v>
      </c>
      <c r="M3751" s="8">
        <f t="shared" si="3"/>
        <v>0.09</v>
      </c>
      <c r="P3751" s="9"/>
    </row>
    <row r="3752">
      <c r="A3752" s="6" t="s">
        <v>8070</v>
      </c>
      <c r="B3752" s="6" t="s">
        <v>8071</v>
      </c>
      <c r="C3752" s="6" t="s">
        <v>48</v>
      </c>
      <c r="D3752" s="6" t="s">
        <v>8072</v>
      </c>
      <c r="E3752" s="6" t="s">
        <v>2235</v>
      </c>
      <c r="F3752" s="6" t="s">
        <v>37</v>
      </c>
      <c r="G3752" s="7">
        <v>0.15</v>
      </c>
      <c r="H3752" s="6" t="s">
        <v>163</v>
      </c>
      <c r="I3752" s="6" t="s">
        <v>20</v>
      </c>
      <c r="J3752" s="6">
        <v>2023.0</v>
      </c>
      <c r="K3752" s="10">
        <v>46116.0</v>
      </c>
      <c r="L3752" s="6">
        <v>1.0</v>
      </c>
      <c r="M3752" s="8">
        <f t="shared" si="3"/>
        <v>0.15</v>
      </c>
      <c r="P3752" s="9"/>
    </row>
    <row r="3753">
      <c r="A3753" s="6" t="s">
        <v>8073</v>
      </c>
      <c r="B3753" s="6" t="s">
        <v>677</v>
      </c>
      <c r="C3753" s="6" t="s">
        <v>23</v>
      </c>
      <c r="D3753" s="6" t="s">
        <v>8074</v>
      </c>
      <c r="E3753" s="6" t="s">
        <v>573</v>
      </c>
      <c r="F3753" s="6" t="s">
        <v>51</v>
      </c>
      <c r="G3753" s="7">
        <v>0.06</v>
      </c>
      <c r="H3753" s="6" t="s">
        <v>559</v>
      </c>
      <c r="I3753" s="6" t="s">
        <v>20</v>
      </c>
      <c r="J3753" s="6">
        <v>2015.0</v>
      </c>
      <c r="K3753" s="10">
        <v>46115.0</v>
      </c>
      <c r="L3753" s="6">
        <v>3.0</v>
      </c>
      <c r="M3753" s="8">
        <f t="shared" si="3"/>
        <v>0.18</v>
      </c>
      <c r="P3753" s="9"/>
    </row>
    <row r="3754">
      <c r="A3754" s="6" t="s">
        <v>8075</v>
      </c>
      <c r="B3754" s="6" t="s">
        <v>5173</v>
      </c>
      <c r="C3754" s="6" t="s">
        <v>15</v>
      </c>
      <c r="D3754" s="6" t="s">
        <v>8076</v>
      </c>
      <c r="E3754" s="6" t="s">
        <v>2051</v>
      </c>
      <c r="F3754" s="6" t="s">
        <v>1732</v>
      </c>
      <c r="G3754" s="7">
        <v>0.2</v>
      </c>
      <c r="H3754" s="6" t="s">
        <v>8077</v>
      </c>
      <c r="I3754" s="6" t="s">
        <v>20</v>
      </c>
      <c r="J3754" s="6">
        <v>2025.0</v>
      </c>
      <c r="K3754" s="10">
        <v>46117.0</v>
      </c>
      <c r="L3754" s="6">
        <v>1.0</v>
      </c>
      <c r="M3754" s="8">
        <f t="shared" si="3"/>
        <v>0.2</v>
      </c>
      <c r="P3754" s="9"/>
    </row>
    <row r="3755">
      <c r="A3755" s="6" t="s">
        <v>8078</v>
      </c>
      <c r="B3755" s="6" t="s">
        <v>609</v>
      </c>
      <c r="C3755" s="6" t="s">
        <v>23</v>
      </c>
      <c r="D3755" s="6" t="s">
        <v>8079</v>
      </c>
      <c r="E3755" s="6" t="s">
        <v>50</v>
      </c>
      <c r="F3755" s="6" t="s">
        <v>51</v>
      </c>
      <c r="G3755" s="7">
        <v>0.03</v>
      </c>
      <c r="H3755" s="6" t="s">
        <v>875</v>
      </c>
      <c r="I3755" s="6" t="s">
        <v>20</v>
      </c>
      <c r="J3755" s="6">
        <v>2018.0</v>
      </c>
      <c r="K3755" s="10">
        <v>46084.0</v>
      </c>
      <c r="L3755" s="6">
        <v>4.0</v>
      </c>
      <c r="M3755" s="8">
        <f t="shared" si="3"/>
        <v>0.12</v>
      </c>
      <c r="P3755" s="9"/>
    </row>
    <row r="3756">
      <c r="A3756" s="6" t="s">
        <v>8080</v>
      </c>
      <c r="B3756" s="6" t="s">
        <v>8081</v>
      </c>
      <c r="C3756" s="6" t="s">
        <v>23</v>
      </c>
      <c r="D3756" s="6" t="s">
        <v>8082</v>
      </c>
      <c r="E3756" s="6" t="s">
        <v>102</v>
      </c>
      <c r="F3756" s="6" t="s">
        <v>103</v>
      </c>
      <c r="G3756" s="7">
        <v>0.08</v>
      </c>
      <c r="H3756" s="6" t="s">
        <v>113</v>
      </c>
      <c r="I3756" s="6" t="s">
        <v>20</v>
      </c>
      <c r="J3756" s="6">
        <v>2024.0</v>
      </c>
      <c r="K3756" s="10">
        <v>46082.0</v>
      </c>
      <c r="L3756" s="6">
        <v>1.0</v>
      </c>
      <c r="M3756" s="8">
        <f t="shared" si="3"/>
        <v>0.08</v>
      </c>
      <c r="P3756" s="9"/>
    </row>
    <row r="3757">
      <c r="A3757" s="6" t="s">
        <v>8083</v>
      </c>
      <c r="B3757" s="6" t="s">
        <v>5575</v>
      </c>
      <c r="C3757" s="6" t="s">
        <v>521</v>
      </c>
      <c r="D3757" s="6" t="s">
        <v>8084</v>
      </c>
      <c r="E3757" s="6" t="s">
        <v>167</v>
      </c>
      <c r="F3757" s="6" t="s">
        <v>2954</v>
      </c>
      <c r="G3757" s="7">
        <v>0.03</v>
      </c>
      <c r="H3757" s="6" t="s">
        <v>430</v>
      </c>
      <c r="I3757" s="6" t="s">
        <v>20</v>
      </c>
      <c r="J3757" s="6">
        <v>2018.0</v>
      </c>
      <c r="K3757" s="10">
        <v>46054.0</v>
      </c>
      <c r="L3757" s="6">
        <v>4.0</v>
      </c>
      <c r="M3757" s="8">
        <f t="shared" si="3"/>
        <v>0.12</v>
      </c>
      <c r="P3757" s="9"/>
    </row>
    <row r="3758">
      <c r="A3758" s="6" t="s">
        <v>8085</v>
      </c>
      <c r="B3758" s="6" t="s">
        <v>3126</v>
      </c>
      <c r="C3758" s="6" t="s">
        <v>23</v>
      </c>
      <c r="D3758" s="6" t="s">
        <v>8086</v>
      </c>
      <c r="E3758" s="6" t="s">
        <v>167</v>
      </c>
      <c r="F3758" s="6" t="s">
        <v>103</v>
      </c>
      <c r="G3758" s="7">
        <v>0.04</v>
      </c>
      <c r="H3758" s="6" t="s">
        <v>380</v>
      </c>
      <c r="I3758" s="6" t="s">
        <v>20</v>
      </c>
      <c r="J3758" s="6">
        <v>2025.0</v>
      </c>
      <c r="K3758" s="10">
        <v>46054.0</v>
      </c>
      <c r="L3758" s="6">
        <v>1.0</v>
      </c>
      <c r="M3758" s="8">
        <f t="shared" si="3"/>
        <v>0.04</v>
      </c>
      <c r="P3758" s="9"/>
    </row>
    <row r="3759">
      <c r="A3759" s="6" t="s">
        <v>8087</v>
      </c>
      <c r="B3759" s="6" t="s">
        <v>4416</v>
      </c>
      <c r="C3759" s="6" t="s">
        <v>23</v>
      </c>
      <c r="D3759" s="6" t="s">
        <v>8088</v>
      </c>
      <c r="E3759" s="6" t="s">
        <v>196</v>
      </c>
      <c r="F3759" s="6" t="s">
        <v>65</v>
      </c>
      <c r="G3759" s="7">
        <v>0.06</v>
      </c>
      <c r="H3759" s="6" t="s">
        <v>509</v>
      </c>
      <c r="I3759" s="6" t="s">
        <v>20</v>
      </c>
      <c r="J3759" s="6">
        <v>2024.0</v>
      </c>
      <c r="K3759" s="10">
        <v>46023.0</v>
      </c>
      <c r="L3759" s="6">
        <v>1.0</v>
      </c>
      <c r="M3759" s="8">
        <f t="shared" si="3"/>
        <v>0.06</v>
      </c>
      <c r="P3759" s="9"/>
    </row>
    <row r="3760">
      <c r="A3760" s="6" t="s">
        <v>8089</v>
      </c>
      <c r="B3760" s="6" t="s">
        <v>8090</v>
      </c>
      <c r="C3760" s="6" t="s">
        <v>23</v>
      </c>
      <c r="D3760" s="6" t="s">
        <v>8091</v>
      </c>
      <c r="E3760" s="6" t="s">
        <v>238</v>
      </c>
      <c r="F3760" s="6" t="s">
        <v>159</v>
      </c>
      <c r="G3760" s="7">
        <v>0.25</v>
      </c>
      <c r="H3760" s="7" t="s">
        <v>185</v>
      </c>
      <c r="I3760" s="6" t="s">
        <v>20</v>
      </c>
      <c r="J3760" s="6">
        <v>2019.0</v>
      </c>
      <c r="K3760" s="6" t="s">
        <v>1035</v>
      </c>
      <c r="L3760" s="6">
        <v>1.0</v>
      </c>
      <c r="M3760" s="8">
        <f t="shared" si="3"/>
        <v>0.25</v>
      </c>
      <c r="P3760" s="9"/>
    </row>
    <row r="3761">
      <c r="A3761" s="6" t="s">
        <v>8092</v>
      </c>
      <c r="B3761" s="6" t="s">
        <v>4146</v>
      </c>
      <c r="C3761" s="6" t="s">
        <v>15</v>
      </c>
      <c r="D3761" s="6" t="s">
        <v>8093</v>
      </c>
      <c r="E3761" s="6" t="s">
        <v>3574</v>
      </c>
      <c r="F3761" s="6" t="s">
        <v>18</v>
      </c>
      <c r="G3761" s="7">
        <v>0.25</v>
      </c>
      <c r="H3761" s="6" t="s">
        <v>19</v>
      </c>
      <c r="I3761" s="6" t="s">
        <v>20</v>
      </c>
      <c r="J3761" s="6">
        <v>2023.0</v>
      </c>
      <c r="K3761" s="10">
        <v>46116.0</v>
      </c>
      <c r="L3761" s="6">
        <v>1.0</v>
      </c>
      <c r="M3761" s="8">
        <f t="shared" si="3"/>
        <v>0.25</v>
      </c>
      <c r="P3761" s="9"/>
    </row>
    <row r="3762">
      <c r="A3762" s="6" t="s">
        <v>8094</v>
      </c>
      <c r="B3762" s="6" t="s">
        <v>8095</v>
      </c>
      <c r="C3762" s="6" t="s">
        <v>23</v>
      </c>
      <c r="D3762" s="6" t="s">
        <v>8096</v>
      </c>
      <c r="E3762" s="6" t="s">
        <v>223</v>
      </c>
      <c r="F3762" s="6" t="s">
        <v>159</v>
      </c>
      <c r="G3762" s="7">
        <v>0.03</v>
      </c>
      <c r="H3762" s="6" t="s">
        <v>359</v>
      </c>
      <c r="I3762" s="6" t="s">
        <v>20</v>
      </c>
      <c r="J3762" s="6">
        <v>2014.0</v>
      </c>
      <c r="K3762" s="10">
        <v>46023.0</v>
      </c>
      <c r="L3762" s="6">
        <v>4.0</v>
      </c>
      <c r="M3762" s="8">
        <f t="shared" si="3"/>
        <v>0.12</v>
      </c>
      <c r="P3762" s="9"/>
    </row>
    <row r="3763">
      <c r="A3763" s="6" t="s">
        <v>8097</v>
      </c>
      <c r="B3763" s="6" t="s">
        <v>7631</v>
      </c>
      <c r="C3763" s="6" t="s">
        <v>23</v>
      </c>
      <c r="D3763" s="6" t="s">
        <v>1976</v>
      </c>
      <c r="E3763" s="6" t="s">
        <v>112</v>
      </c>
      <c r="F3763" s="6" t="s">
        <v>65</v>
      </c>
      <c r="G3763" s="7">
        <v>0.05</v>
      </c>
      <c r="H3763" s="6" t="s">
        <v>626</v>
      </c>
      <c r="I3763" s="6" t="s">
        <v>20</v>
      </c>
      <c r="J3763" s="6">
        <v>2013.0</v>
      </c>
      <c r="K3763" s="10">
        <v>46024.0</v>
      </c>
      <c r="L3763" s="6">
        <v>1.0</v>
      </c>
      <c r="M3763" s="8">
        <f t="shared" si="3"/>
        <v>0.05</v>
      </c>
      <c r="P3763" s="9"/>
    </row>
    <row r="3764">
      <c r="A3764" s="6" t="s">
        <v>8098</v>
      </c>
      <c r="B3764" s="6" t="s">
        <v>372</v>
      </c>
      <c r="C3764" s="6" t="s">
        <v>23</v>
      </c>
      <c r="D3764" s="6" t="s">
        <v>8099</v>
      </c>
      <c r="E3764" s="6" t="s">
        <v>270</v>
      </c>
      <c r="F3764" s="6" t="s">
        <v>159</v>
      </c>
      <c r="G3764" s="7">
        <v>0.03</v>
      </c>
      <c r="H3764" s="6" t="s">
        <v>1748</v>
      </c>
      <c r="I3764" s="6" t="s">
        <v>20</v>
      </c>
      <c r="J3764" s="6">
        <v>2008.0</v>
      </c>
      <c r="L3764" s="6">
        <v>1.0</v>
      </c>
      <c r="M3764" s="8">
        <f t="shared" si="3"/>
        <v>0.03</v>
      </c>
      <c r="P3764" s="9"/>
    </row>
    <row r="3765">
      <c r="A3765" s="6" t="s">
        <v>8098</v>
      </c>
      <c r="B3765" s="6" t="s">
        <v>372</v>
      </c>
      <c r="C3765" s="6" t="s">
        <v>23</v>
      </c>
      <c r="D3765" s="6" t="s">
        <v>8099</v>
      </c>
      <c r="E3765" s="6" t="s">
        <v>270</v>
      </c>
      <c r="F3765" s="6" t="s">
        <v>159</v>
      </c>
      <c r="G3765" s="7">
        <v>0.03</v>
      </c>
      <c r="H3765" s="6" t="s">
        <v>1748</v>
      </c>
      <c r="I3765" s="6" t="s">
        <v>20</v>
      </c>
      <c r="J3765" s="6">
        <v>2008.0</v>
      </c>
      <c r="L3765" s="6">
        <v>1.0</v>
      </c>
      <c r="M3765" s="8">
        <f t="shared" si="3"/>
        <v>0.03</v>
      </c>
      <c r="P3765" s="9"/>
    </row>
    <row r="3766">
      <c r="A3766" s="6" t="s">
        <v>8098</v>
      </c>
      <c r="B3766" s="6" t="s">
        <v>372</v>
      </c>
      <c r="C3766" s="6" t="s">
        <v>23</v>
      </c>
      <c r="D3766" s="6" t="s">
        <v>8099</v>
      </c>
      <c r="E3766" s="6" t="s">
        <v>270</v>
      </c>
      <c r="F3766" s="6" t="s">
        <v>159</v>
      </c>
      <c r="G3766" s="7">
        <v>0.05</v>
      </c>
      <c r="H3766" s="6" t="s">
        <v>1748</v>
      </c>
      <c r="I3766" s="6" t="s">
        <v>20</v>
      </c>
      <c r="J3766" s="6">
        <v>2008.0</v>
      </c>
      <c r="L3766" s="6">
        <v>4.0</v>
      </c>
      <c r="M3766" s="8">
        <f t="shared" si="3"/>
        <v>0.2</v>
      </c>
      <c r="P3766" s="9"/>
    </row>
    <row r="3767">
      <c r="A3767" s="6" t="s">
        <v>8100</v>
      </c>
      <c r="B3767" s="6" t="s">
        <v>182</v>
      </c>
      <c r="C3767" s="6" t="s">
        <v>23</v>
      </c>
      <c r="D3767" s="6" t="s">
        <v>8101</v>
      </c>
      <c r="E3767" s="6" t="s">
        <v>3595</v>
      </c>
      <c r="F3767" s="6" t="s">
        <v>826</v>
      </c>
      <c r="G3767" s="7">
        <v>0.03</v>
      </c>
      <c r="H3767" s="6" t="s">
        <v>185</v>
      </c>
      <c r="I3767" s="6" t="s">
        <v>20</v>
      </c>
      <c r="J3767" s="6">
        <v>2019.0</v>
      </c>
      <c r="L3767" s="6">
        <v>1.0</v>
      </c>
      <c r="M3767" s="8">
        <f t="shared" si="3"/>
        <v>0.03</v>
      </c>
      <c r="P3767" s="9"/>
    </row>
    <row r="3768">
      <c r="A3768" s="6" t="s">
        <v>8102</v>
      </c>
      <c r="B3768" s="6" t="s">
        <v>331</v>
      </c>
      <c r="C3768" s="6" t="s">
        <v>23</v>
      </c>
      <c r="E3768" s="6" t="s">
        <v>175</v>
      </c>
      <c r="F3768" s="6" t="s">
        <v>51</v>
      </c>
      <c r="G3768" s="7">
        <v>0.8</v>
      </c>
      <c r="H3768" s="6" t="s">
        <v>2401</v>
      </c>
      <c r="I3768" s="6" t="s">
        <v>55</v>
      </c>
      <c r="J3768" s="6">
        <v>2018.0</v>
      </c>
      <c r="K3768" s="10">
        <v>46024.0</v>
      </c>
      <c r="L3768" s="6">
        <v>1.0</v>
      </c>
      <c r="M3768" s="8">
        <f t="shared" si="3"/>
        <v>0.8</v>
      </c>
      <c r="P3768" s="9"/>
    </row>
    <row r="3769">
      <c r="A3769" s="6" t="s">
        <v>8103</v>
      </c>
      <c r="B3769" s="6" t="s">
        <v>8104</v>
      </c>
      <c r="C3769" s="6" t="s">
        <v>41</v>
      </c>
      <c r="D3769" s="6" t="s">
        <v>8105</v>
      </c>
      <c r="E3769" s="6" t="s">
        <v>108</v>
      </c>
      <c r="F3769" s="6" t="s">
        <v>103</v>
      </c>
      <c r="G3769" s="7">
        <v>0.9</v>
      </c>
      <c r="H3769" s="6" t="s">
        <v>192</v>
      </c>
      <c r="I3769" s="6" t="s">
        <v>20</v>
      </c>
      <c r="J3769" s="6">
        <v>2026.0</v>
      </c>
      <c r="K3769" s="10">
        <v>46116.0</v>
      </c>
      <c r="L3769" s="6">
        <v>1.0</v>
      </c>
      <c r="M3769" s="8">
        <f t="shared" si="3"/>
        <v>0.9</v>
      </c>
      <c r="P3769" s="9"/>
    </row>
    <row r="3770">
      <c r="A3770" s="6" t="s">
        <v>8106</v>
      </c>
      <c r="B3770" s="6" t="s">
        <v>194</v>
      </c>
      <c r="C3770" s="6" t="s">
        <v>48</v>
      </c>
      <c r="D3770" s="6" t="s">
        <v>8107</v>
      </c>
      <c r="E3770" s="6" t="s">
        <v>223</v>
      </c>
      <c r="F3770" s="6" t="s">
        <v>159</v>
      </c>
      <c r="G3770" s="7">
        <v>0.1</v>
      </c>
      <c r="H3770" s="6" t="s">
        <v>192</v>
      </c>
      <c r="I3770" s="6" t="s">
        <v>20</v>
      </c>
      <c r="J3770" s="6">
        <v>2026.0</v>
      </c>
      <c r="L3770" s="6">
        <v>2.0</v>
      </c>
      <c r="M3770" s="8">
        <f t="shared" si="3"/>
        <v>0.2</v>
      </c>
      <c r="P3770" s="9"/>
    </row>
    <row r="3771">
      <c r="A3771" s="6" t="s">
        <v>8108</v>
      </c>
      <c r="B3771" s="6" t="s">
        <v>62</v>
      </c>
      <c r="C3771" s="6" t="s">
        <v>23</v>
      </c>
      <c r="D3771" s="6" t="s">
        <v>8109</v>
      </c>
      <c r="E3771" s="6" t="s">
        <v>248</v>
      </c>
      <c r="F3771" s="6" t="s">
        <v>18</v>
      </c>
      <c r="G3771" s="7">
        <v>0.04</v>
      </c>
      <c r="H3771" s="6" t="s">
        <v>1494</v>
      </c>
      <c r="I3771" s="6" t="s">
        <v>20</v>
      </c>
      <c r="J3771" s="6">
        <v>2012.0</v>
      </c>
      <c r="L3771" s="6">
        <v>2.0</v>
      </c>
      <c r="M3771" s="8">
        <f t="shared" si="3"/>
        <v>0.08</v>
      </c>
      <c r="P3771" s="9"/>
    </row>
    <row r="3772">
      <c r="A3772" s="6" t="s">
        <v>8110</v>
      </c>
      <c r="B3772" s="6" t="s">
        <v>194</v>
      </c>
      <c r="C3772" s="6" t="s">
        <v>23</v>
      </c>
      <c r="D3772" s="6" t="s">
        <v>8111</v>
      </c>
      <c r="E3772" s="6" t="s">
        <v>102</v>
      </c>
      <c r="F3772" s="6" t="s">
        <v>103</v>
      </c>
      <c r="G3772" s="7">
        <v>0.18</v>
      </c>
      <c r="H3772" s="6" t="s">
        <v>994</v>
      </c>
      <c r="I3772" s="6" t="s">
        <v>20</v>
      </c>
      <c r="J3772" s="6">
        <v>2024.0</v>
      </c>
      <c r="L3772" s="6">
        <v>2.0</v>
      </c>
      <c r="M3772" s="8">
        <f t="shared" si="3"/>
        <v>0.36</v>
      </c>
      <c r="P3772" s="9"/>
    </row>
    <row r="3773">
      <c r="A3773" s="6" t="s">
        <v>8112</v>
      </c>
      <c r="B3773" s="6" t="s">
        <v>652</v>
      </c>
      <c r="C3773" s="6" t="s">
        <v>48</v>
      </c>
      <c r="D3773" s="6" t="s">
        <v>8113</v>
      </c>
      <c r="E3773" s="6" t="s">
        <v>298</v>
      </c>
      <c r="F3773" s="6" t="s">
        <v>159</v>
      </c>
      <c r="G3773" s="7">
        <v>0.1</v>
      </c>
      <c r="H3773" s="6" t="s">
        <v>114</v>
      </c>
      <c r="I3773" s="6" t="s">
        <v>20</v>
      </c>
      <c r="J3773" s="6">
        <v>2021.0</v>
      </c>
      <c r="K3773" s="10">
        <v>46085.0</v>
      </c>
      <c r="L3773" s="6">
        <v>1.0</v>
      </c>
      <c r="M3773" s="8">
        <f t="shared" si="3"/>
        <v>0.1</v>
      </c>
      <c r="P3773" s="9"/>
    </row>
    <row r="3774">
      <c r="A3774" s="6" t="s">
        <v>8114</v>
      </c>
      <c r="B3774" s="6" t="s">
        <v>543</v>
      </c>
      <c r="C3774" s="6" t="s">
        <v>23</v>
      </c>
      <c r="D3774" s="6" t="s">
        <v>8115</v>
      </c>
      <c r="E3774" s="6" t="s">
        <v>223</v>
      </c>
      <c r="F3774" s="6" t="s">
        <v>159</v>
      </c>
      <c r="G3774" s="7">
        <v>0.05</v>
      </c>
      <c r="H3774" s="6" t="s">
        <v>645</v>
      </c>
      <c r="I3774" s="6" t="s">
        <v>20</v>
      </c>
      <c r="J3774" s="6">
        <v>2024.0</v>
      </c>
      <c r="L3774" s="6">
        <v>1.0</v>
      </c>
      <c r="M3774" s="8">
        <f t="shared" si="3"/>
        <v>0.05</v>
      </c>
      <c r="P3774" s="9"/>
    </row>
    <row r="3775">
      <c r="A3775" s="6" t="s">
        <v>8116</v>
      </c>
      <c r="B3775" s="6" t="s">
        <v>8117</v>
      </c>
      <c r="C3775" s="6" t="s">
        <v>212</v>
      </c>
      <c r="D3775" s="6" t="s">
        <v>8118</v>
      </c>
      <c r="E3775" s="6" t="s">
        <v>3920</v>
      </c>
      <c r="F3775" s="6" t="s">
        <v>159</v>
      </c>
      <c r="G3775" s="7">
        <v>2.85</v>
      </c>
      <c r="H3775" s="6" t="s">
        <v>209</v>
      </c>
      <c r="I3775" s="6" t="s">
        <v>20</v>
      </c>
      <c r="J3775" s="6">
        <v>2025.0</v>
      </c>
      <c r="K3775" s="10">
        <v>46084.0</v>
      </c>
      <c r="L3775" s="6">
        <v>1.0</v>
      </c>
      <c r="M3775" s="8">
        <f t="shared" si="3"/>
        <v>2.85</v>
      </c>
      <c r="P3775" s="9"/>
    </row>
    <row r="3776">
      <c r="A3776" s="6" t="s">
        <v>8119</v>
      </c>
      <c r="B3776" s="6" t="s">
        <v>4934</v>
      </c>
      <c r="C3776" s="6" t="s">
        <v>48</v>
      </c>
      <c r="D3776" s="6" t="s">
        <v>8120</v>
      </c>
      <c r="E3776" s="6" t="s">
        <v>2074</v>
      </c>
      <c r="F3776" s="6" t="s">
        <v>826</v>
      </c>
      <c r="G3776" s="7">
        <v>0.1</v>
      </c>
      <c r="H3776" s="6" t="s">
        <v>384</v>
      </c>
      <c r="I3776" s="6" t="s">
        <v>20</v>
      </c>
      <c r="J3776" s="6">
        <v>2022.0</v>
      </c>
      <c r="K3776" s="10">
        <v>46146.0</v>
      </c>
      <c r="L3776" s="6">
        <v>1.0</v>
      </c>
      <c r="M3776" s="8">
        <f t="shared" si="3"/>
        <v>0.1</v>
      </c>
      <c r="P3776" s="9"/>
    </row>
    <row r="3777">
      <c r="A3777" s="6" t="s">
        <v>8121</v>
      </c>
      <c r="B3777" s="6" t="s">
        <v>182</v>
      </c>
      <c r="C3777" s="6" t="s">
        <v>23</v>
      </c>
      <c r="D3777" s="6" t="s">
        <v>8122</v>
      </c>
      <c r="E3777" s="6" t="s">
        <v>270</v>
      </c>
      <c r="F3777" s="6" t="s">
        <v>159</v>
      </c>
      <c r="G3777" s="7">
        <v>0.25</v>
      </c>
      <c r="H3777" s="6" t="s">
        <v>581</v>
      </c>
      <c r="I3777" s="6" t="s">
        <v>20</v>
      </c>
      <c r="J3777" s="6">
        <v>2022.0</v>
      </c>
      <c r="L3777" s="6">
        <v>1.0</v>
      </c>
      <c r="M3777" s="8">
        <f t="shared" si="3"/>
        <v>0.25</v>
      </c>
      <c r="P3777" s="9"/>
    </row>
    <row r="3778">
      <c r="A3778" s="6" t="s">
        <v>8123</v>
      </c>
      <c r="B3778" s="6" t="s">
        <v>5984</v>
      </c>
      <c r="C3778" s="6" t="s">
        <v>521</v>
      </c>
      <c r="D3778" s="6" t="s">
        <v>8124</v>
      </c>
      <c r="E3778" s="6" t="s">
        <v>102</v>
      </c>
      <c r="F3778" s="6" t="s">
        <v>103</v>
      </c>
      <c r="G3778" s="7">
        <v>0.1</v>
      </c>
      <c r="H3778" s="6" t="s">
        <v>641</v>
      </c>
      <c r="I3778" s="6" t="s">
        <v>20</v>
      </c>
      <c r="J3778" s="6">
        <v>2026.0</v>
      </c>
      <c r="K3778" s="10">
        <v>46055.0</v>
      </c>
      <c r="L3778" s="6">
        <v>1.0</v>
      </c>
      <c r="M3778" s="8">
        <f t="shared" si="3"/>
        <v>0.1</v>
      </c>
      <c r="P3778" s="9"/>
    </row>
    <row r="3779">
      <c r="A3779" s="6" t="s">
        <v>8125</v>
      </c>
      <c r="B3779" s="6" t="s">
        <v>2673</v>
      </c>
      <c r="C3779" s="6" t="s">
        <v>23</v>
      </c>
      <c r="D3779" s="6" t="s">
        <v>8126</v>
      </c>
      <c r="E3779" s="6" t="s">
        <v>102</v>
      </c>
      <c r="F3779" s="6" t="s">
        <v>103</v>
      </c>
      <c r="G3779" s="7">
        <v>0.06</v>
      </c>
      <c r="H3779" s="6" t="s">
        <v>396</v>
      </c>
      <c r="I3779" s="6" t="s">
        <v>20</v>
      </c>
      <c r="J3779" s="6">
        <v>2007.0</v>
      </c>
      <c r="K3779" s="10">
        <v>46023.0</v>
      </c>
      <c r="L3779" s="6">
        <v>1.0</v>
      </c>
      <c r="M3779" s="8">
        <f t="shared" si="3"/>
        <v>0.06</v>
      </c>
      <c r="P3779" s="9"/>
    </row>
    <row r="3780">
      <c r="A3780" s="6" t="s">
        <v>8127</v>
      </c>
      <c r="B3780" s="6" t="s">
        <v>194</v>
      </c>
      <c r="C3780" s="6" t="s">
        <v>48</v>
      </c>
      <c r="D3780" s="6" t="s">
        <v>8128</v>
      </c>
      <c r="E3780" s="6" t="s">
        <v>573</v>
      </c>
      <c r="F3780" s="6" t="s">
        <v>51</v>
      </c>
      <c r="G3780" s="7">
        <v>0.1</v>
      </c>
      <c r="H3780" s="6" t="s">
        <v>289</v>
      </c>
      <c r="I3780" s="6" t="s">
        <v>20</v>
      </c>
      <c r="J3780" s="6">
        <v>1996.0</v>
      </c>
      <c r="L3780" s="6">
        <v>1.0</v>
      </c>
      <c r="M3780" s="8">
        <f t="shared" si="3"/>
        <v>0.1</v>
      </c>
      <c r="P3780" s="9"/>
    </row>
    <row r="3781">
      <c r="A3781" s="6" t="s">
        <v>8129</v>
      </c>
      <c r="B3781" s="6" t="s">
        <v>182</v>
      </c>
      <c r="C3781" s="6" t="s">
        <v>23</v>
      </c>
      <c r="D3781" s="6" t="s">
        <v>8130</v>
      </c>
      <c r="E3781" s="6" t="s">
        <v>3644</v>
      </c>
      <c r="F3781" s="6" t="s">
        <v>717</v>
      </c>
      <c r="G3781" s="7">
        <v>0.15</v>
      </c>
      <c r="H3781" s="6" t="s">
        <v>1361</v>
      </c>
      <c r="I3781" s="6" t="s">
        <v>20</v>
      </c>
      <c r="J3781" s="6">
        <v>2008.0</v>
      </c>
      <c r="L3781" s="6">
        <v>1.0</v>
      </c>
      <c r="M3781" s="8">
        <f t="shared" si="3"/>
        <v>0.15</v>
      </c>
      <c r="P3781" s="9"/>
    </row>
    <row r="3782">
      <c r="A3782" s="6" t="s">
        <v>8131</v>
      </c>
      <c r="B3782" s="6" t="s">
        <v>2898</v>
      </c>
      <c r="C3782" s="6" t="s">
        <v>23</v>
      </c>
      <c r="E3782" s="6" t="s">
        <v>235</v>
      </c>
      <c r="F3782" s="6" t="s">
        <v>103</v>
      </c>
      <c r="G3782" s="7">
        <v>0.09</v>
      </c>
      <c r="H3782" s="6" t="s">
        <v>109</v>
      </c>
      <c r="I3782" s="6" t="s">
        <v>20</v>
      </c>
      <c r="J3782" s="6">
        <v>1995.0</v>
      </c>
      <c r="K3782" s="10">
        <v>46055.0</v>
      </c>
      <c r="L3782" s="6">
        <v>6.0</v>
      </c>
      <c r="M3782" s="8">
        <f t="shared" si="3"/>
        <v>0.54</v>
      </c>
      <c r="P3782" s="9"/>
    </row>
    <row r="3783">
      <c r="A3783" s="6" t="s">
        <v>8131</v>
      </c>
      <c r="B3783" s="6" t="s">
        <v>2898</v>
      </c>
      <c r="C3783" s="6" t="s">
        <v>23</v>
      </c>
      <c r="E3783" s="6" t="s">
        <v>235</v>
      </c>
      <c r="F3783" s="6" t="s">
        <v>103</v>
      </c>
      <c r="G3783" s="7">
        <v>0.22</v>
      </c>
      <c r="H3783" s="6" t="s">
        <v>607</v>
      </c>
      <c r="I3783" s="6" t="s">
        <v>20</v>
      </c>
      <c r="J3783" s="6">
        <v>1995.0</v>
      </c>
      <c r="K3783" s="10">
        <v>46055.0</v>
      </c>
      <c r="L3783" s="6">
        <v>2.0</v>
      </c>
      <c r="M3783" s="8">
        <f t="shared" si="3"/>
        <v>0.44</v>
      </c>
      <c r="P3783" s="9"/>
    </row>
    <row r="3784">
      <c r="A3784" s="6" t="s">
        <v>8131</v>
      </c>
      <c r="B3784" s="6" t="s">
        <v>2898</v>
      </c>
      <c r="C3784" s="6" t="s">
        <v>23</v>
      </c>
      <c r="E3784" s="6" t="s">
        <v>235</v>
      </c>
      <c r="F3784" s="6" t="s">
        <v>103</v>
      </c>
      <c r="G3784" s="7">
        <v>0.09</v>
      </c>
      <c r="H3784" s="6" t="s">
        <v>546</v>
      </c>
      <c r="I3784" s="6" t="s">
        <v>55</v>
      </c>
      <c r="J3784" s="6">
        <v>2001.0</v>
      </c>
      <c r="K3784" s="10">
        <v>46055.0</v>
      </c>
      <c r="L3784" s="6">
        <v>1.0</v>
      </c>
      <c r="M3784" s="8">
        <f t="shared" si="3"/>
        <v>0.09</v>
      </c>
      <c r="P3784" s="9"/>
    </row>
    <row r="3785">
      <c r="A3785" s="6" t="s">
        <v>8132</v>
      </c>
      <c r="B3785" s="6" t="s">
        <v>143</v>
      </c>
      <c r="C3785" s="6" t="s">
        <v>23</v>
      </c>
      <c r="D3785" s="6" t="s">
        <v>8133</v>
      </c>
      <c r="E3785" s="6" t="s">
        <v>112</v>
      </c>
      <c r="F3785" s="6" t="s">
        <v>65</v>
      </c>
      <c r="G3785" s="7">
        <v>0.05</v>
      </c>
      <c r="H3785" s="6" t="s">
        <v>224</v>
      </c>
      <c r="I3785" s="6" t="s">
        <v>20</v>
      </c>
      <c r="J3785" s="6">
        <v>2020.0</v>
      </c>
      <c r="L3785" s="6">
        <v>1.0</v>
      </c>
      <c r="M3785" s="8">
        <f t="shared" si="3"/>
        <v>0.05</v>
      </c>
      <c r="P3785" s="9"/>
    </row>
    <row r="3786">
      <c r="A3786" s="6" t="s">
        <v>8134</v>
      </c>
      <c r="B3786" s="6" t="s">
        <v>815</v>
      </c>
      <c r="C3786" s="6" t="s">
        <v>48</v>
      </c>
      <c r="D3786" s="6" t="s">
        <v>8135</v>
      </c>
      <c r="E3786" s="6" t="s">
        <v>153</v>
      </c>
      <c r="F3786" s="6" t="s">
        <v>103</v>
      </c>
      <c r="G3786" s="7">
        <v>0.06</v>
      </c>
      <c r="H3786" s="6" t="s">
        <v>109</v>
      </c>
      <c r="I3786" s="6" t="s">
        <v>20</v>
      </c>
      <c r="J3786" s="6">
        <v>1995.0</v>
      </c>
      <c r="K3786" s="10">
        <v>46055.0</v>
      </c>
      <c r="L3786" s="6">
        <v>2.0</v>
      </c>
      <c r="M3786" s="8">
        <f t="shared" si="3"/>
        <v>0.12</v>
      </c>
      <c r="P3786" s="9"/>
    </row>
    <row r="3787">
      <c r="A3787" s="6" t="s">
        <v>8134</v>
      </c>
      <c r="B3787" s="6" t="s">
        <v>815</v>
      </c>
      <c r="C3787" s="6" t="s">
        <v>48</v>
      </c>
      <c r="D3787" s="6" t="s">
        <v>8135</v>
      </c>
      <c r="E3787" s="6" t="s">
        <v>153</v>
      </c>
      <c r="F3787" s="6" t="s">
        <v>103</v>
      </c>
      <c r="G3787" s="7">
        <v>0.49</v>
      </c>
      <c r="H3787" s="6" t="s">
        <v>1382</v>
      </c>
      <c r="I3787" s="6" t="s">
        <v>20</v>
      </c>
      <c r="J3787" s="6">
        <v>1995.0</v>
      </c>
      <c r="K3787" s="10">
        <v>46055.0</v>
      </c>
      <c r="L3787" s="6">
        <v>3.0</v>
      </c>
      <c r="M3787" s="8">
        <f t="shared" si="3"/>
        <v>1.47</v>
      </c>
      <c r="P3787" s="9"/>
    </row>
    <row r="3788">
      <c r="A3788" s="6" t="s">
        <v>8136</v>
      </c>
      <c r="B3788" s="6" t="s">
        <v>1396</v>
      </c>
      <c r="C3788" s="6" t="s">
        <v>23</v>
      </c>
      <c r="D3788" s="6" t="s">
        <v>8137</v>
      </c>
      <c r="E3788" s="6" t="s">
        <v>235</v>
      </c>
      <c r="F3788" s="6" t="s">
        <v>103</v>
      </c>
      <c r="G3788" s="7">
        <v>0.03</v>
      </c>
      <c r="H3788" s="6" t="s">
        <v>526</v>
      </c>
      <c r="I3788" s="6" t="s">
        <v>20</v>
      </c>
      <c r="J3788" s="6">
        <v>2020.0</v>
      </c>
      <c r="K3788" s="10">
        <v>46024.0</v>
      </c>
      <c r="L3788" s="6">
        <v>5.0</v>
      </c>
      <c r="M3788" s="8">
        <f t="shared" si="3"/>
        <v>0.15</v>
      </c>
      <c r="P3788" s="9"/>
    </row>
    <row r="3789">
      <c r="A3789" s="6" t="s">
        <v>8138</v>
      </c>
      <c r="B3789" s="6" t="s">
        <v>127</v>
      </c>
      <c r="C3789" s="6" t="s">
        <v>23</v>
      </c>
      <c r="D3789" s="6" t="s">
        <v>8139</v>
      </c>
      <c r="E3789" s="6" t="s">
        <v>79</v>
      </c>
      <c r="F3789" s="6" t="s">
        <v>51</v>
      </c>
      <c r="G3789" s="7">
        <v>0.05</v>
      </c>
      <c r="H3789" s="6" t="s">
        <v>626</v>
      </c>
      <c r="I3789" s="6" t="s">
        <v>20</v>
      </c>
      <c r="J3789" s="6">
        <v>2013.0</v>
      </c>
      <c r="K3789" s="10">
        <v>46113.0</v>
      </c>
      <c r="L3789" s="6">
        <v>1.0</v>
      </c>
      <c r="M3789" s="8">
        <f t="shared" si="3"/>
        <v>0.05</v>
      </c>
      <c r="P3789" s="9"/>
    </row>
    <row r="3790">
      <c r="A3790" s="6" t="s">
        <v>8140</v>
      </c>
      <c r="B3790" s="6" t="s">
        <v>1074</v>
      </c>
      <c r="C3790" s="6" t="s">
        <v>72</v>
      </c>
      <c r="D3790" s="6" t="s">
        <v>8141</v>
      </c>
      <c r="F3790" s="6" t="s">
        <v>244</v>
      </c>
      <c r="G3790" s="7">
        <v>0.18</v>
      </c>
      <c r="H3790" s="6" t="s">
        <v>289</v>
      </c>
      <c r="I3790" s="6" t="s">
        <v>20</v>
      </c>
      <c r="J3790" s="6">
        <v>1996.0</v>
      </c>
      <c r="L3790" s="6">
        <v>1.0</v>
      </c>
      <c r="M3790" s="8">
        <f t="shared" si="3"/>
        <v>0.18</v>
      </c>
      <c r="P3790" s="9"/>
    </row>
    <row r="3791">
      <c r="A3791" s="6" t="s">
        <v>8142</v>
      </c>
      <c r="B3791" s="6" t="s">
        <v>2159</v>
      </c>
      <c r="C3791" s="6" t="s">
        <v>23</v>
      </c>
      <c r="D3791" s="6" t="s">
        <v>8143</v>
      </c>
      <c r="E3791" s="6" t="s">
        <v>102</v>
      </c>
      <c r="F3791" s="6" t="s">
        <v>103</v>
      </c>
      <c r="G3791" s="7">
        <v>0.04</v>
      </c>
      <c r="H3791" s="6" t="s">
        <v>845</v>
      </c>
      <c r="I3791" s="6" t="s">
        <v>20</v>
      </c>
      <c r="J3791" s="6">
        <v>2022.0</v>
      </c>
      <c r="L3791" s="6">
        <v>1.0</v>
      </c>
      <c r="M3791" s="8">
        <f t="shared" si="3"/>
        <v>0.04</v>
      </c>
      <c r="P3791" s="9"/>
    </row>
    <row r="3792">
      <c r="A3792" s="6" t="s">
        <v>8144</v>
      </c>
      <c r="B3792" s="6" t="s">
        <v>8145</v>
      </c>
      <c r="C3792" s="6" t="s">
        <v>15</v>
      </c>
      <c r="D3792" s="6" t="s">
        <v>8146</v>
      </c>
      <c r="E3792" s="6" t="s">
        <v>1844</v>
      </c>
      <c r="F3792" s="6" t="s">
        <v>858</v>
      </c>
      <c r="G3792" s="7">
        <v>0.2</v>
      </c>
      <c r="H3792" s="6" t="s">
        <v>807</v>
      </c>
      <c r="I3792" s="6" t="s">
        <v>20</v>
      </c>
      <c r="J3792" s="6">
        <v>2026.0</v>
      </c>
      <c r="K3792" s="10">
        <v>46055.0</v>
      </c>
      <c r="L3792" s="6">
        <v>1.0</v>
      </c>
      <c r="M3792" s="8">
        <f t="shared" si="3"/>
        <v>0.2</v>
      </c>
      <c r="P3792" s="9"/>
    </row>
    <row r="3793">
      <c r="A3793" s="6" t="s">
        <v>8147</v>
      </c>
      <c r="B3793" s="6" t="s">
        <v>62</v>
      </c>
      <c r="C3793" s="6" t="s">
        <v>23</v>
      </c>
      <c r="D3793" s="6" t="s">
        <v>8148</v>
      </c>
      <c r="E3793" s="6" t="s">
        <v>112</v>
      </c>
      <c r="F3793" s="6" t="s">
        <v>65</v>
      </c>
      <c r="G3793" s="7">
        <v>0.06</v>
      </c>
      <c r="H3793" s="6" t="s">
        <v>141</v>
      </c>
      <c r="I3793" s="6" t="s">
        <v>20</v>
      </c>
      <c r="J3793" s="6">
        <v>2019.0</v>
      </c>
      <c r="L3793" s="6">
        <v>1.0</v>
      </c>
      <c r="M3793" s="8">
        <f t="shared" si="3"/>
        <v>0.06</v>
      </c>
      <c r="P3793" s="9"/>
    </row>
    <row r="3794">
      <c r="A3794" s="6" t="s">
        <v>8149</v>
      </c>
      <c r="B3794" s="6" t="s">
        <v>62</v>
      </c>
      <c r="C3794" s="6" t="s">
        <v>23</v>
      </c>
      <c r="D3794" s="6" t="s">
        <v>8150</v>
      </c>
      <c r="E3794" s="6" t="s">
        <v>112</v>
      </c>
      <c r="F3794" s="6" t="s">
        <v>65</v>
      </c>
      <c r="G3794" s="7">
        <v>0.04</v>
      </c>
      <c r="H3794" s="6" t="s">
        <v>185</v>
      </c>
      <c r="I3794" s="6" t="s">
        <v>20</v>
      </c>
      <c r="J3794" s="6">
        <v>2019.0</v>
      </c>
      <c r="L3794" s="6">
        <v>1.0</v>
      </c>
      <c r="M3794" s="8">
        <f t="shared" si="3"/>
        <v>0.04</v>
      </c>
      <c r="P3794" s="9"/>
    </row>
    <row r="3795">
      <c r="A3795" s="6" t="s">
        <v>8151</v>
      </c>
      <c r="B3795" s="6" t="s">
        <v>8152</v>
      </c>
      <c r="C3795" s="6" t="s">
        <v>34</v>
      </c>
      <c r="D3795" s="6" t="s">
        <v>8153</v>
      </c>
      <c r="E3795" s="6" t="s">
        <v>852</v>
      </c>
      <c r="F3795" s="6" t="s">
        <v>18</v>
      </c>
      <c r="G3795" s="7">
        <v>0.05</v>
      </c>
      <c r="H3795" s="6" t="s">
        <v>209</v>
      </c>
      <c r="I3795" s="6" t="s">
        <v>20</v>
      </c>
      <c r="J3795" s="6">
        <v>2025.0</v>
      </c>
      <c r="K3795" s="10">
        <v>46113.0</v>
      </c>
      <c r="L3795" s="6">
        <v>5.0</v>
      </c>
      <c r="M3795" s="8">
        <f t="shared" si="3"/>
        <v>0.25</v>
      </c>
      <c r="P3795" s="9"/>
    </row>
    <row r="3796">
      <c r="A3796" s="6" t="s">
        <v>8151</v>
      </c>
      <c r="B3796" s="6" t="s">
        <v>8152</v>
      </c>
      <c r="C3796" s="6" t="s">
        <v>34</v>
      </c>
      <c r="D3796" s="6" t="s">
        <v>8153</v>
      </c>
      <c r="E3796" s="6" t="s">
        <v>852</v>
      </c>
      <c r="F3796" s="6" t="s">
        <v>18</v>
      </c>
      <c r="G3796" s="7">
        <v>0.24</v>
      </c>
      <c r="H3796" s="6" t="s">
        <v>209</v>
      </c>
      <c r="I3796" s="6" t="s">
        <v>55</v>
      </c>
      <c r="J3796" s="6">
        <v>2025.0</v>
      </c>
      <c r="K3796" s="10">
        <v>46113.0</v>
      </c>
      <c r="L3796" s="6">
        <v>1.0</v>
      </c>
      <c r="M3796" s="8">
        <f t="shared" si="3"/>
        <v>0.24</v>
      </c>
      <c r="P3796" s="9"/>
    </row>
    <row r="3797">
      <c r="A3797" s="6" t="s">
        <v>8154</v>
      </c>
      <c r="B3797" s="6" t="s">
        <v>62</v>
      </c>
      <c r="C3797" s="6" t="s">
        <v>23</v>
      </c>
      <c r="D3797" s="6" t="s">
        <v>8155</v>
      </c>
      <c r="E3797" s="6" t="s">
        <v>2235</v>
      </c>
      <c r="F3797" s="6" t="s">
        <v>37</v>
      </c>
      <c r="G3797" s="7">
        <v>0.04</v>
      </c>
      <c r="H3797" s="6" t="s">
        <v>621</v>
      </c>
      <c r="I3797" s="6" t="s">
        <v>20</v>
      </c>
      <c r="J3797" s="6">
        <v>2015.0</v>
      </c>
      <c r="L3797" s="6">
        <v>1.0</v>
      </c>
      <c r="M3797" s="8">
        <f t="shared" si="3"/>
        <v>0.04</v>
      </c>
      <c r="P3797" s="9"/>
    </row>
    <row r="3798">
      <c r="A3798" s="6" t="s">
        <v>8156</v>
      </c>
      <c r="B3798" s="6" t="s">
        <v>62</v>
      </c>
      <c r="C3798" s="6" t="s">
        <v>48</v>
      </c>
      <c r="D3798" s="6" t="s">
        <v>8157</v>
      </c>
      <c r="E3798" s="6" t="s">
        <v>345</v>
      </c>
      <c r="F3798" s="6" t="s">
        <v>18</v>
      </c>
      <c r="G3798" s="7">
        <v>0.05</v>
      </c>
      <c r="H3798" s="6" t="s">
        <v>66</v>
      </c>
      <c r="I3798" s="6" t="s">
        <v>20</v>
      </c>
      <c r="J3798" s="6">
        <v>2016.0</v>
      </c>
      <c r="L3798" s="6">
        <v>1.0</v>
      </c>
      <c r="M3798" s="8">
        <f t="shared" si="3"/>
        <v>0.05</v>
      </c>
      <c r="P3798" s="9"/>
    </row>
    <row r="3799">
      <c r="A3799" s="6" t="s">
        <v>8158</v>
      </c>
      <c r="B3799" s="6" t="s">
        <v>8159</v>
      </c>
      <c r="C3799" s="6" t="s">
        <v>15</v>
      </c>
      <c r="D3799" s="6" t="s">
        <v>8160</v>
      </c>
      <c r="E3799" s="6" t="s">
        <v>2051</v>
      </c>
      <c r="F3799" s="6" t="s">
        <v>65</v>
      </c>
      <c r="G3799" s="7">
        <v>0.09</v>
      </c>
      <c r="H3799" s="6" t="s">
        <v>180</v>
      </c>
      <c r="I3799" s="6" t="s">
        <v>20</v>
      </c>
      <c r="J3799" s="6">
        <v>2014.0</v>
      </c>
      <c r="K3799" s="10">
        <v>46084.0</v>
      </c>
      <c r="L3799" s="6">
        <v>1.0</v>
      </c>
      <c r="M3799" s="8">
        <f t="shared" si="3"/>
        <v>0.09</v>
      </c>
      <c r="P3799" s="9"/>
    </row>
    <row r="3800">
      <c r="A3800" s="6" t="s">
        <v>8161</v>
      </c>
      <c r="B3800" s="6" t="s">
        <v>372</v>
      </c>
      <c r="C3800" s="6" t="s">
        <v>23</v>
      </c>
      <c r="D3800" s="6" t="s">
        <v>8162</v>
      </c>
      <c r="E3800" s="6" t="s">
        <v>102</v>
      </c>
      <c r="F3800" s="6" t="s">
        <v>103</v>
      </c>
      <c r="G3800" s="7">
        <v>0.05</v>
      </c>
      <c r="H3800" s="6" t="s">
        <v>626</v>
      </c>
      <c r="I3800" s="6" t="s">
        <v>20</v>
      </c>
      <c r="J3800" s="6">
        <v>2013.0</v>
      </c>
      <c r="L3800" s="6">
        <v>1.0</v>
      </c>
      <c r="M3800" s="8">
        <f t="shared" si="3"/>
        <v>0.05</v>
      </c>
      <c r="P3800" s="9"/>
    </row>
    <row r="3801">
      <c r="A3801" s="6" t="s">
        <v>8163</v>
      </c>
      <c r="B3801" s="6" t="s">
        <v>182</v>
      </c>
      <c r="C3801" s="6" t="s">
        <v>23</v>
      </c>
      <c r="D3801" s="6" t="s">
        <v>8164</v>
      </c>
      <c r="E3801" s="6" t="s">
        <v>270</v>
      </c>
      <c r="F3801" s="6" t="s">
        <v>159</v>
      </c>
      <c r="G3801" s="7">
        <v>0.05</v>
      </c>
      <c r="H3801" s="6" t="s">
        <v>129</v>
      </c>
      <c r="I3801" s="6" t="s">
        <v>20</v>
      </c>
      <c r="J3801" s="6">
        <v>2014.0</v>
      </c>
      <c r="L3801" s="6">
        <v>1.0</v>
      </c>
      <c r="M3801" s="8">
        <f t="shared" si="3"/>
        <v>0.05</v>
      </c>
      <c r="P3801" s="9"/>
    </row>
    <row r="3802">
      <c r="A3802" s="6" t="s">
        <v>8165</v>
      </c>
      <c r="B3802" s="6" t="s">
        <v>307</v>
      </c>
      <c r="C3802" s="6" t="s">
        <v>48</v>
      </c>
      <c r="D3802" s="6" t="s">
        <v>8166</v>
      </c>
      <c r="E3802" s="6" t="s">
        <v>303</v>
      </c>
      <c r="F3802" s="6" t="s">
        <v>37</v>
      </c>
      <c r="G3802" s="7">
        <v>0.06</v>
      </c>
      <c r="H3802" s="6" t="s">
        <v>185</v>
      </c>
      <c r="I3802" s="6" t="s">
        <v>20</v>
      </c>
      <c r="J3802" s="6">
        <v>2019.0</v>
      </c>
      <c r="L3802" s="6">
        <v>1.0</v>
      </c>
      <c r="M3802" s="8">
        <f t="shared" si="3"/>
        <v>0.06</v>
      </c>
      <c r="P3802" s="9"/>
    </row>
    <row r="3803">
      <c r="A3803" s="6" t="s">
        <v>8167</v>
      </c>
      <c r="B3803" s="6" t="s">
        <v>1926</v>
      </c>
      <c r="C3803" s="6" t="s">
        <v>23</v>
      </c>
      <c r="D3803" s="6" t="s">
        <v>8168</v>
      </c>
      <c r="E3803" s="6" t="s">
        <v>625</v>
      </c>
      <c r="F3803" s="6" t="s">
        <v>37</v>
      </c>
      <c r="G3803" s="7">
        <v>0.09</v>
      </c>
      <c r="H3803" s="6" t="s">
        <v>1361</v>
      </c>
      <c r="I3803" s="6" t="s">
        <v>20</v>
      </c>
      <c r="J3803" s="6">
        <v>2008.0</v>
      </c>
      <c r="K3803" s="10">
        <v>46056.0</v>
      </c>
      <c r="L3803" s="6">
        <v>1.0</v>
      </c>
      <c r="M3803" s="8">
        <f t="shared" si="3"/>
        <v>0.09</v>
      </c>
      <c r="P3803" s="9"/>
    </row>
    <row r="3804">
      <c r="A3804" s="6" t="s">
        <v>8169</v>
      </c>
      <c r="B3804" s="6" t="s">
        <v>8170</v>
      </c>
      <c r="C3804" s="6" t="s">
        <v>23</v>
      </c>
      <c r="D3804" s="6" t="s">
        <v>8171</v>
      </c>
      <c r="E3804" s="6" t="s">
        <v>25</v>
      </c>
      <c r="F3804" s="6" t="s">
        <v>18</v>
      </c>
      <c r="G3804" s="7">
        <v>0.05</v>
      </c>
      <c r="H3804" s="6" t="s">
        <v>184</v>
      </c>
      <c r="I3804" s="6" t="s">
        <v>20</v>
      </c>
      <c r="J3804" s="6">
        <v>2015.0</v>
      </c>
      <c r="K3804" s="10">
        <v>46083.0</v>
      </c>
      <c r="L3804" s="6">
        <v>4.0</v>
      </c>
      <c r="M3804" s="8">
        <f t="shared" si="3"/>
        <v>0.2</v>
      </c>
      <c r="P3804" s="9"/>
    </row>
    <row r="3805">
      <c r="A3805" s="6" t="s">
        <v>8172</v>
      </c>
      <c r="B3805" s="6" t="s">
        <v>2898</v>
      </c>
      <c r="C3805" s="6" t="s">
        <v>23</v>
      </c>
      <c r="D3805" s="6" t="s">
        <v>8173</v>
      </c>
      <c r="E3805" s="6" t="s">
        <v>149</v>
      </c>
      <c r="F3805" s="6" t="s">
        <v>18</v>
      </c>
      <c r="G3805" s="7">
        <v>0.05</v>
      </c>
      <c r="H3805" s="6" t="s">
        <v>1494</v>
      </c>
      <c r="I3805" s="6" t="s">
        <v>20</v>
      </c>
      <c r="J3805" s="6">
        <v>2012.0</v>
      </c>
      <c r="K3805" s="10">
        <v>46024.0</v>
      </c>
      <c r="L3805" s="6">
        <v>1.0</v>
      </c>
      <c r="M3805" s="8">
        <f t="shared" si="3"/>
        <v>0.05</v>
      </c>
      <c r="P3805" s="9"/>
    </row>
    <row r="3806">
      <c r="A3806" s="6" t="s">
        <v>8172</v>
      </c>
      <c r="B3806" s="6" t="s">
        <v>2898</v>
      </c>
      <c r="C3806" s="6" t="s">
        <v>23</v>
      </c>
      <c r="D3806" s="6" t="s">
        <v>8173</v>
      </c>
      <c r="E3806" s="6" t="s">
        <v>149</v>
      </c>
      <c r="F3806" s="6" t="s">
        <v>18</v>
      </c>
      <c r="G3806" s="7">
        <v>0.06</v>
      </c>
      <c r="H3806" s="6" t="s">
        <v>184</v>
      </c>
      <c r="I3806" s="6" t="s">
        <v>20</v>
      </c>
      <c r="J3806" s="6">
        <v>2015.0</v>
      </c>
      <c r="K3806" s="10">
        <v>46024.0</v>
      </c>
      <c r="L3806" s="6">
        <v>3.0</v>
      </c>
      <c r="M3806" s="8">
        <f t="shared" si="3"/>
        <v>0.18</v>
      </c>
      <c r="P3806" s="9"/>
    </row>
    <row r="3807">
      <c r="A3807" s="6" t="s">
        <v>8172</v>
      </c>
      <c r="B3807" s="6" t="s">
        <v>2898</v>
      </c>
      <c r="C3807" s="6" t="s">
        <v>23</v>
      </c>
      <c r="D3807" s="6" t="s">
        <v>8173</v>
      </c>
      <c r="E3807" s="6" t="s">
        <v>149</v>
      </c>
      <c r="F3807" s="6" t="s">
        <v>18</v>
      </c>
      <c r="G3807" s="7">
        <v>0.06</v>
      </c>
      <c r="H3807" s="6" t="s">
        <v>184</v>
      </c>
      <c r="I3807" s="6" t="s">
        <v>20</v>
      </c>
      <c r="J3807" s="6">
        <v>2015.0</v>
      </c>
      <c r="K3807" s="10">
        <v>46024.0</v>
      </c>
      <c r="L3807" s="6">
        <v>1.0</v>
      </c>
      <c r="M3807" s="8">
        <f t="shared" si="3"/>
        <v>0.06</v>
      </c>
      <c r="P3807" s="9"/>
    </row>
    <row r="3808">
      <c r="A3808" s="6" t="s">
        <v>8174</v>
      </c>
      <c r="B3808" s="6" t="s">
        <v>127</v>
      </c>
      <c r="C3808" s="6" t="s">
        <v>23</v>
      </c>
      <c r="D3808" s="6" t="s">
        <v>8175</v>
      </c>
      <c r="E3808" s="6" t="s">
        <v>25</v>
      </c>
      <c r="F3808" s="6" t="s">
        <v>18</v>
      </c>
      <c r="G3808" s="7">
        <v>0.03</v>
      </c>
      <c r="H3808" s="6" t="s">
        <v>562</v>
      </c>
      <c r="I3808" s="6" t="s">
        <v>20</v>
      </c>
      <c r="J3808" s="6">
        <v>2017.0</v>
      </c>
      <c r="K3808" s="10">
        <v>46055.0</v>
      </c>
      <c r="L3808" s="6">
        <v>2.0</v>
      </c>
      <c r="M3808" s="8">
        <f t="shared" si="3"/>
        <v>0.06</v>
      </c>
      <c r="P3808" s="9"/>
    </row>
    <row r="3809">
      <c r="A3809" s="6" t="s">
        <v>8176</v>
      </c>
      <c r="B3809" s="6" t="s">
        <v>8177</v>
      </c>
      <c r="C3809" s="6" t="s">
        <v>23</v>
      </c>
      <c r="D3809" s="6" t="s">
        <v>8178</v>
      </c>
      <c r="E3809" s="6" t="s">
        <v>558</v>
      </c>
      <c r="F3809" s="6" t="s">
        <v>18</v>
      </c>
      <c r="G3809" s="7">
        <v>0.05</v>
      </c>
      <c r="H3809" s="6" t="s">
        <v>911</v>
      </c>
      <c r="I3809" s="6" t="s">
        <v>20</v>
      </c>
      <c r="J3809" s="6">
        <v>2001.0</v>
      </c>
      <c r="K3809" s="10">
        <v>46055.0</v>
      </c>
      <c r="L3809" s="6">
        <v>2.0</v>
      </c>
      <c r="M3809" s="8">
        <f t="shared" si="3"/>
        <v>0.1</v>
      </c>
      <c r="P3809" s="9"/>
    </row>
    <row r="3810">
      <c r="A3810" s="6" t="s">
        <v>8179</v>
      </c>
      <c r="B3810" s="6" t="s">
        <v>2354</v>
      </c>
      <c r="C3810" s="6" t="s">
        <v>23</v>
      </c>
      <c r="D3810" s="6" t="s">
        <v>8180</v>
      </c>
      <c r="E3810" s="6" t="s">
        <v>25</v>
      </c>
      <c r="F3810" s="6" t="s">
        <v>18</v>
      </c>
      <c r="G3810" s="7">
        <v>0.06</v>
      </c>
      <c r="H3810" s="6" t="s">
        <v>154</v>
      </c>
      <c r="I3810" s="6" t="s">
        <v>20</v>
      </c>
      <c r="J3810" s="6">
        <v>2013.0</v>
      </c>
      <c r="K3810" s="10">
        <v>46082.0</v>
      </c>
      <c r="L3810" s="6">
        <v>2.0</v>
      </c>
      <c r="M3810" s="8">
        <f t="shared" si="3"/>
        <v>0.12</v>
      </c>
      <c r="P3810" s="9"/>
    </row>
    <row r="3811">
      <c r="A3811" s="6" t="s">
        <v>8181</v>
      </c>
      <c r="B3811" s="6" t="s">
        <v>8182</v>
      </c>
      <c r="C3811" s="6" t="s">
        <v>23</v>
      </c>
      <c r="D3811" s="6" t="s">
        <v>8183</v>
      </c>
      <c r="E3811" s="6" t="s">
        <v>223</v>
      </c>
      <c r="F3811" s="6" t="s">
        <v>159</v>
      </c>
      <c r="G3811" s="7">
        <v>0.05</v>
      </c>
      <c r="H3811" s="6" t="s">
        <v>552</v>
      </c>
      <c r="I3811" s="6" t="s">
        <v>20</v>
      </c>
      <c r="J3811" s="6">
        <v>2020.0</v>
      </c>
      <c r="K3811" s="6" t="s">
        <v>697</v>
      </c>
      <c r="L3811" s="6">
        <v>1.0</v>
      </c>
      <c r="M3811" s="8">
        <f t="shared" si="3"/>
        <v>0.05</v>
      </c>
      <c r="P3811" s="9"/>
    </row>
    <row r="3812">
      <c r="A3812" s="6" t="s">
        <v>8184</v>
      </c>
      <c r="B3812" s="6" t="s">
        <v>8185</v>
      </c>
      <c r="C3812" s="6" t="s">
        <v>48</v>
      </c>
      <c r="D3812" s="6" t="s">
        <v>8186</v>
      </c>
      <c r="E3812" s="6" t="s">
        <v>149</v>
      </c>
      <c r="F3812" s="6" t="s">
        <v>18</v>
      </c>
      <c r="G3812" s="7">
        <v>0.25</v>
      </c>
      <c r="H3812" s="6" t="s">
        <v>324</v>
      </c>
      <c r="I3812" s="6" t="s">
        <v>20</v>
      </c>
      <c r="J3812" s="6">
        <v>2025.0</v>
      </c>
      <c r="K3812" s="10">
        <v>46054.0</v>
      </c>
      <c r="L3812" s="6">
        <v>1.0</v>
      </c>
      <c r="M3812" s="8">
        <f t="shared" si="3"/>
        <v>0.25</v>
      </c>
      <c r="P3812" s="9"/>
    </row>
    <row r="3813">
      <c r="A3813" s="6" t="s">
        <v>8187</v>
      </c>
      <c r="B3813" s="6" t="s">
        <v>202</v>
      </c>
      <c r="C3813" s="6" t="s">
        <v>48</v>
      </c>
      <c r="D3813" s="6" t="s">
        <v>8188</v>
      </c>
      <c r="E3813" s="6" t="s">
        <v>2195</v>
      </c>
      <c r="F3813" s="6" t="s">
        <v>986</v>
      </c>
      <c r="G3813" s="7">
        <v>0.06</v>
      </c>
      <c r="H3813" s="6" t="s">
        <v>509</v>
      </c>
      <c r="I3813" s="6" t="s">
        <v>20</v>
      </c>
      <c r="J3813" s="6">
        <v>2024.0</v>
      </c>
      <c r="L3813" s="6">
        <v>1.0</v>
      </c>
      <c r="M3813" s="8">
        <f t="shared" si="3"/>
        <v>0.06</v>
      </c>
      <c r="P3813" s="9"/>
    </row>
    <row r="3814">
      <c r="A3814" s="6" t="s">
        <v>8189</v>
      </c>
      <c r="B3814" s="6" t="s">
        <v>8190</v>
      </c>
      <c r="C3814" s="6" t="s">
        <v>23</v>
      </c>
      <c r="D3814" s="6" t="s">
        <v>8191</v>
      </c>
      <c r="E3814" s="6" t="s">
        <v>8192</v>
      </c>
      <c r="F3814" s="6" t="s">
        <v>284</v>
      </c>
      <c r="G3814" s="7">
        <v>0.03</v>
      </c>
      <c r="H3814" s="6" t="s">
        <v>185</v>
      </c>
      <c r="I3814" s="6" t="s">
        <v>20</v>
      </c>
      <c r="J3814" s="6">
        <v>2019.0</v>
      </c>
      <c r="K3814" s="10">
        <v>46179.0</v>
      </c>
      <c r="L3814" s="6">
        <v>1.0</v>
      </c>
      <c r="M3814" s="8">
        <f t="shared" si="3"/>
        <v>0.03</v>
      </c>
      <c r="P3814" s="9"/>
    </row>
    <row r="3815">
      <c r="A3815" s="6" t="s">
        <v>8193</v>
      </c>
      <c r="B3815" s="6" t="s">
        <v>202</v>
      </c>
      <c r="C3815" s="6" t="s">
        <v>48</v>
      </c>
      <c r="D3815" s="6" t="s">
        <v>8194</v>
      </c>
      <c r="E3815" s="6" t="s">
        <v>149</v>
      </c>
      <c r="F3815" s="6" t="s">
        <v>18</v>
      </c>
      <c r="G3815" s="7">
        <v>0.1</v>
      </c>
      <c r="H3815" s="6" t="s">
        <v>171</v>
      </c>
      <c r="I3815" s="6" t="s">
        <v>20</v>
      </c>
      <c r="J3815" s="6">
        <v>2021.0</v>
      </c>
      <c r="L3815" s="6">
        <v>1.0</v>
      </c>
      <c r="M3815" s="8">
        <f t="shared" si="3"/>
        <v>0.1</v>
      </c>
      <c r="P3815" s="9"/>
    </row>
    <row r="3816">
      <c r="A3816" s="6" t="s">
        <v>8195</v>
      </c>
      <c r="B3816" s="6" t="s">
        <v>841</v>
      </c>
      <c r="C3816" s="6" t="s">
        <v>48</v>
      </c>
      <c r="D3816" s="6" t="s">
        <v>8196</v>
      </c>
      <c r="E3816" s="6" t="s">
        <v>243</v>
      </c>
      <c r="F3816" s="6" t="s">
        <v>37</v>
      </c>
      <c r="G3816" s="7">
        <v>0.04</v>
      </c>
      <c r="H3816" s="6" t="s">
        <v>978</v>
      </c>
      <c r="I3816" s="6" t="s">
        <v>20</v>
      </c>
      <c r="J3816" s="6">
        <v>2022.0</v>
      </c>
      <c r="K3816" s="10">
        <v>46026.0</v>
      </c>
      <c r="L3816" s="6">
        <v>1.0</v>
      </c>
      <c r="M3816" s="8">
        <f t="shared" si="3"/>
        <v>0.04</v>
      </c>
      <c r="P3816" s="9"/>
    </row>
    <row r="3817">
      <c r="A3817" s="6" t="s">
        <v>8197</v>
      </c>
      <c r="B3817" s="6" t="s">
        <v>1449</v>
      </c>
      <c r="C3817" s="6" t="s">
        <v>23</v>
      </c>
      <c r="D3817" s="6" t="s">
        <v>8198</v>
      </c>
      <c r="E3817" s="6" t="s">
        <v>3994</v>
      </c>
      <c r="F3817" s="6" t="s">
        <v>826</v>
      </c>
      <c r="G3817" s="7">
        <v>0.1</v>
      </c>
      <c r="H3817" s="6" t="s">
        <v>1361</v>
      </c>
      <c r="I3817" s="6" t="s">
        <v>20</v>
      </c>
      <c r="J3817" s="6">
        <v>2008.0</v>
      </c>
      <c r="K3817" s="10">
        <v>46023.0</v>
      </c>
      <c r="L3817" s="6">
        <v>1.0</v>
      </c>
      <c r="M3817" s="8">
        <f t="shared" si="3"/>
        <v>0.1</v>
      </c>
      <c r="P3817" s="9"/>
    </row>
    <row r="3818">
      <c r="A3818" s="6" t="s">
        <v>8199</v>
      </c>
      <c r="B3818" s="6" t="s">
        <v>4329</v>
      </c>
      <c r="C3818" s="6" t="s">
        <v>521</v>
      </c>
      <c r="D3818" s="6" t="s">
        <v>8200</v>
      </c>
      <c r="E3818" s="6" t="s">
        <v>238</v>
      </c>
      <c r="F3818" s="6" t="s">
        <v>159</v>
      </c>
      <c r="G3818" s="7">
        <v>0.23</v>
      </c>
      <c r="H3818" s="7" t="s">
        <v>621</v>
      </c>
      <c r="I3818" s="6" t="s">
        <v>55</v>
      </c>
      <c r="J3818" s="6">
        <v>2015.0</v>
      </c>
      <c r="K3818" s="10">
        <v>46023.0</v>
      </c>
      <c r="L3818" s="6">
        <v>1.0</v>
      </c>
      <c r="M3818" s="8">
        <f t="shared" si="3"/>
        <v>0.23</v>
      </c>
      <c r="P3818" s="9"/>
    </row>
    <row r="3819">
      <c r="A3819" s="6" t="s">
        <v>8201</v>
      </c>
      <c r="B3819" s="6" t="s">
        <v>424</v>
      </c>
      <c r="C3819" s="6" t="s">
        <v>41</v>
      </c>
      <c r="D3819" s="6" t="s">
        <v>8202</v>
      </c>
      <c r="F3819" s="6" t="s">
        <v>37</v>
      </c>
      <c r="G3819" s="7">
        <v>0.3</v>
      </c>
      <c r="H3819" s="6" t="s">
        <v>336</v>
      </c>
      <c r="I3819" s="6" t="s">
        <v>20</v>
      </c>
      <c r="J3819" s="6">
        <v>2016.0</v>
      </c>
      <c r="L3819" s="6">
        <v>1.0</v>
      </c>
      <c r="M3819" s="8">
        <f t="shared" si="3"/>
        <v>0.3</v>
      </c>
      <c r="P3819" s="9"/>
    </row>
    <row r="3820">
      <c r="A3820" s="6" t="s">
        <v>8203</v>
      </c>
      <c r="B3820" s="6" t="s">
        <v>7951</v>
      </c>
      <c r="C3820" s="6" t="s">
        <v>23</v>
      </c>
      <c r="D3820" s="6" t="s">
        <v>8204</v>
      </c>
      <c r="E3820" s="6" t="s">
        <v>558</v>
      </c>
      <c r="F3820" s="6" t="s">
        <v>18</v>
      </c>
      <c r="G3820" s="7">
        <v>0.05</v>
      </c>
      <c r="H3820" s="6" t="s">
        <v>7987</v>
      </c>
      <c r="I3820" s="6" t="s">
        <v>20</v>
      </c>
      <c r="J3820" s="6">
        <v>2001.0</v>
      </c>
      <c r="K3820" s="10">
        <v>46084.0</v>
      </c>
      <c r="L3820" s="6">
        <v>1.0</v>
      </c>
      <c r="M3820" s="8">
        <f t="shared" si="3"/>
        <v>0.05</v>
      </c>
      <c r="P3820" s="9"/>
    </row>
    <row r="3821">
      <c r="A3821" s="6" t="s">
        <v>8205</v>
      </c>
      <c r="B3821" s="6" t="s">
        <v>263</v>
      </c>
      <c r="C3821" s="6" t="s">
        <v>23</v>
      </c>
      <c r="D3821" s="6" t="s">
        <v>974</v>
      </c>
      <c r="E3821" s="6" t="s">
        <v>149</v>
      </c>
      <c r="F3821" s="6" t="s">
        <v>18</v>
      </c>
      <c r="G3821" s="7">
        <v>0.08</v>
      </c>
      <c r="H3821" s="6" t="s">
        <v>154</v>
      </c>
      <c r="I3821" s="6" t="s">
        <v>20</v>
      </c>
      <c r="J3821" s="6">
        <v>2013.0</v>
      </c>
      <c r="K3821" s="10">
        <v>46082.0</v>
      </c>
      <c r="L3821" s="6">
        <v>1.0</v>
      </c>
      <c r="M3821" s="8">
        <f t="shared" si="3"/>
        <v>0.08</v>
      </c>
      <c r="P3821" s="9"/>
    </row>
    <row r="3822">
      <c r="A3822" s="6" t="s">
        <v>8206</v>
      </c>
      <c r="B3822" s="6" t="s">
        <v>2898</v>
      </c>
      <c r="C3822" s="6" t="s">
        <v>23</v>
      </c>
      <c r="E3822" s="6" t="s">
        <v>149</v>
      </c>
      <c r="F3822" s="6" t="s">
        <v>18</v>
      </c>
      <c r="G3822" s="7">
        <v>0.04</v>
      </c>
      <c r="H3822" s="6" t="s">
        <v>93</v>
      </c>
      <c r="I3822" s="6" t="s">
        <v>20</v>
      </c>
      <c r="J3822" s="6">
        <v>2016.0</v>
      </c>
      <c r="K3822" s="10">
        <v>46082.0</v>
      </c>
      <c r="L3822" s="6">
        <v>1.0</v>
      </c>
      <c r="M3822" s="8">
        <f t="shared" si="3"/>
        <v>0.04</v>
      </c>
      <c r="P3822" s="9"/>
    </row>
    <row r="3823">
      <c r="A3823" s="6" t="s">
        <v>8207</v>
      </c>
      <c r="B3823" s="6" t="s">
        <v>592</v>
      </c>
      <c r="C3823" s="6" t="s">
        <v>521</v>
      </c>
      <c r="D3823" s="6" t="s">
        <v>8208</v>
      </c>
      <c r="E3823" s="6" t="s">
        <v>118</v>
      </c>
      <c r="F3823" s="6" t="s">
        <v>904</v>
      </c>
      <c r="G3823" s="7">
        <v>3.45</v>
      </c>
      <c r="H3823" s="6" t="s">
        <v>586</v>
      </c>
      <c r="I3823" s="6" t="s">
        <v>20</v>
      </c>
      <c r="J3823" s="6">
        <v>2000.0</v>
      </c>
      <c r="L3823" s="6">
        <v>1.0</v>
      </c>
      <c r="M3823" s="8">
        <f t="shared" si="3"/>
        <v>3.45</v>
      </c>
      <c r="P3823" s="9"/>
    </row>
    <row r="3824">
      <c r="A3824" s="6" t="s">
        <v>8209</v>
      </c>
      <c r="B3824" s="6" t="s">
        <v>194</v>
      </c>
      <c r="C3824" s="6" t="s">
        <v>571</v>
      </c>
      <c r="D3824" s="6" t="s">
        <v>8210</v>
      </c>
      <c r="E3824" s="6" t="s">
        <v>112</v>
      </c>
      <c r="F3824" s="6" t="s">
        <v>65</v>
      </c>
      <c r="G3824" s="7">
        <v>0.34</v>
      </c>
      <c r="H3824" s="6" t="s">
        <v>641</v>
      </c>
      <c r="I3824" s="6" t="s">
        <v>20</v>
      </c>
      <c r="J3824" s="6">
        <v>2026.0</v>
      </c>
      <c r="L3824" s="6">
        <v>2.0</v>
      </c>
      <c r="M3824" s="8">
        <f t="shared" si="3"/>
        <v>0.68</v>
      </c>
      <c r="P3824" s="9"/>
    </row>
    <row r="3825">
      <c r="A3825" s="6" t="s">
        <v>8211</v>
      </c>
      <c r="B3825" s="6" t="s">
        <v>62</v>
      </c>
      <c r="C3825" s="6" t="s">
        <v>23</v>
      </c>
      <c r="D3825" s="6" t="s">
        <v>8212</v>
      </c>
      <c r="E3825" s="6" t="s">
        <v>175</v>
      </c>
      <c r="F3825" s="6" t="s">
        <v>51</v>
      </c>
      <c r="G3825" s="7">
        <v>0.04</v>
      </c>
      <c r="H3825" s="6" t="s">
        <v>336</v>
      </c>
      <c r="I3825" s="6" t="s">
        <v>20</v>
      </c>
      <c r="J3825" s="6">
        <v>2016.0</v>
      </c>
      <c r="L3825" s="6">
        <v>1.0</v>
      </c>
      <c r="M3825" s="8">
        <f t="shared" si="3"/>
        <v>0.04</v>
      </c>
      <c r="P3825" s="9"/>
    </row>
    <row r="3826">
      <c r="A3826" s="6" t="s">
        <v>8213</v>
      </c>
      <c r="B3826" s="6" t="s">
        <v>8214</v>
      </c>
      <c r="C3826" s="6" t="s">
        <v>521</v>
      </c>
      <c r="D3826" s="6" t="s">
        <v>8215</v>
      </c>
      <c r="E3826" s="6" t="s">
        <v>64</v>
      </c>
      <c r="F3826" s="6" t="s">
        <v>65</v>
      </c>
      <c r="G3826" s="7">
        <v>0.05</v>
      </c>
      <c r="H3826" s="6" t="s">
        <v>8216</v>
      </c>
      <c r="I3826" s="6" t="s">
        <v>20</v>
      </c>
      <c r="J3826" s="6">
        <v>1996.0</v>
      </c>
      <c r="K3826" s="10">
        <v>46055.0</v>
      </c>
      <c r="L3826" s="6">
        <v>1.0</v>
      </c>
      <c r="M3826" s="8">
        <f t="shared" si="3"/>
        <v>0.05</v>
      </c>
      <c r="P3826" s="9"/>
    </row>
    <row r="3827">
      <c r="A3827" s="6" t="s">
        <v>8217</v>
      </c>
      <c r="B3827" s="6" t="s">
        <v>62</v>
      </c>
      <c r="C3827" s="6" t="s">
        <v>23</v>
      </c>
      <c r="D3827" s="6" t="s">
        <v>8218</v>
      </c>
      <c r="E3827" s="6" t="s">
        <v>270</v>
      </c>
      <c r="F3827" s="6" t="s">
        <v>159</v>
      </c>
      <c r="G3827" s="7">
        <v>0.13</v>
      </c>
      <c r="H3827" s="6" t="s">
        <v>418</v>
      </c>
      <c r="I3827" s="6" t="s">
        <v>20</v>
      </c>
      <c r="J3827" s="6">
        <v>2022.0</v>
      </c>
      <c r="L3827" s="6">
        <v>1.0</v>
      </c>
      <c r="M3827" s="8">
        <f t="shared" si="3"/>
        <v>0.13</v>
      </c>
      <c r="P3827" s="9"/>
    </row>
    <row r="3828">
      <c r="A3828" s="6" t="s">
        <v>8219</v>
      </c>
      <c r="B3828" s="6" t="s">
        <v>182</v>
      </c>
      <c r="C3828" s="6" t="s">
        <v>23</v>
      </c>
      <c r="D3828" s="6" t="s">
        <v>8220</v>
      </c>
      <c r="E3828" s="6" t="s">
        <v>293</v>
      </c>
      <c r="F3828" s="6" t="s">
        <v>18</v>
      </c>
      <c r="G3828" s="7">
        <v>0.03</v>
      </c>
      <c r="H3828" s="6" t="s">
        <v>875</v>
      </c>
      <c r="I3828" s="6" t="s">
        <v>20</v>
      </c>
      <c r="J3828" s="6">
        <v>2018.0</v>
      </c>
      <c r="L3828" s="6">
        <v>1.0</v>
      </c>
      <c r="M3828" s="8">
        <f t="shared" si="3"/>
        <v>0.03</v>
      </c>
      <c r="P3828" s="9"/>
    </row>
    <row r="3829">
      <c r="A3829" s="6" t="s">
        <v>8221</v>
      </c>
      <c r="B3829" s="6" t="s">
        <v>8222</v>
      </c>
      <c r="C3829" s="6" t="s">
        <v>23</v>
      </c>
      <c r="D3829" s="6" t="s">
        <v>7140</v>
      </c>
      <c r="E3829" s="6" t="s">
        <v>238</v>
      </c>
      <c r="F3829" s="6" t="s">
        <v>159</v>
      </c>
      <c r="G3829" s="7">
        <v>0.06</v>
      </c>
      <c r="H3829" s="6" t="s">
        <v>626</v>
      </c>
      <c r="I3829" s="6" t="s">
        <v>20</v>
      </c>
      <c r="J3829" s="6">
        <v>2013.0</v>
      </c>
      <c r="K3829" s="10">
        <v>46023.0</v>
      </c>
      <c r="L3829" s="6">
        <v>1.0</v>
      </c>
      <c r="M3829" s="8">
        <f t="shared" si="3"/>
        <v>0.06</v>
      </c>
      <c r="P3829" s="9"/>
    </row>
    <row r="3830">
      <c r="A3830" s="6" t="s">
        <v>8223</v>
      </c>
      <c r="B3830" s="6" t="s">
        <v>2673</v>
      </c>
      <c r="C3830" s="6" t="s">
        <v>48</v>
      </c>
      <c r="D3830" s="6" t="s">
        <v>8224</v>
      </c>
      <c r="E3830" s="6" t="s">
        <v>3300</v>
      </c>
      <c r="F3830" s="6" t="s">
        <v>874</v>
      </c>
      <c r="G3830" s="7">
        <v>0.3</v>
      </c>
      <c r="H3830" s="6" t="s">
        <v>1361</v>
      </c>
      <c r="I3830" s="6" t="s">
        <v>20</v>
      </c>
      <c r="J3830" s="6">
        <v>2008.0</v>
      </c>
      <c r="K3830" s="10">
        <v>46023.0</v>
      </c>
      <c r="L3830" s="6">
        <v>1.0</v>
      </c>
      <c r="M3830" s="8">
        <f t="shared" si="3"/>
        <v>0.3</v>
      </c>
      <c r="P3830" s="9"/>
    </row>
    <row r="3831">
      <c r="A3831" s="6" t="s">
        <v>8225</v>
      </c>
      <c r="B3831" s="6" t="s">
        <v>5214</v>
      </c>
      <c r="C3831" s="6" t="s">
        <v>15</v>
      </c>
      <c r="D3831" s="6" t="s">
        <v>8226</v>
      </c>
      <c r="E3831" s="6" t="s">
        <v>214</v>
      </c>
      <c r="F3831" s="6" t="s">
        <v>858</v>
      </c>
      <c r="G3831" s="7">
        <v>0.21</v>
      </c>
      <c r="H3831" s="6" t="s">
        <v>1043</v>
      </c>
      <c r="I3831" s="6" t="s">
        <v>20</v>
      </c>
      <c r="J3831" s="6">
        <v>2025.0</v>
      </c>
      <c r="K3831" s="10">
        <v>46083.0</v>
      </c>
      <c r="L3831" s="6">
        <v>1.0</v>
      </c>
      <c r="M3831" s="8">
        <f t="shared" si="3"/>
        <v>0.21</v>
      </c>
      <c r="P3831" s="9"/>
    </row>
    <row r="3832">
      <c r="A3832" s="6" t="s">
        <v>8227</v>
      </c>
      <c r="B3832" s="6" t="s">
        <v>182</v>
      </c>
      <c r="C3832" s="6" t="s">
        <v>48</v>
      </c>
      <c r="D3832" s="6" t="s">
        <v>8228</v>
      </c>
      <c r="E3832" s="6" t="s">
        <v>298</v>
      </c>
      <c r="F3832" s="6" t="s">
        <v>159</v>
      </c>
      <c r="G3832" s="7">
        <v>0.05</v>
      </c>
      <c r="H3832" s="6" t="s">
        <v>129</v>
      </c>
      <c r="I3832" s="6" t="s">
        <v>20</v>
      </c>
      <c r="J3832" s="6">
        <v>2014.0</v>
      </c>
      <c r="L3832" s="6">
        <v>1.0</v>
      </c>
      <c r="M3832" s="8">
        <f t="shared" si="3"/>
        <v>0.05</v>
      </c>
      <c r="N3832" s="6" t="s">
        <v>518</v>
      </c>
      <c r="P3832" s="9"/>
    </row>
    <row r="3833">
      <c r="A3833" s="6" t="s">
        <v>8227</v>
      </c>
      <c r="B3833" s="6" t="s">
        <v>182</v>
      </c>
      <c r="C3833" s="6" t="s">
        <v>48</v>
      </c>
      <c r="D3833" s="6" t="s">
        <v>8228</v>
      </c>
      <c r="E3833" s="6" t="s">
        <v>298</v>
      </c>
      <c r="F3833" s="6" t="s">
        <v>159</v>
      </c>
      <c r="G3833" s="7">
        <v>0.05</v>
      </c>
      <c r="H3833" s="6" t="s">
        <v>271</v>
      </c>
      <c r="I3833" s="6" t="s">
        <v>20</v>
      </c>
      <c r="J3833" s="6">
        <v>2012.0</v>
      </c>
      <c r="L3833" s="6">
        <v>1.0</v>
      </c>
      <c r="M3833" s="8">
        <f t="shared" si="3"/>
        <v>0.05</v>
      </c>
      <c r="P3833" s="9"/>
    </row>
    <row r="3834">
      <c r="A3834" s="6" t="s">
        <v>8229</v>
      </c>
      <c r="B3834" s="6" t="s">
        <v>3620</v>
      </c>
      <c r="C3834" s="6" t="s">
        <v>34</v>
      </c>
      <c r="D3834" s="6" t="s">
        <v>8230</v>
      </c>
      <c r="E3834" s="6" t="s">
        <v>395</v>
      </c>
      <c r="F3834" s="6" t="s">
        <v>51</v>
      </c>
      <c r="G3834" s="7">
        <v>0.05</v>
      </c>
      <c r="H3834" s="6" t="s">
        <v>453</v>
      </c>
      <c r="I3834" s="6" t="s">
        <v>20</v>
      </c>
      <c r="J3834" s="6">
        <v>1995.0</v>
      </c>
      <c r="L3834" s="6">
        <v>2.0</v>
      </c>
      <c r="M3834" s="8">
        <f t="shared" si="3"/>
        <v>0.1</v>
      </c>
      <c r="P3834" s="9"/>
    </row>
    <row r="3835">
      <c r="A3835" s="6" t="s">
        <v>8231</v>
      </c>
      <c r="B3835" s="6" t="s">
        <v>366</v>
      </c>
      <c r="C3835" s="6" t="s">
        <v>23</v>
      </c>
      <c r="D3835" s="6" t="s">
        <v>8232</v>
      </c>
      <c r="E3835" s="6" t="s">
        <v>395</v>
      </c>
      <c r="F3835" s="6" t="s">
        <v>51</v>
      </c>
      <c r="G3835" s="7">
        <v>0.05</v>
      </c>
      <c r="H3835" s="6" t="s">
        <v>119</v>
      </c>
      <c r="I3835" s="6" t="s">
        <v>20</v>
      </c>
      <c r="J3835" s="6">
        <v>1995.0</v>
      </c>
      <c r="L3835" s="6">
        <v>2.0</v>
      </c>
      <c r="M3835" s="8">
        <f t="shared" si="3"/>
        <v>0.1</v>
      </c>
      <c r="P3835" s="9"/>
    </row>
    <row r="3836">
      <c r="A3836" s="6" t="s">
        <v>8231</v>
      </c>
      <c r="B3836" s="6" t="s">
        <v>366</v>
      </c>
      <c r="C3836" s="6" t="s">
        <v>23</v>
      </c>
      <c r="D3836" s="6" t="s">
        <v>8232</v>
      </c>
      <c r="E3836" s="6" t="s">
        <v>395</v>
      </c>
      <c r="F3836" s="6" t="s">
        <v>51</v>
      </c>
      <c r="G3836" s="7">
        <v>0.15</v>
      </c>
      <c r="H3836" s="6" t="s">
        <v>120</v>
      </c>
      <c r="I3836" s="6" t="s">
        <v>20</v>
      </c>
      <c r="J3836" s="6">
        <v>1995.0</v>
      </c>
      <c r="L3836" s="6">
        <v>3.0</v>
      </c>
      <c r="M3836" s="8">
        <f t="shared" si="3"/>
        <v>0.45</v>
      </c>
      <c r="P3836" s="9"/>
    </row>
    <row r="3837">
      <c r="A3837" s="6" t="s">
        <v>8233</v>
      </c>
      <c r="B3837" s="6" t="s">
        <v>291</v>
      </c>
      <c r="C3837" s="6" t="s">
        <v>23</v>
      </c>
      <c r="D3837" s="6" t="s">
        <v>8234</v>
      </c>
      <c r="E3837" s="6" t="s">
        <v>149</v>
      </c>
      <c r="F3837" s="6" t="s">
        <v>18</v>
      </c>
      <c r="G3837" s="7">
        <v>0.03</v>
      </c>
      <c r="H3837" s="6" t="s">
        <v>562</v>
      </c>
      <c r="I3837" s="6" t="s">
        <v>20</v>
      </c>
      <c r="J3837" s="6">
        <v>2017.0</v>
      </c>
      <c r="K3837" s="10">
        <v>46082.0</v>
      </c>
      <c r="L3837" s="6">
        <v>4.0</v>
      </c>
      <c r="M3837" s="8">
        <f t="shared" si="3"/>
        <v>0.12</v>
      </c>
      <c r="P3837" s="9"/>
    </row>
    <row r="3838">
      <c r="A3838" s="6" t="s">
        <v>8235</v>
      </c>
      <c r="B3838" s="6" t="s">
        <v>182</v>
      </c>
      <c r="C3838" s="6" t="s">
        <v>48</v>
      </c>
      <c r="D3838" s="6" t="s">
        <v>8236</v>
      </c>
      <c r="E3838" s="6" t="s">
        <v>64</v>
      </c>
      <c r="F3838" s="6" t="s">
        <v>65</v>
      </c>
      <c r="G3838" s="7">
        <v>0.06</v>
      </c>
      <c r="H3838" s="6" t="s">
        <v>559</v>
      </c>
      <c r="I3838" s="6" t="s">
        <v>20</v>
      </c>
      <c r="J3838" s="6">
        <v>2015.0</v>
      </c>
      <c r="L3838" s="6">
        <v>1.0</v>
      </c>
      <c r="M3838" s="8">
        <f t="shared" si="3"/>
        <v>0.06</v>
      </c>
      <c r="N3838" s="6" t="s">
        <v>518</v>
      </c>
      <c r="P3838" s="9"/>
    </row>
    <row r="3839">
      <c r="A3839" s="6" t="s">
        <v>8235</v>
      </c>
      <c r="B3839" s="6" t="s">
        <v>182</v>
      </c>
      <c r="C3839" s="6" t="s">
        <v>48</v>
      </c>
      <c r="D3839" s="6" t="s">
        <v>8236</v>
      </c>
      <c r="E3839" s="6" t="s">
        <v>64</v>
      </c>
      <c r="F3839" s="6" t="s">
        <v>65</v>
      </c>
      <c r="G3839" s="7">
        <v>0.05</v>
      </c>
      <c r="H3839" s="6" t="s">
        <v>113</v>
      </c>
      <c r="I3839" s="6" t="s">
        <v>20</v>
      </c>
      <c r="J3839" s="6">
        <v>2024.0</v>
      </c>
      <c r="L3839" s="6">
        <v>1.0</v>
      </c>
      <c r="M3839" s="8">
        <f t="shared" si="3"/>
        <v>0.05</v>
      </c>
      <c r="P3839" s="9"/>
    </row>
    <row r="3840">
      <c r="A3840" s="6" t="s">
        <v>8237</v>
      </c>
      <c r="B3840" s="6" t="s">
        <v>53</v>
      </c>
      <c r="C3840" s="6" t="s">
        <v>48</v>
      </c>
      <c r="D3840" s="6" t="s">
        <v>8238</v>
      </c>
      <c r="E3840" s="6" t="s">
        <v>238</v>
      </c>
      <c r="F3840" s="6" t="s">
        <v>159</v>
      </c>
      <c r="G3840" s="7">
        <v>0.2</v>
      </c>
      <c r="H3840" s="6" t="s">
        <v>45</v>
      </c>
      <c r="I3840" s="6" t="s">
        <v>20</v>
      </c>
      <c r="J3840" s="6">
        <v>2025.0</v>
      </c>
      <c r="L3840" s="6">
        <v>1.0</v>
      </c>
      <c r="M3840" s="8">
        <f t="shared" si="3"/>
        <v>0.2</v>
      </c>
      <c r="P3840" s="9"/>
    </row>
    <row r="3841">
      <c r="A3841" s="6" t="s">
        <v>8239</v>
      </c>
      <c r="B3841" s="6" t="s">
        <v>182</v>
      </c>
      <c r="C3841" s="6" t="s">
        <v>23</v>
      </c>
      <c r="D3841" s="6" t="s">
        <v>8240</v>
      </c>
      <c r="E3841" s="6" t="s">
        <v>64</v>
      </c>
      <c r="F3841" s="6" t="s">
        <v>65</v>
      </c>
      <c r="G3841" s="7">
        <v>0.06</v>
      </c>
      <c r="H3841" s="6" t="s">
        <v>204</v>
      </c>
      <c r="I3841" s="6" t="s">
        <v>20</v>
      </c>
      <c r="J3841" s="6">
        <v>2026.0</v>
      </c>
      <c r="L3841" s="6">
        <v>1.0</v>
      </c>
      <c r="M3841" s="8">
        <f t="shared" si="3"/>
        <v>0.06</v>
      </c>
      <c r="P3841" s="9"/>
    </row>
    <row r="3842">
      <c r="A3842" s="6" t="s">
        <v>8241</v>
      </c>
      <c r="B3842" s="6" t="s">
        <v>182</v>
      </c>
      <c r="C3842" s="6" t="s">
        <v>23</v>
      </c>
      <c r="D3842" s="6" t="s">
        <v>8242</v>
      </c>
      <c r="E3842" s="6" t="s">
        <v>502</v>
      </c>
      <c r="F3842" s="6" t="s">
        <v>65</v>
      </c>
      <c r="G3842" s="7">
        <v>0.1</v>
      </c>
      <c r="H3842" s="6" t="s">
        <v>380</v>
      </c>
      <c r="I3842" s="6" t="s">
        <v>20</v>
      </c>
      <c r="J3842" s="6">
        <v>2025.0</v>
      </c>
      <c r="L3842" s="6">
        <v>1.0</v>
      </c>
      <c r="M3842" s="8">
        <f t="shared" si="3"/>
        <v>0.1</v>
      </c>
      <c r="P3842" s="9"/>
    </row>
    <row r="3843">
      <c r="A3843" s="6" t="s">
        <v>8243</v>
      </c>
      <c r="B3843" s="6" t="s">
        <v>366</v>
      </c>
      <c r="C3843" s="6" t="s">
        <v>23</v>
      </c>
      <c r="D3843" s="6" t="s">
        <v>8244</v>
      </c>
      <c r="E3843" s="6" t="s">
        <v>102</v>
      </c>
      <c r="F3843" s="6" t="s">
        <v>103</v>
      </c>
      <c r="G3843" s="7">
        <v>0.05</v>
      </c>
      <c r="H3843" s="6" t="s">
        <v>245</v>
      </c>
      <c r="I3843" s="6" t="s">
        <v>20</v>
      </c>
      <c r="J3843" s="6">
        <v>1995.0</v>
      </c>
      <c r="L3843" s="6">
        <v>3.0</v>
      </c>
      <c r="M3843" s="8">
        <f t="shared" si="3"/>
        <v>0.15</v>
      </c>
      <c r="P3843" s="9"/>
    </row>
    <row r="3844">
      <c r="A3844" s="6" t="s">
        <v>8245</v>
      </c>
      <c r="B3844" s="6" t="s">
        <v>424</v>
      </c>
      <c r="C3844" s="6" t="s">
        <v>23</v>
      </c>
      <c r="D3844" s="6" t="s">
        <v>8246</v>
      </c>
      <c r="F3844" s="6" t="s">
        <v>51</v>
      </c>
      <c r="G3844" s="7">
        <v>0.3</v>
      </c>
      <c r="H3844" s="6" t="s">
        <v>340</v>
      </c>
      <c r="I3844" s="6" t="s">
        <v>20</v>
      </c>
      <c r="J3844" s="6">
        <v>2010.0</v>
      </c>
      <c r="L3844" s="6">
        <v>2.0</v>
      </c>
      <c r="M3844" s="8">
        <f t="shared" si="3"/>
        <v>0.6</v>
      </c>
      <c r="P3844" s="9"/>
    </row>
    <row r="3845">
      <c r="A3845" s="6" t="s">
        <v>8247</v>
      </c>
      <c r="B3845" s="6" t="s">
        <v>62</v>
      </c>
      <c r="C3845" s="6" t="s">
        <v>23</v>
      </c>
      <c r="D3845" s="6" t="s">
        <v>8248</v>
      </c>
      <c r="E3845" s="6" t="s">
        <v>248</v>
      </c>
      <c r="F3845" s="6" t="s">
        <v>18</v>
      </c>
      <c r="G3845" s="7">
        <v>0.03</v>
      </c>
      <c r="H3845" s="6" t="s">
        <v>316</v>
      </c>
      <c r="I3845" s="6" t="s">
        <v>20</v>
      </c>
      <c r="J3845" s="6">
        <v>2016.0</v>
      </c>
      <c r="L3845" s="6">
        <v>1.0</v>
      </c>
      <c r="M3845" s="8">
        <f t="shared" si="3"/>
        <v>0.03</v>
      </c>
      <c r="P3845" s="9"/>
    </row>
    <row r="3846">
      <c r="A3846" s="6" t="s">
        <v>8249</v>
      </c>
      <c r="B3846" s="6" t="s">
        <v>62</v>
      </c>
      <c r="C3846" s="6" t="s">
        <v>48</v>
      </c>
      <c r="D3846" s="6" t="s">
        <v>8250</v>
      </c>
      <c r="E3846" s="6" t="s">
        <v>3869</v>
      </c>
      <c r="F3846" s="6" t="s">
        <v>874</v>
      </c>
      <c r="G3846" s="7">
        <v>0.22</v>
      </c>
      <c r="H3846" s="6" t="s">
        <v>271</v>
      </c>
      <c r="I3846" s="6" t="s">
        <v>20</v>
      </c>
      <c r="J3846" s="6">
        <v>2012.0</v>
      </c>
      <c r="L3846" s="6">
        <v>1.0</v>
      </c>
      <c r="M3846" s="8">
        <f>L3841*G3841</f>
        <v>0.06</v>
      </c>
      <c r="P3846" s="9"/>
    </row>
    <row r="3847">
      <c r="A3847" s="6" t="s">
        <v>8251</v>
      </c>
      <c r="B3847" s="6" t="s">
        <v>307</v>
      </c>
      <c r="C3847" s="6" t="s">
        <v>23</v>
      </c>
      <c r="D3847" s="6" t="s">
        <v>8252</v>
      </c>
      <c r="E3847" s="6" t="s">
        <v>243</v>
      </c>
      <c r="F3847" s="6" t="s">
        <v>874</v>
      </c>
      <c r="G3847" s="7">
        <v>0.08</v>
      </c>
      <c r="H3847" s="6" t="s">
        <v>1784</v>
      </c>
      <c r="I3847" s="6" t="s">
        <v>20</v>
      </c>
      <c r="J3847" s="6">
        <v>2013.0</v>
      </c>
      <c r="L3847" s="6">
        <v>1.0</v>
      </c>
      <c r="M3847" s="8">
        <f t="shared" ref="M3847:M4132" si="4">L3847*G3847</f>
        <v>0.08</v>
      </c>
      <c r="P3847" s="9"/>
    </row>
    <row r="3848">
      <c r="A3848" s="6" t="s">
        <v>8253</v>
      </c>
      <c r="B3848" s="6" t="s">
        <v>2113</v>
      </c>
      <c r="C3848" s="6" t="s">
        <v>23</v>
      </c>
      <c r="D3848" s="6" t="s">
        <v>8254</v>
      </c>
      <c r="E3848" s="6" t="s">
        <v>79</v>
      </c>
      <c r="F3848" s="6" t="s">
        <v>51</v>
      </c>
      <c r="G3848" s="7">
        <v>0.06</v>
      </c>
      <c r="H3848" s="6" t="s">
        <v>271</v>
      </c>
      <c r="I3848" s="6" t="s">
        <v>20</v>
      </c>
      <c r="J3848" s="6">
        <v>2012.0</v>
      </c>
      <c r="K3848" s="10">
        <v>46056.0</v>
      </c>
      <c r="L3848" s="6">
        <v>1.0</v>
      </c>
      <c r="M3848" s="8">
        <f t="shared" si="4"/>
        <v>0.06</v>
      </c>
      <c r="P3848" s="9"/>
    </row>
    <row r="3849">
      <c r="A3849" s="6" t="s">
        <v>8255</v>
      </c>
      <c r="B3849" s="6" t="s">
        <v>836</v>
      </c>
      <c r="C3849" s="6" t="s">
        <v>23</v>
      </c>
      <c r="D3849" s="6" t="s">
        <v>8256</v>
      </c>
      <c r="E3849" s="6" t="s">
        <v>890</v>
      </c>
      <c r="F3849" s="6" t="s">
        <v>37</v>
      </c>
      <c r="G3849" s="7">
        <v>0.03</v>
      </c>
      <c r="H3849" s="6" t="s">
        <v>316</v>
      </c>
      <c r="I3849" s="6" t="s">
        <v>20</v>
      </c>
      <c r="J3849" s="6">
        <v>2016.0</v>
      </c>
      <c r="K3849" s="10">
        <v>46116.0</v>
      </c>
      <c r="L3849" s="6">
        <v>4.0</v>
      </c>
      <c r="M3849" s="8">
        <f t="shared" si="4"/>
        <v>0.12</v>
      </c>
      <c r="P3849" s="9"/>
    </row>
    <row r="3850">
      <c r="A3850" s="6" t="s">
        <v>8257</v>
      </c>
      <c r="B3850" s="6" t="s">
        <v>796</v>
      </c>
      <c r="C3850" s="6" t="s">
        <v>15</v>
      </c>
      <c r="D3850" s="6" t="s">
        <v>8258</v>
      </c>
      <c r="E3850" s="6" t="s">
        <v>681</v>
      </c>
      <c r="F3850" s="6" t="s">
        <v>65</v>
      </c>
      <c r="G3850" s="7">
        <v>0.5</v>
      </c>
      <c r="H3850" s="6" t="s">
        <v>209</v>
      </c>
      <c r="I3850" s="6" t="s">
        <v>20</v>
      </c>
      <c r="J3850" s="6">
        <v>2025.0</v>
      </c>
      <c r="L3850" s="6">
        <v>2.0</v>
      </c>
      <c r="M3850" s="8">
        <f t="shared" si="4"/>
        <v>1</v>
      </c>
      <c r="P3850" s="9"/>
    </row>
    <row r="3851">
      <c r="A3851" s="6" t="s">
        <v>8259</v>
      </c>
      <c r="B3851" s="6" t="s">
        <v>182</v>
      </c>
      <c r="C3851" s="6" t="s">
        <v>48</v>
      </c>
      <c r="D3851" s="6" t="s">
        <v>8260</v>
      </c>
      <c r="E3851" s="6" t="s">
        <v>345</v>
      </c>
      <c r="F3851" s="6" t="s">
        <v>18</v>
      </c>
      <c r="G3851" s="7">
        <v>0.1</v>
      </c>
      <c r="H3851" s="6" t="s">
        <v>113</v>
      </c>
      <c r="I3851" s="6" t="s">
        <v>20</v>
      </c>
      <c r="J3851" s="6">
        <v>2024.0</v>
      </c>
      <c r="L3851" s="6">
        <v>4.0</v>
      </c>
      <c r="M3851" s="8">
        <f t="shared" si="4"/>
        <v>0.4</v>
      </c>
      <c r="P3851" s="9"/>
    </row>
    <row r="3852">
      <c r="A3852" s="6" t="s">
        <v>8261</v>
      </c>
      <c r="B3852" s="6" t="s">
        <v>4619</v>
      </c>
      <c r="C3852" s="6" t="s">
        <v>23</v>
      </c>
      <c r="D3852" s="6" t="s">
        <v>8262</v>
      </c>
      <c r="E3852" s="6" t="s">
        <v>79</v>
      </c>
      <c r="F3852" s="6" t="s">
        <v>51</v>
      </c>
      <c r="G3852" s="7">
        <v>0.06</v>
      </c>
      <c r="H3852" s="6" t="s">
        <v>271</v>
      </c>
      <c r="I3852" s="6" t="s">
        <v>20</v>
      </c>
      <c r="J3852" s="6">
        <v>2012.0</v>
      </c>
      <c r="K3852" s="10">
        <v>46054.0</v>
      </c>
      <c r="L3852" s="6">
        <v>1.0</v>
      </c>
      <c r="M3852" s="8">
        <f t="shared" si="4"/>
        <v>0.06</v>
      </c>
      <c r="P3852" s="9"/>
    </row>
    <row r="3853">
      <c r="A3853" s="6" t="s">
        <v>8263</v>
      </c>
      <c r="B3853" s="6" t="s">
        <v>1978</v>
      </c>
      <c r="C3853" s="6" t="s">
        <v>23</v>
      </c>
      <c r="D3853" s="6" t="s">
        <v>8264</v>
      </c>
      <c r="E3853" s="6" t="s">
        <v>8265</v>
      </c>
      <c r="F3853" s="6" t="s">
        <v>261</v>
      </c>
      <c r="G3853" s="7">
        <v>0.03</v>
      </c>
      <c r="H3853" s="6" t="s">
        <v>185</v>
      </c>
      <c r="I3853" s="6" t="s">
        <v>20</v>
      </c>
      <c r="J3853" s="6">
        <v>2019.0</v>
      </c>
      <c r="K3853" s="10">
        <v>46056.0</v>
      </c>
      <c r="L3853" s="6">
        <v>1.0</v>
      </c>
      <c r="M3853" s="8">
        <f t="shared" si="4"/>
        <v>0.03</v>
      </c>
      <c r="P3853" s="9"/>
    </row>
    <row r="3854">
      <c r="A3854" s="6" t="s">
        <v>8266</v>
      </c>
      <c r="B3854" s="6" t="s">
        <v>62</v>
      </c>
      <c r="C3854" s="6" t="s">
        <v>23</v>
      </c>
      <c r="D3854" s="6" t="s">
        <v>8267</v>
      </c>
      <c r="E3854" s="6" t="s">
        <v>149</v>
      </c>
      <c r="F3854" s="6" t="s">
        <v>18</v>
      </c>
      <c r="G3854" s="7">
        <v>0.09</v>
      </c>
      <c r="H3854" s="6" t="s">
        <v>184</v>
      </c>
      <c r="I3854" s="6" t="s">
        <v>20</v>
      </c>
      <c r="J3854" s="6">
        <v>2015.0</v>
      </c>
      <c r="L3854" s="6">
        <v>3.0</v>
      </c>
      <c r="M3854" s="8">
        <f t="shared" si="4"/>
        <v>0.27</v>
      </c>
      <c r="P3854" s="9"/>
    </row>
    <row r="3855">
      <c r="A3855" s="6" t="s">
        <v>8266</v>
      </c>
      <c r="B3855" s="6" t="s">
        <v>62</v>
      </c>
      <c r="C3855" s="6" t="s">
        <v>23</v>
      </c>
      <c r="D3855" s="6" t="s">
        <v>8267</v>
      </c>
      <c r="E3855" s="6" t="s">
        <v>149</v>
      </c>
      <c r="F3855" s="6" t="s">
        <v>18</v>
      </c>
      <c r="G3855" s="7">
        <v>0.09</v>
      </c>
      <c r="H3855" s="6" t="s">
        <v>184</v>
      </c>
      <c r="I3855" s="6" t="s">
        <v>20</v>
      </c>
      <c r="J3855" s="6">
        <v>2015.0</v>
      </c>
      <c r="L3855" s="6">
        <v>1.0</v>
      </c>
      <c r="M3855" s="8">
        <f t="shared" si="4"/>
        <v>0.09</v>
      </c>
      <c r="P3855" s="9"/>
    </row>
    <row r="3856">
      <c r="A3856" s="6" t="s">
        <v>8268</v>
      </c>
      <c r="B3856" s="6" t="s">
        <v>8269</v>
      </c>
      <c r="C3856" s="6" t="s">
        <v>23</v>
      </c>
      <c r="D3856" s="6" t="s">
        <v>8270</v>
      </c>
      <c r="E3856" s="6" t="s">
        <v>1336</v>
      </c>
      <c r="F3856" s="6" t="s">
        <v>103</v>
      </c>
      <c r="G3856" s="7">
        <v>0.08</v>
      </c>
      <c r="H3856" s="6" t="s">
        <v>75</v>
      </c>
      <c r="I3856" s="6" t="s">
        <v>20</v>
      </c>
      <c r="J3856" s="6">
        <v>1995.0</v>
      </c>
      <c r="K3856" s="10">
        <v>46054.0</v>
      </c>
      <c r="L3856" s="6">
        <v>2.0</v>
      </c>
      <c r="M3856" s="8">
        <f t="shared" si="4"/>
        <v>0.16</v>
      </c>
      <c r="P3856" s="9"/>
    </row>
    <row r="3857">
      <c r="A3857" s="6" t="s">
        <v>8271</v>
      </c>
      <c r="B3857" s="6" t="s">
        <v>472</v>
      </c>
      <c r="C3857" s="6" t="s">
        <v>48</v>
      </c>
      <c r="D3857" s="6" t="s">
        <v>8272</v>
      </c>
      <c r="E3857" s="6" t="s">
        <v>108</v>
      </c>
      <c r="F3857" s="6" t="s">
        <v>103</v>
      </c>
      <c r="G3857" s="7">
        <v>0.5</v>
      </c>
      <c r="H3857" s="6" t="s">
        <v>109</v>
      </c>
      <c r="I3857" s="6" t="s">
        <v>20</v>
      </c>
      <c r="J3857" s="6">
        <v>1995.0</v>
      </c>
      <c r="K3857" s="10">
        <v>46116.0</v>
      </c>
      <c r="L3857" s="6">
        <v>1.0</v>
      </c>
      <c r="M3857" s="8">
        <f t="shared" si="4"/>
        <v>0.5</v>
      </c>
      <c r="P3857" s="9"/>
    </row>
    <row r="3858">
      <c r="A3858" s="6" t="s">
        <v>8273</v>
      </c>
      <c r="B3858" s="6" t="s">
        <v>372</v>
      </c>
      <c r="C3858" s="6" t="s">
        <v>23</v>
      </c>
      <c r="D3858" s="6" t="s">
        <v>8274</v>
      </c>
      <c r="E3858" s="6" t="s">
        <v>248</v>
      </c>
      <c r="F3858" s="6" t="s">
        <v>18</v>
      </c>
      <c r="G3858" s="7">
        <v>0.03</v>
      </c>
      <c r="H3858" s="6" t="s">
        <v>491</v>
      </c>
      <c r="I3858" s="6" t="s">
        <v>20</v>
      </c>
      <c r="J3858" s="6">
        <v>2011.0</v>
      </c>
      <c r="L3858" s="6">
        <v>1.0</v>
      </c>
      <c r="M3858" s="8">
        <f t="shared" si="4"/>
        <v>0.03</v>
      </c>
      <c r="P3858" s="9"/>
    </row>
    <row r="3859">
      <c r="A3859" s="6" t="s">
        <v>8275</v>
      </c>
      <c r="B3859" s="6" t="s">
        <v>774</v>
      </c>
      <c r="C3859" s="6" t="s">
        <v>48</v>
      </c>
      <c r="D3859" s="6" t="s">
        <v>8276</v>
      </c>
      <c r="E3859" s="6" t="s">
        <v>721</v>
      </c>
      <c r="F3859" s="6" t="s">
        <v>51</v>
      </c>
      <c r="G3859" s="7">
        <v>0.06</v>
      </c>
      <c r="H3859" s="6" t="s">
        <v>184</v>
      </c>
      <c r="I3859" s="6" t="s">
        <v>20</v>
      </c>
      <c r="J3859" s="6">
        <v>2015.0</v>
      </c>
      <c r="K3859" s="10">
        <v>46177.0</v>
      </c>
      <c r="L3859" s="6">
        <v>1.0</v>
      </c>
      <c r="M3859" s="8">
        <f t="shared" si="4"/>
        <v>0.06</v>
      </c>
      <c r="P3859" s="9"/>
    </row>
    <row r="3860">
      <c r="A3860" s="6" t="s">
        <v>8277</v>
      </c>
      <c r="B3860" s="6" t="s">
        <v>8278</v>
      </c>
      <c r="C3860" s="6" t="s">
        <v>41</v>
      </c>
      <c r="D3860" s="6" t="s">
        <v>8279</v>
      </c>
      <c r="E3860" s="6" t="s">
        <v>270</v>
      </c>
      <c r="F3860" s="6" t="s">
        <v>159</v>
      </c>
      <c r="G3860" s="7">
        <v>3.9</v>
      </c>
      <c r="H3860" s="6" t="s">
        <v>769</v>
      </c>
      <c r="I3860" s="6" t="s">
        <v>20</v>
      </c>
      <c r="J3860" s="6">
        <v>2023.0</v>
      </c>
      <c r="K3860" s="10">
        <v>46115.0</v>
      </c>
      <c r="L3860" s="6">
        <v>1.0</v>
      </c>
      <c r="M3860" s="8">
        <f t="shared" si="4"/>
        <v>3.9</v>
      </c>
      <c r="N3860" s="6" t="s">
        <v>172</v>
      </c>
      <c r="P3860" s="9"/>
    </row>
    <row r="3861">
      <c r="A3861" s="6" t="s">
        <v>8280</v>
      </c>
      <c r="B3861" s="6" t="s">
        <v>8281</v>
      </c>
      <c r="C3861" s="6" t="s">
        <v>287</v>
      </c>
      <c r="D3861" s="6" t="s">
        <v>8282</v>
      </c>
      <c r="E3861" s="6" t="s">
        <v>118</v>
      </c>
      <c r="F3861" s="6" t="s">
        <v>51</v>
      </c>
      <c r="G3861" s="7">
        <v>0.3</v>
      </c>
      <c r="H3861" s="6" t="s">
        <v>154</v>
      </c>
      <c r="I3861" s="6" t="s">
        <v>20</v>
      </c>
      <c r="J3861" s="6">
        <v>2013.0</v>
      </c>
      <c r="K3861" s="10">
        <v>46055.0</v>
      </c>
      <c r="L3861" s="6">
        <v>1.0</v>
      </c>
      <c r="M3861" s="8">
        <f t="shared" si="4"/>
        <v>0.3</v>
      </c>
      <c r="P3861" s="9"/>
    </row>
    <row r="3862">
      <c r="A3862" s="6" t="s">
        <v>8283</v>
      </c>
      <c r="B3862" s="6" t="s">
        <v>156</v>
      </c>
      <c r="C3862" s="6" t="s">
        <v>23</v>
      </c>
      <c r="D3862" s="6" t="s">
        <v>8284</v>
      </c>
      <c r="E3862" s="6" t="s">
        <v>158</v>
      </c>
      <c r="F3862" s="6" t="s">
        <v>159</v>
      </c>
      <c r="G3862" s="7">
        <v>0.05</v>
      </c>
      <c r="H3862" s="6" t="s">
        <v>552</v>
      </c>
      <c r="I3862" s="6" t="s">
        <v>20</v>
      </c>
      <c r="J3862" s="6">
        <v>2020.0</v>
      </c>
      <c r="K3862" s="10">
        <v>46116.0</v>
      </c>
      <c r="L3862" s="6">
        <v>2.0</v>
      </c>
      <c r="M3862" s="8">
        <f t="shared" si="4"/>
        <v>0.1</v>
      </c>
      <c r="P3862" s="9"/>
    </row>
    <row r="3863">
      <c r="A3863" s="6" t="s">
        <v>8283</v>
      </c>
      <c r="B3863" s="6" t="s">
        <v>156</v>
      </c>
      <c r="C3863" s="6" t="s">
        <v>23</v>
      </c>
      <c r="D3863" s="6" t="s">
        <v>8284</v>
      </c>
      <c r="E3863" s="6" t="s">
        <v>158</v>
      </c>
      <c r="F3863" s="6" t="s">
        <v>159</v>
      </c>
      <c r="G3863" s="7">
        <v>0.05</v>
      </c>
      <c r="H3863" s="6" t="s">
        <v>701</v>
      </c>
      <c r="I3863" s="6" t="s">
        <v>20</v>
      </c>
      <c r="J3863" s="6">
        <v>2012.0</v>
      </c>
      <c r="K3863" s="10">
        <v>46116.0</v>
      </c>
      <c r="L3863" s="6">
        <v>2.0</v>
      </c>
      <c r="M3863" s="8">
        <f t="shared" si="4"/>
        <v>0.1</v>
      </c>
      <c r="P3863" s="9"/>
    </row>
    <row r="3864">
      <c r="A3864" s="6" t="s">
        <v>8285</v>
      </c>
      <c r="B3864" s="6" t="s">
        <v>8286</v>
      </c>
      <c r="C3864" s="6" t="s">
        <v>15</v>
      </c>
      <c r="D3864" s="6" t="s">
        <v>8287</v>
      </c>
      <c r="E3864" s="6">
        <v>6.0</v>
      </c>
      <c r="F3864" s="6" t="s">
        <v>37</v>
      </c>
      <c r="G3864" s="7">
        <v>0.05</v>
      </c>
      <c r="H3864" s="6" t="s">
        <v>483</v>
      </c>
      <c r="I3864" s="6" t="s">
        <v>20</v>
      </c>
      <c r="J3864" s="6">
        <v>2014.0</v>
      </c>
      <c r="K3864" s="10">
        <v>46116.0</v>
      </c>
      <c r="L3864" s="6">
        <v>1.0</v>
      </c>
      <c r="M3864" s="8">
        <f t="shared" si="4"/>
        <v>0.05</v>
      </c>
      <c r="P3864" s="9"/>
    </row>
    <row r="3865">
      <c r="A3865" s="6" t="s">
        <v>8288</v>
      </c>
      <c r="B3865" s="6" t="s">
        <v>8289</v>
      </c>
      <c r="C3865" s="6" t="s">
        <v>287</v>
      </c>
      <c r="D3865" s="6" t="s">
        <v>8290</v>
      </c>
      <c r="E3865" s="6" t="s">
        <v>79</v>
      </c>
      <c r="F3865" s="6" t="s">
        <v>51</v>
      </c>
      <c r="G3865" s="7">
        <v>0.06</v>
      </c>
      <c r="H3865" s="6" t="s">
        <v>271</v>
      </c>
      <c r="I3865" s="6" t="s">
        <v>20</v>
      </c>
      <c r="J3865" s="6">
        <v>2012.0</v>
      </c>
      <c r="K3865" s="10">
        <v>46056.0</v>
      </c>
      <c r="L3865" s="6">
        <v>1.0</v>
      </c>
      <c r="M3865" s="8">
        <f t="shared" si="4"/>
        <v>0.06</v>
      </c>
      <c r="P3865" s="9"/>
    </row>
    <row r="3866">
      <c r="A3866" s="6" t="s">
        <v>8291</v>
      </c>
      <c r="B3866" s="6" t="s">
        <v>291</v>
      </c>
      <c r="C3866" s="6" t="s">
        <v>23</v>
      </c>
      <c r="D3866" s="6" t="s">
        <v>8292</v>
      </c>
      <c r="E3866" s="6" t="s">
        <v>30</v>
      </c>
      <c r="F3866" s="6" t="s">
        <v>18</v>
      </c>
      <c r="G3866" s="7">
        <v>0.06</v>
      </c>
      <c r="H3866" s="6" t="s">
        <v>184</v>
      </c>
      <c r="I3866" s="6" t="s">
        <v>20</v>
      </c>
      <c r="J3866" s="6">
        <v>2015.0</v>
      </c>
      <c r="K3866" s="10">
        <v>46055.0</v>
      </c>
      <c r="L3866" s="6">
        <v>3.0</v>
      </c>
      <c r="M3866" s="8">
        <f t="shared" si="4"/>
        <v>0.18</v>
      </c>
      <c r="P3866" s="9"/>
    </row>
    <row r="3867">
      <c r="A3867" s="6" t="s">
        <v>8293</v>
      </c>
      <c r="B3867" s="6" t="s">
        <v>796</v>
      </c>
      <c r="C3867" s="6" t="s">
        <v>34</v>
      </c>
      <c r="D3867" s="6" t="s">
        <v>8294</v>
      </c>
      <c r="E3867" s="6" t="s">
        <v>2028</v>
      </c>
      <c r="F3867" s="6" t="s">
        <v>103</v>
      </c>
      <c r="G3867" s="7">
        <v>0.05</v>
      </c>
      <c r="H3867" s="6" t="s">
        <v>209</v>
      </c>
      <c r="I3867" s="6" t="s">
        <v>20</v>
      </c>
      <c r="J3867" s="6">
        <v>2025.0</v>
      </c>
      <c r="L3867" s="6">
        <v>11.0</v>
      </c>
      <c r="M3867" s="8">
        <f t="shared" si="4"/>
        <v>0.55</v>
      </c>
      <c r="P3867" s="9"/>
    </row>
    <row r="3868">
      <c r="A3868" s="6" t="s">
        <v>8295</v>
      </c>
      <c r="B3868" s="6" t="s">
        <v>8296</v>
      </c>
      <c r="C3868" s="6" t="s">
        <v>48</v>
      </c>
      <c r="D3868" s="6" t="s">
        <v>8297</v>
      </c>
      <c r="E3868" s="6" t="s">
        <v>2520</v>
      </c>
      <c r="F3868" s="6" t="s">
        <v>18</v>
      </c>
      <c r="G3868" s="7">
        <v>0.15</v>
      </c>
      <c r="H3868" s="6" t="s">
        <v>45</v>
      </c>
      <c r="I3868" s="6" t="s">
        <v>20</v>
      </c>
      <c r="J3868" s="6">
        <v>2025.0</v>
      </c>
      <c r="K3868" s="10">
        <v>46148.0</v>
      </c>
      <c r="L3868" s="6">
        <v>1.0</v>
      </c>
      <c r="M3868" s="8">
        <f t="shared" si="4"/>
        <v>0.15</v>
      </c>
      <c r="P3868" s="9"/>
    </row>
    <row r="3869">
      <c r="A3869" s="6" t="s">
        <v>8298</v>
      </c>
      <c r="B3869" s="6" t="s">
        <v>8299</v>
      </c>
      <c r="C3869" s="6" t="s">
        <v>34</v>
      </c>
      <c r="D3869" s="6" t="s">
        <v>8300</v>
      </c>
      <c r="E3869" s="6" t="s">
        <v>238</v>
      </c>
      <c r="F3869" s="6" t="s">
        <v>159</v>
      </c>
      <c r="G3869" s="7">
        <v>0.13</v>
      </c>
      <c r="H3869" s="6" t="s">
        <v>38</v>
      </c>
      <c r="I3869" s="6" t="s">
        <v>20</v>
      </c>
      <c r="J3869" s="6">
        <v>2026.0</v>
      </c>
      <c r="K3869" s="10">
        <v>46023.0</v>
      </c>
      <c r="L3869" s="6">
        <v>1.0</v>
      </c>
      <c r="M3869" s="8">
        <f t="shared" si="4"/>
        <v>0.13</v>
      </c>
      <c r="P3869" s="9"/>
    </row>
    <row r="3870">
      <c r="A3870" s="6" t="s">
        <v>8301</v>
      </c>
      <c r="B3870" s="6" t="s">
        <v>62</v>
      </c>
      <c r="C3870" s="6" t="s">
        <v>23</v>
      </c>
      <c r="D3870" s="6" t="s">
        <v>8302</v>
      </c>
      <c r="E3870" s="6" t="s">
        <v>270</v>
      </c>
      <c r="F3870" s="6" t="s">
        <v>159</v>
      </c>
      <c r="G3870" s="7">
        <v>0.05</v>
      </c>
      <c r="H3870" s="6" t="s">
        <v>701</v>
      </c>
      <c r="I3870" s="6" t="s">
        <v>20</v>
      </c>
      <c r="J3870" s="6">
        <v>2012.0</v>
      </c>
      <c r="L3870" s="6">
        <v>1.0</v>
      </c>
      <c r="M3870" s="8">
        <f t="shared" si="4"/>
        <v>0.05</v>
      </c>
      <c r="P3870" s="9"/>
    </row>
    <row r="3871">
      <c r="A3871" s="6" t="s">
        <v>8303</v>
      </c>
      <c r="B3871" s="6" t="s">
        <v>62</v>
      </c>
      <c r="C3871" s="6" t="s">
        <v>23</v>
      </c>
      <c r="D3871" s="6" t="s">
        <v>8304</v>
      </c>
      <c r="E3871" s="6" t="s">
        <v>149</v>
      </c>
      <c r="F3871" s="6" t="s">
        <v>18</v>
      </c>
      <c r="G3871" s="7">
        <v>0.08</v>
      </c>
      <c r="H3871" s="6" t="s">
        <v>114</v>
      </c>
      <c r="I3871" s="6" t="s">
        <v>20</v>
      </c>
      <c r="J3871" s="6">
        <v>2021.0</v>
      </c>
      <c r="L3871" s="6">
        <v>3.0</v>
      </c>
      <c r="M3871" s="8">
        <f t="shared" si="4"/>
        <v>0.24</v>
      </c>
      <c r="P3871" s="9"/>
    </row>
    <row r="3872">
      <c r="A3872" s="6" t="s">
        <v>8305</v>
      </c>
      <c r="B3872" s="6" t="s">
        <v>8306</v>
      </c>
      <c r="C3872" s="6" t="s">
        <v>72</v>
      </c>
      <c r="D3872" s="6" t="s">
        <v>8307</v>
      </c>
      <c r="E3872" s="6" t="s">
        <v>1771</v>
      </c>
      <c r="F3872" s="6" t="s">
        <v>51</v>
      </c>
      <c r="G3872" s="7">
        <v>10.95</v>
      </c>
      <c r="H3872" s="6" t="s">
        <v>607</v>
      </c>
      <c r="I3872" s="6" t="s">
        <v>20</v>
      </c>
      <c r="J3872" s="6">
        <v>1994.0</v>
      </c>
      <c r="K3872" s="10">
        <v>46116.0</v>
      </c>
      <c r="L3872" s="6">
        <v>1.0</v>
      </c>
      <c r="M3872" s="8">
        <f t="shared" si="4"/>
        <v>10.95</v>
      </c>
      <c r="N3872" s="6" t="s">
        <v>172</v>
      </c>
      <c r="P3872" s="9"/>
    </row>
    <row r="3873">
      <c r="A3873" s="6" t="s">
        <v>8308</v>
      </c>
      <c r="B3873" s="6" t="s">
        <v>366</v>
      </c>
      <c r="C3873" s="6" t="s">
        <v>23</v>
      </c>
      <c r="D3873" s="6" t="s">
        <v>8309</v>
      </c>
      <c r="E3873" s="6" t="s">
        <v>410</v>
      </c>
      <c r="F3873" s="6" t="s">
        <v>51</v>
      </c>
      <c r="G3873" s="7">
        <v>0.15</v>
      </c>
      <c r="H3873" s="6" t="s">
        <v>75</v>
      </c>
      <c r="I3873" s="6" t="s">
        <v>20</v>
      </c>
      <c r="J3873" s="6">
        <v>1995.0</v>
      </c>
      <c r="L3873" s="6">
        <v>1.0</v>
      </c>
      <c r="M3873" s="8">
        <f t="shared" si="4"/>
        <v>0.15</v>
      </c>
      <c r="P3873" s="9"/>
    </row>
    <row r="3874">
      <c r="A3874" s="6" t="s">
        <v>8310</v>
      </c>
      <c r="B3874" s="6" t="s">
        <v>80</v>
      </c>
      <c r="C3874" s="6" t="s">
        <v>48</v>
      </c>
      <c r="D3874" s="6" t="s">
        <v>8311</v>
      </c>
      <c r="E3874" s="6" t="s">
        <v>573</v>
      </c>
      <c r="F3874" s="6" t="s">
        <v>51</v>
      </c>
      <c r="G3874" s="7">
        <v>0.1</v>
      </c>
      <c r="H3874" s="6" t="s">
        <v>75</v>
      </c>
      <c r="I3874" s="6" t="s">
        <v>20</v>
      </c>
      <c r="J3874" s="6">
        <v>1995.0</v>
      </c>
      <c r="K3874" s="10">
        <v>46084.0</v>
      </c>
      <c r="L3874" s="6">
        <v>2.0</v>
      </c>
      <c r="M3874" s="8">
        <f t="shared" si="4"/>
        <v>0.2</v>
      </c>
      <c r="P3874" s="9"/>
    </row>
    <row r="3875">
      <c r="A3875" s="6" t="s">
        <v>8312</v>
      </c>
      <c r="B3875" s="6" t="s">
        <v>8313</v>
      </c>
      <c r="C3875" s="6" t="s">
        <v>84</v>
      </c>
      <c r="D3875" s="6" t="s">
        <v>8314</v>
      </c>
      <c r="E3875" s="6" t="s">
        <v>395</v>
      </c>
      <c r="F3875" s="6" t="s">
        <v>51</v>
      </c>
      <c r="G3875" s="7">
        <v>0.19</v>
      </c>
      <c r="H3875" s="6" t="s">
        <v>4237</v>
      </c>
      <c r="I3875" s="6" t="s">
        <v>20</v>
      </c>
      <c r="J3875" s="6">
        <v>1995.0</v>
      </c>
      <c r="K3875" s="10">
        <v>46055.0</v>
      </c>
      <c r="L3875" s="6">
        <v>1.0</v>
      </c>
      <c r="M3875" s="8">
        <f t="shared" si="4"/>
        <v>0.19</v>
      </c>
      <c r="P3875" s="9"/>
    </row>
    <row r="3876">
      <c r="A3876" s="6" t="s">
        <v>8315</v>
      </c>
      <c r="B3876" s="6" t="s">
        <v>592</v>
      </c>
      <c r="C3876" s="6" t="s">
        <v>571</v>
      </c>
      <c r="D3876" s="6" t="s">
        <v>8316</v>
      </c>
      <c r="E3876" s="6" t="s">
        <v>118</v>
      </c>
      <c r="F3876" s="6" t="s">
        <v>904</v>
      </c>
      <c r="G3876" s="7">
        <v>2.38</v>
      </c>
      <c r="H3876" s="6" t="s">
        <v>2927</v>
      </c>
      <c r="I3876" s="6" t="s">
        <v>20</v>
      </c>
      <c r="J3876" s="6">
        <v>1999.0</v>
      </c>
      <c r="L3876" s="6">
        <v>1.0</v>
      </c>
      <c r="M3876" s="8">
        <f t="shared" si="4"/>
        <v>2.38</v>
      </c>
      <c r="P3876" s="9"/>
    </row>
    <row r="3877">
      <c r="A3877" s="6" t="s">
        <v>8317</v>
      </c>
      <c r="B3877" s="6" t="s">
        <v>1106</v>
      </c>
      <c r="C3877" s="6" t="s">
        <v>571</v>
      </c>
      <c r="D3877" s="6" t="s">
        <v>8318</v>
      </c>
      <c r="E3877" s="6" t="s">
        <v>243</v>
      </c>
      <c r="F3877" s="6" t="s">
        <v>452</v>
      </c>
      <c r="G3877" s="7">
        <v>0.25</v>
      </c>
      <c r="H3877" s="6" t="s">
        <v>523</v>
      </c>
      <c r="I3877" s="6" t="s">
        <v>20</v>
      </c>
      <c r="J3877" s="6">
        <v>1997.0</v>
      </c>
      <c r="K3877" s="10">
        <v>46055.0</v>
      </c>
      <c r="L3877" s="6">
        <v>1.0</v>
      </c>
      <c r="M3877" s="8">
        <f t="shared" si="4"/>
        <v>0.25</v>
      </c>
      <c r="P3877" s="9"/>
    </row>
    <row r="3878">
      <c r="A3878" s="6" t="s">
        <v>8319</v>
      </c>
      <c r="B3878" s="6" t="s">
        <v>1577</v>
      </c>
      <c r="C3878" s="6" t="s">
        <v>48</v>
      </c>
      <c r="D3878" s="6" t="s">
        <v>8320</v>
      </c>
      <c r="E3878" s="6" t="s">
        <v>243</v>
      </c>
      <c r="F3878" s="6" t="s">
        <v>37</v>
      </c>
      <c r="G3878" s="7">
        <v>0.2</v>
      </c>
      <c r="H3878" s="6" t="s">
        <v>2639</v>
      </c>
      <c r="I3878" s="6" t="s">
        <v>20</v>
      </c>
      <c r="J3878" s="6">
        <v>2010.0</v>
      </c>
      <c r="K3878" s="10">
        <v>46055.0</v>
      </c>
      <c r="L3878" s="6">
        <v>1.0</v>
      </c>
      <c r="M3878" s="8">
        <f t="shared" si="4"/>
        <v>0.2</v>
      </c>
      <c r="P3878" s="9"/>
    </row>
    <row r="3879">
      <c r="A3879" s="6" t="s">
        <v>8321</v>
      </c>
      <c r="B3879" s="6" t="s">
        <v>8222</v>
      </c>
      <c r="C3879" s="6" t="s">
        <v>23</v>
      </c>
      <c r="D3879" s="6" t="s">
        <v>8322</v>
      </c>
      <c r="E3879" s="6" t="s">
        <v>167</v>
      </c>
      <c r="F3879" s="6" t="s">
        <v>103</v>
      </c>
      <c r="G3879" s="7">
        <v>0.17</v>
      </c>
      <c r="H3879" s="6" t="s">
        <v>477</v>
      </c>
      <c r="I3879" s="6" t="s">
        <v>20</v>
      </c>
      <c r="J3879" s="6">
        <v>2020.0</v>
      </c>
      <c r="K3879" s="10">
        <v>46054.0</v>
      </c>
      <c r="L3879" s="6">
        <v>1.0</v>
      </c>
      <c r="M3879" s="8">
        <f t="shared" si="4"/>
        <v>0.17</v>
      </c>
      <c r="P3879" s="9"/>
    </row>
    <row r="3880">
      <c r="A3880" s="6" t="s">
        <v>8323</v>
      </c>
      <c r="B3880" s="6" t="s">
        <v>131</v>
      </c>
      <c r="C3880" s="6" t="s">
        <v>23</v>
      </c>
      <c r="D3880" s="6" t="s">
        <v>8324</v>
      </c>
      <c r="E3880" s="6" t="s">
        <v>238</v>
      </c>
      <c r="F3880" s="6" t="s">
        <v>159</v>
      </c>
      <c r="G3880" s="7">
        <v>0.09</v>
      </c>
      <c r="H3880" s="6" t="s">
        <v>559</v>
      </c>
      <c r="I3880" s="6" t="s">
        <v>20</v>
      </c>
      <c r="J3880" s="6">
        <v>2015.0</v>
      </c>
      <c r="K3880" s="6" t="s">
        <v>697</v>
      </c>
      <c r="L3880" s="6">
        <v>4.0</v>
      </c>
      <c r="M3880" s="8">
        <f t="shared" si="4"/>
        <v>0.36</v>
      </c>
      <c r="P3880" s="9"/>
    </row>
    <row r="3881">
      <c r="A3881" s="6" t="s">
        <v>8323</v>
      </c>
      <c r="B3881" s="6" t="s">
        <v>131</v>
      </c>
      <c r="C3881" s="6" t="s">
        <v>23</v>
      </c>
      <c r="D3881" s="6" t="s">
        <v>8325</v>
      </c>
      <c r="E3881" s="6" t="s">
        <v>238</v>
      </c>
      <c r="F3881" s="6" t="s">
        <v>159</v>
      </c>
      <c r="G3881" s="7">
        <v>0.08</v>
      </c>
      <c r="H3881" s="6" t="s">
        <v>559</v>
      </c>
      <c r="I3881" s="6" t="s">
        <v>20</v>
      </c>
      <c r="J3881" s="6">
        <v>2015.0</v>
      </c>
      <c r="K3881" s="6" t="s">
        <v>697</v>
      </c>
      <c r="L3881" s="6">
        <v>1.0</v>
      </c>
      <c r="M3881" s="8">
        <f t="shared" si="4"/>
        <v>0.08</v>
      </c>
      <c r="N3881" s="6" t="s">
        <v>518</v>
      </c>
      <c r="P3881" s="9"/>
    </row>
    <row r="3882">
      <c r="A3882" s="6" t="s">
        <v>8323</v>
      </c>
      <c r="B3882" s="6" t="s">
        <v>131</v>
      </c>
      <c r="C3882" s="6" t="s">
        <v>23</v>
      </c>
      <c r="D3882" s="6" t="s">
        <v>8325</v>
      </c>
      <c r="E3882" s="6" t="s">
        <v>238</v>
      </c>
      <c r="F3882" s="6" t="s">
        <v>159</v>
      </c>
      <c r="G3882" s="7">
        <v>0.15</v>
      </c>
      <c r="H3882" s="6" t="s">
        <v>581</v>
      </c>
      <c r="I3882" s="6" t="s">
        <v>20</v>
      </c>
      <c r="J3882" s="6">
        <v>2022.0</v>
      </c>
      <c r="K3882" s="6" t="s">
        <v>697</v>
      </c>
      <c r="L3882" s="6">
        <v>1.0</v>
      </c>
      <c r="M3882" s="8">
        <f t="shared" si="4"/>
        <v>0.15</v>
      </c>
      <c r="P3882" s="9"/>
    </row>
    <row r="3883">
      <c r="A3883" s="6" t="s">
        <v>8326</v>
      </c>
      <c r="B3883" s="6" t="s">
        <v>307</v>
      </c>
      <c r="C3883" s="6" t="s">
        <v>48</v>
      </c>
      <c r="D3883" s="6" t="s">
        <v>8327</v>
      </c>
      <c r="E3883" s="6" t="s">
        <v>36</v>
      </c>
      <c r="F3883" s="6" t="s">
        <v>37</v>
      </c>
      <c r="G3883" s="7">
        <v>0.03</v>
      </c>
      <c r="H3883" s="6" t="s">
        <v>299</v>
      </c>
      <c r="I3883" s="6" t="s">
        <v>20</v>
      </c>
      <c r="J3883" s="6">
        <v>2017.0</v>
      </c>
      <c r="L3883" s="6">
        <v>1.0</v>
      </c>
      <c r="M3883" s="8">
        <f t="shared" si="4"/>
        <v>0.03</v>
      </c>
      <c r="P3883" s="9"/>
    </row>
    <row r="3884">
      <c r="A3884" s="6" t="s">
        <v>8328</v>
      </c>
      <c r="B3884" s="6" t="s">
        <v>8329</v>
      </c>
      <c r="C3884" s="6" t="s">
        <v>34</v>
      </c>
      <c r="D3884" s="6" t="s">
        <v>8330</v>
      </c>
      <c r="E3884" s="6" t="s">
        <v>36</v>
      </c>
      <c r="F3884" s="6" t="s">
        <v>37</v>
      </c>
      <c r="G3884" s="7">
        <v>0.03</v>
      </c>
      <c r="H3884" s="6" t="s">
        <v>200</v>
      </c>
      <c r="I3884" s="6" t="s">
        <v>20</v>
      </c>
      <c r="J3884" s="6">
        <v>2018.0</v>
      </c>
      <c r="K3884" s="10">
        <v>46082.0</v>
      </c>
      <c r="L3884" s="6">
        <v>4.0</v>
      </c>
      <c r="M3884" s="8">
        <f t="shared" si="4"/>
        <v>0.12</v>
      </c>
      <c r="P3884" s="9"/>
    </row>
    <row r="3885">
      <c r="A3885" s="6" t="s">
        <v>8331</v>
      </c>
      <c r="B3885" s="6" t="s">
        <v>1978</v>
      </c>
      <c r="C3885" s="6" t="s">
        <v>23</v>
      </c>
      <c r="D3885" s="6" t="s">
        <v>8332</v>
      </c>
      <c r="E3885" s="6" t="s">
        <v>573</v>
      </c>
      <c r="F3885" s="6" t="s">
        <v>51</v>
      </c>
      <c r="G3885" s="7">
        <v>0.05</v>
      </c>
      <c r="H3885" s="6" t="s">
        <v>626</v>
      </c>
      <c r="I3885" s="6" t="s">
        <v>20</v>
      </c>
      <c r="J3885" s="6">
        <v>2013.0</v>
      </c>
      <c r="K3885" s="10">
        <v>46056.0</v>
      </c>
      <c r="L3885" s="6">
        <v>1.0</v>
      </c>
      <c r="M3885" s="8">
        <f t="shared" si="4"/>
        <v>0.05</v>
      </c>
      <c r="P3885" s="9"/>
    </row>
    <row r="3886">
      <c r="A3886" s="6" t="s">
        <v>8333</v>
      </c>
      <c r="B3886" s="6" t="s">
        <v>8334</v>
      </c>
      <c r="C3886" s="6" t="s">
        <v>23</v>
      </c>
      <c r="D3886" s="6" t="s">
        <v>8335</v>
      </c>
      <c r="E3886" s="6" t="s">
        <v>3477</v>
      </c>
      <c r="F3886" s="6" t="s">
        <v>159</v>
      </c>
      <c r="G3886" s="7">
        <v>0.03</v>
      </c>
      <c r="H3886" s="6" t="s">
        <v>276</v>
      </c>
      <c r="I3886" s="6" t="s">
        <v>20</v>
      </c>
      <c r="J3886" s="6">
        <v>2014.0</v>
      </c>
      <c r="K3886" s="10">
        <v>46023.0</v>
      </c>
      <c r="L3886" s="6">
        <v>1.0</v>
      </c>
      <c r="M3886" s="8">
        <f t="shared" si="4"/>
        <v>0.03</v>
      </c>
      <c r="P3886" s="9"/>
    </row>
    <row r="3887">
      <c r="A3887" s="6" t="s">
        <v>8336</v>
      </c>
      <c r="B3887" s="6" t="s">
        <v>1509</v>
      </c>
      <c r="C3887" s="6" t="s">
        <v>23</v>
      </c>
      <c r="D3887" s="6" t="s">
        <v>8337</v>
      </c>
      <c r="E3887" s="6" t="s">
        <v>223</v>
      </c>
      <c r="F3887" s="6" t="s">
        <v>159</v>
      </c>
      <c r="G3887" s="7">
        <v>0.03</v>
      </c>
      <c r="H3887" s="6" t="s">
        <v>526</v>
      </c>
      <c r="I3887" s="6" t="s">
        <v>20</v>
      </c>
      <c r="J3887" s="6">
        <v>2020.0</v>
      </c>
      <c r="K3887" s="10">
        <v>46024.0</v>
      </c>
      <c r="L3887" s="6">
        <v>1.0</v>
      </c>
      <c r="M3887" s="8">
        <f t="shared" si="4"/>
        <v>0.03</v>
      </c>
      <c r="P3887" s="9"/>
    </row>
    <row r="3888">
      <c r="A3888" s="6" t="s">
        <v>8338</v>
      </c>
      <c r="B3888" s="6" t="s">
        <v>372</v>
      </c>
      <c r="C3888" s="6" t="s">
        <v>23</v>
      </c>
      <c r="D3888" s="6" t="s">
        <v>8339</v>
      </c>
      <c r="E3888" s="6" t="s">
        <v>223</v>
      </c>
      <c r="F3888" s="6" t="s">
        <v>159</v>
      </c>
      <c r="G3888" s="7">
        <v>0.04</v>
      </c>
      <c r="H3888" s="6" t="s">
        <v>526</v>
      </c>
      <c r="I3888" s="6" t="s">
        <v>20</v>
      </c>
      <c r="J3888" s="6">
        <v>2020.0</v>
      </c>
      <c r="L3888" s="6">
        <v>1.0</v>
      </c>
      <c r="M3888" s="8">
        <f t="shared" si="4"/>
        <v>0.04</v>
      </c>
      <c r="P3888" s="9"/>
    </row>
    <row r="3889">
      <c r="A3889" s="6" t="s">
        <v>8340</v>
      </c>
      <c r="B3889" s="6" t="s">
        <v>8341</v>
      </c>
      <c r="C3889" s="6" t="s">
        <v>23</v>
      </c>
      <c r="D3889" s="6" t="s">
        <v>8342</v>
      </c>
      <c r="E3889" s="6" t="s">
        <v>50</v>
      </c>
      <c r="F3889" s="6" t="s">
        <v>51</v>
      </c>
      <c r="G3889" s="7">
        <v>0.05</v>
      </c>
      <c r="H3889" s="6" t="s">
        <v>418</v>
      </c>
      <c r="I3889" s="6" t="s">
        <v>20</v>
      </c>
      <c r="J3889" s="6">
        <v>2022.0</v>
      </c>
      <c r="K3889" s="10">
        <v>46083.0</v>
      </c>
      <c r="L3889" s="6">
        <v>3.0</v>
      </c>
      <c r="M3889" s="8">
        <f t="shared" si="4"/>
        <v>0.15</v>
      </c>
      <c r="P3889" s="9"/>
    </row>
    <row r="3890">
      <c r="A3890" s="6" t="s">
        <v>8340</v>
      </c>
      <c r="B3890" s="6" t="s">
        <v>8341</v>
      </c>
      <c r="C3890" s="6" t="s">
        <v>23</v>
      </c>
      <c r="D3890" s="6" t="s">
        <v>8342</v>
      </c>
      <c r="E3890" s="6" t="s">
        <v>50</v>
      </c>
      <c r="F3890" s="6" t="s">
        <v>51</v>
      </c>
      <c r="G3890" s="7">
        <v>0.11</v>
      </c>
      <c r="H3890" s="6" t="s">
        <v>418</v>
      </c>
      <c r="I3890" s="6" t="s">
        <v>20</v>
      </c>
      <c r="J3890" s="6">
        <v>2022.0</v>
      </c>
      <c r="K3890" s="10">
        <v>46083.0</v>
      </c>
      <c r="L3890" s="6">
        <v>1.0</v>
      </c>
      <c r="M3890" s="8">
        <f t="shared" si="4"/>
        <v>0.11</v>
      </c>
      <c r="P3890" s="9"/>
    </row>
    <row r="3891">
      <c r="A3891" s="6" t="s">
        <v>8340</v>
      </c>
      <c r="B3891" s="6" t="s">
        <v>8341</v>
      </c>
      <c r="C3891" s="6" t="s">
        <v>23</v>
      </c>
      <c r="D3891" s="6" t="s">
        <v>8342</v>
      </c>
      <c r="E3891" s="6" t="s">
        <v>50</v>
      </c>
      <c r="F3891" s="6" t="s">
        <v>51</v>
      </c>
      <c r="G3891" s="7">
        <v>0.11</v>
      </c>
      <c r="H3891" s="6" t="s">
        <v>4672</v>
      </c>
      <c r="I3891" s="6" t="s">
        <v>20</v>
      </c>
      <c r="J3891" s="6">
        <v>2022.0</v>
      </c>
      <c r="K3891" s="10">
        <v>46083.0</v>
      </c>
      <c r="L3891" s="6">
        <v>1.0</v>
      </c>
      <c r="M3891" s="8">
        <f t="shared" si="4"/>
        <v>0.11</v>
      </c>
      <c r="P3891" s="9"/>
    </row>
    <row r="3892">
      <c r="A3892" s="6" t="s">
        <v>8343</v>
      </c>
      <c r="B3892" s="6" t="s">
        <v>182</v>
      </c>
      <c r="C3892" s="6" t="s">
        <v>48</v>
      </c>
      <c r="D3892" s="6" t="s">
        <v>8344</v>
      </c>
      <c r="E3892" s="6" t="s">
        <v>108</v>
      </c>
      <c r="F3892" s="6" t="s">
        <v>103</v>
      </c>
      <c r="G3892" s="7">
        <v>0.09</v>
      </c>
      <c r="H3892" s="6" t="s">
        <v>494</v>
      </c>
      <c r="I3892" s="6" t="s">
        <v>55</v>
      </c>
      <c r="J3892" s="6">
        <v>2003.0</v>
      </c>
      <c r="L3892" s="6">
        <v>1.0</v>
      </c>
      <c r="M3892" s="8">
        <f t="shared" si="4"/>
        <v>0.09</v>
      </c>
      <c r="P3892" s="9"/>
    </row>
    <row r="3893">
      <c r="A3893" s="6" t="s">
        <v>8345</v>
      </c>
      <c r="B3893" s="6" t="s">
        <v>2898</v>
      </c>
      <c r="C3893" s="6" t="s">
        <v>23</v>
      </c>
      <c r="D3893" s="6" t="s">
        <v>8346</v>
      </c>
      <c r="E3893" s="6" t="s">
        <v>1336</v>
      </c>
      <c r="F3893" s="6" t="s">
        <v>103</v>
      </c>
      <c r="G3893" s="7">
        <v>0.09</v>
      </c>
      <c r="H3893" s="6" t="s">
        <v>3110</v>
      </c>
      <c r="I3893" s="6" t="s">
        <v>55</v>
      </c>
      <c r="J3893" s="6">
        <v>2007.0</v>
      </c>
      <c r="K3893" s="10">
        <v>46055.0</v>
      </c>
      <c r="L3893" s="6">
        <v>1.0</v>
      </c>
      <c r="M3893" s="8">
        <f t="shared" si="4"/>
        <v>0.09</v>
      </c>
      <c r="P3893" s="9"/>
    </row>
    <row r="3894">
      <c r="A3894" s="6" t="s">
        <v>8347</v>
      </c>
      <c r="B3894" s="6" t="s">
        <v>3151</v>
      </c>
      <c r="C3894" s="6" t="s">
        <v>41</v>
      </c>
      <c r="D3894" s="6" t="s">
        <v>8348</v>
      </c>
      <c r="E3894" s="6" t="s">
        <v>153</v>
      </c>
      <c r="F3894" s="6" t="s">
        <v>103</v>
      </c>
      <c r="G3894" s="7">
        <v>1.09</v>
      </c>
      <c r="H3894" s="6" t="s">
        <v>329</v>
      </c>
      <c r="I3894" s="6" t="s">
        <v>20</v>
      </c>
      <c r="J3894" s="6">
        <v>2011.0</v>
      </c>
      <c r="K3894" s="6" t="s">
        <v>89</v>
      </c>
      <c r="L3894" s="6">
        <v>1.0</v>
      </c>
      <c r="M3894" s="8">
        <f t="shared" si="4"/>
        <v>1.09</v>
      </c>
      <c r="P3894" s="9"/>
    </row>
    <row r="3895">
      <c r="A3895" s="6" t="s">
        <v>8349</v>
      </c>
      <c r="B3895" s="6" t="s">
        <v>250</v>
      </c>
      <c r="C3895" s="6" t="s">
        <v>23</v>
      </c>
      <c r="D3895" s="6" t="s">
        <v>8350</v>
      </c>
      <c r="E3895" s="6" t="s">
        <v>248</v>
      </c>
      <c r="F3895" s="6" t="s">
        <v>18</v>
      </c>
      <c r="G3895" s="7">
        <v>0.28</v>
      </c>
      <c r="H3895" s="6" t="s">
        <v>192</v>
      </c>
      <c r="I3895" s="6" t="s">
        <v>20</v>
      </c>
      <c r="J3895" s="6">
        <v>2026.0</v>
      </c>
      <c r="L3895" s="6">
        <v>4.0</v>
      </c>
      <c r="M3895" s="8">
        <f t="shared" si="4"/>
        <v>1.12</v>
      </c>
      <c r="P3895" s="9"/>
    </row>
    <row r="3896">
      <c r="A3896" s="6" t="s">
        <v>8351</v>
      </c>
      <c r="B3896" s="6" t="s">
        <v>194</v>
      </c>
      <c r="C3896" s="6" t="s">
        <v>449</v>
      </c>
      <c r="D3896" s="6" t="s">
        <v>8352</v>
      </c>
      <c r="E3896" s="6" t="s">
        <v>1172</v>
      </c>
      <c r="F3896" s="6" t="s">
        <v>8353</v>
      </c>
      <c r="G3896" s="7">
        <v>0.45</v>
      </c>
      <c r="H3896" s="6" t="s">
        <v>2680</v>
      </c>
      <c r="I3896" s="6" t="s">
        <v>20</v>
      </c>
      <c r="J3896" s="6">
        <v>1998.0</v>
      </c>
      <c r="L3896" s="6">
        <v>1.0</v>
      </c>
      <c r="M3896" s="8">
        <f t="shared" si="4"/>
        <v>0.45</v>
      </c>
      <c r="P3896" s="9"/>
    </row>
    <row r="3897">
      <c r="A3897" s="6" t="s">
        <v>8354</v>
      </c>
      <c r="B3897" s="6" t="s">
        <v>131</v>
      </c>
      <c r="C3897" s="6" t="s">
        <v>48</v>
      </c>
      <c r="D3897" s="6" t="s">
        <v>8355</v>
      </c>
      <c r="E3897" s="6" t="s">
        <v>25</v>
      </c>
      <c r="F3897" s="6" t="s">
        <v>18</v>
      </c>
      <c r="G3897" s="7">
        <v>0.09</v>
      </c>
      <c r="H3897" s="6" t="s">
        <v>216</v>
      </c>
      <c r="I3897" s="6" t="s">
        <v>20</v>
      </c>
      <c r="J3897" s="6">
        <v>2024.0</v>
      </c>
      <c r="K3897" s="10">
        <v>46056.0</v>
      </c>
      <c r="L3897" s="6">
        <v>2.0</v>
      </c>
      <c r="M3897" s="8">
        <f t="shared" si="4"/>
        <v>0.18</v>
      </c>
      <c r="P3897" s="9"/>
    </row>
    <row r="3898">
      <c r="A3898" s="6" t="s">
        <v>8356</v>
      </c>
      <c r="B3898" s="6" t="s">
        <v>372</v>
      </c>
      <c r="C3898" s="6" t="s">
        <v>23</v>
      </c>
      <c r="D3898" s="6" t="s">
        <v>8357</v>
      </c>
      <c r="E3898" s="6" t="s">
        <v>79</v>
      </c>
      <c r="F3898" s="6" t="s">
        <v>51</v>
      </c>
      <c r="G3898" s="7">
        <v>0.05</v>
      </c>
      <c r="H3898" s="6" t="s">
        <v>1018</v>
      </c>
      <c r="I3898" s="6" t="s">
        <v>20</v>
      </c>
      <c r="J3898" s="6">
        <v>1999.0</v>
      </c>
      <c r="L3898" s="6">
        <v>1.0</v>
      </c>
      <c r="M3898" s="8">
        <f t="shared" si="4"/>
        <v>0.05</v>
      </c>
      <c r="P3898" s="9"/>
    </row>
    <row r="3899">
      <c r="A3899" s="6" t="s">
        <v>8358</v>
      </c>
      <c r="B3899" s="6" t="s">
        <v>3067</v>
      </c>
      <c r="C3899" s="6" t="s">
        <v>23</v>
      </c>
      <c r="D3899" s="6" t="s">
        <v>8359</v>
      </c>
      <c r="E3899" s="6" t="s">
        <v>50</v>
      </c>
      <c r="F3899" s="6" t="s">
        <v>51</v>
      </c>
      <c r="G3899" s="7">
        <v>0.09</v>
      </c>
      <c r="H3899" s="6" t="s">
        <v>565</v>
      </c>
      <c r="I3899" s="6" t="s">
        <v>20</v>
      </c>
      <c r="J3899" s="6">
        <v>2021.0</v>
      </c>
      <c r="K3899" s="10">
        <v>46054.0</v>
      </c>
      <c r="L3899" s="6">
        <v>1.0</v>
      </c>
      <c r="M3899" s="8">
        <f t="shared" si="4"/>
        <v>0.09</v>
      </c>
      <c r="P3899" s="9"/>
    </row>
    <row r="3900">
      <c r="A3900" s="6" t="s">
        <v>8360</v>
      </c>
      <c r="B3900" s="6" t="s">
        <v>8361</v>
      </c>
      <c r="C3900" s="6" t="s">
        <v>23</v>
      </c>
      <c r="D3900" s="6" t="s">
        <v>974</v>
      </c>
      <c r="E3900" s="6" t="s">
        <v>79</v>
      </c>
      <c r="F3900" s="6" t="s">
        <v>51</v>
      </c>
      <c r="G3900" s="7">
        <v>0.06</v>
      </c>
      <c r="H3900" s="6" t="s">
        <v>621</v>
      </c>
      <c r="I3900" s="6" t="s">
        <v>20</v>
      </c>
      <c r="J3900" s="6">
        <v>2015.0</v>
      </c>
      <c r="K3900" s="10">
        <v>46055.0</v>
      </c>
      <c r="L3900" s="6">
        <v>1.0</v>
      </c>
      <c r="M3900" s="8">
        <f t="shared" si="4"/>
        <v>0.06</v>
      </c>
      <c r="P3900" s="9"/>
    </row>
    <row r="3901">
      <c r="A3901" s="6" t="s">
        <v>8362</v>
      </c>
      <c r="B3901" s="6" t="s">
        <v>182</v>
      </c>
      <c r="C3901" s="6" t="s">
        <v>23</v>
      </c>
      <c r="D3901" s="6" t="s">
        <v>8363</v>
      </c>
      <c r="E3901" s="6" t="s">
        <v>611</v>
      </c>
      <c r="F3901" s="6" t="s">
        <v>103</v>
      </c>
      <c r="G3901" s="7">
        <v>0.04</v>
      </c>
      <c r="H3901" s="6" t="s">
        <v>88</v>
      </c>
      <c r="I3901" s="6" t="s">
        <v>20</v>
      </c>
      <c r="J3901" s="6">
        <v>2013.0</v>
      </c>
      <c r="L3901" s="6">
        <v>3.0</v>
      </c>
      <c r="M3901" s="8">
        <f t="shared" si="4"/>
        <v>0.12</v>
      </c>
      <c r="P3901" s="9"/>
    </row>
    <row r="3902">
      <c r="A3902" s="6" t="s">
        <v>8364</v>
      </c>
      <c r="B3902" s="6" t="s">
        <v>8365</v>
      </c>
      <c r="C3902" s="6" t="s">
        <v>41</v>
      </c>
      <c r="D3902" s="6" t="s">
        <v>8366</v>
      </c>
      <c r="E3902" s="6" t="s">
        <v>1965</v>
      </c>
      <c r="F3902" s="6" t="s">
        <v>426</v>
      </c>
      <c r="G3902" s="7">
        <v>0.25</v>
      </c>
      <c r="H3902" s="6" t="s">
        <v>641</v>
      </c>
      <c r="I3902" s="6" t="s">
        <v>20</v>
      </c>
      <c r="J3902" s="6">
        <v>2026.0</v>
      </c>
      <c r="K3902" s="10">
        <v>46115.0</v>
      </c>
      <c r="L3902" s="6">
        <v>1.0</v>
      </c>
      <c r="M3902" s="8">
        <f t="shared" si="4"/>
        <v>0.25</v>
      </c>
      <c r="P3902" s="9"/>
    </row>
    <row r="3903">
      <c r="A3903" s="6" t="s">
        <v>8367</v>
      </c>
      <c r="B3903" s="6" t="s">
        <v>127</v>
      </c>
      <c r="C3903" s="6" t="s">
        <v>41</v>
      </c>
      <c r="D3903" s="6" t="s">
        <v>8368</v>
      </c>
      <c r="E3903" s="6" t="s">
        <v>102</v>
      </c>
      <c r="F3903" s="6" t="s">
        <v>103</v>
      </c>
      <c r="G3903" s="7">
        <v>0.45</v>
      </c>
      <c r="H3903" s="6" t="s">
        <v>136</v>
      </c>
      <c r="I3903" s="6" t="s">
        <v>20</v>
      </c>
      <c r="J3903" s="6">
        <v>2022.0</v>
      </c>
      <c r="K3903" s="10">
        <v>46055.0</v>
      </c>
      <c r="L3903" s="6">
        <v>1.0</v>
      </c>
      <c r="M3903" s="8">
        <f t="shared" si="4"/>
        <v>0.45</v>
      </c>
      <c r="P3903" s="9"/>
    </row>
    <row r="3904">
      <c r="A3904" s="6" t="s">
        <v>8369</v>
      </c>
      <c r="B3904" s="6" t="s">
        <v>1256</v>
      </c>
      <c r="C3904" s="6" t="s">
        <v>48</v>
      </c>
      <c r="D3904" s="6" t="s">
        <v>8370</v>
      </c>
      <c r="E3904" s="6" t="s">
        <v>8371</v>
      </c>
      <c r="F3904" s="6" t="s">
        <v>8372</v>
      </c>
      <c r="G3904" s="7">
        <v>0.25</v>
      </c>
      <c r="H3904" s="6" t="s">
        <v>19</v>
      </c>
      <c r="I3904" s="6" t="s">
        <v>20</v>
      </c>
      <c r="J3904" s="6">
        <v>2023.0</v>
      </c>
      <c r="K3904" s="10">
        <v>46116.0</v>
      </c>
      <c r="L3904" s="6">
        <v>1.0</v>
      </c>
      <c r="M3904" s="8">
        <f t="shared" si="4"/>
        <v>0.25</v>
      </c>
      <c r="P3904" s="9"/>
    </row>
    <row r="3905">
      <c r="A3905" s="6" t="s">
        <v>8373</v>
      </c>
      <c r="B3905" s="6" t="s">
        <v>8374</v>
      </c>
      <c r="C3905" s="6" t="s">
        <v>41</v>
      </c>
      <c r="D3905" s="6" t="s">
        <v>8375</v>
      </c>
      <c r="E3905" s="6" t="s">
        <v>533</v>
      </c>
      <c r="F3905" s="6" t="s">
        <v>65</v>
      </c>
      <c r="G3905" s="7">
        <v>0.45</v>
      </c>
      <c r="H3905" s="6" t="s">
        <v>1551</v>
      </c>
      <c r="I3905" s="6" t="s">
        <v>20</v>
      </c>
      <c r="J3905" s="6">
        <v>2007.0</v>
      </c>
      <c r="K3905" s="10">
        <v>46179.0</v>
      </c>
      <c r="L3905" s="6">
        <v>1.0</v>
      </c>
      <c r="M3905" s="8">
        <f t="shared" si="4"/>
        <v>0.45</v>
      </c>
      <c r="P3905" s="9"/>
    </row>
    <row r="3906">
      <c r="A3906" s="6" t="s">
        <v>8376</v>
      </c>
      <c r="B3906" s="6" t="s">
        <v>8377</v>
      </c>
      <c r="C3906" s="6" t="s">
        <v>15</v>
      </c>
      <c r="D3906" s="6" t="s">
        <v>8378</v>
      </c>
      <c r="E3906" s="6" t="s">
        <v>377</v>
      </c>
      <c r="F3906" s="6" t="s">
        <v>103</v>
      </c>
      <c r="G3906" s="7">
        <v>0.05</v>
      </c>
      <c r="H3906" s="6" t="s">
        <v>209</v>
      </c>
      <c r="I3906" s="6" t="s">
        <v>20</v>
      </c>
      <c r="J3906" s="6">
        <v>2025.0</v>
      </c>
      <c r="K3906" s="10">
        <v>46084.0</v>
      </c>
      <c r="L3906" s="6">
        <v>2.0</v>
      </c>
      <c r="M3906" s="8">
        <f t="shared" si="4"/>
        <v>0.1</v>
      </c>
      <c r="P3906" s="9"/>
    </row>
    <row r="3907">
      <c r="A3907" s="6" t="s">
        <v>8379</v>
      </c>
      <c r="B3907" s="6" t="s">
        <v>2898</v>
      </c>
      <c r="C3907" s="6" t="s">
        <v>23</v>
      </c>
      <c r="D3907" s="6" t="s">
        <v>8380</v>
      </c>
      <c r="E3907" s="6" t="s">
        <v>102</v>
      </c>
      <c r="F3907" s="6" t="s">
        <v>103</v>
      </c>
      <c r="G3907" s="7">
        <v>0.06</v>
      </c>
      <c r="H3907" s="6" t="s">
        <v>184</v>
      </c>
      <c r="I3907" s="6" t="s">
        <v>20</v>
      </c>
      <c r="J3907" s="6">
        <v>2015.0</v>
      </c>
      <c r="K3907" s="10">
        <v>46083.0</v>
      </c>
      <c r="L3907" s="6">
        <v>2.0</v>
      </c>
      <c r="M3907" s="8">
        <f t="shared" si="4"/>
        <v>0.12</v>
      </c>
      <c r="P3907" s="9"/>
    </row>
    <row r="3908">
      <c r="A3908" s="6" t="s">
        <v>8379</v>
      </c>
      <c r="B3908" s="6" t="s">
        <v>2898</v>
      </c>
      <c r="C3908" s="6" t="s">
        <v>23</v>
      </c>
      <c r="D3908" s="6" t="s">
        <v>8380</v>
      </c>
      <c r="E3908" s="6" t="s">
        <v>102</v>
      </c>
      <c r="F3908" s="6" t="s">
        <v>103</v>
      </c>
      <c r="G3908" s="7">
        <v>0.06</v>
      </c>
      <c r="H3908" s="6" t="s">
        <v>184</v>
      </c>
      <c r="I3908" s="6" t="s">
        <v>20</v>
      </c>
      <c r="J3908" s="6">
        <v>2015.0</v>
      </c>
      <c r="K3908" s="10">
        <v>46083.0</v>
      </c>
      <c r="L3908" s="6">
        <v>2.0</v>
      </c>
      <c r="M3908" s="8">
        <f t="shared" si="4"/>
        <v>0.12</v>
      </c>
      <c r="P3908" s="9"/>
    </row>
    <row r="3909">
      <c r="A3909" s="6" t="s">
        <v>8379</v>
      </c>
      <c r="B3909" s="6" t="s">
        <v>2898</v>
      </c>
      <c r="C3909" s="6" t="s">
        <v>23</v>
      </c>
      <c r="D3909" s="6" t="s">
        <v>8380</v>
      </c>
      <c r="E3909" s="6" t="s">
        <v>102</v>
      </c>
      <c r="F3909" s="6" t="s">
        <v>103</v>
      </c>
      <c r="G3909" s="7">
        <v>0.38</v>
      </c>
      <c r="H3909" s="6" t="s">
        <v>184</v>
      </c>
      <c r="I3909" s="6" t="s">
        <v>55</v>
      </c>
      <c r="J3909" s="6">
        <v>2015.0</v>
      </c>
      <c r="K3909" s="10">
        <v>46083.0</v>
      </c>
      <c r="L3909" s="6">
        <v>1.0</v>
      </c>
      <c r="M3909" s="8">
        <f t="shared" si="4"/>
        <v>0.38</v>
      </c>
      <c r="P3909" s="9"/>
    </row>
    <row r="3910">
      <c r="A3910" s="6" t="s">
        <v>8381</v>
      </c>
      <c r="B3910" s="6" t="s">
        <v>8382</v>
      </c>
      <c r="C3910" s="6" t="s">
        <v>15</v>
      </c>
      <c r="D3910" s="6" t="s">
        <v>8383</v>
      </c>
      <c r="E3910" s="6" t="s">
        <v>8384</v>
      </c>
      <c r="F3910" s="6" t="s">
        <v>858</v>
      </c>
      <c r="G3910" s="7">
        <v>0.09</v>
      </c>
      <c r="H3910" s="6" t="s">
        <v>180</v>
      </c>
      <c r="I3910" s="6" t="s">
        <v>55</v>
      </c>
      <c r="J3910" s="6">
        <v>2014.0</v>
      </c>
      <c r="K3910" s="10">
        <v>46085.0</v>
      </c>
      <c r="L3910" s="6">
        <v>1.0</v>
      </c>
      <c r="M3910" s="8">
        <f t="shared" si="4"/>
        <v>0.09</v>
      </c>
      <c r="P3910" s="9"/>
    </row>
    <row r="3911">
      <c r="A3911" s="6" t="s">
        <v>8381</v>
      </c>
      <c r="B3911" s="6" t="s">
        <v>8382</v>
      </c>
      <c r="C3911" s="6" t="s">
        <v>15</v>
      </c>
      <c r="D3911" s="6" t="s">
        <v>8383</v>
      </c>
      <c r="E3911" s="6" t="s">
        <v>8384</v>
      </c>
      <c r="F3911" s="6" t="s">
        <v>858</v>
      </c>
      <c r="G3911" s="7">
        <v>0.13</v>
      </c>
      <c r="H3911" s="6" t="s">
        <v>180</v>
      </c>
      <c r="I3911" s="6" t="s">
        <v>20</v>
      </c>
      <c r="J3911" s="6">
        <v>2014.0</v>
      </c>
      <c r="K3911" s="10">
        <v>46085.0</v>
      </c>
      <c r="L3911" s="6">
        <v>1.0</v>
      </c>
      <c r="M3911" s="8">
        <f t="shared" si="4"/>
        <v>0.13</v>
      </c>
      <c r="P3911" s="9"/>
    </row>
    <row r="3912">
      <c r="A3912" s="6" t="s">
        <v>8385</v>
      </c>
      <c r="B3912" s="6" t="s">
        <v>841</v>
      </c>
      <c r="C3912" s="6" t="s">
        <v>48</v>
      </c>
      <c r="D3912" s="6" t="s">
        <v>8386</v>
      </c>
      <c r="E3912" s="6" t="s">
        <v>243</v>
      </c>
      <c r="F3912" s="6" t="s">
        <v>37</v>
      </c>
      <c r="G3912" s="7">
        <v>0.13</v>
      </c>
      <c r="H3912" s="6" t="s">
        <v>141</v>
      </c>
      <c r="I3912" s="6" t="s">
        <v>20</v>
      </c>
      <c r="J3912" s="6">
        <v>2019.0</v>
      </c>
      <c r="K3912" s="6" t="s">
        <v>3042</v>
      </c>
      <c r="L3912" s="6">
        <v>1.0</v>
      </c>
      <c r="M3912" s="8">
        <f t="shared" si="4"/>
        <v>0.13</v>
      </c>
      <c r="P3912" s="9"/>
    </row>
    <row r="3913">
      <c r="A3913" s="6" t="s">
        <v>8387</v>
      </c>
      <c r="B3913" s="6" t="s">
        <v>143</v>
      </c>
      <c r="C3913" s="6" t="s">
        <v>23</v>
      </c>
      <c r="D3913" s="6" t="s">
        <v>8388</v>
      </c>
      <c r="E3913" s="6" t="s">
        <v>303</v>
      </c>
      <c r="F3913" s="6" t="s">
        <v>37</v>
      </c>
      <c r="G3913" s="7">
        <v>0.05</v>
      </c>
      <c r="H3913" s="6" t="s">
        <v>93</v>
      </c>
      <c r="I3913" s="6" t="s">
        <v>20</v>
      </c>
      <c r="J3913" s="6">
        <v>2016.0</v>
      </c>
      <c r="L3913" s="6">
        <v>1.0</v>
      </c>
      <c r="M3913" s="8">
        <f t="shared" si="4"/>
        <v>0.05</v>
      </c>
      <c r="N3913" s="6" t="s">
        <v>518</v>
      </c>
      <c r="P3913" s="9"/>
    </row>
    <row r="3914">
      <c r="A3914" s="6" t="s">
        <v>8389</v>
      </c>
      <c r="B3914" s="6" t="s">
        <v>182</v>
      </c>
      <c r="C3914" s="6" t="s">
        <v>23</v>
      </c>
      <c r="D3914" s="6" t="s">
        <v>8390</v>
      </c>
      <c r="E3914" s="6" t="s">
        <v>248</v>
      </c>
      <c r="F3914" s="6" t="s">
        <v>18</v>
      </c>
      <c r="G3914" s="7">
        <v>0.3</v>
      </c>
      <c r="H3914" s="6" t="s">
        <v>1418</v>
      </c>
      <c r="I3914" s="6" t="s">
        <v>20</v>
      </c>
      <c r="J3914" s="6">
        <v>2010.0</v>
      </c>
      <c r="L3914" s="6">
        <v>1.0</v>
      </c>
      <c r="M3914" s="8">
        <f t="shared" si="4"/>
        <v>0.3</v>
      </c>
      <c r="P3914" s="9"/>
    </row>
    <row r="3915">
      <c r="A3915" s="6" t="s">
        <v>8391</v>
      </c>
      <c r="B3915" s="6" t="s">
        <v>53</v>
      </c>
      <c r="C3915" s="6" t="s">
        <v>48</v>
      </c>
      <c r="D3915" s="6" t="s">
        <v>8392</v>
      </c>
      <c r="E3915" s="6" t="s">
        <v>223</v>
      </c>
      <c r="F3915" s="6" t="s">
        <v>159</v>
      </c>
      <c r="G3915" s="7">
        <v>0.98</v>
      </c>
      <c r="H3915" s="6" t="s">
        <v>45</v>
      </c>
      <c r="I3915" s="6" t="s">
        <v>20</v>
      </c>
      <c r="J3915" s="6">
        <v>2025.0</v>
      </c>
      <c r="L3915" s="6">
        <v>1.0</v>
      </c>
      <c r="M3915" s="8">
        <f t="shared" si="4"/>
        <v>0.98</v>
      </c>
      <c r="P3915" s="9"/>
    </row>
    <row r="3916">
      <c r="A3916" s="6" t="s">
        <v>8393</v>
      </c>
      <c r="B3916" s="6" t="s">
        <v>8394</v>
      </c>
      <c r="C3916" s="6" t="s">
        <v>41</v>
      </c>
      <c r="D3916" s="6" t="s">
        <v>8395</v>
      </c>
      <c r="E3916" s="6" t="s">
        <v>124</v>
      </c>
      <c r="F3916" s="6" t="s">
        <v>103</v>
      </c>
      <c r="G3916" s="7">
        <v>8.29</v>
      </c>
      <c r="H3916" s="6" t="s">
        <v>192</v>
      </c>
      <c r="I3916" s="6" t="s">
        <v>55</v>
      </c>
      <c r="J3916" s="6">
        <v>2026.0</v>
      </c>
      <c r="K3916" s="10">
        <v>46116.0</v>
      </c>
      <c r="L3916" s="6">
        <v>1.0</v>
      </c>
      <c r="M3916" s="8">
        <f t="shared" si="4"/>
        <v>8.29</v>
      </c>
      <c r="P3916" s="9"/>
    </row>
    <row r="3917">
      <c r="A3917" s="6" t="s">
        <v>8396</v>
      </c>
      <c r="B3917" s="6" t="s">
        <v>8397</v>
      </c>
      <c r="C3917" s="6" t="s">
        <v>48</v>
      </c>
      <c r="D3917" s="6" t="s">
        <v>8398</v>
      </c>
      <c r="E3917" s="6" t="s">
        <v>4123</v>
      </c>
      <c r="F3917" s="6" t="s">
        <v>284</v>
      </c>
      <c r="G3917" s="7">
        <v>0.49</v>
      </c>
      <c r="H3917" s="6" t="s">
        <v>185</v>
      </c>
      <c r="I3917" s="6" t="s">
        <v>55</v>
      </c>
      <c r="J3917" s="6">
        <v>2019.0</v>
      </c>
      <c r="K3917" s="10">
        <v>46116.0</v>
      </c>
      <c r="L3917" s="6">
        <v>1.0</v>
      </c>
      <c r="M3917" s="8">
        <f t="shared" si="4"/>
        <v>0.49</v>
      </c>
      <c r="P3917" s="9"/>
    </row>
    <row r="3918">
      <c r="A3918" s="6" t="s">
        <v>8399</v>
      </c>
      <c r="B3918" s="6" t="s">
        <v>229</v>
      </c>
      <c r="C3918" s="6" t="s">
        <v>212</v>
      </c>
      <c r="D3918" s="6" t="s">
        <v>8400</v>
      </c>
      <c r="E3918" s="6" t="s">
        <v>231</v>
      </c>
      <c r="F3918" s="6" t="s">
        <v>37</v>
      </c>
      <c r="G3918" s="7">
        <v>0.15</v>
      </c>
      <c r="H3918" s="6" t="s">
        <v>209</v>
      </c>
      <c r="I3918" s="6" t="s">
        <v>20</v>
      </c>
      <c r="J3918" s="6">
        <v>2025.0</v>
      </c>
      <c r="L3918" s="6">
        <v>3.0</v>
      </c>
      <c r="M3918" s="8">
        <f t="shared" si="4"/>
        <v>0.45</v>
      </c>
      <c r="P3918" s="9"/>
    </row>
    <row r="3919">
      <c r="A3919" s="6" t="s">
        <v>8401</v>
      </c>
      <c r="B3919" s="6" t="s">
        <v>62</v>
      </c>
      <c r="C3919" s="6" t="s">
        <v>23</v>
      </c>
      <c r="D3919" s="6" t="s">
        <v>8402</v>
      </c>
      <c r="E3919" s="6" t="s">
        <v>112</v>
      </c>
      <c r="F3919" s="6" t="s">
        <v>65</v>
      </c>
      <c r="G3919" s="7">
        <v>0.05</v>
      </c>
      <c r="H3919" s="6" t="s">
        <v>119</v>
      </c>
      <c r="I3919" s="6" t="s">
        <v>20</v>
      </c>
      <c r="J3919" s="6">
        <v>1995.0</v>
      </c>
      <c r="L3919" s="6">
        <v>3.0</v>
      </c>
      <c r="M3919" s="8">
        <f t="shared" si="4"/>
        <v>0.15</v>
      </c>
      <c r="P3919" s="9"/>
    </row>
    <row r="3920">
      <c r="A3920" s="6" t="s">
        <v>8401</v>
      </c>
      <c r="B3920" s="6" t="s">
        <v>62</v>
      </c>
      <c r="C3920" s="6" t="s">
        <v>23</v>
      </c>
      <c r="D3920" s="6" t="s">
        <v>8402</v>
      </c>
      <c r="E3920" s="6" t="s">
        <v>112</v>
      </c>
      <c r="F3920" s="6" t="s">
        <v>65</v>
      </c>
      <c r="G3920" s="7">
        <v>0.25</v>
      </c>
      <c r="H3920" s="6" t="s">
        <v>120</v>
      </c>
      <c r="I3920" s="6" t="s">
        <v>20</v>
      </c>
      <c r="J3920" s="6">
        <v>1995.0</v>
      </c>
      <c r="L3920" s="6">
        <v>2.0</v>
      </c>
      <c r="M3920" s="8">
        <f t="shared" si="4"/>
        <v>0.5</v>
      </c>
      <c r="P3920" s="9"/>
    </row>
    <row r="3921">
      <c r="A3921" s="6" t="s">
        <v>8401</v>
      </c>
      <c r="B3921" s="6" t="s">
        <v>62</v>
      </c>
      <c r="C3921" s="6" t="s">
        <v>23</v>
      </c>
      <c r="D3921" s="6" t="s">
        <v>8403</v>
      </c>
      <c r="E3921" s="6" t="s">
        <v>112</v>
      </c>
      <c r="F3921" s="6" t="s">
        <v>65</v>
      </c>
      <c r="G3921" s="7">
        <v>0.01</v>
      </c>
      <c r="H3921" s="6" t="s">
        <v>129</v>
      </c>
      <c r="I3921" s="6" t="s">
        <v>20</v>
      </c>
      <c r="J3921" s="6">
        <v>2014.0</v>
      </c>
      <c r="L3921" s="6">
        <v>1.0</v>
      </c>
      <c r="M3921" s="8">
        <f t="shared" si="4"/>
        <v>0.01</v>
      </c>
      <c r="P3921" s="9"/>
    </row>
    <row r="3922">
      <c r="A3922" s="6" t="s">
        <v>8401</v>
      </c>
      <c r="B3922" s="6" t="s">
        <v>62</v>
      </c>
      <c r="C3922" s="6" t="s">
        <v>23</v>
      </c>
      <c r="D3922" s="6" t="s">
        <v>8402</v>
      </c>
      <c r="E3922" s="6" t="s">
        <v>112</v>
      </c>
      <c r="F3922" s="6" t="s">
        <v>65</v>
      </c>
      <c r="G3922" s="7">
        <v>0.06</v>
      </c>
      <c r="H3922" s="6" t="s">
        <v>607</v>
      </c>
      <c r="I3922" s="6" t="s">
        <v>20</v>
      </c>
      <c r="J3922" s="6">
        <v>1994.0</v>
      </c>
      <c r="L3922" s="6">
        <v>3.0</v>
      </c>
      <c r="M3922" s="8">
        <f t="shared" si="4"/>
        <v>0.18</v>
      </c>
      <c r="P3922" s="9"/>
    </row>
    <row r="3923">
      <c r="A3923" s="6" t="s">
        <v>8404</v>
      </c>
      <c r="B3923" s="6" t="s">
        <v>8405</v>
      </c>
      <c r="C3923" s="6" t="s">
        <v>23</v>
      </c>
      <c r="D3923" s="6" t="s">
        <v>8406</v>
      </c>
      <c r="E3923" s="6" t="s">
        <v>8407</v>
      </c>
      <c r="F3923" s="6" t="s">
        <v>8408</v>
      </c>
      <c r="G3923" s="7">
        <v>0.08</v>
      </c>
      <c r="H3923" s="6" t="s">
        <v>978</v>
      </c>
      <c r="I3923" s="6" t="s">
        <v>20</v>
      </c>
      <c r="J3923" s="6">
        <v>2022.0</v>
      </c>
      <c r="K3923" s="10">
        <v>46116.0</v>
      </c>
      <c r="L3923" s="6">
        <v>1.0</v>
      </c>
      <c r="M3923" s="8">
        <f t="shared" si="4"/>
        <v>0.08</v>
      </c>
      <c r="P3923" s="9"/>
    </row>
    <row r="3924">
      <c r="A3924" s="6" t="s">
        <v>8409</v>
      </c>
      <c r="B3924" s="6" t="s">
        <v>62</v>
      </c>
      <c r="C3924" s="6" t="s">
        <v>23</v>
      </c>
      <c r="D3924" s="6" t="s">
        <v>8410</v>
      </c>
      <c r="E3924" s="6" t="s">
        <v>3016</v>
      </c>
      <c r="F3924" s="6" t="s">
        <v>986</v>
      </c>
      <c r="G3924" s="7">
        <v>0.09</v>
      </c>
      <c r="H3924" s="6" t="s">
        <v>88</v>
      </c>
      <c r="I3924" s="6" t="s">
        <v>20</v>
      </c>
      <c r="J3924" s="6">
        <v>2013.0</v>
      </c>
      <c r="L3924" s="6">
        <v>4.0</v>
      </c>
      <c r="M3924" s="8">
        <f t="shared" si="4"/>
        <v>0.36</v>
      </c>
      <c r="P3924" s="9"/>
    </row>
    <row r="3925">
      <c r="A3925" s="6" t="s">
        <v>8411</v>
      </c>
      <c r="B3925" s="6" t="s">
        <v>62</v>
      </c>
      <c r="C3925" s="6" t="s">
        <v>23</v>
      </c>
      <c r="D3925" s="6" t="s">
        <v>8412</v>
      </c>
      <c r="E3925" s="6" t="s">
        <v>238</v>
      </c>
      <c r="F3925" s="6" t="s">
        <v>159</v>
      </c>
      <c r="G3925" s="7">
        <v>0.03</v>
      </c>
      <c r="H3925" s="6" t="s">
        <v>562</v>
      </c>
      <c r="I3925" s="6" t="s">
        <v>20</v>
      </c>
      <c r="J3925" s="6">
        <v>2017.0</v>
      </c>
      <c r="L3925" s="6">
        <v>1.0</v>
      </c>
      <c r="M3925" s="8">
        <f t="shared" si="4"/>
        <v>0.03</v>
      </c>
      <c r="P3925" s="9"/>
    </row>
    <row r="3926">
      <c r="A3926" s="6" t="s">
        <v>8411</v>
      </c>
      <c r="B3926" s="6" t="s">
        <v>62</v>
      </c>
      <c r="C3926" s="6" t="s">
        <v>23</v>
      </c>
      <c r="D3926" s="6" t="s">
        <v>8412</v>
      </c>
      <c r="E3926" s="6" t="s">
        <v>238</v>
      </c>
      <c r="F3926" s="6" t="s">
        <v>159</v>
      </c>
      <c r="G3926" s="7">
        <v>0.03</v>
      </c>
      <c r="H3926" s="6" t="s">
        <v>562</v>
      </c>
      <c r="I3926" s="6" t="s">
        <v>20</v>
      </c>
      <c r="J3926" s="6">
        <v>2017.0</v>
      </c>
      <c r="L3926" s="6">
        <v>1.0</v>
      </c>
      <c r="M3926" s="8">
        <f t="shared" si="4"/>
        <v>0.03</v>
      </c>
      <c r="P3926" s="9"/>
    </row>
    <row r="3927">
      <c r="A3927" s="6" t="s">
        <v>8413</v>
      </c>
      <c r="B3927" s="6" t="s">
        <v>372</v>
      </c>
      <c r="C3927" s="6" t="s">
        <v>23</v>
      </c>
      <c r="D3927" s="6" t="s">
        <v>8414</v>
      </c>
      <c r="E3927" s="6" t="s">
        <v>270</v>
      </c>
      <c r="F3927" s="6" t="s">
        <v>159</v>
      </c>
      <c r="G3927" s="7">
        <v>0.09</v>
      </c>
      <c r="H3927" s="6" t="s">
        <v>114</v>
      </c>
      <c r="I3927" s="6" t="s">
        <v>20</v>
      </c>
      <c r="J3927" s="6">
        <v>2021.0</v>
      </c>
      <c r="L3927" s="6">
        <v>1.0</v>
      </c>
      <c r="M3927" s="8">
        <f t="shared" si="4"/>
        <v>0.09</v>
      </c>
      <c r="P3927" s="9"/>
    </row>
    <row r="3928">
      <c r="A3928" s="6" t="s">
        <v>8415</v>
      </c>
      <c r="B3928" s="6" t="s">
        <v>139</v>
      </c>
      <c r="C3928" s="6" t="s">
        <v>48</v>
      </c>
      <c r="D3928" s="6" t="s">
        <v>8416</v>
      </c>
      <c r="E3928" s="6" t="s">
        <v>79</v>
      </c>
      <c r="F3928" s="6" t="s">
        <v>51</v>
      </c>
      <c r="G3928" s="7">
        <v>0.1</v>
      </c>
      <c r="H3928" s="6" t="s">
        <v>216</v>
      </c>
      <c r="I3928" s="6" t="s">
        <v>20</v>
      </c>
      <c r="J3928" s="6">
        <v>2024.0</v>
      </c>
      <c r="K3928" s="6" t="s">
        <v>697</v>
      </c>
      <c r="L3928" s="6">
        <v>1.0</v>
      </c>
      <c r="M3928" s="8">
        <f t="shared" si="4"/>
        <v>0.1</v>
      </c>
      <c r="P3928" s="9"/>
    </row>
    <row r="3929">
      <c r="A3929" s="6" t="s">
        <v>8417</v>
      </c>
      <c r="B3929" s="6" t="s">
        <v>5578</v>
      </c>
      <c r="C3929" s="6" t="s">
        <v>287</v>
      </c>
      <c r="D3929" s="6" t="s">
        <v>5579</v>
      </c>
      <c r="E3929" s="6" t="s">
        <v>118</v>
      </c>
      <c r="F3929" s="6" t="s">
        <v>51</v>
      </c>
      <c r="G3929" s="7">
        <v>0.03</v>
      </c>
      <c r="H3929" s="6" t="s">
        <v>245</v>
      </c>
      <c r="I3929" s="6" t="s">
        <v>20</v>
      </c>
      <c r="J3929" s="6">
        <v>1995.0</v>
      </c>
      <c r="K3929" s="6" t="s">
        <v>1035</v>
      </c>
      <c r="L3929" s="6">
        <v>2.0</v>
      </c>
      <c r="M3929" s="8">
        <f t="shared" si="4"/>
        <v>0.06</v>
      </c>
      <c r="P3929" s="9"/>
    </row>
    <row r="3930">
      <c r="A3930" s="6" t="s">
        <v>8418</v>
      </c>
      <c r="B3930" s="6" t="s">
        <v>1016</v>
      </c>
      <c r="C3930" s="6" t="s">
        <v>41</v>
      </c>
      <c r="D3930" s="6" t="s">
        <v>8419</v>
      </c>
      <c r="E3930" s="6" t="s">
        <v>79</v>
      </c>
      <c r="F3930" s="6" t="s">
        <v>51</v>
      </c>
      <c r="G3930" s="7">
        <v>0.09</v>
      </c>
      <c r="H3930" s="6" t="s">
        <v>586</v>
      </c>
      <c r="I3930" s="6" t="s">
        <v>20</v>
      </c>
      <c r="J3930" s="6">
        <v>2000.0</v>
      </c>
      <c r="K3930" s="10">
        <v>46082.0</v>
      </c>
      <c r="L3930" s="6">
        <v>1.0</v>
      </c>
      <c r="M3930" s="8">
        <f t="shared" si="4"/>
        <v>0.09</v>
      </c>
      <c r="P3930" s="9"/>
    </row>
    <row r="3931">
      <c r="A3931" s="6" t="s">
        <v>8420</v>
      </c>
      <c r="B3931" s="6" t="s">
        <v>761</v>
      </c>
      <c r="C3931" s="6" t="s">
        <v>287</v>
      </c>
      <c r="D3931" s="6" t="s">
        <v>8421</v>
      </c>
      <c r="E3931" s="6" t="s">
        <v>175</v>
      </c>
      <c r="F3931" s="6" t="s">
        <v>51</v>
      </c>
      <c r="G3931" s="7">
        <v>4.9</v>
      </c>
      <c r="H3931" s="6" t="s">
        <v>2203</v>
      </c>
      <c r="I3931" s="6" t="s">
        <v>20</v>
      </c>
      <c r="J3931" s="6">
        <v>2001.0</v>
      </c>
      <c r="L3931" s="6">
        <v>1.0</v>
      </c>
      <c r="M3931" s="8">
        <f t="shared" si="4"/>
        <v>4.9</v>
      </c>
      <c r="N3931" s="6" t="s">
        <v>172</v>
      </c>
      <c r="P3931" s="9"/>
    </row>
    <row r="3932">
      <c r="A3932" s="6" t="s">
        <v>8422</v>
      </c>
      <c r="B3932" s="6" t="s">
        <v>372</v>
      </c>
      <c r="C3932" s="6" t="s">
        <v>23</v>
      </c>
      <c r="D3932" s="6" t="s">
        <v>8423</v>
      </c>
      <c r="E3932" s="6" t="s">
        <v>6223</v>
      </c>
      <c r="F3932" s="6" t="s">
        <v>1797</v>
      </c>
      <c r="G3932" s="7">
        <v>2.16</v>
      </c>
      <c r="H3932" s="6" t="s">
        <v>1361</v>
      </c>
      <c r="I3932" s="6" t="s">
        <v>20</v>
      </c>
      <c r="J3932" s="6">
        <v>2008.0</v>
      </c>
      <c r="L3932" s="6">
        <v>1.0</v>
      </c>
      <c r="M3932" s="8">
        <f t="shared" si="4"/>
        <v>2.16</v>
      </c>
      <c r="P3932" s="9"/>
    </row>
    <row r="3933">
      <c r="A3933" s="6" t="s">
        <v>8424</v>
      </c>
      <c r="B3933" s="6" t="s">
        <v>694</v>
      </c>
      <c r="C3933" s="6" t="s">
        <v>23</v>
      </c>
      <c r="D3933" s="6" t="s">
        <v>8425</v>
      </c>
      <c r="E3933" s="6" t="s">
        <v>625</v>
      </c>
      <c r="F3933" s="6" t="s">
        <v>37</v>
      </c>
      <c r="G3933" s="7">
        <v>1.76</v>
      </c>
      <c r="H3933" s="6" t="s">
        <v>136</v>
      </c>
      <c r="I3933" s="6" t="s">
        <v>55</v>
      </c>
      <c r="J3933" s="6">
        <v>2022.0</v>
      </c>
      <c r="K3933" s="10">
        <v>46082.0</v>
      </c>
      <c r="L3933" s="6">
        <v>1.0</v>
      </c>
      <c r="M3933" s="8">
        <f t="shared" si="4"/>
        <v>1.76</v>
      </c>
      <c r="N3933" s="6" t="s">
        <v>172</v>
      </c>
      <c r="P3933" s="9"/>
    </row>
    <row r="3934">
      <c r="A3934" s="6" t="s">
        <v>8426</v>
      </c>
      <c r="B3934" s="6" t="s">
        <v>314</v>
      </c>
      <c r="C3934" s="6" t="s">
        <v>48</v>
      </c>
      <c r="D3934" s="6" t="s">
        <v>8427</v>
      </c>
      <c r="E3934" s="6" t="s">
        <v>149</v>
      </c>
      <c r="F3934" s="6" t="s">
        <v>18</v>
      </c>
      <c r="G3934" s="7">
        <v>0.03</v>
      </c>
      <c r="H3934" s="6" t="s">
        <v>299</v>
      </c>
      <c r="I3934" s="6" t="s">
        <v>20</v>
      </c>
      <c r="J3934" s="6">
        <v>2017.0</v>
      </c>
      <c r="K3934" s="6" t="s">
        <v>597</v>
      </c>
      <c r="L3934" s="6">
        <v>1.0</v>
      </c>
      <c r="M3934" s="8">
        <f t="shared" si="4"/>
        <v>0.03</v>
      </c>
      <c r="P3934" s="9"/>
    </row>
    <row r="3935">
      <c r="A3935" s="6" t="s">
        <v>8428</v>
      </c>
      <c r="B3935" s="6" t="s">
        <v>8429</v>
      </c>
      <c r="C3935" s="6" t="s">
        <v>23</v>
      </c>
      <c r="D3935" s="6" t="s">
        <v>5657</v>
      </c>
      <c r="E3935" s="6" t="s">
        <v>238</v>
      </c>
      <c r="F3935" s="6" t="s">
        <v>159</v>
      </c>
      <c r="G3935" s="7">
        <v>0.17</v>
      </c>
      <c r="H3935" s="6" t="s">
        <v>418</v>
      </c>
      <c r="I3935" s="6" t="s">
        <v>20</v>
      </c>
      <c r="J3935" s="6">
        <v>2022.0</v>
      </c>
      <c r="K3935" s="10">
        <v>46023.0</v>
      </c>
      <c r="L3935" s="6">
        <v>1.0</v>
      </c>
      <c r="M3935" s="8">
        <f t="shared" si="4"/>
        <v>0.17</v>
      </c>
      <c r="P3935" s="9"/>
    </row>
    <row r="3936">
      <c r="A3936" s="6" t="s">
        <v>8430</v>
      </c>
      <c r="B3936" s="6" t="s">
        <v>1609</v>
      </c>
      <c r="C3936" s="6" t="s">
        <v>48</v>
      </c>
      <c r="D3936" s="6" t="s">
        <v>8431</v>
      </c>
      <c r="E3936" s="6" t="s">
        <v>108</v>
      </c>
      <c r="F3936" s="6" t="s">
        <v>103</v>
      </c>
      <c r="G3936" s="7">
        <v>0.09</v>
      </c>
      <c r="H3936" s="6" t="s">
        <v>8432</v>
      </c>
      <c r="I3936" s="6" t="s">
        <v>20</v>
      </c>
      <c r="J3936" s="6">
        <v>1995.0</v>
      </c>
      <c r="K3936" s="10">
        <v>46116.0</v>
      </c>
      <c r="L3936" s="6">
        <v>3.0</v>
      </c>
      <c r="M3936" s="8">
        <f t="shared" si="4"/>
        <v>0.27</v>
      </c>
      <c r="P3936" s="9"/>
    </row>
    <row r="3937">
      <c r="A3937" s="6" t="s">
        <v>8433</v>
      </c>
      <c r="B3937" s="6" t="s">
        <v>8434</v>
      </c>
      <c r="C3937" s="6" t="s">
        <v>571</v>
      </c>
      <c r="D3937" s="6" t="s">
        <v>8435</v>
      </c>
      <c r="E3937" s="6" t="s">
        <v>611</v>
      </c>
      <c r="F3937" s="6" t="s">
        <v>103</v>
      </c>
      <c r="G3937" s="7">
        <v>0.04</v>
      </c>
      <c r="H3937" s="6" t="s">
        <v>641</v>
      </c>
      <c r="I3937" s="6" t="s">
        <v>20</v>
      </c>
      <c r="J3937" s="6">
        <v>2026.0</v>
      </c>
      <c r="K3937" s="10">
        <v>46145.0</v>
      </c>
      <c r="L3937" s="6">
        <v>1.0</v>
      </c>
      <c r="M3937" s="8">
        <f t="shared" si="4"/>
        <v>0.04</v>
      </c>
      <c r="P3937" s="9"/>
    </row>
    <row r="3938">
      <c r="A3938" s="6" t="s">
        <v>8436</v>
      </c>
      <c r="B3938" s="6" t="s">
        <v>263</v>
      </c>
      <c r="C3938" s="6" t="s">
        <v>23</v>
      </c>
      <c r="D3938" s="6" t="s">
        <v>8437</v>
      </c>
      <c r="E3938" s="6" t="s">
        <v>558</v>
      </c>
      <c r="F3938" s="6" t="s">
        <v>18</v>
      </c>
      <c r="G3938" s="7">
        <v>0.03</v>
      </c>
      <c r="H3938" s="6" t="s">
        <v>562</v>
      </c>
      <c r="I3938" s="6" t="s">
        <v>20</v>
      </c>
      <c r="J3938" s="6">
        <v>2017.0</v>
      </c>
      <c r="K3938" s="10">
        <v>46115.0</v>
      </c>
      <c r="L3938" s="6">
        <v>4.0</v>
      </c>
      <c r="M3938" s="8">
        <f t="shared" si="4"/>
        <v>0.12</v>
      </c>
      <c r="P3938" s="9"/>
    </row>
    <row r="3939">
      <c r="A3939" s="6" t="s">
        <v>8438</v>
      </c>
      <c r="B3939" s="6" t="s">
        <v>729</v>
      </c>
      <c r="C3939" s="6" t="s">
        <v>34</v>
      </c>
      <c r="D3939" s="6" t="s">
        <v>8439</v>
      </c>
      <c r="E3939" s="6" t="s">
        <v>3882</v>
      </c>
      <c r="F3939" s="6" t="s">
        <v>2365</v>
      </c>
      <c r="G3939" s="7">
        <v>0.05</v>
      </c>
      <c r="H3939" s="6" t="s">
        <v>1733</v>
      </c>
      <c r="I3939" s="6" t="s">
        <v>20</v>
      </c>
      <c r="J3939" s="6">
        <v>2025.0</v>
      </c>
      <c r="K3939" s="10">
        <v>46083.0</v>
      </c>
      <c r="L3939" s="6">
        <v>13.0</v>
      </c>
      <c r="M3939" s="8">
        <f t="shared" si="4"/>
        <v>0.65</v>
      </c>
      <c r="P3939" s="9"/>
    </row>
    <row r="3940">
      <c r="A3940" s="6" t="s">
        <v>8438</v>
      </c>
      <c r="B3940" s="6" t="s">
        <v>729</v>
      </c>
      <c r="C3940" s="6" t="s">
        <v>34</v>
      </c>
      <c r="D3940" s="6" t="s">
        <v>8439</v>
      </c>
      <c r="E3940" s="6" t="s">
        <v>3882</v>
      </c>
      <c r="F3940" s="6" t="s">
        <v>2365</v>
      </c>
      <c r="G3940" s="7">
        <v>0.05</v>
      </c>
      <c r="H3940" s="6" t="s">
        <v>1733</v>
      </c>
      <c r="I3940" s="6" t="s">
        <v>55</v>
      </c>
      <c r="J3940" s="6">
        <v>2025.0</v>
      </c>
      <c r="K3940" s="10">
        <v>46083.0</v>
      </c>
      <c r="L3940" s="6">
        <v>1.0</v>
      </c>
      <c r="M3940" s="8">
        <f t="shared" si="4"/>
        <v>0.05</v>
      </c>
      <c r="P3940" s="9"/>
    </row>
    <row r="3941">
      <c r="A3941" s="6" t="s">
        <v>8440</v>
      </c>
      <c r="B3941" s="6" t="s">
        <v>8441</v>
      </c>
      <c r="C3941" s="6" t="s">
        <v>48</v>
      </c>
      <c r="D3941" s="6" t="s">
        <v>8442</v>
      </c>
      <c r="E3941" s="6" t="s">
        <v>2909</v>
      </c>
      <c r="F3941" s="6" t="s">
        <v>717</v>
      </c>
      <c r="G3941" s="7">
        <v>0.03</v>
      </c>
      <c r="H3941" s="6" t="s">
        <v>8443</v>
      </c>
      <c r="I3941" s="6" t="s">
        <v>20</v>
      </c>
      <c r="J3941" s="6">
        <v>2016.0</v>
      </c>
      <c r="K3941" s="10">
        <v>46054.0</v>
      </c>
      <c r="L3941" s="6">
        <v>1.0</v>
      </c>
      <c r="M3941" s="8">
        <f t="shared" si="4"/>
        <v>0.03</v>
      </c>
      <c r="P3941" s="9"/>
    </row>
    <row r="3942">
      <c r="A3942" s="6" t="s">
        <v>8444</v>
      </c>
      <c r="B3942" s="6" t="s">
        <v>8445</v>
      </c>
      <c r="C3942" s="6" t="s">
        <v>48</v>
      </c>
      <c r="D3942" s="6" t="s">
        <v>8446</v>
      </c>
      <c r="E3942" s="6" t="s">
        <v>118</v>
      </c>
      <c r="F3942" s="6" t="s">
        <v>51</v>
      </c>
      <c r="G3942" s="7">
        <v>0.09</v>
      </c>
      <c r="H3942" s="6" t="s">
        <v>19</v>
      </c>
      <c r="I3942" s="6" t="s">
        <v>20</v>
      </c>
      <c r="J3942" s="6">
        <v>2023.0</v>
      </c>
      <c r="K3942" s="10">
        <v>46055.0</v>
      </c>
      <c r="L3942" s="6">
        <v>2.0</v>
      </c>
      <c r="M3942" s="8">
        <f t="shared" si="4"/>
        <v>0.18</v>
      </c>
      <c r="P3942" s="9"/>
    </row>
    <row r="3943">
      <c r="A3943" s="6" t="s">
        <v>8447</v>
      </c>
      <c r="B3943" s="6" t="s">
        <v>2007</v>
      </c>
      <c r="C3943" s="6" t="s">
        <v>48</v>
      </c>
      <c r="D3943" s="6" t="s">
        <v>8448</v>
      </c>
      <c r="E3943" s="6" t="s">
        <v>611</v>
      </c>
      <c r="F3943" s="6" t="s">
        <v>103</v>
      </c>
      <c r="G3943" s="7">
        <v>0.25</v>
      </c>
      <c r="H3943" s="6" t="s">
        <v>430</v>
      </c>
      <c r="I3943" s="6" t="s">
        <v>20</v>
      </c>
      <c r="J3943" s="6">
        <v>2018.0</v>
      </c>
      <c r="K3943" s="10">
        <v>46055.0</v>
      </c>
      <c r="L3943" s="6">
        <v>1.0</v>
      </c>
      <c r="M3943" s="8">
        <f t="shared" si="4"/>
        <v>0.25</v>
      </c>
      <c r="P3943" s="9"/>
    </row>
    <row r="3944">
      <c r="A3944" s="6" t="s">
        <v>8449</v>
      </c>
      <c r="B3944" s="6" t="s">
        <v>796</v>
      </c>
      <c r="C3944" s="6" t="s">
        <v>34</v>
      </c>
      <c r="D3944" s="6" t="s">
        <v>8450</v>
      </c>
      <c r="E3944" s="6" t="s">
        <v>1304</v>
      </c>
      <c r="F3944" s="6" t="s">
        <v>65</v>
      </c>
      <c r="G3944" s="7">
        <v>0.09</v>
      </c>
      <c r="H3944" s="6" t="s">
        <v>180</v>
      </c>
      <c r="I3944" s="6" t="s">
        <v>20</v>
      </c>
      <c r="J3944" s="6">
        <v>2014.0</v>
      </c>
      <c r="L3944" s="6">
        <v>1.0</v>
      </c>
      <c r="M3944" s="8">
        <f t="shared" si="4"/>
        <v>0.09</v>
      </c>
      <c r="P3944" s="9"/>
    </row>
    <row r="3945">
      <c r="A3945" s="6" t="s">
        <v>8449</v>
      </c>
      <c r="B3945" s="6" t="s">
        <v>62</v>
      </c>
      <c r="C3945" s="6" t="s">
        <v>23</v>
      </c>
      <c r="D3945" s="6" t="s">
        <v>8451</v>
      </c>
      <c r="E3945" s="6" t="s">
        <v>196</v>
      </c>
      <c r="F3945" s="6" t="s">
        <v>65</v>
      </c>
      <c r="G3945" s="7">
        <v>0.1</v>
      </c>
      <c r="H3945" s="6" t="s">
        <v>914</v>
      </c>
      <c r="I3945" s="6" t="s">
        <v>20</v>
      </c>
      <c r="J3945" s="6">
        <v>2011.0</v>
      </c>
      <c r="L3945" s="6">
        <v>1.0</v>
      </c>
      <c r="M3945" s="8">
        <f t="shared" si="4"/>
        <v>0.1</v>
      </c>
      <c r="P3945" s="9"/>
    </row>
    <row r="3946">
      <c r="A3946" s="6" t="s">
        <v>8452</v>
      </c>
      <c r="B3946" s="6" t="s">
        <v>8453</v>
      </c>
      <c r="C3946" s="6" t="s">
        <v>23</v>
      </c>
      <c r="D3946" s="6" t="s">
        <v>8454</v>
      </c>
      <c r="E3946" s="6" t="s">
        <v>248</v>
      </c>
      <c r="F3946" s="6" t="s">
        <v>18</v>
      </c>
      <c r="G3946" s="7">
        <v>0.03</v>
      </c>
      <c r="H3946" s="6" t="s">
        <v>555</v>
      </c>
      <c r="I3946" s="6" t="s">
        <v>20</v>
      </c>
      <c r="J3946" s="6">
        <v>2017.0</v>
      </c>
      <c r="K3946" s="6" t="s">
        <v>1035</v>
      </c>
      <c r="L3946" s="6">
        <v>1.0</v>
      </c>
      <c r="M3946" s="8">
        <f t="shared" si="4"/>
        <v>0.03</v>
      </c>
      <c r="P3946" s="9"/>
    </row>
    <row r="3947">
      <c r="A3947" s="6" t="s">
        <v>8455</v>
      </c>
      <c r="B3947" s="6" t="s">
        <v>8456</v>
      </c>
      <c r="C3947" s="6" t="s">
        <v>23</v>
      </c>
      <c r="D3947" s="6" t="s">
        <v>8457</v>
      </c>
      <c r="E3947" s="6" t="s">
        <v>50</v>
      </c>
      <c r="F3947" s="6" t="s">
        <v>51</v>
      </c>
      <c r="G3947" s="7">
        <v>0.1</v>
      </c>
      <c r="H3947" s="6" t="s">
        <v>641</v>
      </c>
      <c r="I3947" s="6" t="s">
        <v>20</v>
      </c>
      <c r="J3947" s="6">
        <v>2026.0</v>
      </c>
      <c r="K3947" s="10">
        <v>46084.0</v>
      </c>
      <c r="L3947" s="6">
        <v>2.0</v>
      </c>
      <c r="M3947" s="8">
        <f t="shared" si="4"/>
        <v>0.2</v>
      </c>
      <c r="P3947" s="9"/>
    </row>
    <row r="3948">
      <c r="A3948" s="6" t="s">
        <v>8458</v>
      </c>
      <c r="B3948" s="6" t="s">
        <v>182</v>
      </c>
      <c r="C3948" s="6" t="s">
        <v>23</v>
      </c>
      <c r="D3948" s="6" t="s">
        <v>8459</v>
      </c>
      <c r="E3948" s="6" t="s">
        <v>79</v>
      </c>
      <c r="F3948" s="6" t="s">
        <v>51</v>
      </c>
      <c r="G3948" s="7">
        <v>0.04</v>
      </c>
      <c r="H3948" s="6" t="s">
        <v>336</v>
      </c>
      <c r="I3948" s="6" t="s">
        <v>20</v>
      </c>
      <c r="J3948" s="6">
        <v>2016.0</v>
      </c>
      <c r="L3948" s="6">
        <v>1.0</v>
      </c>
      <c r="M3948" s="8">
        <f t="shared" si="4"/>
        <v>0.04</v>
      </c>
      <c r="P3948" s="9"/>
    </row>
    <row r="3949">
      <c r="A3949" s="6" t="s">
        <v>8460</v>
      </c>
      <c r="B3949" s="6" t="s">
        <v>655</v>
      </c>
      <c r="C3949" s="6" t="s">
        <v>48</v>
      </c>
      <c r="D3949" s="6" t="s">
        <v>8461</v>
      </c>
      <c r="E3949" s="6" t="s">
        <v>611</v>
      </c>
      <c r="F3949" s="6" t="s">
        <v>103</v>
      </c>
      <c r="G3949" s="7">
        <v>0.24</v>
      </c>
      <c r="H3949" s="6" t="s">
        <v>192</v>
      </c>
      <c r="I3949" s="6" t="s">
        <v>20</v>
      </c>
      <c r="J3949" s="6">
        <v>2026.0</v>
      </c>
      <c r="K3949" s="10">
        <v>46118.0</v>
      </c>
      <c r="L3949" s="6">
        <v>1.0</v>
      </c>
      <c r="M3949" s="8">
        <f t="shared" si="4"/>
        <v>0.24</v>
      </c>
      <c r="P3949" s="9"/>
    </row>
    <row r="3950">
      <c r="A3950" s="6" t="s">
        <v>8462</v>
      </c>
      <c r="B3950" s="6" t="s">
        <v>1052</v>
      </c>
      <c r="C3950" s="6" t="s">
        <v>48</v>
      </c>
      <c r="D3950" s="6" t="s">
        <v>8463</v>
      </c>
      <c r="E3950" s="6" t="s">
        <v>102</v>
      </c>
      <c r="F3950" s="6" t="s">
        <v>103</v>
      </c>
      <c r="G3950" s="7">
        <v>0.16</v>
      </c>
      <c r="H3950" s="6" t="s">
        <v>192</v>
      </c>
      <c r="I3950" s="6" t="s">
        <v>20</v>
      </c>
      <c r="J3950" s="6">
        <v>2026.0</v>
      </c>
      <c r="L3950" s="6">
        <v>1.0</v>
      </c>
      <c r="M3950" s="8">
        <f t="shared" si="4"/>
        <v>0.16</v>
      </c>
      <c r="P3950" s="9"/>
    </row>
    <row r="3951">
      <c r="A3951" s="6" t="s">
        <v>8464</v>
      </c>
      <c r="B3951" s="6" t="s">
        <v>543</v>
      </c>
      <c r="C3951" s="6" t="s">
        <v>23</v>
      </c>
      <c r="D3951" s="6" t="s">
        <v>8465</v>
      </c>
      <c r="E3951" s="6" t="s">
        <v>235</v>
      </c>
      <c r="F3951" s="6" t="s">
        <v>103</v>
      </c>
      <c r="G3951" s="7">
        <v>0.1</v>
      </c>
      <c r="H3951" s="6" t="s">
        <v>192</v>
      </c>
      <c r="I3951" s="6" t="s">
        <v>20</v>
      </c>
      <c r="J3951" s="6">
        <v>2026.0</v>
      </c>
      <c r="L3951" s="6">
        <v>3.0</v>
      </c>
      <c r="M3951" s="8">
        <f t="shared" si="4"/>
        <v>0.3</v>
      </c>
      <c r="P3951" s="9"/>
    </row>
    <row r="3952">
      <c r="A3952" s="6" t="s">
        <v>8466</v>
      </c>
      <c r="B3952" s="6" t="s">
        <v>62</v>
      </c>
      <c r="C3952" s="6" t="s">
        <v>23</v>
      </c>
      <c r="D3952" s="6" t="s">
        <v>8467</v>
      </c>
      <c r="E3952" s="6" t="s">
        <v>270</v>
      </c>
      <c r="F3952" s="6" t="s">
        <v>159</v>
      </c>
      <c r="G3952" s="7">
        <v>0.03</v>
      </c>
      <c r="H3952" s="6" t="s">
        <v>626</v>
      </c>
      <c r="I3952" s="6" t="s">
        <v>20</v>
      </c>
      <c r="J3952" s="6">
        <v>2013.0</v>
      </c>
      <c r="L3952" s="6">
        <v>1.0</v>
      </c>
      <c r="M3952" s="8">
        <f t="shared" si="4"/>
        <v>0.03</v>
      </c>
      <c r="P3952" s="9"/>
    </row>
    <row r="3953">
      <c r="A3953" s="6" t="s">
        <v>8466</v>
      </c>
      <c r="B3953" s="6" t="s">
        <v>62</v>
      </c>
      <c r="C3953" s="6" t="s">
        <v>23</v>
      </c>
      <c r="D3953" s="6" t="s">
        <v>8467</v>
      </c>
      <c r="E3953" s="6" t="s">
        <v>270</v>
      </c>
      <c r="F3953" s="6" t="s">
        <v>159</v>
      </c>
      <c r="G3953" s="7">
        <v>0.03</v>
      </c>
      <c r="H3953" s="6" t="s">
        <v>626</v>
      </c>
      <c r="I3953" s="6" t="s">
        <v>20</v>
      </c>
      <c r="J3953" s="6">
        <v>2013.0</v>
      </c>
      <c r="L3953" s="6">
        <v>1.0</v>
      </c>
      <c r="M3953" s="8">
        <f t="shared" si="4"/>
        <v>0.03</v>
      </c>
      <c r="P3953" s="9"/>
    </row>
    <row r="3954">
      <c r="A3954" s="6" t="s">
        <v>8468</v>
      </c>
      <c r="B3954" s="6" t="s">
        <v>8469</v>
      </c>
      <c r="C3954" s="6" t="s">
        <v>48</v>
      </c>
      <c r="D3954" s="6" t="s">
        <v>8470</v>
      </c>
      <c r="E3954" s="6" t="s">
        <v>873</v>
      </c>
      <c r="F3954" s="6" t="s">
        <v>874</v>
      </c>
      <c r="G3954" s="7">
        <v>0.05</v>
      </c>
      <c r="H3954" s="6" t="s">
        <v>645</v>
      </c>
      <c r="I3954" s="6" t="s">
        <v>20</v>
      </c>
      <c r="J3954" s="6">
        <v>2024.0</v>
      </c>
      <c r="K3954" s="10">
        <v>46084.0</v>
      </c>
      <c r="L3954" s="6">
        <v>1.0</v>
      </c>
      <c r="M3954" s="8">
        <f t="shared" si="4"/>
        <v>0.05</v>
      </c>
      <c r="P3954" s="9"/>
    </row>
    <row r="3955">
      <c r="A3955" s="6" t="s">
        <v>8471</v>
      </c>
      <c r="B3955" s="6" t="s">
        <v>8472</v>
      </c>
      <c r="C3955" s="6" t="s">
        <v>23</v>
      </c>
      <c r="D3955" s="6" t="s">
        <v>8473</v>
      </c>
      <c r="E3955" s="6" t="s">
        <v>235</v>
      </c>
      <c r="F3955" s="6" t="s">
        <v>103</v>
      </c>
      <c r="G3955" s="7">
        <v>0.02</v>
      </c>
      <c r="H3955" s="6" t="s">
        <v>406</v>
      </c>
      <c r="I3955" s="6" t="s">
        <v>20</v>
      </c>
      <c r="J3955" s="6">
        <v>2019.0</v>
      </c>
      <c r="K3955" s="10">
        <v>46024.0</v>
      </c>
      <c r="L3955" s="6">
        <v>1.0</v>
      </c>
      <c r="M3955" s="8">
        <f t="shared" si="4"/>
        <v>0.02</v>
      </c>
      <c r="P3955" s="9"/>
    </row>
    <row r="3956">
      <c r="A3956" s="6" t="s">
        <v>8474</v>
      </c>
      <c r="B3956" s="6" t="s">
        <v>151</v>
      </c>
      <c r="C3956" s="6" t="s">
        <v>23</v>
      </c>
      <c r="D3956" s="6" t="s">
        <v>8475</v>
      </c>
      <c r="E3956" s="6" t="s">
        <v>149</v>
      </c>
      <c r="F3956" s="6" t="s">
        <v>18</v>
      </c>
      <c r="G3956" s="7">
        <v>0.09</v>
      </c>
      <c r="H3956" s="6" t="s">
        <v>1494</v>
      </c>
      <c r="I3956" s="6" t="s">
        <v>20</v>
      </c>
      <c r="J3956" s="6">
        <v>2012.0</v>
      </c>
      <c r="K3956" s="10">
        <v>46023.0</v>
      </c>
      <c r="L3956" s="6">
        <v>1.0</v>
      </c>
      <c r="M3956" s="8">
        <f t="shared" si="4"/>
        <v>0.09</v>
      </c>
      <c r="P3956" s="9"/>
    </row>
    <row r="3957">
      <c r="A3957" s="6" t="s">
        <v>8476</v>
      </c>
      <c r="B3957" s="6" t="s">
        <v>424</v>
      </c>
      <c r="C3957" s="6" t="s">
        <v>41</v>
      </c>
      <c r="D3957" s="6" t="s">
        <v>8477</v>
      </c>
      <c r="F3957" s="6" t="s">
        <v>37</v>
      </c>
      <c r="G3957" s="7">
        <v>0.71</v>
      </c>
      <c r="H3957" s="6" t="s">
        <v>621</v>
      </c>
      <c r="I3957" s="6" t="s">
        <v>20</v>
      </c>
      <c r="J3957" s="6">
        <v>2015.0</v>
      </c>
      <c r="L3957" s="6">
        <v>1.0</v>
      </c>
      <c r="M3957" s="8">
        <f t="shared" si="4"/>
        <v>0.71</v>
      </c>
      <c r="N3957" s="6" t="s">
        <v>172</v>
      </c>
      <c r="P3957" s="9"/>
    </row>
    <row r="3958">
      <c r="A3958" s="6" t="s">
        <v>8478</v>
      </c>
      <c r="B3958" s="6" t="s">
        <v>841</v>
      </c>
      <c r="C3958" s="6" t="s">
        <v>23</v>
      </c>
      <c r="D3958" s="6" t="s">
        <v>8479</v>
      </c>
      <c r="E3958" s="6" t="s">
        <v>890</v>
      </c>
      <c r="F3958" s="6" t="s">
        <v>37</v>
      </c>
      <c r="G3958" s="7">
        <v>0.25</v>
      </c>
      <c r="H3958" s="6" t="s">
        <v>418</v>
      </c>
      <c r="I3958" s="6" t="s">
        <v>55</v>
      </c>
      <c r="J3958" s="6">
        <v>2022.0</v>
      </c>
      <c r="K3958" s="10">
        <v>46056.0</v>
      </c>
      <c r="L3958" s="6">
        <v>1.0</v>
      </c>
      <c r="M3958" s="8">
        <f t="shared" si="4"/>
        <v>0.25</v>
      </c>
      <c r="P3958" s="9"/>
    </row>
    <row r="3959">
      <c r="A3959" s="6" t="s">
        <v>8478</v>
      </c>
      <c r="B3959" s="6" t="s">
        <v>841</v>
      </c>
      <c r="C3959" s="6" t="s">
        <v>23</v>
      </c>
      <c r="D3959" s="6" t="s">
        <v>8480</v>
      </c>
      <c r="E3959" s="6" t="s">
        <v>890</v>
      </c>
      <c r="F3959" s="6" t="s">
        <v>37</v>
      </c>
      <c r="G3959" s="7">
        <v>0.05</v>
      </c>
      <c r="H3959" s="6" t="s">
        <v>418</v>
      </c>
      <c r="I3959" s="6" t="s">
        <v>20</v>
      </c>
      <c r="J3959" s="6">
        <v>2022.0</v>
      </c>
      <c r="K3959" s="10">
        <v>46056.0</v>
      </c>
      <c r="L3959" s="6">
        <v>1.0</v>
      </c>
      <c r="M3959" s="8">
        <f t="shared" si="4"/>
        <v>0.05</v>
      </c>
      <c r="P3959" s="9"/>
    </row>
    <row r="3960">
      <c r="A3960" s="6" t="s">
        <v>8481</v>
      </c>
      <c r="B3960" s="6" t="s">
        <v>543</v>
      </c>
      <c r="C3960" s="6" t="s">
        <v>521</v>
      </c>
      <c r="D3960" s="6" t="s">
        <v>8482</v>
      </c>
      <c r="E3960" s="6" t="s">
        <v>102</v>
      </c>
      <c r="F3960" s="6" t="s">
        <v>2954</v>
      </c>
      <c r="G3960" s="7">
        <v>0.3</v>
      </c>
      <c r="H3960" s="6" t="s">
        <v>636</v>
      </c>
      <c r="I3960" s="6" t="s">
        <v>55</v>
      </c>
      <c r="J3960" s="6">
        <v>2015.0</v>
      </c>
      <c r="L3960" s="6">
        <v>1.0</v>
      </c>
      <c r="M3960" s="8">
        <f t="shared" si="4"/>
        <v>0.3</v>
      </c>
      <c r="P3960" s="9"/>
    </row>
    <row r="3961">
      <c r="A3961" s="6" t="s">
        <v>8481</v>
      </c>
      <c r="B3961" s="6" t="s">
        <v>543</v>
      </c>
      <c r="C3961" s="6" t="s">
        <v>521</v>
      </c>
      <c r="D3961" s="6" t="s">
        <v>8482</v>
      </c>
      <c r="E3961" s="6" t="s">
        <v>102</v>
      </c>
      <c r="F3961" s="6" t="s">
        <v>2954</v>
      </c>
      <c r="G3961" s="7">
        <v>0.08</v>
      </c>
      <c r="H3961" s="6" t="s">
        <v>636</v>
      </c>
      <c r="I3961" s="6" t="s">
        <v>20</v>
      </c>
      <c r="J3961" s="6">
        <v>2015.0</v>
      </c>
      <c r="L3961" s="6">
        <v>1.0</v>
      </c>
      <c r="M3961" s="8">
        <f t="shared" si="4"/>
        <v>0.08</v>
      </c>
      <c r="P3961" s="9"/>
    </row>
    <row r="3962">
      <c r="A3962" s="6" t="s">
        <v>8483</v>
      </c>
      <c r="B3962" s="6" t="s">
        <v>182</v>
      </c>
      <c r="C3962" s="6" t="s">
        <v>23</v>
      </c>
      <c r="D3962" s="6" t="s">
        <v>8484</v>
      </c>
      <c r="E3962" s="6" t="s">
        <v>102</v>
      </c>
      <c r="F3962" s="6" t="s">
        <v>103</v>
      </c>
      <c r="G3962" s="7">
        <v>0.08</v>
      </c>
      <c r="H3962" s="6" t="s">
        <v>154</v>
      </c>
      <c r="I3962" s="6" t="s">
        <v>20</v>
      </c>
      <c r="J3962" s="6">
        <v>2013.0</v>
      </c>
      <c r="L3962" s="6">
        <v>1.0</v>
      </c>
      <c r="M3962" s="8">
        <f t="shared" si="4"/>
        <v>0.08</v>
      </c>
      <c r="P3962" s="9"/>
    </row>
    <row r="3963">
      <c r="A3963" s="6" t="s">
        <v>8485</v>
      </c>
      <c r="B3963" s="6" t="s">
        <v>8434</v>
      </c>
      <c r="C3963" s="6" t="s">
        <v>48</v>
      </c>
      <c r="D3963" s="6" t="s">
        <v>8486</v>
      </c>
      <c r="E3963" s="6" t="s">
        <v>8487</v>
      </c>
      <c r="F3963" s="6" t="s">
        <v>98</v>
      </c>
      <c r="G3963" s="7">
        <v>0.1</v>
      </c>
      <c r="H3963" s="6" t="s">
        <v>645</v>
      </c>
      <c r="I3963" s="6" t="s">
        <v>20</v>
      </c>
      <c r="J3963" s="6">
        <v>2024.0</v>
      </c>
      <c r="K3963" s="10">
        <v>46147.0</v>
      </c>
      <c r="L3963" s="6">
        <v>1.0</v>
      </c>
      <c r="M3963" s="8">
        <f t="shared" si="4"/>
        <v>0.1</v>
      </c>
      <c r="P3963" s="9"/>
    </row>
    <row r="3964">
      <c r="A3964" s="6" t="s">
        <v>8488</v>
      </c>
      <c r="B3964" s="6" t="s">
        <v>8489</v>
      </c>
      <c r="C3964" s="6" t="s">
        <v>23</v>
      </c>
      <c r="D3964" s="6" t="s">
        <v>8198</v>
      </c>
      <c r="E3964" s="6" t="s">
        <v>102</v>
      </c>
      <c r="F3964" s="6" t="s">
        <v>103</v>
      </c>
      <c r="G3964" s="7">
        <v>0.08</v>
      </c>
      <c r="H3964" s="6" t="s">
        <v>1361</v>
      </c>
      <c r="I3964" s="6" t="s">
        <v>20</v>
      </c>
      <c r="J3964" s="6">
        <v>2008.0</v>
      </c>
      <c r="K3964" s="10">
        <v>46024.0</v>
      </c>
      <c r="L3964" s="6">
        <v>1.0</v>
      </c>
      <c r="M3964" s="8">
        <f t="shared" si="4"/>
        <v>0.08</v>
      </c>
      <c r="P3964" s="9"/>
    </row>
    <row r="3965">
      <c r="A3965" s="6" t="s">
        <v>8490</v>
      </c>
      <c r="B3965" s="6" t="s">
        <v>143</v>
      </c>
      <c r="C3965" s="6" t="s">
        <v>23</v>
      </c>
      <c r="D3965" s="6" t="s">
        <v>8491</v>
      </c>
      <c r="E3965" s="6" t="s">
        <v>243</v>
      </c>
      <c r="F3965" s="6" t="s">
        <v>37</v>
      </c>
      <c r="G3965" s="7">
        <v>0.03</v>
      </c>
      <c r="H3965" s="6" t="s">
        <v>1348</v>
      </c>
      <c r="I3965" s="6" t="s">
        <v>20</v>
      </c>
      <c r="J3965" s="6">
        <v>2015.0</v>
      </c>
      <c r="L3965" s="6">
        <v>2.0</v>
      </c>
      <c r="M3965" s="8">
        <f t="shared" si="4"/>
        <v>0.06</v>
      </c>
      <c r="P3965" s="9"/>
    </row>
    <row r="3966">
      <c r="A3966" s="6" t="s">
        <v>8492</v>
      </c>
      <c r="B3966" s="6" t="s">
        <v>1041</v>
      </c>
      <c r="C3966" s="6" t="s">
        <v>15</v>
      </c>
      <c r="D3966" s="6" t="s">
        <v>8493</v>
      </c>
      <c r="E3966" s="6" t="s">
        <v>17</v>
      </c>
      <c r="F3966" s="6" t="s">
        <v>18</v>
      </c>
      <c r="G3966" s="7">
        <v>0.14</v>
      </c>
      <c r="H3966" s="6" t="s">
        <v>209</v>
      </c>
      <c r="I3966" s="6" t="s">
        <v>20</v>
      </c>
      <c r="J3966" s="6">
        <v>2025.0</v>
      </c>
      <c r="L3966" s="6">
        <v>1.0</v>
      </c>
      <c r="M3966" s="8">
        <f t="shared" si="4"/>
        <v>0.14</v>
      </c>
      <c r="P3966" s="9"/>
    </row>
    <row r="3967">
      <c r="A3967" s="6" t="s">
        <v>8494</v>
      </c>
      <c r="B3967" s="6" t="s">
        <v>8495</v>
      </c>
      <c r="C3967" s="6" t="s">
        <v>48</v>
      </c>
      <c r="D3967" s="6" t="s">
        <v>8496</v>
      </c>
      <c r="E3967" s="6" t="s">
        <v>30</v>
      </c>
      <c r="F3967" s="6" t="s">
        <v>18</v>
      </c>
      <c r="G3967" s="7">
        <v>0.15</v>
      </c>
      <c r="H3967" s="6" t="s">
        <v>4282</v>
      </c>
      <c r="I3967" s="6" t="s">
        <v>20</v>
      </c>
      <c r="J3967" s="6">
        <v>2025.0</v>
      </c>
      <c r="K3967" s="10">
        <v>46116.0</v>
      </c>
      <c r="L3967" s="6">
        <v>1.0</v>
      </c>
      <c r="M3967" s="8">
        <f t="shared" si="4"/>
        <v>0.15</v>
      </c>
      <c r="P3967" s="9"/>
    </row>
    <row r="3968">
      <c r="A3968" s="6" t="s">
        <v>8497</v>
      </c>
      <c r="B3968" s="6" t="s">
        <v>1041</v>
      </c>
      <c r="C3968" s="6" t="s">
        <v>15</v>
      </c>
      <c r="D3968" s="6" t="s">
        <v>8498</v>
      </c>
      <c r="E3968" s="6" t="s">
        <v>364</v>
      </c>
      <c r="F3968" s="6" t="s">
        <v>51</v>
      </c>
      <c r="G3968" s="7">
        <v>0.19</v>
      </c>
      <c r="H3968" s="6" t="s">
        <v>209</v>
      </c>
      <c r="I3968" s="6" t="s">
        <v>20</v>
      </c>
      <c r="J3968" s="6">
        <v>2025.0</v>
      </c>
      <c r="L3968" s="6">
        <v>1.0</v>
      </c>
      <c r="M3968" s="8">
        <f t="shared" si="4"/>
        <v>0.19</v>
      </c>
      <c r="P3968" s="9"/>
    </row>
    <row r="3969">
      <c r="A3969" s="6" t="s">
        <v>8499</v>
      </c>
      <c r="B3969" s="6" t="s">
        <v>1041</v>
      </c>
      <c r="C3969" s="6" t="s">
        <v>15</v>
      </c>
      <c r="D3969" s="6" t="s">
        <v>8500</v>
      </c>
      <c r="E3969" s="6" t="s">
        <v>4453</v>
      </c>
      <c r="F3969" s="6" t="s">
        <v>103</v>
      </c>
      <c r="G3969" s="7">
        <v>0.1</v>
      </c>
      <c r="H3969" s="6" t="s">
        <v>209</v>
      </c>
      <c r="I3969" s="6" t="s">
        <v>20</v>
      </c>
      <c r="J3969" s="6">
        <v>2025.0</v>
      </c>
      <c r="L3969" s="6">
        <v>1.0</v>
      </c>
      <c r="M3969" s="8">
        <f t="shared" si="4"/>
        <v>0.1</v>
      </c>
      <c r="P3969" s="9"/>
    </row>
    <row r="3970">
      <c r="A3970" s="6" t="s">
        <v>8501</v>
      </c>
      <c r="B3970" s="6" t="s">
        <v>1041</v>
      </c>
      <c r="C3970" s="6" t="s">
        <v>15</v>
      </c>
      <c r="D3970" s="6" t="s">
        <v>8502</v>
      </c>
      <c r="E3970" s="6" t="s">
        <v>179</v>
      </c>
      <c r="F3970" s="6" t="s">
        <v>65</v>
      </c>
      <c r="G3970" s="7">
        <v>0.1</v>
      </c>
      <c r="H3970" s="6" t="s">
        <v>209</v>
      </c>
      <c r="I3970" s="6" t="s">
        <v>20</v>
      </c>
      <c r="J3970" s="6">
        <v>2025.0</v>
      </c>
      <c r="L3970" s="6">
        <v>1.0</v>
      </c>
      <c r="M3970" s="8">
        <f t="shared" si="4"/>
        <v>0.1</v>
      </c>
      <c r="P3970" s="9"/>
    </row>
    <row r="3971">
      <c r="A3971" s="6" t="s">
        <v>8503</v>
      </c>
      <c r="B3971" s="6" t="s">
        <v>1041</v>
      </c>
      <c r="C3971" s="6" t="s">
        <v>15</v>
      </c>
      <c r="D3971" s="6" t="s">
        <v>8504</v>
      </c>
      <c r="E3971" s="6" t="s">
        <v>1265</v>
      </c>
      <c r="F3971" s="6" t="s">
        <v>159</v>
      </c>
      <c r="G3971" s="7">
        <v>0.15</v>
      </c>
      <c r="H3971" s="6" t="s">
        <v>209</v>
      </c>
      <c r="I3971" s="6" t="s">
        <v>20</v>
      </c>
      <c r="J3971" s="6">
        <v>2025.0</v>
      </c>
      <c r="L3971" s="6">
        <v>1.0</v>
      </c>
      <c r="M3971" s="8">
        <f t="shared" si="4"/>
        <v>0.15</v>
      </c>
      <c r="P3971" s="9"/>
    </row>
    <row r="3972">
      <c r="A3972" s="6" t="s">
        <v>8505</v>
      </c>
      <c r="B3972" s="6" t="s">
        <v>8506</v>
      </c>
      <c r="C3972" s="6" t="s">
        <v>23</v>
      </c>
      <c r="D3972" s="6" t="s">
        <v>8507</v>
      </c>
      <c r="E3972" s="6" t="s">
        <v>270</v>
      </c>
      <c r="F3972" s="6" t="s">
        <v>159</v>
      </c>
      <c r="G3972" s="7">
        <v>0.03</v>
      </c>
      <c r="H3972" s="6" t="s">
        <v>265</v>
      </c>
      <c r="I3972" s="6" t="s">
        <v>20</v>
      </c>
      <c r="J3972" s="6">
        <v>2017.0</v>
      </c>
      <c r="K3972" s="10">
        <v>46056.0</v>
      </c>
      <c r="L3972" s="6">
        <v>4.0</v>
      </c>
      <c r="M3972" s="8">
        <f t="shared" si="4"/>
        <v>0.12</v>
      </c>
      <c r="P3972" s="9"/>
    </row>
    <row r="3973">
      <c r="A3973" s="6" t="s">
        <v>8508</v>
      </c>
      <c r="B3973" s="6" t="s">
        <v>3094</v>
      </c>
      <c r="C3973" s="6" t="s">
        <v>23</v>
      </c>
      <c r="D3973" s="6" t="s">
        <v>8509</v>
      </c>
      <c r="E3973" s="6" t="s">
        <v>175</v>
      </c>
      <c r="F3973" s="6" t="s">
        <v>51</v>
      </c>
      <c r="G3973" s="7">
        <v>0.29</v>
      </c>
      <c r="H3973" s="6" t="s">
        <v>565</v>
      </c>
      <c r="I3973" s="6" t="s">
        <v>20</v>
      </c>
      <c r="J3973" s="6">
        <v>2021.0</v>
      </c>
      <c r="K3973" s="10">
        <v>46023.0</v>
      </c>
      <c r="L3973" s="6">
        <v>1.0</v>
      </c>
      <c r="M3973" s="8">
        <f t="shared" si="4"/>
        <v>0.29</v>
      </c>
      <c r="P3973" s="9"/>
    </row>
    <row r="3974">
      <c r="A3974" s="6" t="s">
        <v>8510</v>
      </c>
      <c r="B3974" s="6" t="s">
        <v>2898</v>
      </c>
      <c r="C3974" s="6" t="s">
        <v>23</v>
      </c>
      <c r="D3974" s="6" t="s">
        <v>8511</v>
      </c>
      <c r="E3974" s="6" t="s">
        <v>102</v>
      </c>
      <c r="F3974" s="6" t="s">
        <v>103</v>
      </c>
      <c r="G3974" s="7">
        <v>0.06</v>
      </c>
      <c r="H3974" s="6" t="s">
        <v>1692</v>
      </c>
      <c r="I3974" s="6" t="s">
        <v>20</v>
      </c>
      <c r="J3974" s="6">
        <v>2021.0</v>
      </c>
      <c r="K3974" s="10">
        <v>46055.0</v>
      </c>
      <c r="L3974" s="6">
        <v>1.0</v>
      </c>
      <c r="M3974" s="8">
        <f t="shared" si="4"/>
        <v>0.06</v>
      </c>
      <c r="P3974" s="9"/>
    </row>
    <row r="3975">
      <c r="A3975" s="6" t="s">
        <v>8512</v>
      </c>
      <c r="B3975" s="6" t="s">
        <v>1113</v>
      </c>
      <c r="C3975" s="6" t="s">
        <v>41</v>
      </c>
      <c r="D3975" s="6" t="s">
        <v>8513</v>
      </c>
      <c r="E3975" s="6" t="s">
        <v>2129</v>
      </c>
      <c r="F3975" s="6" t="s">
        <v>65</v>
      </c>
      <c r="G3975" s="7">
        <v>0.98</v>
      </c>
      <c r="H3975" s="6" t="s">
        <v>200</v>
      </c>
      <c r="I3975" s="6" t="s">
        <v>20</v>
      </c>
      <c r="J3975" s="6">
        <v>2018.0</v>
      </c>
      <c r="K3975" s="10">
        <v>46055.0</v>
      </c>
      <c r="L3975" s="6">
        <v>1.0</v>
      </c>
      <c r="M3975" s="8">
        <f t="shared" si="4"/>
        <v>0.98</v>
      </c>
      <c r="P3975" s="9"/>
    </row>
    <row r="3976">
      <c r="A3976" s="6" t="s">
        <v>8514</v>
      </c>
      <c r="B3976" s="6" t="s">
        <v>372</v>
      </c>
      <c r="C3976" s="6" t="s">
        <v>23</v>
      </c>
      <c r="D3976" s="6" t="s">
        <v>8515</v>
      </c>
      <c r="E3976" s="6" t="s">
        <v>50</v>
      </c>
      <c r="F3976" s="6" t="s">
        <v>51</v>
      </c>
      <c r="G3976" s="7">
        <v>0.06</v>
      </c>
      <c r="H3976" s="6" t="s">
        <v>129</v>
      </c>
      <c r="I3976" s="6" t="s">
        <v>20</v>
      </c>
      <c r="J3976" s="6">
        <v>2014.0</v>
      </c>
      <c r="L3976" s="6">
        <v>1.0</v>
      </c>
      <c r="M3976" s="8">
        <f t="shared" si="4"/>
        <v>0.06</v>
      </c>
      <c r="P3976" s="9"/>
    </row>
    <row r="3977">
      <c r="A3977" s="6" t="s">
        <v>8516</v>
      </c>
      <c r="B3977" s="6" t="s">
        <v>7754</v>
      </c>
      <c r="C3977" s="6" t="s">
        <v>23</v>
      </c>
      <c r="D3977" s="6" t="s">
        <v>8517</v>
      </c>
      <c r="E3977" s="6" t="s">
        <v>153</v>
      </c>
      <c r="F3977" s="6" t="s">
        <v>103</v>
      </c>
      <c r="G3977" s="7">
        <v>0.09</v>
      </c>
      <c r="H3977" s="6" t="s">
        <v>1494</v>
      </c>
      <c r="I3977" s="6" t="s">
        <v>20</v>
      </c>
      <c r="J3977" s="6">
        <v>2012.0</v>
      </c>
      <c r="K3977" s="10">
        <v>46055.0</v>
      </c>
      <c r="L3977" s="6">
        <v>1.0</v>
      </c>
      <c r="M3977" s="8">
        <f t="shared" si="4"/>
        <v>0.09</v>
      </c>
      <c r="P3977" s="9"/>
    </row>
    <row r="3978">
      <c r="A3978" s="6" t="s">
        <v>8518</v>
      </c>
      <c r="B3978" s="6" t="s">
        <v>62</v>
      </c>
      <c r="C3978" s="6" t="s">
        <v>23</v>
      </c>
      <c r="D3978" s="6" t="s">
        <v>8519</v>
      </c>
      <c r="E3978" s="6" t="s">
        <v>3869</v>
      </c>
      <c r="F3978" s="6" t="s">
        <v>874</v>
      </c>
      <c r="G3978" s="7">
        <v>0.2</v>
      </c>
      <c r="H3978" s="6" t="s">
        <v>8520</v>
      </c>
      <c r="I3978" s="6" t="s">
        <v>20</v>
      </c>
      <c r="J3978" s="6">
        <v>2011.0</v>
      </c>
      <c r="L3978" s="6">
        <v>4.0</v>
      </c>
      <c r="M3978" s="8">
        <f t="shared" si="4"/>
        <v>0.8</v>
      </c>
      <c r="P3978" s="9"/>
    </row>
    <row r="3979">
      <c r="A3979" s="6" t="s">
        <v>8521</v>
      </c>
      <c r="B3979" s="6" t="s">
        <v>202</v>
      </c>
      <c r="C3979" s="6" t="s">
        <v>48</v>
      </c>
      <c r="D3979" s="6" t="s">
        <v>8522</v>
      </c>
      <c r="E3979" s="6" t="s">
        <v>50</v>
      </c>
      <c r="F3979" s="6" t="s">
        <v>51</v>
      </c>
      <c r="G3979" s="7">
        <v>0.15</v>
      </c>
      <c r="H3979" s="6" t="s">
        <v>430</v>
      </c>
      <c r="I3979" s="6" t="s">
        <v>20</v>
      </c>
      <c r="J3979" s="6">
        <v>2018.0</v>
      </c>
      <c r="L3979" s="6">
        <v>1.0</v>
      </c>
      <c r="M3979" s="8">
        <f t="shared" si="4"/>
        <v>0.15</v>
      </c>
      <c r="P3979" s="9"/>
    </row>
    <row r="3980">
      <c r="A3980" s="6" t="s">
        <v>8523</v>
      </c>
      <c r="B3980" s="6" t="s">
        <v>62</v>
      </c>
      <c r="C3980" s="6" t="s">
        <v>41</v>
      </c>
      <c r="D3980" s="6" t="s">
        <v>8524</v>
      </c>
      <c r="E3980" s="6" t="s">
        <v>124</v>
      </c>
      <c r="F3980" s="6" t="s">
        <v>103</v>
      </c>
      <c r="G3980" s="7">
        <v>0.13</v>
      </c>
      <c r="H3980" s="6" t="s">
        <v>359</v>
      </c>
      <c r="I3980" s="6" t="s">
        <v>20</v>
      </c>
      <c r="J3980" s="6">
        <v>2014.0</v>
      </c>
      <c r="L3980" s="6">
        <v>1.0</v>
      </c>
      <c r="M3980" s="8">
        <f t="shared" si="4"/>
        <v>0.13</v>
      </c>
      <c r="P3980" s="9"/>
    </row>
    <row r="3981">
      <c r="A3981" s="6" t="s">
        <v>8525</v>
      </c>
      <c r="B3981" s="6" t="s">
        <v>1141</v>
      </c>
      <c r="C3981" s="6" t="s">
        <v>23</v>
      </c>
      <c r="E3981" s="6" t="s">
        <v>1771</v>
      </c>
      <c r="F3981" s="6" t="s">
        <v>51</v>
      </c>
      <c r="G3981" s="7">
        <v>0.05</v>
      </c>
      <c r="H3981" s="6" t="s">
        <v>626</v>
      </c>
      <c r="I3981" s="6" t="s">
        <v>20</v>
      </c>
      <c r="J3981" s="6">
        <v>2013.0</v>
      </c>
      <c r="K3981" s="10">
        <v>46145.0</v>
      </c>
      <c r="L3981" s="6">
        <v>2.0</v>
      </c>
      <c r="M3981" s="8">
        <f t="shared" si="4"/>
        <v>0.1</v>
      </c>
      <c r="P3981" s="9"/>
    </row>
    <row r="3982">
      <c r="A3982" s="6" t="s">
        <v>8526</v>
      </c>
      <c r="B3982" s="6" t="s">
        <v>307</v>
      </c>
      <c r="C3982" s="6" t="s">
        <v>48</v>
      </c>
      <c r="D3982" s="6" t="s">
        <v>8527</v>
      </c>
      <c r="E3982" s="6" t="s">
        <v>303</v>
      </c>
      <c r="F3982" s="6" t="s">
        <v>37</v>
      </c>
      <c r="G3982" s="7">
        <v>0.03</v>
      </c>
      <c r="H3982" s="6" t="s">
        <v>1084</v>
      </c>
      <c r="I3982" s="6" t="s">
        <v>20</v>
      </c>
      <c r="J3982" s="6">
        <v>2018.0</v>
      </c>
      <c r="L3982" s="6">
        <v>1.0</v>
      </c>
      <c r="M3982" s="8">
        <f t="shared" si="4"/>
        <v>0.03</v>
      </c>
      <c r="N3982" s="6" t="s">
        <v>518</v>
      </c>
      <c r="P3982" s="9"/>
    </row>
    <row r="3983">
      <c r="A3983" s="6" t="s">
        <v>8528</v>
      </c>
      <c r="B3983" s="6" t="s">
        <v>1907</v>
      </c>
      <c r="C3983" s="6" t="s">
        <v>48</v>
      </c>
      <c r="D3983" s="6" t="s">
        <v>8529</v>
      </c>
      <c r="E3983" s="6" t="s">
        <v>223</v>
      </c>
      <c r="F3983" s="6" t="s">
        <v>159</v>
      </c>
      <c r="G3983" s="7">
        <v>0.17</v>
      </c>
      <c r="H3983" s="6" t="s">
        <v>1933</v>
      </c>
      <c r="I3983" s="6" t="s">
        <v>20</v>
      </c>
      <c r="J3983" s="6">
        <v>2020.0</v>
      </c>
      <c r="K3983" s="10">
        <v>46024.0</v>
      </c>
      <c r="L3983" s="6">
        <v>1.0</v>
      </c>
      <c r="M3983" s="8">
        <f t="shared" si="4"/>
        <v>0.17</v>
      </c>
      <c r="P3983" s="9"/>
    </row>
    <row r="3984">
      <c r="A3984" s="6" t="s">
        <v>8530</v>
      </c>
      <c r="B3984" s="6" t="s">
        <v>2859</v>
      </c>
      <c r="C3984" s="6" t="s">
        <v>23</v>
      </c>
      <c r="D3984" s="6" t="s">
        <v>8531</v>
      </c>
      <c r="E3984" s="6" t="s">
        <v>8532</v>
      </c>
      <c r="F3984" s="6" t="s">
        <v>261</v>
      </c>
      <c r="G3984" s="7">
        <v>0.13</v>
      </c>
      <c r="H3984" s="6" t="s">
        <v>1361</v>
      </c>
      <c r="I3984" s="6" t="s">
        <v>20</v>
      </c>
      <c r="J3984" s="6">
        <v>2008.0</v>
      </c>
      <c r="K3984" s="10">
        <v>46082.0</v>
      </c>
      <c r="L3984" s="6">
        <v>1.0</v>
      </c>
      <c r="M3984" s="8">
        <f t="shared" si="4"/>
        <v>0.13</v>
      </c>
      <c r="P3984" s="9"/>
    </row>
    <row r="3985">
      <c r="A3985" s="6" t="s">
        <v>8533</v>
      </c>
      <c r="B3985" s="6" t="s">
        <v>5981</v>
      </c>
      <c r="C3985" s="6" t="s">
        <v>23</v>
      </c>
      <c r="D3985" s="6" t="s">
        <v>8534</v>
      </c>
      <c r="E3985" s="6" t="s">
        <v>270</v>
      </c>
      <c r="F3985" s="6" t="s">
        <v>159</v>
      </c>
      <c r="G3985" s="7">
        <v>0.03</v>
      </c>
      <c r="H3985" s="6" t="s">
        <v>299</v>
      </c>
      <c r="I3985" s="6" t="s">
        <v>20</v>
      </c>
      <c r="J3985" s="6">
        <v>2017.0</v>
      </c>
      <c r="K3985" s="10">
        <v>46055.0</v>
      </c>
      <c r="L3985" s="6">
        <v>1.0</v>
      </c>
      <c r="M3985" s="8">
        <f t="shared" si="4"/>
        <v>0.03</v>
      </c>
      <c r="P3985" s="9"/>
    </row>
    <row r="3986">
      <c r="A3986" s="6" t="s">
        <v>8535</v>
      </c>
      <c r="B3986" s="6" t="s">
        <v>8536</v>
      </c>
      <c r="C3986" s="6" t="s">
        <v>23</v>
      </c>
      <c r="D3986" s="6" t="s">
        <v>8537</v>
      </c>
      <c r="E3986" s="6" t="s">
        <v>25</v>
      </c>
      <c r="F3986" s="6" t="s">
        <v>18</v>
      </c>
      <c r="G3986" s="7">
        <v>0.07</v>
      </c>
      <c r="H3986" s="6" t="s">
        <v>8538</v>
      </c>
      <c r="I3986" s="6" t="s">
        <v>20</v>
      </c>
      <c r="J3986" s="6">
        <v>2006.0</v>
      </c>
      <c r="K3986" s="10">
        <v>46024.0</v>
      </c>
      <c r="L3986" s="6">
        <v>1.0</v>
      </c>
      <c r="M3986" s="8">
        <f t="shared" si="4"/>
        <v>0.07</v>
      </c>
      <c r="P3986" s="9"/>
    </row>
    <row r="3987">
      <c r="A3987" s="6" t="s">
        <v>8539</v>
      </c>
      <c r="B3987" s="6" t="s">
        <v>8540</v>
      </c>
      <c r="C3987" s="6" t="s">
        <v>23</v>
      </c>
      <c r="D3987" s="6" t="s">
        <v>8541</v>
      </c>
      <c r="E3987" s="6" t="s">
        <v>270</v>
      </c>
      <c r="F3987" s="6" t="s">
        <v>159</v>
      </c>
      <c r="G3987" s="7">
        <v>0.09</v>
      </c>
      <c r="H3987" s="6" t="s">
        <v>845</v>
      </c>
      <c r="I3987" s="6" t="s">
        <v>20</v>
      </c>
      <c r="J3987" s="6">
        <v>2022.0</v>
      </c>
      <c r="K3987" s="10">
        <v>46056.0</v>
      </c>
      <c r="L3987" s="6">
        <v>3.0</v>
      </c>
      <c r="M3987" s="8">
        <f t="shared" si="4"/>
        <v>0.27</v>
      </c>
      <c r="P3987" s="9"/>
    </row>
    <row r="3988">
      <c r="A3988" s="6" t="s">
        <v>8542</v>
      </c>
      <c r="B3988" s="6" t="s">
        <v>331</v>
      </c>
      <c r="C3988" s="6" t="s">
        <v>23</v>
      </c>
      <c r="E3988" s="6" t="s">
        <v>118</v>
      </c>
      <c r="F3988" s="6" t="s">
        <v>51</v>
      </c>
      <c r="G3988" s="7">
        <v>0.06</v>
      </c>
      <c r="H3988" s="6" t="s">
        <v>1514</v>
      </c>
      <c r="I3988" s="6" t="s">
        <v>20</v>
      </c>
      <c r="J3988" s="6">
        <v>2009.0</v>
      </c>
      <c r="K3988" s="10">
        <v>46055.0</v>
      </c>
      <c r="L3988" s="6">
        <v>1.0</v>
      </c>
      <c r="M3988" s="8">
        <f t="shared" si="4"/>
        <v>0.06</v>
      </c>
      <c r="P3988" s="9"/>
    </row>
    <row r="3989">
      <c r="A3989" s="6" t="s">
        <v>8543</v>
      </c>
      <c r="B3989" s="6" t="s">
        <v>2946</v>
      </c>
      <c r="C3989" s="6" t="s">
        <v>571</v>
      </c>
      <c r="D3989" s="6" t="s">
        <v>8544</v>
      </c>
      <c r="E3989" s="6" t="s">
        <v>149</v>
      </c>
      <c r="F3989" s="6" t="s">
        <v>18</v>
      </c>
      <c r="G3989" s="7">
        <v>0.07</v>
      </c>
      <c r="H3989" s="6" t="s">
        <v>641</v>
      </c>
      <c r="I3989" s="6" t="s">
        <v>20</v>
      </c>
      <c r="J3989" s="6">
        <v>2026.0</v>
      </c>
      <c r="K3989" s="10">
        <v>46024.0</v>
      </c>
      <c r="L3989" s="6">
        <v>1.0</v>
      </c>
      <c r="M3989" s="8">
        <f t="shared" si="4"/>
        <v>0.07</v>
      </c>
      <c r="P3989" s="9"/>
    </row>
    <row r="3990">
      <c r="A3990" s="6" t="s">
        <v>8543</v>
      </c>
      <c r="B3990" s="6" t="s">
        <v>2946</v>
      </c>
      <c r="C3990" s="6" t="s">
        <v>571</v>
      </c>
      <c r="D3990" s="6" t="s">
        <v>8544</v>
      </c>
      <c r="E3990" s="6" t="s">
        <v>149</v>
      </c>
      <c r="F3990" s="6" t="s">
        <v>18</v>
      </c>
      <c r="G3990" s="7">
        <v>0.5</v>
      </c>
      <c r="H3990" s="6" t="s">
        <v>641</v>
      </c>
      <c r="I3990" s="6" t="s">
        <v>55</v>
      </c>
      <c r="J3990" s="6">
        <v>2026.0</v>
      </c>
      <c r="K3990" s="10">
        <v>46024.0</v>
      </c>
      <c r="L3990" s="6">
        <v>1.0</v>
      </c>
      <c r="M3990" s="8">
        <f t="shared" si="4"/>
        <v>0.5</v>
      </c>
      <c r="P3990" s="9"/>
    </row>
    <row r="3991">
      <c r="A3991" s="6" t="s">
        <v>8545</v>
      </c>
      <c r="B3991" s="6" t="s">
        <v>8546</v>
      </c>
      <c r="C3991" s="6" t="s">
        <v>521</v>
      </c>
      <c r="D3991" s="6" t="s">
        <v>8547</v>
      </c>
      <c r="E3991" s="6" t="s">
        <v>25</v>
      </c>
      <c r="F3991" s="6" t="s">
        <v>18</v>
      </c>
      <c r="G3991" s="7">
        <v>0.05</v>
      </c>
      <c r="H3991" s="6" t="s">
        <v>641</v>
      </c>
      <c r="I3991" s="6" t="s">
        <v>20</v>
      </c>
      <c r="J3991" s="6">
        <v>2026.0</v>
      </c>
      <c r="K3991" s="10">
        <v>46083.0</v>
      </c>
      <c r="L3991" s="6">
        <v>1.0</v>
      </c>
      <c r="M3991" s="8">
        <f t="shared" si="4"/>
        <v>0.05</v>
      </c>
      <c r="P3991" s="9"/>
    </row>
    <row r="3992">
      <c r="A3992" s="6" t="s">
        <v>8548</v>
      </c>
      <c r="B3992" s="6" t="s">
        <v>8549</v>
      </c>
      <c r="C3992" s="6" t="s">
        <v>23</v>
      </c>
      <c r="D3992" s="6" t="s">
        <v>8550</v>
      </c>
      <c r="E3992" s="6" t="s">
        <v>196</v>
      </c>
      <c r="F3992" s="6" t="s">
        <v>65</v>
      </c>
      <c r="G3992" s="7">
        <v>0.1</v>
      </c>
      <c r="H3992" s="6" t="s">
        <v>418</v>
      </c>
      <c r="I3992" s="6" t="s">
        <v>20</v>
      </c>
      <c r="J3992" s="6">
        <v>2022.0</v>
      </c>
      <c r="K3992" s="10">
        <v>46023.0</v>
      </c>
      <c r="L3992" s="6">
        <v>1.0</v>
      </c>
      <c r="M3992" s="8">
        <f t="shared" si="4"/>
        <v>0.1</v>
      </c>
      <c r="P3992" s="9"/>
    </row>
    <row r="3993">
      <c r="A3993" s="6" t="s">
        <v>8551</v>
      </c>
      <c r="B3993" s="6" t="s">
        <v>202</v>
      </c>
      <c r="C3993" s="6" t="s">
        <v>41</v>
      </c>
      <c r="D3993" s="6" t="s">
        <v>8552</v>
      </c>
      <c r="E3993" s="6" t="s">
        <v>650</v>
      </c>
      <c r="F3993" s="6" t="s">
        <v>284</v>
      </c>
      <c r="G3993" s="7">
        <v>1.0</v>
      </c>
      <c r="H3993" s="6" t="s">
        <v>185</v>
      </c>
      <c r="I3993" s="6" t="s">
        <v>55</v>
      </c>
      <c r="J3993" s="6">
        <v>2019.0</v>
      </c>
      <c r="L3993" s="6">
        <v>1.0</v>
      </c>
      <c r="M3993" s="8">
        <f t="shared" si="4"/>
        <v>1</v>
      </c>
      <c r="N3993" s="6" t="s">
        <v>172</v>
      </c>
      <c r="P3993" s="9"/>
    </row>
    <row r="3994">
      <c r="A3994" s="6" t="s">
        <v>8553</v>
      </c>
      <c r="B3994" s="6" t="s">
        <v>960</v>
      </c>
      <c r="C3994" s="6" t="s">
        <v>23</v>
      </c>
      <c r="D3994" s="6" t="s">
        <v>8554</v>
      </c>
      <c r="F3994" s="6" t="s">
        <v>284</v>
      </c>
      <c r="G3994" s="7">
        <v>0.12</v>
      </c>
      <c r="H3994" s="6" t="s">
        <v>185</v>
      </c>
      <c r="I3994" s="6" t="s">
        <v>20</v>
      </c>
      <c r="J3994" s="6">
        <v>2019.0</v>
      </c>
      <c r="L3994" s="6">
        <v>4.0</v>
      </c>
      <c r="M3994" s="8">
        <f t="shared" si="4"/>
        <v>0.48</v>
      </c>
      <c r="P3994" s="9"/>
    </row>
    <row r="3995">
      <c r="A3995" s="6" t="s">
        <v>8555</v>
      </c>
      <c r="B3995" s="6" t="s">
        <v>194</v>
      </c>
      <c r="C3995" s="6" t="s">
        <v>48</v>
      </c>
      <c r="D3995" s="6" t="s">
        <v>8556</v>
      </c>
      <c r="E3995" s="6" t="s">
        <v>102</v>
      </c>
      <c r="F3995" s="6" t="s">
        <v>103</v>
      </c>
      <c r="G3995" s="7">
        <v>0.4</v>
      </c>
      <c r="H3995" s="6" t="s">
        <v>109</v>
      </c>
      <c r="I3995" s="6" t="s">
        <v>20</v>
      </c>
      <c r="J3995" s="6">
        <v>1995.0</v>
      </c>
      <c r="L3995" s="6">
        <v>1.0</v>
      </c>
      <c r="M3995" s="8">
        <f t="shared" si="4"/>
        <v>0.4</v>
      </c>
      <c r="P3995" s="9"/>
    </row>
    <row r="3996">
      <c r="A3996" s="6" t="s">
        <v>8555</v>
      </c>
      <c r="B3996" s="6" t="s">
        <v>194</v>
      </c>
      <c r="C3996" s="6" t="s">
        <v>48</v>
      </c>
      <c r="D3996" s="6" t="s">
        <v>8556</v>
      </c>
      <c r="E3996" s="6" t="s">
        <v>102</v>
      </c>
      <c r="F3996" s="6" t="s">
        <v>103</v>
      </c>
      <c r="G3996" s="7">
        <v>0.15</v>
      </c>
      <c r="H3996" s="6" t="s">
        <v>1382</v>
      </c>
      <c r="I3996" s="6" t="s">
        <v>20</v>
      </c>
      <c r="J3996" s="6">
        <v>1995.0</v>
      </c>
      <c r="L3996" s="6">
        <v>1.0</v>
      </c>
      <c r="M3996" s="8">
        <f t="shared" si="4"/>
        <v>0.15</v>
      </c>
      <c r="P3996" s="9"/>
    </row>
    <row r="3997">
      <c r="A3997" s="6" t="s">
        <v>8557</v>
      </c>
      <c r="B3997" s="6" t="s">
        <v>8558</v>
      </c>
      <c r="C3997" s="6" t="s">
        <v>212</v>
      </c>
      <c r="D3997" s="6" t="s">
        <v>8559</v>
      </c>
      <c r="E3997" s="6" t="s">
        <v>8560</v>
      </c>
      <c r="F3997" s="6" t="s">
        <v>8561</v>
      </c>
      <c r="G3997" s="7">
        <v>0.99</v>
      </c>
      <c r="H3997" s="6" t="s">
        <v>209</v>
      </c>
      <c r="I3997" s="6" t="s">
        <v>20</v>
      </c>
      <c r="J3997" s="6">
        <v>2025.0</v>
      </c>
      <c r="K3997" s="10">
        <v>46210.0</v>
      </c>
      <c r="L3997" s="6">
        <v>1.0</v>
      </c>
      <c r="M3997" s="8">
        <f t="shared" si="4"/>
        <v>0.99</v>
      </c>
      <c r="P3997" s="9"/>
    </row>
    <row r="3998">
      <c r="A3998" s="6" t="s">
        <v>8562</v>
      </c>
      <c r="B3998" s="6" t="s">
        <v>182</v>
      </c>
      <c r="C3998" s="6" t="s">
        <v>41</v>
      </c>
      <c r="D3998" s="6" t="s">
        <v>8563</v>
      </c>
      <c r="E3998" s="6" t="s">
        <v>1771</v>
      </c>
      <c r="F3998" s="6" t="s">
        <v>51</v>
      </c>
      <c r="G3998" s="7">
        <v>0.79</v>
      </c>
      <c r="H3998" s="6" t="s">
        <v>406</v>
      </c>
      <c r="I3998" s="6" t="s">
        <v>20</v>
      </c>
      <c r="J3998" s="6">
        <v>2019.0</v>
      </c>
      <c r="L3998" s="6">
        <v>1.0</v>
      </c>
      <c r="M3998" s="8">
        <f t="shared" si="4"/>
        <v>0.79</v>
      </c>
      <c r="P3998" s="9"/>
    </row>
    <row r="3999">
      <c r="A3999" s="6" t="s">
        <v>8564</v>
      </c>
      <c r="B3999" s="6" t="s">
        <v>8565</v>
      </c>
      <c r="C3999" s="6" t="s">
        <v>34</v>
      </c>
      <c r="D3999" s="6" t="s">
        <v>8566</v>
      </c>
      <c r="E3999" s="6" t="s">
        <v>1767</v>
      </c>
      <c r="F3999" s="6" t="s">
        <v>18</v>
      </c>
      <c r="G3999" s="7">
        <v>0.05</v>
      </c>
      <c r="H3999" s="6" t="s">
        <v>1043</v>
      </c>
      <c r="I3999" s="6" t="s">
        <v>20</v>
      </c>
      <c r="J3999" s="6">
        <v>2025.0</v>
      </c>
      <c r="K3999" s="10">
        <v>46083.0</v>
      </c>
      <c r="L3999" s="6">
        <v>1.0</v>
      </c>
      <c r="M3999" s="8">
        <f t="shared" si="4"/>
        <v>0.05</v>
      </c>
      <c r="P3999" s="9"/>
    </row>
    <row r="4000">
      <c r="A4000" s="6" t="s">
        <v>8567</v>
      </c>
      <c r="B4000" s="6" t="s">
        <v>4904</v>
      </c>
      <c r="C4000" s="6" t="s">
        <v>48</v>
      </c>
      <c r="D4000" s="6" t="s">
        <v>8568</v>
      </c>
      <c r="E4000" s="6" t="s">
        <v>25</v>
      </c>
      <c r="F4000" s="6" t="s">
        <v>18</v>
      </c>
      <c r="G4000" s="7">
        <v>0.03</v>
      </c>
      <c r="H4000" s="6" t="s">
        <v>265</v>
      </c>
      <c r="I4000" s="6" t="s">
        <v>20</v>
      </c>
      <c r="J4000" s="6">
        <v>2017.0</v>
      </c>
      <c r="K4000" s="10">
        <v>46055.0</v>
      </c>
      <c r="L4000" s="6">
        <v>1.0</v>
      </c>
      <c r="M4000" s="8">
        <f t="shared" si="4"/>
        <v>0.03</v>
      </c>
      <c r="P4000" s="9"/>
    </row>
    <row r="4001">
      <c r="A4001" s="6" t="s">
        <v>8567</v>
      </c>
      <c r="B4001" s="6" t="s">
        <v>4904</v>
      </c>
      <c r="C4001" s="6" t="s">
        <v>48</v>
      </c>
      <c r="D4001" s="6" t="s">
        <v>8568</v>
      </c>
      <c r="E4001" s="6" t="s">
        <v>25</v>
      </c>
      <c r="F4001" s="6" t="s">
        <v>18</v>
      </c>
      <c r="G4001" s="7">
        <v>0.03</v>
      </c>
      <c r="H4001" s="6" t="s">
        <v>265</v>
      </c>
      <c r="I4001" s="6" t="s">
        <v>20</v>
      </c>
      <c r="J4001" s="6">
        <v>2017.0</v>
      </c>
      <c r="K4001" s="10">
        <v>46055.0</v>
      </c>
      <c r="L4001" s="6">
        <v>2.0</v>
      </c>
      <c r="M4001" s="8">
        <f t="shared" si="4"/>
        <v>0.06</v>
      </c>
      <c r="P4001" s="9"/>
    </row>
    <row r="4002">
      <c r="A4002" s="6" t="s">
        <v>8569</v>
      </c>
      <c r="B4002" s="6" t="s">
        <v>182</v>
      </c>
      <c r="C4002" s="6" t="s">
        <v>23</v>
      </c>
      <c r="D4002" s="6" t="s">
        <v>8570</v>
      </c>
      <c r="E4002" s="6" t="s">
        <v>1321</v>
      </c>
      <c r="F4002" s="6" t="s">
        <v>103</v>
      </c>
      <c r="G4002" s="7">
        <v>0.05</v>
      </c>
      <c r="H4002" s="6" t="s">
        <v>626</v>
      </c>
      <c r="I4002" s="6" t="s">
        <v>20</v>
      </c>
      <c r="J4002" s="6">
        <v>2013.0</v>
      </c>
      <c r="L4002" s="6">
        <v>1.0</v>
      </c>
      <c r="M4002" s="8">
        <f t="shared" si="4"/>
        <v>0.05</v>
      </c>
      <c r="P4002" s="9"/>
    </row>
    <row r="4003">
      <c r="A4003" s="6" t="s">
        <v>8571</v>
      </c>
      <c r="B4003" s="6" t="s">
        <v>8441</v>
      </c>
      <c r="C4003" s="6" t="s">
        <v>48</v>
      </c>
      <c r="D4003" s="6" t="s">
        <v>8572</v>
      </c>
      <c r="E4003" s="6" t="s">
        <v>220</v>
      </c>
      <c r="F4003" s="6" t="s">
        <v>18</v>
      </c>
      <c r="G4003" s="7">
        <v>0.05</v>
      </c>
      <c r="H4003" s="6" t="s">
        <v>276</v>
      </c>
      <c r="I4003" s="6" t="s">
        <v>20</v>
      </c>
      <c r="J4003" s="6">
        <v>2014.0</v>
      </c>
      <c r="K4003" s="10">
        <v>46023.0</v>
      </c>
      <c r="L4003" s="6">
        <v>1.0</v>
      </c>
      <c r="M4003" s="8">
        <f t="shared" si="4"/>
        <v>0.05</v>
      </c>
      <c r="P4003" s="9"/>
    </row>
    <row r="4004">
      <c r="A4004" s="6" t="s">
        <v>8573</v>
      </c>
      <c r="B4004" s="6" t="s">
        <v>1660</v>
      </c>
      <c r="C4004" s="6" t="s">
        <v>48</v>
      </c>
      <c r="D4004" s="6" t="s">
        <v>8574</v>
      </c>
      <c r="E4004" s="6" t="s">
        <v>1001</v>
      </c>
      <c r="F4004" s="6" t="s">
        <v>65</v>
      </c>
      <c r="G4004" s="7">
        <v>0.05</v>
      </c>
      <c r="H4004" s="6" t="s">
        <v>606</v>
      </c>
      <c r="I4004" s="6" t="s">
        <v>20</v>
      </c>
      <c r="J4004" s="6">
        <v>1995.0</v>
      </c>
      <c r="K4004" s="10">
        <v>46055.0</v>
      </c>
      <c r="L4004" s="6">
        <v>2.0</v>
      </c>
      <c r="M4004" s="8">
        <f t="shared" si="4"/>
        <v>0.1</v>
      </c>
      <c r="P4004" s="9"/>
    </row>
    <row r="4005">
      <c r="A4005" s="6" t="s">
        <v>8573</v>
      </c>
      <c r="B4005" s="6" t="s">
        <v>1660</v>
      </c>
      <c r="C4005" s="6" t="s">
        <v>48</v>
      </c>
      <c r="D4005" s="6" t="s">
        <v>8574</v>
      </c>
      <c r="E4005" s="6" t="s">
        <v>1001</v>
      </c>
      <c r="F4005" s="6" t="s">
        <v>65</v>
      </c>
      <c r="G4005" s="7">
        <v>0.15</v>
      </c>
      <c r="H4005" s="6" t="s">
        <v>120</v>
      </c>
      <c r="I4005" s="6" t="s">
        <v>20</v>
      </c>
      <c r="J4005" s="6">
        <v>1995.0</v>
      </c>
      <c r="K4005" s="10">
        <v>46055.0</v>
      </c>
      <c r="L4005" s="6">
        <v>6.0</v>
      </c>
      <c r="M4005" s="8">
        <f t="shared" si="4"/>
        <v>0.9</v>
      </c>
      <c r="P4005" s="9"/>
    </row>
    <row r="4006">
      <c r="A4006" s="6" t="s">
        <v>8575</v>
      </c>
      <c r="B4006" s="6" t="s">
        <v>8576</v>
      </c>
      <c r="C4006" s="6" t="s">
        <v>48</v>
      </c>
      <c r="D4006" s="6" t="s">
        <v>8577</v>
      </c>
      <c r="E4006" s="6" t="s">
        <v>153</v>
      </c>
      <c r="F4006" s="6" t="s">
        <v>103</v>
      </c>
      <c r="G4006" s="7">
        <v>0.09</v>
      </c>
      <c r="H4006" s="6" t="s">
        <v>845</v>
      </c>
      <c r="I4006" s="6" t="s">
        <v>20</v>
      </c>
      <c r="J4006" s="6">
        <v>2022.0</v>
      </c>
      <c r="K4006" s="10">
        <v>46084.0</v>
      </c>
      <c r="L4006" s="6">
        <v>1.0</v>
      </c>
      <c r="M4006" s="8">
        <f t="shared" si="4"/>
        <v>0.09</v>
      </c>
      <c r="P4006" s="9"/>
    </row>
    <row r="4007">
      <c r="A4007" s="6" t="s">
        <v>8578</v>
      </c>
      <c r="B4007" s="6" t="s">
        <v>2011</v>
      </c>
      <c r="C4007" s="6" t="s">
        <v>571</v>
      </c>
      <c r="D4007" s="6" t="s">
        <v>8579</v>
      </c>
      <c r="E4007" s="6" t="s">
        <v>64</v>
      </c>
      <c r="F4007" s="6" t="s">
        <v>65</v>
      </c>
      <c r="G4007" s="7">
        <v>0.08</v>
      </c>
      <c r="H4007" s="6" t="s">
        <v>641</v>
      </c>
      <c r="I4007" s="6" t="s">
        <v>20</v>
      </c>
      <c r="J4007" s="6">
        <v>2026.0</v>
      </c>
      <c r="K4007" s="10">
        <v>46056.0</v>
      </c>
      <c r="L4007" s="6">
        <v>1.0</v>
      </c>
      <c r="M4007" s="8">
        <f t="shared" si="4"/>
        <v>0.08</v>
      </c>
      <c r="P4007" s="9"/>
    </row>
    <row r="4008">
      <c r="A4008" s="6" t="s">
        <v>8580</v>
      </c>
      <c r="B4008" s="6" t="s">
        <v>8581</v>
      </c>
      <c r="C4008" s="6" t="s">
        <v>48</v>
      </c>
      <c r="D4008" s="6" t="s">
        <v>8582</v>
      </c>
      <c r="E4008" s="6" t="s">
        <v>602</v>
      </c>
      <c r="F4008" s="6" t="s">
        <v>159</v>
      </c>
      <c r="G4008" s="7">
        <v>0.11</v>
      </c>
      <c r="H4008" s="6" t="s">
        <v>845</v>
      </c>
      <c r="I4008" s="6" t="s">
        <v>20</v>
      </c>
      <c r="J4008" s="6">
        <v>2022.0</v>
      </c>
      <c r="K4008" s="10">
        <v>46116.0</v>
      </c>
      <c r="L4008" s="6">
        <v>1.0</v>
      </c>
      <c r="M4008" s="8">
        <f t="shared" si="4"/>
        <v>0.11</v>
      </c>
      <c r="P4008" s="9"/>
    </row>
    <row r="4009">
      <c r="A4009" s="6" t="s">
        <v>8583</v>
      </c>
      <c r="B4009" s="6" t="s">
        <v>677</v>
      </c>
      <c r="C4009" s="6" t="s">
        <v>41</v>
      </c>
      <c r="D4009" s="6" t="s">
        <v>8584</v>
      </c>
      <c r="E4009" s="6" t="s">
        <v>554</v>
      </c>
      <c r="F4009" s="6" t="s">
        <v>159</v>
      </c>
      <c r="G4009" s="7">
        <v>0.14</v>
      </c>
      <c r="H4009" s="6" t="s">
        <v>88</v>
      </c>
      <c r="I4009" s="6" t="s">
        <v>20</v>
      </c>
      <c r="J4009" s="6">
        <v>2013.0</v>
      </c>
      <c r="K4009" s="10">
        <v>46274.0</v>
      </c>
      <c r="L4009" s="6">
        <v>1.0</v>
      </c>
      <c r="M4009" s="8">
        <f t="shared" si="4"/>
        <v>0.14</v>
      </c>
      <c r="P4009" s="9"/>
    </row>
    <row r="4010">
      <c r="A4010" s="6" t="s">
        <v>8585</v>
      </c>
      <c r="B4010" s="6" t="s">
        <v>8586</v>
      </c>
      <c r="C4010" s="6" t="s">
        <v>684</v>
      </c>
      <c r="D4010" s="6" t="s">
        <v>8587</v>
      </c>
      <c r="E4010" s="6" t="s">
        <v>8588</v>
      </c>
      <c r="F4010" s="6" t="s">
        <v>65</v>
      </c>
      <c r="G4010" s="7">
        <v>0.43</v>
      </c>
      <c r="H4010" s="6" t="s">
        <v>515</v>
      </c>
      <c r="I4010" s="6" t="s">
        <v>20</v>
      </c>
      <c r="J4010" s="6">
        <v>2019.0</v>
      </c>
      <c r="K4010" s="10">
        <v>46116.0</v>
      </c>
      <c r="L4010" s="6">
        <v>2.0</v>
      </c>
      <c r="M4010" s="8">
        <f t="shared" si="4"/>
        <v>0.86</v>
      </c>
      <c r="P4010" s="9"/>
    </row>
    <row r="4011">
      <c r="A4011" s="6" t="s">
        <v>8589</v>
      </c>
      <c r="B4011" s="6" t="s">
        <v>1509</v>
      </c>
      <c r="C4011" s="6" t="s">
        <v>23</v>
      </c>
      <c r="D4011" s="6" t="s">
        <v>8590</v>
      </c>
      <c r="E4011" s="6" t="s">
        <v>238</v>
      </c>
      <c r="F4011" s="6" t="s">
        <v>159</v>
      </c>
      <c r="G4011" s="7">
        <v>0.23</v>
      </c>
      <c r="H4011" s="6" t="s">
        <v>2512</v>
      </c>
      <c r="I4011" s="6" t="s">
        <v>20</v>
      </c>
      <c r="J4011" s="6">
        <v>2006.0</v>
      </c>
      <c r="K4011" s="10">
        <v>46023.0</v>
      </c>
      <c r="L4011" s="6">
        <v>4.0</v>
      </c>
      <c r="M4011" s="8">
        <f t="shared" si="4"/>
        <v>0.92</v>
      </c>
      <c r="P4011" s="9"/>
    </row>
    <row r="4012">
      <c r="A4012" s="6" t="s">
        <v>8591</v>
      </c>
      <c r="B4012" s="6" t="s">
        <v>1052</v>
      </c>
      <c r="C4012" s="6" t="s">
        <v>48</v>
      </c>
      <c r="D4012" s="6" t="s">
        <v>8592</v>
      </c>
      <c r="E4012" s="6" t="s">
        <v>303</v>
      </c>
      <c r="F4012" s="6" t="s">
        <v>37</v>
      </c>
      <c r="G4012" s="7">
        <v>0.25</v>
      </c>
      <c r="H4012" s="6" t="s">
        <v>192</v>
      </c>
      <c r="I4012" s="6" t="s">
        <v>20</v>
      </c>
      <c r="J4012" s="6">
        <v>2026.0</v>
      </c>
      <c r="L4012" s="6">
        <v>3.0</v>
      </c>
      <c r="M4012" s="8">
        <f t="shared" si="4"/>
        <v>0.75</v>
      </c>
      <c r="P4012" s="9"/>
    </row>
    <row r="4013">
      <c r="A4013" s="6" t="s">
        <v>8593</v>
      </c>
      <c r="B4013" s="6" t="s">
        <v>928</v>
      </c>
      <c r="C4013" s="6" t="s">
        <v>23</v>
      </c>
      <c r="D4013" s="6" t="s">
        <v>8594</v>
      </c>
      <c r="E4013" s="6" t="s">
        <v>102</v>
      </c>
      <c r="F4013" s="6" t="s">
        <v>103</v>
      </c>
      <c r="G4013" s="7">
        <v>0.15</v>
      </c>
      <c r="H4013" s="6" t="s">
        <v>396</v>
      </c>
      <c r="I4013" s="6" t="s">
        <v>20</v>
      </c>
      <c r="J4013" s="6">
        <v>2007.0</v>
      </c>
      <c r="K4013" s="10">
        <v>46023.0</v>
      </c>
      <c r="L4013" s="6">
        <v>1.0</v>
      </c>
      <c r="M4013" s="8">
        <f t="shared" si="4"/>
        <v>0.15</v>
      </c>
      <c r="P4013" s="9"/>
    </row>
    <row r="4014">
      <c r="A4014" s="6" t="s">
        <v>8595</v>
      </c>
      <c r="B4014" s="6" t="s">
        <v>182</v>
      </c>
      <c r="C4014" s="6" t="s">
        <v>23</v>
      </c>
      <c r="D4014" s="6" t="s">
        <v>8596</v>
      </c>
      <c r="E4014" s="6" t="s">
        <v>64</v>
      </c>
      <c r="F4014" s="6" t="s">
        <v>65</v>
      </c>
      <c r="G4014" s="7">
        <v>0.21</v>
      </c>
      <c r="H4014" s="6" t="s">
        <v>185</v>
      </c>
      <c r="I4014" s="6" t="s">
        <v>20</v>
      </c>
      <c r="J4014" s="6">
        <v>2019.0</v>
      </c>
      <c r="L4014" s="6">
        <v>4.0</v>
      </c>
      <c r="M4014" s="8">
        <f t="shared" si="4"/>
        <v>0.84</v>
      </c>
      <c r="P4014" s="9"/>
    </row>
    <row r="4015">
      <c r="A4015" s="6" t="s">
        <v>8597</v>
      </c>
      <c r="B4015" s="6" t="s">
        <v>1113</v>
      </c>
      <c r="C4015" s="6" t="s">
        <v>23</v>
      </c>
      <c r="D4015" s="6" t="s">
        <v>8598</v>
      </c>
      <c r="E4015" s="6" t="s">
        <v>1001</v>
      </c>
      <c r="F4015" s="6" t="s">
        <v>65</v>
      </c>
      <c r="G4015" s="7">
        <v>0.04</v>
      </c>
      <c r="H4015" s="6" t="s">
        <v>632</v>
      </c>
      <c r="I4015" s="6" t="s">
        <v>20</v>
      </c>
      <c r="J4015" s="6">
        <v>2002.0</v>
      </c>
      <c r="K4015" s="10">
        <v>46024.0</v>
      </c>
      <c r="L4015" s="6">
        <v>1.0</v>
      </c>
      <c r="M4015" s="8">
        <f t="shared" si="4"/>
        <v>0.04</v>
      </c>
      <c r="P4015" s="9"/>
    </row>
    <row r="4016">
      <c r="A4016" s="6" t="s">
        <v>8599</v>
      </c>
      <c r="B4016" s="6" t="s">
        <v>1113</v>
      </c>
      <c r="C4016" s="6" t="s">
        <v>41</v>
      </c>
      <c r="D4016" s="6" t="s">
        <v>8600</v>
      </c>
      <c r="E4016" s="6" t="s">
        <v>112</v>
      </c>
      <c r="F4016" s="6" t="s">
        <v>65</v>
      </c>
      <c r="G4016" s="7">
        <v>0.06</v>
      </c>
      <c r="H4016" s="6" t="s">
        <v>8601</v>
      </c>
      <c r="I4016" s="6" t="s">
        <v>55</v>
      </c>
      <c r="J4016" s="6">
        <v>2003.0</v>
      </c>
      <c r="K4016" s="10">
        <v>46024.0</v>
      </c>
      <c r="L4016" s="6">
        <v>1.0</v>
      </c>
      <c r="M4016" s="8">
        <f t="shared" si="4"/>
        <v>0.06</v>
      </c>
      <c r="P4016" s="9"/>
    </row>
    <row r="4017">
      <c r="A4017" s="6" t="s">
        <v>8602</v>
      </c>
      <c r="B4017" s="6" t="s">
        <v>1113</v>
      </c>
      <c r="C4017" s="6" t="s">
        <v>23</v>
      </c>
      <c r="D4017" s="6" t="s">
        <v>8603</v>
      </c>
      <c r="E4017" s="6" t="s">
        <v>533</v>
      </c>
      <c r="F4017" s="6" t="s">
        <v>65</v>
      </c>
      <c r="G4017" s="7">
        <v>0.08</v>
      </c>
      <c r="H4017" s="6" t="s">
        <v>4382</v>
      </c>
      <c r="I4017" s="6" t="s">
        <v>20</v>
      </c>
      <c r="J4017" s="6">
        <v>2003.0</v>
      </c>
      <c r="K4017" s="10">
        <v>46055.0</v>
      </c>
      <c r="L4017" s="6">
        <v>1.0</v>
      </c>
      <c r="M4017" s="8">
        <f t="shared" si="4"/>
        <v>0.08</v>
      </c>
      <c r="P4017" s="9"/>
    </row>
    <row r="4018">
      <c r="A4018" s="6" t="s">
        <v>8604</v>
      </c>
      <c r="B4018" s="6" t="s">
        <v>1113</v>
      </c>
      <c r="C4018" s="6" t="s">
        <v>48</v>
      </c>
      <c r="D4018" s="6" t="s">
        <v>8605</v>
      </c>
      <c r="E4018" s="6" t="s">
        <v>533</v>
      </c>
      <c r="F4018" s="6" t="s">
        <v>65</v>
      </c>
      <c r="G4018" s="7">
        <v>0.08</v>
      </c>
      <c r="H4018" s="6" t="s">
        <v>2701</v>
      </c>
      <c r="I4018" s="6" t="s">
        <v>20</v>
      </c>
      <c r="J4018" s="6">
        <v>2003.0</v>
      </c>
      <c r="K4018" s="10">
        <v>46025.0</v>
      </c>
      <c r="L4018" s="6">
        <v>1.0</v>
      </c>
      <c r="M4018" s="8">
        <f t="shared" si="4"/>
        <v>0.08</v>
      </c>
      <c r="P4018" s="9"/>
    </row>
    <row r="4019">
      <c r="A4019" s="6" t="s">
        <v>8606</v>
      </c>
      <c r="B4019" s="6" t="s">
        <v>127</v>
      </c>
      <c r="C4019" s="6" t="s">
        <v>48</v>
      </c>
      <c r="D4019" s="6" t="s">
        <v>8607</v>
      </c>
      <c r="E4019" s="6" t="s">
        <v>102</v>
      </c>
      <c r="F4019" s="6" t="s">
        <v>103</v>
      </c>
      <c r="G4019" s="7">
        <v>0.06</v>
      </c>
      <c r="H4019" s="6" t="s">
        <v>1494</v>
      </c>
      <c r="I4019" s="6" t="s">
        <v>20</v>
      </c>
      <c r="J4019" s="6">
        <v>2012.0</v>
      </c>
      <c r="K4019" s="10">
        <v>46023.0</v>
      </c>
      <c r="L4019" s="6">
        <v>1.0</v>
      </c>
      <c r="M4019" s="8">
        <f t="shared" si="4"/>
        <v>0.06</v>
      </c>
      <c r="P4019" s="9"/>
    </row>
    <row r="4020">
      <c r="A4020" s="6" t="s">
        <v>8608</v>
      </c>
      <c r="B4020" s="6" t="s">
        <v>8609</v>
      </c>
      <c r="C4020" s="6" t="s">
        <v>23</v>
      </c>
      <c r="D4020" s="6" t="s">
        <v>8610</v>
      </c>
      <c r="E4020" s="6" t="s">
        <v>3669</v>
      </c>
      <c r="F4020" s="6" t="s">
        <v>65</v>
      </c>
      <c r="G4020" s="7">
        <v>0.1</v>
      </c>
      <c r="H4020" s="6" t="s">
        <v>509</v>
      </c>
      <c r="I4020" s="6" t="s">
        <v>20</v>
      </c>
      <c r="J4020" s="6">
        <v>2024.0</v>
      </c>
      <c r="K4020" s="10">
        <v>46116.0</v>
      </c>
      <c r="L4020" s="6">
        <v>1.0</v>
      </c>
      <c r="M4020" s="8">
        <f t="shared" si="4"/>
        <v>0.1</v>
      </c>
      <c r="P4020" s="9"/>
    </row>
    <row r="4021">
      <c r="A4021" s="6" t="s">
        <v>8611</v>
      </c>
      <c r="B4021" s="6" t="s">
        <v>8612</v>
      </c>
      <c r="C4021" s="6" t="s">
        <v>23</v>
      </c>
      <c r="D4021" s="6" t="s">
        <v>8613</v>
      </c>
      <c r="E4021" s="6" t="s">
        <v>223</v>
      </c>
      <c r="F4021" s="6" t="s">
        <v>159</v>
      </c>
      <c r="G4021" s="7">
        <v>0.03</v>
      </c>
      <c r="H4021" s="6" t="s">
        <v>526</v>
      </c>
      <c r="I4021" s="6" t="s">
        <v>20</v>
      </c>
      <c r="J4021" s="6">
        <v>2020.0</v>
      </c>
      <c r="K4021" s="10">
        <v>46055.0</v>
      </c>
      <c r="L4021" s="6">
        <v>3.0</v>
      </c>
      <c r="M4021" s="8">
        <f t="shared" si="4"/>
        <v>0.09</v>
      </c>
      <c r="P4021" s="9"/>
    </row>
    <row r="4022">
      <c r="A4022" s="6" t="s">
        <v>8614</v>
      </c>
      <c r="B4022" s="6" t="s">
        <v>307</v>
      </c>
      <c r="C4022" s="6" t="s">
        <v>48</v>
      </c>
      <c r="D4022" s="6" t="s">
        <v>8615</v>
      </c>
      <c r="E4022" s="6" t="s">
        <v>625</v>
      </c>
      <c r="F4022" s="6" t="s">
        <v>37</v>
      </c>
      <c r="G4022" s="7">
        <v>0.1</v>
      </c>
      <c r="H4022" s="6" t="s">
        <v>245</v>
      </c>
      <c r="I4022" s="6" t="s">
        <v>20</v>
      </c>
      <c r="J4022" s="6">
        <v>1995.0</v>
      </c>
      <c r="L4022" s="6">
        <v>1.0</v>
      </c>
      <c r="M4022" s="8">
        <f t="shared" si="4"/>
        <v>0.1</v>
      </c>
      <c r="P4022" s="9"/>
    </row>
    <row r="4023">
      <c r="A4023" s="6" t="s">
        <v>8614</v>
      </c>
      <c r="B4023" s="6" t="s">
        <v>307</v>
      </c>
      <c r="C4023" s="6" t="s">
        <v>48</v>
      </c>
      <c r="D4023" s="6" t="s">
        <v>8616</v>
      </c>
      <c r="E4023" s="6" t="s">
        <v>625</v>
      </c>
      <c r="F4023" s="6" t="s">
        <v>37</v>
      </c>
      <c r="G4023" s="7">
        <v>0.25</v>
      </c>
      <c r="H4023" s="6" t="s">
        <v>7870</v>
      </c>
      <c r="I4023" s="6" t="s">
        <v>20</v>
      </c>
      <c r="J4023" s="6">
        <v>1999.0</v>
      </c>
      <c r="L4023" s="6">
        <v>1.0</v>
      </c>
      <c r="M4023" s="8">
        <f t="shared" si="4"/>
        <v>0.25</v>
      </c>
      <c r="P4023" s="9"/>
    </row>
    <row r="4024">
      <c r="A4024" s="6" t="s">
        <v>8617</v>
      </c>
      <c r="B4024" s="6" t="s">
        <v>8618</v>
      </c>
      <c r="C4024" s="6" t="s">
        <v>48</v>
      </c>
      <c r="D4024" s="6" t="s">
        <v>8619</v>
      </c>
      <c r="E4024" s="6" t="s">
        <v>235</v>
      </c>
      <c r="F4024" s="6" t="s">
        <v>103</v>
      </c>
      <c r="G4024" s="7">
        <v>0.09</v>
      </c>
      <c r="H4024" s="6" t="s">
        <v>845</v>
      </c>
      <c r="I4024" s="6" t="s">
        <v>20</v>
      </c>
      <c r="J4024" s="6">
        <v>2022.0</v>
      </c>
      <c r="K4024" s="10">
        <v>46113.0</v>
      </c>
      <c r="L4024" s="6">
        <v>1.0</v>
      </c>
      <c r="M4024" s="8">
        <f t="shared" si="4"/>
        <v>0.09</v>
      </c>
      <c r="P4024" s="9"/>
    </row>
    <row r="4025">
      <c r="A4025" s="6" t="s">
        <v>8620</v>
      </c>
      <c r="B4025" s="6" t="s">
        <v>2631</v>
      </c>
      <c r="C4025" s="6" t="s">
        <v>23</v>
      </c>
      <c r="D4025" s="6" t="s">
        <v>8621</v>
      </c>
      <c r="E4025" s="6" t="s">
        <v>270</v>
      </c>
      <c r="F4025" s="6" t="s">
        <v>159</v>
      </c>
      <c r="G4025" s="7">
        <v>0.04</v>
      </c>
      <c r="H4025" s="6" t="s">
        <v>978</v>
      </c>
      <c r="I4025" s="6" t="s">
        <v>20</v>
      </c>
      <c r="J4025" s="6">
        <v>2022.0</v>
      </c>
      <c r="K4025" s="10">
        <v>46083.0</v>
      </c>
      <c r="L4025" s="6">
        <v>3.0</v>
      </c>
      <c r="M4025" s="8">
        <f t="shared" si="4"/>
        <v>0.12</v>
      </c>
      <c r="P4025" s="9"/>
    </row>
    <row r="4026">
      <c r="A4026" s="6" t="s">
        <v>8622</v>
      </c>
      <c r="B4026" s="6" t="s">
        <v>250</v>
      </c>
      <c r="C4026" s="6" t="s">
        <v>521</v>
      </c>
      <c r="D4026" s="6" t="s">
        <v>8623</v>
      </c>
      <c r="E4026" s="6" t="s">
        <v>36</v>
      </c>
      <c r="F4026" s="6" t="s">
        <v>452</v>
      </c>
      <c r="G4026" s="7">
        <v>2.5</v>
      </c>
      <c r="H4026" s="6" t="s">
        <v>370</v>
      </c>
      <c r="I4026" s="6" t="s">
        <v>20</v>
      </c>
      <c r="J4026" s="6">
        <v>1996.0</v>
      </c>
      <c r="L4026" s="6">
        <v>1.0</v>
      </c>
      <c r="M4026" s="8">
        <f t="shared" si="4"/>
        <v>2.5</v>
      </c>
      <c r="P4026" s="9"/>
    </row>
    <row r="4027">
      <c r="A4027" s="6" t="s">
        <v>8624</v>
      </c>
      <c r="B4027" s="6" t="s">
        <v>372</v>
      </c>
      <c r="C4027" s="6" t="s">
        <v>48</v>
      </c>
      <c r="D4027" s="6" t="s">
        <v>8625</v>
      </c>
      <c r="E4027" s="6" t="s">
        <v>175</v>
      </c>
      <c r="F4027" s="6" t="s">
        <v>51</v>
      </c>
      <c r="G4027" s="7">
        <v>0.03</v>
      </c>
      <c r="H4027" s="6" t="s">
        <v>185</v>
      </c>
      <c r="I4027" s="6" t="s">
        <v>20</v>
      </c>
      <c r="J4027" s="6">
        <v>2019.0</v>
      </c>
      <c r="L4027" s="6">
        <v>1.0</v>
      </c>
      <c r="M4027" s="8">
        <f t="shared" si="4"/>
        <v>0.03</v>
      </c>
      <c r="N4027" s="6" t="s">
        <v>518</v>
      </c>
      <c r="P4027" s="9"/>
    </row>
    <row r="4028">
      <c r="A4028" s="6" t="s">
        <v>8626</v>
      </c>
      <c r="B4028" s="6" t="s">
        <v>628</v>
      </c>
      <c r="C4028" s="6" t="s">
        <v>23</v>
      </c>
      <c r="D4028" s="6" t="s">
        <v>8627</v>
      </c>
      <c r="E4028" s="6" t="s">
        <v>149</v>
      </c>
      <c r="F4028" s="6" t="s">
        <v>18</v>
      </c>
      <c r="G4028" s="7">
        <v>0.03</v>
      </c>
      <c r="H4028" s="6" t="s">
        <v>406</v>
      </c>
      <c r="I4028" s="6" t="s">
        <v>20</v>
      </c>
      <c r="J4028" s="6">
        <v>2019.0</v>
      </c>
      <c r="K4028" s="10">
        <v>46054.0</v>
      </c>
      <c r="L4028" s="6">
        <v>1.0</v>
      </c>
      <c r="M4028" s="8">
        <f t="shared" si="4"/>
        <v>0.03</v>
      </c>
      <c r="P4028" s="9"/>
    </row>
    <row r="4029">
      <c r="A4029" s="6" t="s">
        <v>8628</v>
      </c>
      <c r="B4029" s="6" t="s">
        <v>3148</v>
      </c>
      <c r="C4029" s="6" t="s">
        <v>23</v>
      </c>
      <c r="D4029" s="6" t="s">
        <v>974</v>
      </c>
      <c r="E4029" s="6" t="s">
        <v>118</v>
      </c>
      <c r="F4029" s="6" t="s">
        <v>51</v>
      </c>
      <c r="G4029" s="7">
        <v>0.06</v>
      </c>
      <c r="H4029" s="6" t="s">
        <v>555</v>
      </c>
      <c r="I4029" s="6" t="s">
        <v>20</v>
      </c>
      <c r="J4029" s="6">
        <v>2017.0</v>
      </c>
      <c r="K4029" s="10">
        <v>46082.0</v>
      </c>
      <c r="L4029" s="6">
        <v>1.0</v>
      </c>
      <c r="M4029" s="8">
        <f t="shared" si="4"/>
        <v>0.06</v>
      </c>
      <c r="P4029" s="9"/>
    </row>
    <row r="4030">
      <c r="A4030" s="6" t="s">
        <v>8629</v>
      </c>
      <c r="B4030" s="6" t="s">
        <v>2193</v>
      </c>
      <c r="C4030" s="6" t="s">
        <v>23</v>
      </c>
      <c r="D4030" s="6" t="s">
        <v>8630</v>
      </c>
      <c r="E4030" s="6" t="s">
        <v>890</v>
      </c>
      <c r="F4030" s="6" t="s">
        <v>37</v>
      </c>
      <c r="G4030" s="7">
        <v>0.05</v>
      </c>
      <c r="H4030" s="6" t="s">
        <v>324</v>
      </c>
      <c r="I4030" s="6" t="s">
        <v>20</v>
      </c>
      <c r="J4030" s="6">
        <v>2025.0</v>
      </c>
      <c r="K4030" s="10">
        <v>46116.0</v>
      </c>
      <c r="L4030" s="6">
        <v>1.0</v>
      </c>
      <c r="M4030" s="8">
        <f t="shared" si="4"/>
        <v>0.05</v>
      </c>
      <c r="P4030" s="9"/>
    </row>
    <row r="4031">
      <c r="A4031" s="6" t="s">
        <v>8631</v>
      </c>
      <c r="B4031" s="6" t="s">
        <v>1808</v>
      </c>
      <c r="C4031" s="6" t="s">
        <v>48</v>
      </c>
      <c r="D4031" s="6" t="s">
        <v>8632</v>
      </c>
      <c r="E4031" s="6" t="s">
        <v>64</v>
      </c>
      <c r="F4031" s="6" t="s">
        <v>65</v>
      </c>
      <c r="G4031" s="7">
        <v>0.08</v>
      </c>
      <c r="H4031" s="6" t="s">
        <v>224</v>
      </c>
      <c r="I4031" s="6" t="s">
        <v>20</v>
      </c>
      <c r="J4031" s="6">
        <v>2020.0</v>
      </c>
      <c r="K4031" s="10">
        <v>46025.0</v>
      </c>
      <c r="L4031" s="6">
        <v>1.0</v>
      </c>
      <c r="M4031" s="8">
        <f t="shared" si="4"/>
        <v>0.08</v>
      </c>
      <c r="P4031" s="9"/>
    </row>
    <row r="4032">
      <c r="A4032" s="6" t="s">
        <v>8633</v>
      </c>
      <c r="B4032" s="6" t="s">
        <v>424</v>
      </c>
      <c r="C4032" s="6" t="s">
        <v>23</v>
      </c>
      <c r="D4032" s="6" t="s">
        <v>8634</v>
      </c>
      <c r="F4032" s="6" t="s">
        <v>18</v>
      </c>
      <c r="G4032" s="7">
        <v>0.12</v>
      </c>
      <c r="H4032" s="6" t="s">
        <v>621</v>
      </c>
      <c r="I4032" s="6" t="s">
        <v>20</v>
      </c>
      <c r="J4032" s="6">
        <v>2015.0</v>
      </c>
      <c r="L4032" s="6">
        <v>1.0</v>
      </c>
      <c r="M4032" s="8">
        <f t="shared" si="4"/>
        <v>0.12</v>
      </c>
      <c r="P4032" s="9"/>
    </row>
    <row r="4033">
      <c r="A4033" s="6" t="s">
        <v>8635</v>
      </c>
      <c r="B4033" s="6" t="s">
        <v>1141</v>
      </c>
      <c r="C4033" s="6" t="s">
        <v>23</v>
      </c>
      <c r="D4033" s="6" t="s">
        <v>4239</v>
      </c>
      <c r="E4033" s="6" t="s">
        <v>1005</v>
      </c>
      <c r="F4033" s="6" t="s">
        <v>65</v>
      </c>
      <c r="G4033" s="7">
        <v>0.05</v>
      </c>
      <c r="H4033" s="6" t="s">
        <v>552</v>
      </c>
      <c r="I4033" s="6" t="s">
        <v>20</v>
      </c>
      <c r="J4033" s="6">
        <v>2020.0</v>
      </c>
      <c r="K4033" s="10">
        <v>46085.0</v>
      </c>
      <c r="L4033" s="6">
        <v>1.0</v>
      </c>
      <c r="M4033" s="8">
        <f t="shared" si="4"/>
        <v>0.05</v>
      </c>
      <c r="P4033" s="9"/>
    </row>
    <row r="4034">
      <c r="A4034" s="6" t="s">
        <v>8636</v>
      </c>
      <c r="B4034" s="6" t="s">
        <v>8637</v>
      </c>
      <c r="C4034" s="6" t="s">
        <v>521</v>
      </c>
      <c r="D4034" s="6" t="s">
        <v>8638</v>
      </c>
      <c r="E4034" s="6" t="s">
        <v>890</v>
      </c>
      <c r="F4034" s="6" t="s">
        <v>452</v>
      </c>
      <c r="G4034" s="7">
        <v>0.03</v>
      </c>
      <c r="H4034" s="6" t="s">
        <v>636</v>
      </c>
      <c r="I4034" s="6" t="s">
        <v>20</v>
      </c>
      <c r="J4034" s="6">
        <v>2015.0</v>
      </c>
      <c r="K4034" s="6" t="s">
        <v>697</v>
      </c>
      <c r="L4034" s="6">
        <v>2.0</v>
      </c>
      <c r="M4034" s="8">
        <f t="shared" si="4"/>
        <v>0.06</v>
      </c>
      <c r="P4034" s="9"/>
    </row>
    <row r="4035">
      <c r="A4035" s="6" t="s">
        <v>8639</v>
      </c>
      <c r="B4035" s="6" t="s">
        <v>250</v>
      </c>
      <c r="C4035" s="6" t="s">
        <v>571</v>
      </c>
      <c r="D4035" s="6" t="s">
        <v>8640</v>
      </c>
      <c r="E4035" s="6" t="s">
        <v>36</v>
      </c>
      <c r="F4035" s="6" t="s">
        <v>452</v>
      </c>
      <c r="G4035" s="7">
        <v>7.75</v>
      </c>
      <c r="H4035" s="6" t="s">
        <v>6889</v>
      </c>
      <c r="I4035" s="6" t="s">
        <v>20</v>
      </c>
      <c r="J4035" s="6">
        <v>1998.0</v>
      </c>
      <c r="L4035" s="6">
        <v>1.0</v>
      </c>
      <c r="M4035" s="8">
        <f t="shared" si="4"/>
        <v>7.75</v>
      </c>
      <c r="P4035" s="9"/>
    </row>
    <row r="4036">
      <c r="A4036" s="6" t="s">
        <v>8641</v>
      </c>
      <c r="B4036" s="6" t="s">
        <v>1597</v>
      </c>
      <c r="C4036" s="6" t="s">
        <v>48</v>
      </c>
      <c r="D4036" s="6" t="s">
        <v>8642</v>
      </c>
      <c r="E4036" s="6" t="s">
        <v>149</v>
      </c>
      <c r="F4036" s="6" t="s">
        <v>18</v>
      </c>
      <c r="G4036" s="7">
        <v>0.03</v>
      </c>
      <c r="H4036" s="6" t="s">
        <v>299</v>
      </c>
      <c r="I4036" s="6" t="s">
        <v>20</v>
      </c>
      <c r="J4036" s="6">
        <v>2017.0</v>
      </c>
      <c r="K4036" s="10">
        <v>46024.0</v>
      </c>
      <c r="L4036" s="6">
        <v>1.0</v>
      </c>
      <c r="M4036" s="8">
        <f t="shared" si="4"/>
        <v>0.03</v>
      </c>
      <c r="P4036" s="9"/>
    </row>
    <row r="4037">
      <c r="A4037" s="6" t="s">
        <v>8643</v>
      </c>
      <c r="B4037" s="6" t="s">
        <v>156</v>
      </c>
      <c r="C4037" s="6" t="s">
        <v>48</v>
      </c>
      <c r="D4037" s="6" t="s">
        <v>8644</v>
      </c>
      <c r="E4037" s="6" t="s">
        <v>1570</v>
      </c>
      <c r="F4037" s="6" t="s">
        <v>159</v>
      </c>
      <c r="G4037" s="7">
        <v>0.06</v>
      </c>
      <c r="H4037" s="6" t="s">
        <v>184</v>
      </c>
      <c r="I4037" s="6" t="s">
        <v>20</v>
      </c>
      <c r="J4037" s="6">
        <v>2015.0</v>
      </c>
      <c r="K4037" s="10">
        <v>46179.0</v>
      </c>
      <c r="L4037" s="6">
        <v>1.0</v>
      </c>
      <c r="M4037" s="8">
        <f t="shared" si="4"/>
        <v>0.06</v>
      </c>
      <c r="P4037" s="9"/>
    </row>
    <row r="4038">
      <c r="A4038" s="6" t="s">
        <v>8645</v>
      </c>
      <c r="B4038" s="6" t="s">
        <v>131</v>
      </c>
      <c r="C4038" s="6" t="s">
        <v>23</v>
      </c>
      <c r="D4038" s="6" t="s">
        <v>8646</v>
      </c>
      <c r="E4038" s="6" t="s">
        <v>1771</v>
      </c>
      <c r="F4038" s="6" t="s">
        <v>51</v>
      </c>
      <c r="G4038" s="7">
        <v>0.06</v>
      </c>
      <c r="H4038" s="6" t="s">
        <v>430</v>
      </c>
      <c r="I4038" s="6" t="s">
        <v>20</v>
      </c>
      <c r="J4038" s="6">
        <v>2018.0</v>
      </c>
      <c r="K4038" s="10">
        <v>46055.0</v>
      </c>
      <c r="L4038" s="6">
        <v>1.0</v>
      </c>
      <c r="M4038" s="8">
        <f t="shared" si="4"/>
        <v>0.06</v>
      </c>
      <c r="P4038" s="9"/>
    </row>
    <row r="4039">
      <c r="A4039" s="6" t="s">
        <v>8647</v>
      </c>
      <c r="B4039" s="6" t="s">
        <v>5981</v>
      </c>
      <c r="C4039" s="6" t="s">
        <v>48</v>
      </c>
      <c r="D4039" s="6" t="s">
        <v>8648</v>
      </c>
      <c r="E4039" s="6" t="s">
        <v>238</v>
      </c>
      <c r="F4039" s="6" t="s">
        <v>159</v>
      </c>
      <c r="G4039" s="7">
        <v>0.05</v>
      </c>
      <c r="H4039" s="6" t="s">
        <v>1810</v>
      </c>
      <c r="I4039" s="6" t="s">
        <v>20</v>
      </c>
      <c r="J4039" s="6">
        <v>2020.0</v>
      </c>
      <c r="K4039" s="10">
        <v>46054.0</v>
      </c>
      <c r="L4039" s="6">
        <v>1.0</v>
      </c>
      <c r="M4039" s="8">
        <f t="shared" si="4"/>
        <v>0.05</v>
      </c>
      <c r="P4039" s="9"/>
    </row>
    <row r="4040">
      <c r="A4040" s="6" t="s">
        <v>8649</v>
      </c>
      <c r="B4040" s="6" t="s">
        <v>796</v>
      </c>
      <c r="C4040" s="6" t="s">
        <v>34</v>
      </c>
      <c r="D4040" s="6" t="s">
        <v>8650</v>
      </c>
      <c r="E4040" s="6" t="s">
        <v>208</v>
      </c>
      <c r="F4040" s="6" t="s">
        <v>51</v>
      </c>
      <c r="G4040" s="7">
        <v>0.05</v>
      </c>
      <c r="H4040" s="6" t="s">
        <v>209</v>
      </c>
      <c r="I4040" s="6" t="s">
        <v>20</v>
      </c>
      <c r="J4040" s="6">
        <v>2025.0</v>
      </c>
      <c r="L4040" s="6">
        <v>10.0</v>
      </c>
      <c r="M4040" s="8">
        <f t="shared" si="4"/>
        <v>0.5</v>
      </c>
      <c r="P4040" s="9"/>
    </row>
    <row r="4041">
      <c r="A4041" s="6" t="s">
        <v>8649</v>
      </c>
      <c r="B4041" s="6" t="s">
        <v>796</v>
      </c>
      <c r="C4041" s="6" t="s">
        <v>34</v>
      </c>
      <c r="D4041" s="6" t="s">
        <v>8650</v>
      </c>
      <c r="E4041" s="6" t="s">
        <v>208</v>
      </c>
      <c r="F4041" s="6" t="s">
        <v>51</v>
      </c>
      <c r="G4041" s="7">
        <v>0.2</v>
      </c>
      <c r="H4041" s="6" t="s">
        <v>209</v>
      </c>
      <c r="I4041" s="6" t="s">
        <v>55</v>
      </c>
      <c r="J4041" s="6">
        <v>2025.0</v>
      </c>
      <c r="L4041" s="6">
        <v>1.0</v>
      </c>
      <c r="M4041" s="8">
        <f t="shared" si="4"/>
        <v>0.2</v>
      </c>
      <c r="P4041" s="9"/>
    </row>
    <row r="4042">
      <c r="A4042" s="6" t="s">
        <v>8651</v>
      </c>
      <c r="B4042" s="6" t="s">
        <v>62</v>
      </c>
      <c r="C4042" s="6" t="s">
        <v>23</v>
      </c>
      <c r="D4042" s="6" t="s">
        <v>8652</v>
      </c>
      <c r="E4042" s="6" t="s">
        <v>175</v>
      </c>
      <c r="F4042" s="6" t="s">
        <v>51</v>
      </c>
      <c r="G4042" s="7">
        <v>0.04</v>
      </c>
      <c r="H4042" s="6" t="s">
        <v>555</v>
      </c>
      <c r="I4042" s="6" t="s">
        <v>20</v>
      </c>
      <c r="J4042" s="6">
        <v>2017.0</v>
      </c>
      <c r="L4042" s="6">
        <v>1.0</v>
      </c>
      <c r="M4042" s="8">
        <f t="shared" si="4"/>
        <v>0.04</v>
      </c>
      <c r="P4042" s="9"/>
    </row>
    <row r="4043">
      <c r="A4043" s="6" t="s">
        <v>8653</v>
      </c>
      <c r="B4043" s="6" t="s">
        <v>1509</v>
      </c>
      <c r="C4043" s="6" t="s">
        <v>23</v>
      </c>
      <c r="D4043" s="6" t="s">
        <v>8654</v>
      </c>
      <c r="E4043" s="6" t="s">
        <v>235</v>
      </c>
      <c r="F4043" s="6" t="s">
        <v>103</v>
      </c>
      <c r="G4043" s="7">
        <v>0.05</v>
      </c>
      <c r="H4043" s="6" t="s">
        <v>4610</v>
      </c>
      <c r="I4043" s="6" t="s">
        <v>20</v>
      </c>
      <c r="J4043" s="6">
        <v>2014.0</v>
      </c>
      <c r="K4043" s="10">
        <v>46055.0</v>
      </c>
      <c r="L4043" s="6">
        <v>2.0</v>
      </c>
      <c r="M4043" s="8">
        <f t="shared" si="4"/>
        <v>0.1</v>
      </c>
      <c r="P4043" s="9"/>
    </row>
    <row r="4044">
      <c r="A4044" s="6" t="s">
        <v>8653</v>
      </c>
      <c r="B4044" s="6" t="s">
        <v>1509</v>
      </c>
      <c r="C4044" s="6" t="s">
        <v>23</v>
      </c>
      <c r="D4044" s="6" t="s">
        <v>8654</v>
      </c>
      <c r="E4044" s="6" t="s">
        <v>235</v>
      </c>
      <c r="F4044" s="6" t="s">
        <v>103</v>
      </c>
      <c r="G4044" s="7">
        <v>0.05</v>
      </c>
      <c r="H4044" s="6" t="s">
        <v>88</v>
      </c>
      <c r="I4044" s="6" t="s">
        <v>20</v>
      </c>
      <c r="J4044" s="6">
        <v>2013.0</v>
      </c>
      <c r="K4044" s="10">
        <v>46055.0</v>
      </c>
      <c r="L4044" s="6">
        <v>1.0</v>
      </c>
      <c r="M4044" s="8">
        <f t="shared" si="4"/>
        <v>0.05</v>
      </c>
      <c r="P4044" s="9"/>
    </row>
    <row r="4045">
      <c r="A4045" s="6" t="s">
        <v>8655</v>
      </c>
      <c r="B4045" s="6" t="s">
        <v>1234</v>
      </c>
      <c r="C4045" s="6" t="s">
        <v>23</v>
      </c>
      <c r="D4045" s="6" t="s">
        <v>8656</v>
      </c>
      <c r="E4045" s="6" t="s">
        <v>102</v>
      </c>
      <c r="F4045" s="6" t="s">
        <v>103</v>
      </c>
      <c r="G4045" s="7">
        <v>0.04</v>
      </c>
      <c r="H4045" s="6" t="s">
        <v>336</v>
      </c>
      <c r="I4045" s="6" t="s">
        <v>20</v>
      </c>
      <c r="J4045" s="6">
        <v>2016.0</v>
      </c>
      <c r="K4045" s="10">
        <v>46055.0</v>
      </c>
      <c r="L4045" s="6">
        <v>1.0</v>
      </c>
      <c r="M4045" s="8">
        <f t="shared" si="4"/>
        <v>0.04</v>
      </c>
      <c r="P4045" s="9"/>
    </row>
    <row r="4046">
      <c r="A4046" s="6" t="s">
        <v>8657</v>
      </c>
      <c r="B4046" s="6" t="s">
        <v>8658</v>
      </c>
      <c r="C4046" s="6" t="s">
        <v>23</v>
      </c>
      <c r="D4046" s="6" t="s">
        <v>8659</v>
      </c>
      <c r="E4046" s="6" t="s">
        <v>1570</v>
      </c>
      <c r="F4046" s="6" t="s">
        <v>159</v>
      </c>
      <c r="G4046" s="7">
        <v>0.05</v>
      </c>
      <c r="H4046" s="6" t="s">
        <v>645</v>
      </c>
      <c r="I4046" s="6" t="s">
        <v>20</v>
      </c>
      <c r="J4046" s="6">
        <v>2024.0</v>
      </c>
      <c r="K4046" s="10">
        <v>46180.0</v>
      </c>
      <c r="L4046" s="6">
        <v>2.0</v>
      </c>
      <c r="M4046" s="8">
        <f t="shared" si="4"/>
        <v>0.1</v>
      </c>
      <c r="P4046" s="9"/>
    </row>
    <row r="4047">
      <c r="A4047" s="6" t="s">
        <v>8660</v>
      </c>
      <c r="B4047" s="6" t="s">
        <v>143</v>
      </c>
      <c r="C4047" s="6" t="s">
        <v>48</v>
      </c>
      <c r="D4047" s="6" t="s">
        <v>8661</v>
      </c>
      <c r="E4047" s="6" t="s">
        <v>243</v>
      </c>
      <c r="F4047" s="6" t="s">
        <v>37</v>
      </c>
      <c r="G4047" s="7">
        <v>0.05</v>
      </c>
      <c r="H4047" s="6" t="s">
        <v>66</v>
      </c>
      <c r="I4047" s="6" t="s">
        <v>20</v>
      </c>
      <c r="J4047" s="6">
        <v>2016.0</v>
      </c>
      <c r="L4047" s="6">
        <v>2.0</v>
      </c>
      <c r="M4047" s="8">
        <f t="shared" si="4"/>
        <v>0.1</v>
      </c>
      <c r="P4047" s="9"/>
    </row>
    <row r="4048">
      <c r="A4048" s="6" t="s">
        <v>8662</v>
      </c>
      <c r="B4048" s="6" t="s">
        <v>182</v>
      </c>
      <c r="C4048" s="6" t="s">
        <v>48</v>
      </c>
      <c r="D4048" s="6" t="s">
        <v>8663</v>
      </c>
      <c r="E4048" s="6" t="s">
        <v>700</v>
      </c>
      <c r="F4048" s="6" t="s">
        <v>18</v>
      </c>
      <c r="G4048" s="7">
        <v>0.15</v>
      </c>
      <c r="H4048" s="6" t="s">
        <v>1514</v>
      </c>
      <c r="I4048" s="6" t="s">
        <v>20</v>
      </c>
      <c r="J4048" s="6">
        <v>2009.0</v>
      </c>
      <c r="L4048" s="6">
        <v>1.0</v>
      </c>
      <c r="M4048" s="8">
        <f t="shared" si="4"/>
        <v>0.15</v>
      </c>
      <c r="P4048" s="9"/>
    </row>
    <row r="4049">
      <c r="A4049" s="6" t="s">
        <v>8664</v>
      </c>
      <c r="B4049" s="6" t="s">
        <v>2026</v>
      </c>
      <c r="C4049" s="6" t="s">
        <v>15</v>
      </c>
      <c r="D4049" s="6" t="s">
        <v>8665</v>
      </c>
      <c r="E4049" s="6" t="s">
        <v>248</v>
      </c>
      <c r="F4049" s="6" t="s">
        <v>18</v>
      </c>
      <c r="G4049" s="7">
        <v>0.05</v>
      </c>
      <c r="H4049" s="6" t="s">
        <v>209</v>
      </c>
      <c r="I4049" s="6" t="s">
        <v>20</v>
      </c>
      <c r="J4049" s="6">
        <v>2025.0</v>
      </c>
      <c r="L4049" s="6">
        <v>1.0</v>
      </c>
      <c r="M4049" s="8">
        <f t="shared" si="4"/>
        <v>0.05</v>
      </c>
      <c r="P4049" s="9"/>
    </row>
    <row r="4050">
      <c r="A4050" s="6" t="s">
        <v>8666</v>
      </c>
      <c r="B4050" s="6" t="s">
        <v>182</v>
      </c>
      <c r="C4050" s="6" t="s">
        <v>48</v>
      </c>
      <c r="D4050" s="6" t="s">
        <v>8667</v>
      </c>
      <c r="E4050" s="6" t="s">
        <v>3669</v>
      </c>
      <c r="F4050" s="6" t="s">
        <v>65</v>
      </c>
      <c r="G4050" s="7">
        <v>0.25</v>
      </c>
      <c r="H4050" s="6" t="s">
        <v>163</v>
      </c>
      <c r="I4050" s="6" t="s">
        <v>20</v>
      </c>
      <c r="J4050" s="6">
        <v>2023.0</v>
      </c>
      <c r="L4050" s="6">
        <v>2.0</v>
      </c>
      <c r="M4050" s="8">
        <f t="shared" si="4"/>
        <v>0.5</v>
      </c>
      <c r="P4050" s="9"/>
    </row>
    <row r="4051">
      <c r="A4051" s="6" t="s">
        <v>8668</v>
      </c>
      <c r="B4051" s="6" t="s">
        <v>1113</v>
      </c>
      <c r="C4051" s="6" t="s">
        <v>48</v>
      </c>
      <c r="D4051" s="6" t="s">
        <v>8669</v>
      </c>
      <c r="E4051" s="6" t="s">
        <v>153</v>
      </c>
      <c r="F4051" s="6" t="s">
        <v>103</v>
      </c>
      <c r="G4051" s="7">
        <v>0.39</v>
      </c>
      <c r="H4051" s="6" t="s">
        <v>2669</v>
      </c>
      <c r="I4051" s="6" t="s">
        <v>20</v>
      </c>
      <c r="J4051" s="6">
        <v>2019.0</v>
      </c>
      <c r="K4051" s="10">
        <v>46023.0</v>
      </c>
      <c r="L4051" s="6">
        <v>1.0</v>
      </c>
      <c r="M4051" s="8">
        <f t="shared" si="4"/>
        <v>0.39</v>
      </c>
      <c r="P4051" s="9"/>
    </row>
    <row r="4052">
      <c r="A4052" s="6" t="s">
        <v>8670</v>
      </c>
      <c r="B4052" s="6" t="s">
        <v>8671</v>
      </c>
      <c r="C4052" s="6" t="s">
        <v>48</v>
      </c>
      <c r="D4052" s="6" t="s">
        <v>8672</v>
      </c>
      <c r="E4052" s="6" t="s">
        <v>298</v>
      </c>
      <c r="F4052" s="6" t="s">
        <v>159</v>
      </c>
      <c r="G4052" s="7">
        <v>0.08</v>
      </c>
      <c r="H4052" s="6" t="s">
        <v>340</v>
      </c>
      <c r="I4052" s="6" t="s">
        <v>20</v>
      </c>
      <c r="J4052" s="6">
        <v>2010.0</v>
      </c>
      <c r="L4052" s="6">
        <v>1.0</v>
      </c>
      <c r="M4052" s="8">
        <f t="shared" si="4"/>
        <v>0.08</v>
      </c>
      <c r="P4052" s="9"/>
    </row>
    <row r="4053">
      <c r="A4053" s="6" t="s">
        <v>8673</v>
      </c>
      <c r="B4053" s="6" t="s">
        <v>182</v>
      </c>
      <c r="C4053" s="6" t="s">
        <v>23</v>
      </c>
      <c r="D4053" s="6" t="s">
        <v>8674</v>
      </c>
      <c r="E4053" s="6" t="s">
        <v>248</v>
      </c>
      <c r="F4053" s="6" t="s">
        <v>18</v>
      </c>
      <c r="G4053" s="7">
        <v>0.16</v>
      </c>
      <c r="H4053" s="6" t="s">
        <v>336</v>
      </c>
      <c r="I4053" s="6" t="s">
        <v>20</v>
      </c>
      <c r="J4053" s="6">
        <v>2016.0</v>
      </c>
      <c r="L4053" s="6">
        <v>2.0</v>
      </c>
      <c r="M4053" s="8">
        <f t="shared" si="4"/>
        <v>0.32</v>
      </c>
      <c r="P4053" s="9"/>
    </row>
    <row r="4054">
      <c r="A4054" s="6" t="s">
        <v>8675</v>
      </c>
      <c r="B4054" s="6" t="s">
        <v>8676</v>
      </c>
      <c r="C4054" s="6" t="s">
        <v>23</v>
      </c>
      <c r="D4054" s="6" t="s">
        <v>8677</v>
      </c>
      <c r="E4054" s="6" t="s">
        <v>248</v>
      </c>
      <c r="F4054" s="6" t="s">
        <v>18</v>
      </c>
      <c r="G4054" s="7">
        <v>0.13</v>
      </c>
      <c r="H4054" s="6" t="s">
        <v>562</v>
      </c>
      <c r="I4054" s="6" t="s">
        <v>20</v>
      </c>
      <c r="J4054" s="6">
        <v>2017.0</v>
      </c>
      <c r="K4054" s="10">
        <v>46054.0</v>
      </c>
      <c r="L4054" s="6">
        <v>1.0</v>
      </c>
      <c r="M4054" s="8">
        <f t="shared" si="4"/>
        <v>0.13</v>
      </c>
      <c r="P4054" s="9"/>
    </row>
    <row r="4055">
      <c r="A4055" s="6" t="s">
        <v>8675</v>
      </c>
      <c r="B4055" s="6" t="s">
        <v>8676</v>
      </c>
      <c r="C4055" s="6" t="s">
        <v>23</v>
      </c>
      <c r="D4055" s="6" t="s">
        <v>8677</v>
      </c>
      <c r="E4055" s="6" t="s">
        <v>248</v>
      </c>
      <c r="F4055" s="6" t="s">
        <v>18</v>
      </c>
      <c r="G4055" s="7">
        <v>0.13</v>
      </c>
      <c r="H4055" s="6" t="s">
        <v>562</v>
      </c>
      <c r="I4055" s="6" t="s">
        <v>20</v>
      </c>
      <c r="J4055" s="6">
        <v>2017.0</v>
      </c>
      <c r="K4055" s="10">
        <v>46054.0</v>
      </c>
      <c r="L4055" s="6">
        <v>3.0</v>
      </c>
      <c r="M4055" s="8">
        <f t="shared" si="4"/>
        <v>0.39</v>
      </c>
      <c r="P4055" s="9"/>
    </row>
    <row r="4056">
      <c r="A4056" s="6" t="s">
        <v>8678</v>
      </c>
      <c r="B4056" s="6" t="s">
        <v>8679</v>
      </c>
      <c r="C4056" s="6" t="s">
        <v>23</v>
      </c>
      <c r="D4056" s="6" t="s">
        <v>2509</v>
      </c>
      <c r="E4056" s="6" t="s">
        <v>8680</v>
      </c>
      <c r="F4056" s="6" t="s">
        <v>284</v>
      </c>
      <c r="G4056" s="7">
        <v>0.1</v>
      </c>
      <c r="H4056" s="6" t="s">
        <v>192</v>
      </c>
      <c r="I4056" s="6" t="s">
        <v>20</v>
      </c>
      <c r="J4056" s="6">
        <v>2026.0</v>
      </c>
      <c r="K4056" s="10">
        <v>46083.0</v>
      </c>
      <c r="L4056" s="6">
        <v>8.0</v>
      </c>
      <c r="M4056" s="8">
        <f t="shared" si="4"/>
        <v>0.8</v>
      </c>
      <c r="P4056" s="9"/>
    </row>
    <row r="4057">
      <c r="A4057" s="6" t="s">
        <v>8681</v>
      </c>
      <c r="B4057" s="6" t="s">
        <v>8682</v>
      </c>
      <c r="C4057" s="6" t="s">
        <v>23</v>
      </c>
      <c r="E4057" s="6" t="s">
        <v>243</v>
      </c>
      <c r="F4057" s="6" t="s">
        <v>37</v>
      </c>
      <c r="G4057" s="7">
        <v>0.05</v>
      </c>
      <c r="H4057" s="6" t="s">
        <v>154</v>
      </c>
      <c r="I4057" s="6" t="s">
        <v>20</v>
      </c>
      <c r="J4057" s="6">
        <v>2013.0</v>
      </c>
      <c r="K4057" s="10">
        <v>46055.0</v>
      </c>
      <c r="L4057" s="6">
        <v>1.0</v>
      </c>
      <c r="M4057" s="8">
        <f t="shared" si="4"/>
        <v>0.05</v>
      </c>
      <c r="P4057" s="9"/>
    </row>
    <row r="4058">
      <c r="A4058" s="6" t="s">
        <v>8683</v>
      </c>
      <c r="B4058" s="6" t="s">
        <v>62</v>
      </c>
      <c r="C4058" s="6" t="s">
        <v>41</v>
      </c>
      <c r="D4058" s="6" t="s">
        <v>8684</v>
      </c>
      <c r="E4058" s="6" t="s">
        <v>112</v>
      </c>
      <c r="F4058" s="6" t="s">
        <v>65</v>
      </c>
      <c r="G4058" s="7">
        <v>1.6</v>
      </c>
      <c r="H4058" s="6" t="s">
        <v>8685</v>
      </c>
      <c r="I4058" s="6" t="s">
        <v>55</v>
      </c>
      <c r="J4058" s="6">
        <v>2016.0</v>
      </c>
      <c r="L4058" s="6">
        <v>1.0</v>
      </c>
      <c r="M4058" s="8">
        <f t="shared" si="4"/>
        <v>1.6</v>
      </c>
      <c r="P4058" s="9"/>
    </row>
    <row r="4059">
      <c r="A4059" s="6" t="s">
        <v>8683</v>
      </c>
      <c r="B4059" s="6" t="s">
        <v>62</v>
      </c>
      <c r="C4059" s="6" t="s">
        <v>41</v>
      </c>
      <c r="D4059" s="6" t="s">
        <v>8684</v>
      </c>
      <c r="E4059" s="6" t="s">
        <v>112</v>
      </c>
      <c r="F4059" s="6" t="s">
        <v>65</v>
      </c>
      <c r="G4059" s="7">
        <v>0.39</v>
      </c>
      <c r="H4059" s="6" t="s">
        <v>8686</v>
      </c>
      <c r="I4059" s="6" t="s">
        <v>20</v>
      </c>
      <c r="J4059" s="6">
        <v>2008.0</v>
      </c>
      <c r="L4059" s="6">
        <v>1.0</v>
      </c>
      <c r="M4059" s="8">
        <f t="shared" si="4"/>
        <v>0.39</v>
      </c>
      <c r="P4059" s="9"/>
    </row>
    <row r="4060">
      <c r="A4060" s="6" t="s">
        <v>8687</v>
      </c>
      <c r="B4060" s="6" t="s">
        <v>62</v>
      </c>
      <c r="C4060" s="6" t="s">
        <v>23</v>
      </c>
      <c r="D4060" s="6" t="s">
        <v>8688</v>
      </c>
      <c r="E4060" s="6" t="s">
        <v>175</v>
      </c>
      <c r="F4060" s="6" t="s">
        <v>51</v>
      </c>
      <c r="G4060" s="7">
        <v>0.09</v>
      </c>
      <c r="H4060" s="6" t="s">
        <v>1418</v>
      </c>
      <c r="I4060" s="6" t="s">
        <v>20</v>
      </c>
      <c r="J4060" s="6">
        <v>2010.0</v>
      </c>
      <c r="L4060" s="6">
        <v>1.0</v>
      </c>
      <c r="M4060" s="8">
        <f t="shared" si="4"/>
        <v>0.09</v>
      </c>
      <c r="P4060" s="9"/>
    </row>
    <row r="4061">
      <c r="A4061" s="6" t="s">
        <v>8689</v>
      </c>
      <c r="B4061" s="6" t="s">
        <v>182</v>
      </c>
      <c r="C4061" s="6" t="s">
        <v>48</v>
      </c>
      <c r="D4061" s="6" t="s">
        <v>8690</v>
      </c>
      <c r="E4061" s="6" t="s">
        <v>153</v>
      </c>
      <c r="F4061" s="6" t="s">
        <v>103</v>
      </c>
      <c r="G4061" s="7">
        <v>0.05</v>
      </c>
      <c r="H4061" s="6" t="s">
        <v>2669</v>
      </c>
      <c r="I4061" s="6" t="s">
        <v>20</v>
      </c>
      <c r="J4061" s="6">
        <v>2019.0</v>
      </c>
      <c r="L4061" s="6">
        <v>2.0</v>
      </c>
      <c r="M4061" s="8">
        <f t="shared" si="4"/>
        <v>0.1</v>
      </c>
      <c r="P4061" s="9"/>
    </row>
    <row r="4062">
      <c r="A4062" s="6" t="s">
        <v>8691</v>
      </c>
      <c r="B4062" s="6" t="s">
        <v>326</v>
      </c>
      <c r="C4062" s="6" t="s">
        <v>48</v>
      </c>
      <c r="D4062" s="6" t="s">
        <v>8692</v>
      </c>
      <c r="E4062" s="6" t="s">
        <v>1321</v>
      </c>
      <c r="F4062" s="6" t="s">
        <v>103</v>
      </c>
      <c r="G4062" s="7">
        <v>0.06</v>
      </c>
      <c r="H4062" s="6" t="s">
        <v>88</v>
      </c>
      <c r="I4062" s="6" t="s">
        <v>20</v>
      </c>
      <c r="J4062" s="6">
        <v>2013.0</v>
      </c>
      <c r="K4062" s="10">
        <v>46084.0</v>
      </c>
      <c r="L4062" s="6">
        <v>1.0</v>
      </c>
      <c r="M4062" s="8">
        <f t="shared" si="4"/>
        <v>0.06</v>
      </c>
      <c r="P4062" s="9"/>
    </row>
    <row r="4063">
      <c r="A4063" s="6" t="s">
        <v>8693</v>
      </c>
      <c r="B4063" s="6" t="s">
        <v>372</v>
      </c>
      <c r="C4063" s="6" t="s">
        <v>23</v>
      </c>
      <c r="D4063" s="6" t="s">
        <v>8694</v>
      </c>
      <c r="E4063" s="6" t="s">
        <v>149</v>
      </c>
      <c r="F4063" s="6" t="s">
        <v>18</v>
      </c>
      <c r="G4063" s="7">
        <v>0.13</v>
      </c>
      <c r="H4063" s="6" t="s">
        <v>2669</v>
      </c>
      <c r="I4063" s="6" t="s">
        <v>20</v>
      </c>
      <c r="J4063" s="6">
        <v>2019.0</v>
      </c>
      <c r="L4063" s="6">
        <v>2.0</v>
      </c>
      <c r="M4063" s="8">
        <f t="shared" si="4"/>
        <v>0.26</v>
      </c>
      <c r="P4063" s="9"/>
    </row>
    <row r="4064">
      <c r="A4064" s="6" t="s">
        <v>8695</v>
      </c>
      <c r="B4064" s="6" t="s">
        <v>740</v>
      </c>
      <c r="C4064" s="6" t="s">
        <v>23</v>
      </c>
      <c r="D4064" s="6" t="s">
        <v>8696</v>
      </c>
      <c r="E4064" s="6" t="s">
        <v>223</v>
      </c>
      <c r="F4064" s="6" t="s">
        <v>159</v>
      </c>
      <c r="G4064" s="7">
        <v>0.05</v>
      </c>
      <c r="H4064" s="6" t="s">
        <v>129</v>
      </c>
      <c r="I4064" s="6" t="s">
        <v>20</v>
      </c>
      <c r="J4064" s="6">
        <v>2014.0</v>
      </c>
      <c r="K4064" s="10">
        <v>46055.0</v>
      </c>
      <c r="L4064" s="6">
        <v>1.0</v>
      </c>
      <c r="M4064" s="8">
        <f t="shared" si="4"/>
        <v>0.05</v>
      </c>
      <c r="P4064" s="9"/>
    </row>
    <row r="4065">
      <c r="A4065" s="6" t="s">
        <v>8697</v>
      </c>
      <c r="B4065" s="6" t="s">
        <v>424</v>
      </c>
      <c r="C4065" s="6" t="s">
        <v>48</v>
      </c>
      <c r="D4065" s="6" t="s">
        <v>8698</v>
      </c>
      <c r="F4065" s="6" t="s">
        <v>37</v>
      </c>
      <c r="G4065" s="7">
        <v>1.15</v>
      </c>
      <c r="H4065" s="6" t="s">
        <v>8699</v>
      </c>
      <c r="I4065" s="6" t="s">
        <v>20</v>
      </c>
      <c r="J4065" s="6">
        <v>2022.0</v>
      </c>
      <c r="L4065" s="6">
        <v>2.0</v>
      </c>
      <c r="M4065" s="8">
        <f t="shared" si="4"/>
        <v>2.3</v>
      </c>
      <c r="P4065" s="9"/>
    </row>
    <row r="4066">
      <c r="A4066" s="6" t="s">
        <v>8700</v>
      </c>
      <c r="B4066" s="6" t="s">
        <v>8701</v>
      </c>
      <c r="C4066" s="6" t="s">
        <v>8702</v>
      </c>
      <c r="D4066" s="6" t="s">
        <v>1901</v>
      </c>
      <c r="E4066" s="6" t="s">
        <v>238</v>
      </c>
      <c r="F4066" s="6" t="s">
        <v>159</v>
      </c>
      <c r="G4066" s="7">
        <v>0.24</v>
      </c>
      <c r="H4066" s="6" t="s">
        <v>265</v>
      </c>
      <c r="I4066" s="6" t="s">
        <v>20</v>
      </c>
      <c r="J4066" s="6">
        <v>2017.0</v>
      </c>
      <c r="K4066" s="10">
        <v>46117.0</v>
      </c>
      <c r="L4066" s="6">
        <v>1.0</v>
      </c>
      <c r="M4066" s="8">
        <f t="shared" si="4"/>
        <v>0.24</v>
      </c>
      <c r="P4066" s="9"/>
    </row>
    <row r="4067">
      <c r="A4067" s="6" t="s">
        <v>8703</v>
      </c>
      <c r="B4067" s="6" t="s">
        <v>263</v>
      </c>
      <c r="C4067" s="6" t="s">
        <v>23</v>
      </c>
      <c r="D4067" s="6" t="s">
        <v>8704</v>
      </c>
      <c r="E4067" s="6" t="s">
        <v>30</v>
      </c>
      <c r="F4067" s="6" t="s">
        <v>18</v>
      </c>
      <c r="G4067" s="7">
        <v>0.05</v>
      </c>
      <c r="H4067" s="6" t="s">
        <v>1514</v>
      </c>
      <c r="I4067" s="6" t="s">
        <v>20</v>
      </c>
      <c r="J4067" s="6">
        <v>2009.0</v>
      </c>
      <c r="K4067" s="10">
        <v>46056.0</v>
      </c>
      <c r="L4067" s="6">
        <v>4.0</v>
      </c>
      <c r="M4067" s="8">
        <f t="shared" si="4"/>
        <v>0.2</v>
      </c>
      <c r="P4067" s="9"/>
    </row>
    <row r="4068">
      <c r="A4068" s="6" t="s">
        <v>8703</v>
      </c>
      <c r="B4068" s="6" t="s">
        <v>263</v>
      </c>
      <c r="C4068" s="6" t="s">
        <v>23</v>
      </c>
      <c r="D4068" s="6" t="s">
        <v>8704</v>
      </c>
      <c r="E4068" s="6" t="s">
        <v>30</v>
      </c>
      <c r="F4068" s="6" t="s">
        <v>18</v>
      </c>
      <c r="G4068" s="7">
        <v>0.05</v>
      </c>
      <c r="H4068" s="6" t="s">
        <v>1514</v>
      </c>
      <c r="I4068" s="6" t="s">
        <v>20</v>
      </c>
      <c r="J4068" s="6">
        <v>2009.0</v>
      </c>
      <c r="K4068" s="10">
        <v>46056.0</v>
      </c>
      <c r="L4068" s="6">
        <v>1.0</v>
      </c>
      <c r="M4068" s="8">
        <f t="shared" si="4"/>
        <v>0.05</v>
      </c>
      <c r="P4068" s="9"/>
    </row>
    <row r="4069">
      <c r="A4069" s="6" t="s">
        <v>8705</v>
      </c>
      <c r="B4069" s="6" t="s">
        <v>8706</v>
      </c>
      <c r="C4069" s="6" t="s">
        <v>23</v>
      </c>
      <c r="D4069" s="6" t="s">
        <v>8707</v>
      </c>
      <c r="E4069" s="6" t="s">
        <v>611</v>
      </c>
      <c r="F4069" s="6" t="s">
        <v>103</v>
      </c>
      <c r="G4069" s="7">
        <v>0.09</v>
      </c>
      <c r="H4069" s="6" t="s">
        <v>204</v>
      </c>
      <c r="I4069" s="6" t="s">
        <v>20</v>
      </c>
      <c r="J4069" s="6">
        <v>2026.0</v>
      </c>
      <c r="K4069" s="10">
        <v>46084.0</v>
      </c>
      <c r="L4069" s="6">
        <v>1.0</v>
      </c>
      <c r="M4069" s="8">
        <f t="shared" si="4"/>
        <v>0.09</v>
      </c>
      <c r="P4069" s="9"/>
    </row>
    <row r="4070">
      <c r="A4070" s="6" t="s">
        <v>8708</v>
      </c>
      <c r="B4070" s="6" t="s">
        <v>8709</v>
      </c>
      <c r="C4070" s="6" t="s">
        <v>15</v>
      </c>
      <c r="D4070" s="6" t="s">
        <v>8710</v>
      </c>
      <c r="E4070" s="6" t="s">
        <v>364</v>
      </c>
      <c r="F4070" s="6" t="s">
        <v>51</v>
      </c>
      <c r="G4070" s="7">
        <v>0.19</v>
      </c>
      <c r="H4070" s="6" t="s">
        <v>209</v>
      </c>
      <c r="I4070" s="6" t="s">
        <v>20</v>
      </c>
      <c r="J4070" s="6">
        <v>2025.0</v>
      </c>
      <c r="K4070" s="6" t="s">
        <v>3042</v>
      </c>
      <c r="L4070" s="6">
        <v>2.0</v>
      </c>
      <c r="M4070" s="8">
        <f t="shared" si="4"/>
        <v>0.38</v>
      </c>
      <c r="P4070" s="9"/>
    </row>
    <row r="4071">
      <c r="A4071" s="6" t="s">
        <v>8711</v>
      </c>
      <c r="B4071" s="6" t="s">
        <v>1509</v>
      </c>
      <c r="C4071" s="6" t="s">
        <v>23</v>
      </c>
      <c r="D4071" s="6" t="s">
        <v>8712</v>
      </c>
      <c r="E4071" s="6" t="s">
        <v>5258</v>
      </c>
      <c r="F4071" s="6" t="s">
        <v>5259</v>
      </c>
      <c r="G4071" s="7">
        <v>0.05</v>
      </c>
      <c r="H4071" s="6" t="s">
        <v>129</v>
      </c>
      <c r="I4071" s="6" t="s">
        <v>20</v>
      </c>
      <c r="J4071" s="6">
        <v>2014.0</v>
      </c>
      <c r="K4071" s="10">
        <v>46147.0</v>
      </c>
      <c r="L4071" s="6">
        <v>1.0</v>
      </c>
      <c r="M4071" s="8">
        <f t="shared" si="4"/>
        <v>0.05</v>
      </c>
      <c r="P4071" s="9"/>
    </row>
    <row r="4072">
      <c r="A4072" s="6" t="s">
        <v>8713</v>
      </c>
      <c r="B4072" s="6" t="s">
        <v>372</v>
      </c>
      <c r="C4072" s="6" t="s">
        <v>23</v>
      </c>
      <c r="D4072" s="6" t="s">
        <v>8714</v>
      </c>
      <c r="E4072" s="6" t="s">
        <v>248</v>
      </c>
      <c r="F4072" s="6" t="s">
        <v>18</v>
      </c>
      <c r="G4072" s="7">
        <v>0.03</v>
      </c>
      <c r="H4072" s="6" t="s">
        <v>141</v>
      </c>
      <c r="I4072" s="6" t="s">
        <v>20</v>
      </c>
      <c r="J4072" s="6">
        <v>2019.0</v>
      </c>
      <c r="L4072" s="6">
        <v>1.0</v>
      </c>
      <c r="M4072" s="8">
        <f t="shared" si="4"/>
        <v>0.03</v>
      </c>
      <c r="N4072" s="6" t="s">
        <v>518</v>
      </c>
      <c r="P4072" s="9"/>
    </row>
    <row r="4073">
      <c r="A4073" s="6" t="s">
        <v>8715</v>
      </c>
      <c r="B4073" s="6" t="s">
        <v>263</v>
      </c>
      <c r="C4073" s="6" t="s">
        <v>23</v>
      </c>
      <c r="D4073" s="6" t="s">
        <v>974</v>
      </c>
      <c r="E4073" s="6" t="s">
        <v>25</v>
      </c>
      <c r="F4073" s="6" t="s">
        <v>18</v>
      </c>
      <c r="G4073" s="7">
        <v>0.04</v>
      </c>
      <c r="H4073" s="6" t="s">
        <v>136</v>
      </c>
      <c r="I4073" s="6" t="s">
        <v>20</v>
      </c>
      <c r="J4073" s="6">
        <v>2022.0</v>
      </c>
      <c r="K4073" s="10">
        <v>46083.0</v>
      </c>
      <c r="L4073" s="6">
        <v>1.0</v>
      </c>
      <c r="M4073" s="8">
        <f t="shared" si="4"/>
        <v>0.04</v>
      </c>
      <c r="P4073" s="9"/>
    </row>
    <row r="4074">
      <c r="A4074" s="6" t="s">
        <v>8716</v>
      </c>
      <c r="B4074" s="6" t="s">
        <v>8717</v>
      </c>
      <c r="C4074" s="6" t="s">
        <v>34</v>
      </c>
      <c r="D4074" s="6" t="s">
        <v>8718</v>
      </c>
      <c r="E4074" s="6" t="s">
        <v>852</v>
      </c>
      <c r="F4074" s="6" t="s">
        <v>18</v>
      </c>
      <c r="G4074" s="7">
        <v>0.08</v>
      </c>
      <c r="H4074" s="6" t="s">
        <v>19</v>
      </c>
      <c r="I4074" s="6" t="s">
        <v>20</v>
      </c>
      <c r="J4074" s="6">
        <v>2023.0</v>
      </c>
      <c r="K4074" s="10">
        <v>46082.0</v>
      </c>
      <c r="L4074" s="6">
        <v>1.0</v>
      </c>
      <c r="M4074" s="8">
        <f t="shared" si="4"/>
        <v>0.08</v>
      </c>
      <c r="P4074" s="9"/>
    </row>
    <row r="4075">
      <c r="A4075" s="6" t="s">
        <v>8719</v>
      </c>
      <c r="B4075" s="6" t="s">
        <v>5483</v>
      </c>
      <c r="C4075" s="6" t="s">
        <v>41</v>
      </c>
      <c r="D4075" s="6" t="s">
        <v>8720</v>
      </c>
      <c r="E4075" s="6" t="s">
        <v>4307</v>
      </c>
      <c r="F4075" s="6" t="s">
        <v>60</v>
      </c>
      <c r="G4075" s="7">
        <v>1.69</v>
      </c>
      <c r="H4075" s="6" t="s">
        <v>45</v>
      </c>
      <c r="I4075" s="6" t="s">
        <v>20</v>
      </c>
      <c r="J4075" s="6">
        <v>2025.0</v>
      </c>
      <c r="K4075" s="10">
        <v>46023.0</v>
      </c>
      <c r="L4075" s="6">
        <v>1.0</v>
      </c>
      <c r="M4075" s="8">
        <f t="shared" si="4"/>
        <v>1.69</v>
      </c>
      <c r="P4075" s="9"/>
    </row>
    <row r="4076">
      <c r="A4076" s="6" t="s">
        <v>8721</v>
      </c>
      <c r="B4076" s="6" t="s">
        <v>5483</v>
      </c>
      <c r="C4076" s="6" t="s">
        <v>48</v>
      </c>
      <c r="D4076" s="6" t="s">
        <v>8722</v>
      </c>
      <c r="E4076" s="6" t="s">
        <v>8723</v>
      </c>
      <c r="F4076" s="6" t="s">
        <v>261</v>
      </c>
      <c r="G4076" s="7">
        <v>0.54</v>
      </c>
      <c r="H4076" s="6" t="s">
        <v>45</v>
      </c>
      <c r="I4076" s="6" t="s">
        <v>55</v>
      </c>
      <c r="J4076" s="6">
        <v>2025.0</v>
      </c>
      <c r="K4076" s="10">
        <v>46114.0</v>
      </c>
      <c r="L4076" s="6">
        <v>1.0</v>
      </c>
      <c r="M4076" s="8">
        <f t="shared" si="4"/>
        <v>0.54</v>
      </c>
      <c r="P4076" s="9"/>
    </row>
    <row r="4077">
      <c r="A4077" s="6" t="s">
        <v>8724</v>
      </c>
      <c r="B4077" s="6" t="s">
        <v>57</v>
      </c>
      <c r="C4077" s="6" t="s">
        <v>23</v>
      </c>
      <c r="D4077" s="6" t="s">
        <v>8725</v>
      </c>
      <c r="E4077" s="6" t="s">
        <v>118</v>
      </c>
      <c r="F4077" s="6" t="s">
        <v>51</v>
      </c>
      <c r="G4077" s="7">
        <v>0.35</v>
      </c>
      <c r="H4077" s="6" t="s">
        <v>176</v>
      </c>
      <c r="I4077" s="6" t="s">
        <v>20</v>
      </c>
      <c r="J4077" s="6">
        <v>2025.0</v>
      </c>
      <c r="L4077" s="6">
        <v>1.0</v>
      </c>
      <c r="M4077" s="8">
        <f t="shared" si="4"/>
        <v>0.35</v>
      </c>
      <c r="P4077" s="9"/>
    </row>
    <row r="4078">
      <c r="A4078" s="6" t="s">
        <v>8726</v>
      </c>
      <c r="B4078" s="6" t="s">
        <v>250</v>
      </c>
      <c r="C4078" s="6" t="s">
        <v>571</v>
      </c>
      <c r="D4078" s="6" t="s">
        <v>8727</v>
      </c>
      <c r="E4078" s="6" t="s">
        <v>303</v>
      </c>
      <c r="F4078" s="6" t="s">
        <v>452</v>
      </c>
      <c r="G4078" s="7">
        <v>8.75</v>
      </c>
      <c r="H4078" s="6" t="s">
        <v>8728</v>
      </c>
      <c r="I4078" s="6" t="s">
        <v>20</v>
      </c>
      <c r="J4078" s="6">
        <v>2026.0</v>
      </c>
      <c r="L4078" s="6">
        <v>1.0</v>
      </c>
      <c r="M4078" s="8">
        <f t="shared" si="4"/>
        <v>8.75</v>
      </c>
      <c r="P4078" s="9"/>
    </row>
    <row r="4079">
      <c r="A4079" s="6" t="s">
        <v>8729</v>
      </c>
      <c r="B4079" s="6" t="s">
        <v>307</v>
      </c>
      <c r="C4079" s="6" t="s">
        <v>1956</v>
      </c>
      <c r="D4079" s="6" t="s">
        <v>8730</v>
      </c>
      <c r="E4079" s="6" t="s">
        <v>303</v>
      </c>
      <c r="F4079" s="6" t="s">
        <v>37</v>
      </c>
      <c r="G4079" s="7">
        <v>8.99</v>
      </c>
      <c r="H4079" s="6" t="s">
        <v>8731</v>
      </c>
      <c r="I4079" s="6" t="s">
        <v>55</v>
      </c>
      <c r="J4079" s="6">
        <v>2013.0</v>
      </c>
      <c r="L4079" s="6">
        <v>2.0</v>
      </c>
      <c r="M4079" s="8">
        <f t="shared" si="4"/>
        <v>17.98</v>
      </c>
      <c r="N4079" s="6" t="s">
        <v>172</v>
      </c>
      <c r="P4079" s="9"/>
    </row>
    <row r="4080">
      <c r="A4080" s="6" t="s">
        <v>8732</v>
      </c>
      <c r="B4080" s="6" t="s">
        <v>307</v>
      </c>
      <c r="C4080" s="6" t="s">
        <v>48</v>
      </c>
      <c r="D4080" s="6" t="s">
        <v>8733</v>
      </c>
      <c r="E4080" s="6" t="s">
        <v>36</v>
      </c>
      <c r="F4080" s="6" t="s">
        <v>37</v>
      </c>
      <c r="G4080" s="7">
        <v>0.2</v>
      </c>
      <c r="H4080" s="6" t="s">
        <v>509</v>
      </c>
      <c r="I4080" s="6" t="s">
        <v>55</v>
      </c>
      <c r="J4080" s="6">
        <v>2024.0</v>
      </c>
      <c r="L4080" s="6">
        <v>1.0</v>
      </c>
      <c r="M4080" s="8">
        <f t="shared" si="4"/>
        <v>0.2</v>
      </c>
      <c r="P4080" s="9"/>
    </row>
    <row r="4081">
      <c r="A4081" s="6" t="s">
        <v>8734</v>
      </c>
      <c r="B4081" s="6" t="s">
        <v>194</v>
      </c>
      <c r="C4081" s="6" t="s">
        <v>23</v>
      </c>
      <c r="D4081" s="6" t="s">
        <v>8735</v>
      </c>
      <c r="E4081" s="6" t="s">
        <v>153</v>
      </c>
      <c r="F4081" s="6" t="s">
        <v>103</v>
      </c>
      <c r="G4081" s="7">
        <v>0.05</v>
      </c>
      <c r="H4081" s="6" t="s">
        <v>45</v>
      </c>
      <c r="I4081" s="6" t="s">
        <v>20</v>
      </c>
      <c r="J4081" s="6">
        <v>2025.0</v>
      </c>
      <c r="L4081" s="6">
        <v>1.0</v>
      </c>
      <c r="M4081" s="8">
        <f t="shared" si="4"/>
        <v>0.05</v>
      </c>
      <c r="P4081" s="9"/>
    </row>
    <row r="4082">
      <c r="A4082" s="6" t="s">
        <v>8736</v>
      </c>
      <c r="B4082" s="6" t="s">
        <v>80</v>
      </c>
      <c r="C4082" s="6" t="s">
        <v>23</v>
      </c>
      <c r="D4082" s="6" t="s">
        <v>8737</v>
      </c>
      <c r="E4082" s="6" t="s">
        <v>25</v>
      </c>
      <c r="F4082" s="6" t="s">
        <v>18</v>
      </c>
      <c r="G4082" s="7">
        <v>0.05</v>
      </c>
      <c r="H4082" s="6" t="s">
        <v>289</v>
      </c>
      <c r="I4082" s="6" t="s">
        <v>20</v>
      </c>
      <c r="J4082" s="6">
        <v>1996.0</v>
      </c>
      <c r="K4082" s="10">
        <v>46055.0</v>
      </c>
      <c r="L4082" s="6">
        <v>1.0</v>
      </c>
      <c r="M4082" s="8">
        <f t="shared" si="4"/>
        <v>0.05</v>
      </c>
      <c r="P4082" s="9"/>
    </row>
    <row r="4083">
      <c r="A4083" s="6" t="s">
        <v>8738</v>
      </c>
      <c r="B4083" s="6" t="s">
        <v>8739</v>
      </c>
      <c r="C4083" s="6" t="s">
        <v>48</v>
      </c>
      <c r="D4083" s="6" t="s">
        <v>8740</v>
      </c>
      <c r="E4083" s="6" t="s">
        <v>625</v>
      </c>
      <c r="F4083" s="6" t="s">
        <v>37</v>
      </c>
      <c r="G4083" s="7">
        <v>0.12</v>
      </c>
      <c r="H4083" s="6" t="s">
        <v>245</v>
      </c>
      <c r="I4083" s="6" t="s">
        <v>20</v>
      </c>
      <c r="J4083" s="6">
        <v>1995.0</v>
      </c>
      <c r="K4083" s="10">
        <v>46114.0</v>
      </c>
      <c r="L4083" s="6">
        <v>1.0</v>
      </c>
      <c r="M4083" s="8">
        <f t="shared" si="4"/>
        <v>0.12</v>
      </c>
      <c r="P4083" s="9"/>
    </row>
    <row r="4084">
      <c r="A4084" s="6" t="s">
        <v>8741</v>
      </c>
      <c r="B4084" s="6" t="s">
        <v>286</v>
      </c>
      <c r="C4084" s="6" t="s">
        <v>287</v>
      </c>
      <c r="D4084" s="6" t="s">
        <v>8742</v>
      </c>
      <c r="E4084" s="6" t="s">
        <v>890</v>
      </c>
      <c r="F4084" s="6" t="s">
        <v>244</v>
      </c>
      <c r="G4084" s="7">
        <v>0.05</v>
      </c>
      <c r="H4084" s="6" t="s">
        <v>289</v>
      </c>
      <c r="I4084" s="6" t="s">
        <v>20</v>
      </c>
      <c r="J4084" s="6">
        <v>1996.0</v>
      </c>
      <c r="K4084" s="10">
        <v>46057.0</v>
      </c>
      <c r="L4084" s="6">
        <v>1.0</v>
      </c>
      <c r="M4084" s="8">
        <f t="shared" si="4"/>
        <v>0.05</v>
      </c>
      <c r="P4084" s="9"/>
    </row>
    <row r="4085">
      <c r="A4085" s="6" t="s">
        <v>8743</v>
      </c>
      <c r="B4085" s="6" t="s">
        <v>8744</v>
      </c>
      <c r="C4085" s="6" t="s">
        <v>23</v>
      </c>
      <c r="D4085" s="6" t="s">
        <v>8745</v>
      </c>
      <c r="E4085" s="6" t="s">
        <v>890</v>
      </c>
      <c r="F4085" s="6" t="s">
        <v>37</v>
      </c>
      <c r="G4085" s="7">
        <v>0.05</v>
      </c>
      <c r="H4085" s="6" t="s">
        <v>289</v>
      </c>
      <c r="I4085" s="6" t="s">
        <v>20</v>
      </c>
      <c r="J4085" s="6">
        <v>1996.0</v>
      </c>
      <c r="K4085" s="10">
        <v>46057.0</v>
      </c>
      <c r="L4085" s="6">
        <v>1.0</v>
      </c>
      <c r="M4085" s="8">
        <f t="shared" si="4"/>
        <v>0.05</v>
      </c>
      <c r="P4085" s="9"/>
    </row>
    <row r="4086">
      <c r="A4086" s="6" t="s">
        <v>8746</v>
      </c>
      <c r="B4086" s="6" t="s">
        <v>1900</v>
      </c>
      <c r="C4086" s="6" t="s">
        <v>1900</v>
      </c>
      <c r="D4086" s="6" t="s">
        <v>1900</v>
      </c>
      <c r="E4086" s="6" t="s">
        <v>1901</v>
      </c>
      <c r="F4086" s="6" t="s">
        <v>1901</v>
      </c>
      <c r="G4086" s="7">
        <v>0.5</v>
      </c>
      <c r="H4086" s="6" t="s">
        <v>7850</v>
      </c>
      <c r="I4086" s="6" t="s">
        <v>20</v>
      </c>
      <c r="J4086" s="6">
        <v>2026.0</v>
      </c>
      <c r="K4086" s="10">
        <v>46024.0</v>
      </c>
      <c r="L4086" s="6">
        <v>3.0</v>
      </c>
      <c r="M4086" s="8">
        <f t="shared" si="4"/>
        <v>1.5</v>
      </c>
      <c r="P4086" s="9"/>
    </row>
    <row r="4087">
      <c r="A4087" s="6" t="s">
        <v>8747</v>
      </c>
      <c r="B4087" s="6" t="s">
        <v>3103</v>
      </c>
      <c r="C4087" s="6" t="s">
        <v>23</v>
      </c>
      <c r="D4087" s="6" t="s">
        <v>8748</v>
      </c>
      <c r="E4087" s="6" t="s">
        <v>50</v>
      </c>
      <c r="F4087" s="6" t="s">
        <v>51</v>
      </c>
      <c r="G4087" s="7">
        <v>0.08</v>
      </c>
      <c r="H4087" s="6" t="s">
        <v>19</v>
      </c>
      <c r="I4087" s="6" t="s">
        <v>20</v>
      </c>
      <c r="J4087" s="6">
        <v>2023.0</v>
      </c>
      <c r="K4087" s="10">
        <v>46055.0</v>
      </c>
      <c r="L4087" s="6">
        <v>1.0</v>
      </c>
      <c r="M4087" s="8">
        <f t="shared" si="4"/>
        <v>0.08</v>
      </c>
      <c r="P4087" s="9"/>
    </row>
    <row r="4088">
      <c r="A4088" s="6" t="s">
        <v>8749</v>
      </c>
      <c r="B4088" s="6" t="s">
        <v>194</v>
      </c>
      <c r="C4088" s="6" t="s">
        <v>23</v>
      </c>
      <c r="D4088" s="6" t="s">
        <v>8750</v>
      </c>
      <c r="E4088" s="6" t="s">
        <v>79</v>
      </c>
      <c r="F4088" s="6" t="s">
        <v>51</v>
      </c>
      <c r="G4088" s="7">
        <v>0.9</v>
      </c>
      <c r="H4088" s="6" t="s">
        <v>26</v>
      </c>
      <c r="I4088" s="6" t="s">
        <v>20</v>
      </c>
      <c r="J4088" s="6">
        <v>2026.0</v>
      </c>
      <c r="L4088" s="6">
        <v>1.0</v>
      </c>
      <c r="M4088" s="8">
        <f t="shared" si="4"/>
        <v>0.9</v>
      </c>
      <c r="P4088" s="9"/>
    </row>
    <row r="4089">
      <c r="A4089" s="6" t="s">
        <v>8751</v>
      </c>
      <c r="B4089" s="6" t="s">
        <v>62</v>
      </c>
      <c r="C4089" s="6" t="s">
        <v>48</v>
      </c>
      <c r="D4089" s="6" t="s">
        <v>8752</v>
      </c>
      <c r="E4089" s="6" t="s">
        <v>223</v>
      </c>
      <c r="F4089" s="6" t="s">
        <v>159</v>
      </c>
      <c r="G4089" s="7">
        <v>0.86</v>
      </c>
      <c r="H4089" s="6" t="s">
        <v>8753</v>
      </c>
      <c r="I4089" s="6" t="s">
        <v>20</v>
      </c>
      <c r="J4089" s="6">
        <v>2016.0</v>
      </c>
      <c r="L4089" s="6">
        <v>1.0</v>
      </c>
      <c r="M4089" s="8">
        <f t="shared" si="4"/>
        <v>0.86</v>
      </c>
      <c r="P4089" s="9"/>
    </row>
    <row r="4090">
      <c r="A4090" s="6" t="s">
        <v>8754</v>
      </c>
      <c r="B4090" s="6" t="s">
        <v>8755</v>
      </c>
      <c r="C4090" s="6" t="s">
        <v>23</v>
      </c>
      <c r="D4090" s="6" t="s">
        <v>8756</v>
      </c>
      <c r="E4090" s="6" t="s">
        <v>298</v>
      </c>
      <c r="F4090" s="6" t="s">
        <v>159</v>
      </c>
      <c r="G4090" s="7">
        <v>0.06</v>
      </c>
      <c r="H4090" s="6" t="s">
        <v>93</v>
      </c>
      <c r="I4090" s="6" t="s">
        <v>20</v>
      </c>
      <c r="J4090" s="6">
        <v>2016.0</v>
      </c>
      <c r="K4090" s="10">
        <v>46115.0</v>
      </c>
      <c r="L4090" s="6">
        <v>1.0</v>
      </c>
      <c r="M4090" s="8">
        <f t="shared" si="4"/>
        <v>0.06</v>
      </c>
      <c r="P4090" s="9"/>
    </row>
    <row r="4091">
      <c r="A4091" s="6" t="s">
        <v>8757</v>
      </c>
      <c r="B4091" s="6" t="s">
        <v>57</v>
      </c>
      <c r="C4091" s="6" t="s">
        <v>48</v>
      </c>
      <c r="D4091" s="6" t="s">
        <v>8758</v>
      </c>
      <c r="E4091" s="6" t="s">
        <v>64</v>
      </c>
      <c r="F4091" s="6" t="s">
        <v>65</v>
      </c>
      <c r="G4091" s="7">
        <v>0.23</v>
      </c>
      <c r="H4091" s="6" t="s">
        <v>45</v>
      </c>
      <c r="I4091" s="6" t="s">
        <v>20</v>
      </c>
      <c r="J4091" s="6">
        <v>2025.0</v>
      </c>
      <c r="L4091" s="6">
        <v>1.0</v>
      </c>
      <c r="M4091" s="8">
        <f t="shared" si="4"/>
        <v>0.23</v>
      </c>
      <c r="P4091" s="9"/>
    </row>
    <row r="4092">
      <c r="A4092" s="6" t="s">
        <v>8759</v>
      </c>
      <c r="B4092" s="6" t="s">
        <v>1216</v>
      </c>
      <c r="C4092" s="6" t="s">
        <v>23</v>
      </c>
      <c r="D4092" s="6" t="s">
        <v>8760</v>
      </c>
      <c r="E4092" s="6" t="s">
        <v>79</v>
      </c>
      <c r="F4092" s="6" t="s">
        <v>51</v>
      </c>
      <c r="G4092" s="7">
        <v>0.05</v>
      </c>
      <c r="H4092" s="6" t="s">
        <v>2066</v>
      </c>
      <c r="I4092" s="6" t="s">
        <v>20</v>
      </c>
      <c r="J4092" s="6">
        <v>1997.0</v>
      </c>
      <c r="K4092" s="10">
        <v>46055.0</v>
      </c>
      <c r="L4092" s="6">
        <v>1.0</v>
      </c>
      <c r="M4092" s="8">
        <f t="shared" si="4"/>
        <v>0.05</v>
      </c>
      <c r="P4092" s="9"/>
    </row>
    <row r="4093">
      <c r="A4093" s="6" t="s">
        <v>8761</v>
      </c>
      <c r="B4093" s="6" t="s">
        <v>8762</v>
      </c>
      <c r="C4093" s="6" t="s">
        <v>521</v>
      </c>
      <c r="D4093" s="6" t="s">
        <v>8763</v>
      </c>
      <c r="E4093" s="6" t="s">
        <v>410</v>
      </c>
      <c r="F4093" s="6" t="s">
        <v>904</v>
      </c>
      <c r="G4093" s="7">
        <v>4.41</v>
      </c>
      <c r="H4093" s="6" t="s">
        <v>2066</v>
      </c>
      <c r="I4093" s="6" t="s">
        <v>20</v>
      </c>
      <c r="J4093" s="6">
        <v>1997.0</v>
      </c>
      <c r="K4093" s="10">
        <v>46024.0</v>
      </c>
      <c r="L4093" s="6">
        <v>1.0</v>
      </c>
      <c r="M4093" s="8">
        <f t="shared" si="4"/>
        <v>4.41</v>
      </c>
      <c r="P4093" s="9"/>
    </row>
    <row r="4094">
      <c r="A4094" s="6" t="s">
        <v>8764</v>
      </c>
      <c r="B4094" s="6" t="s">
        <v>726</v>
      </c>
      <c r="C4094" s="6" t="s">
        <v>23</v>
      </c>
      <c r="D4094" s="6" t="s">
        <v>8765</v>
      </c>
      <c r="E4094" s="6" t="s">
        <v>118</v>
      </c>
      <c r="F4094" s="6" t="s">
        <v>51</v>
      </c>
      <c r="G4094" s="7">
        <v>0.19</v>
      </c>
      <c r="H4094" s="6" t="s">
        <v>2066</v>
      </c>
      <c r="I4094" s="6" t="s">
        <v>20</v>
      </c>
      <c r="J4094" s="6">
        <v>1997.0</v>
      </c>
      <c r="K4094" s="10">
        <v>46023.0</v>
      </c>
      <c r="L4094" s="6">
        <v>1.0</v>
      </c>
      <c r="M4094" s="8">
        <f t="shared" si="4"/>
        <v>0.19</v>
      </c>
      <c r="P4094" s="9"/>
    </row>
    <row r="4095">
      <c r="A4095" s="6" t="s">
        <v>8766</v>
      </c>
      <c r="B4095" s="6" t="s">
        <v>809</v>
      </c>
      <c r="C4095" s="6" t="s">
        <v>48</v>
      </c>
      <c r="D4095" s="6" t="s">
        <v>8767</v>
      </c>
      <c r="E4095" s="6" t="s">
        <v>298</v>
      </c>
      <c r="F4095" s="6" t="s">
        <v>159</v>
      </c>
      <c r="G4095" s="7">
        <v>0.06</v>
      </c>
      <c r="H4095" s="6" t="s">
        <v>184</v>
      </c>
      <c r="I4095" s="6" t="s">
        <v>20</v>
      </c>
      <c r="J4095" s="6">
        <v>2015.0</v>
      </c>
      <c r="K4095" s="10">
        <v>46056.0</v>
      </c>
      <c r="L4095" s="6">
        <v>1.0</v>
      </c>
      <c r="M4095" s="8">
        <f t="shared" si="4"/>
        <v>0.06</v>
      </c>
      <c r="P4095" s="9"/>
    </row>
    <row r="4096">
      <c r="A4096" s="6" t="s">
        <v>8768</v>
      </c>
      <c r="B4096" s="6" t="s">
        <v>8090</v>
      </c>
      <c r="C4096" s="6" t="s">
        <v>23</v>
      </c>
      <c r="D4096" s="6" t="s">
        <v>8769</v>
      </c>
      <c r="E4096" s="6" t="s">
        <v>223</v>
      </c>
      <c r="F4096" s="6" t="s">
        <v>159</v>
      </c>
      <c r="G4096" s="7">
        <v>0.09</v>
      </c>
      <c r="H4096" s="6" t="s">
        <v>1494</v>
      </c>
      <c r="I4096" s="6" t="s">
        <v>20</v>
      </c>
      <c r="J4096" s="6">
        <v>2012.0</v>
      </c>
      <c r="K4096" s="10">
        <v>46055.0</v>
      </c>
      <c r="L4096" s="6">
        <v>2.0</v>
      </c>
      <c r="M4096" s="8">
        <f t="shared" si="4"/>
        <v>0.18</v>
      </c>
      <c r="P4096" s="9"/>
    </row>
    <row r="4097">
      <c r="A4097" s="6" t="s">
        <v>8770</v>
      </c>
      <c r="B4097" s="6" t="s">
        <v>194</v>
      </c>
      <c r="C4097" s="6" t="s">
        <v>23</v>
      </c>
      <c r="D4097" s="6" t="s">
        <v>8771</v>
      </c>
      <c r="E4097" s="6" t="s">
        <v>118</v>
      </c>
      <c r="F4097" s="6" t="s">
        <v>51</v>
      </c>
      <c r="G4097" s="7">
        <v>0.07</v>
      </c>
      <c r="H4097" s="6" t="s">
        <v>994</v>
      </c>
      <c r="I4097" s="6" t="s">
        <v>20</v>
      </c>
      <c r="J4097" s="6">
        <v>2024.0</v>
      </c>
      <c r="L4097" s="6">
        <v>1.0</v>
      </c>
      <c r="M4097" s="8">
        <f t="shared" si="4"/>
        <v>0.07</v>
      </c>
      <c r="P4097" s="9"/>
    </row>
    <row r="4098">
      <c r="A4098" s="6" t="s">
        <v>8772</v>
      </c>
      <c r="B4098" s="6" t="s">
        <v>8773</v>
      </c>
      <c r="C4098" s="6" t="s">
        <v>48</v>
      </c>
      <c r="D4098" s="6" t="s">
        <v>8774</v>
      </c>
      <c r="E4098" s="6" t="s">
        <v>223</v>
      </c>
      <c r="F4098" s="6" t="s">
        <v>159</v>
      </c>
      <c r="G4098" s="7">
        <v>0.59</v>
      </c>
      <c r="H4098" s="6" t="s">
        <v>200</v>
      </c>
      <c r="I4098" s="6" t="s">
        <v>20</v>
      </c>
      <c r="J4098" s="6">
        <v>2018.0</v>
      </c>
      <c r="L4098" s="6">
        <v>1.0</v>
      </c>
      <c r="M4098" s="8">
        <f t="shared" si="4"/>
        <v>0.59</v>
      </c>
      <c r="P4098" s="9"/>
    </row>
    <row r="4099">
      <c r="A4099" s="6" t="s">
        <v>8775</v>
      </c>
      <c r="B4099" s="6" t="s">
        <v>62</v>
      </c>
      <c r="C4099" s="6" t="s">
        <v>23</v>
      </c>
      <c r="D4099" s="6" t="s">
        <v>8776</v>
      </c>
      <c r="E4099" s="6" t="s">
        <v>1250</v>
      </c>
      <c r="F4099" s="6" t="s">
        <v>60</v>
      </c>
      <c r="G4099" s="7">
        <v>0.03</v>
      </c>
      <c r="H4099" s="6" t="s">
        <v>1084</v>
      </c>
      <c r="I4099" s="6" t="s">
        <v>20</v>
      </c>
      <c r="J4099" s="6">
        <v>2018.0</v>
      </c>
      <c r="L4099" s="6">
        <v>1.0</v>
      </c>
      <c r="M4099" s="8">
        <f t="shared" si="4"/>
        <v>0.03</v>
      </c>
      <c r="P4099" s="9"/>
    </row>
    <row r="4100">
      <c r="A4100" s="6" t="s">
        <v>8777</v>
      </c>
      <c r="B4100" s="6" t="s">
        <v>2604</v>
      </c>
      <c r="C4100" s="6" t="s">
        <v>48</v>
      </c>
      <c r="D4100" s="6" t="s">
        <v>8778</v>
      </c>
      <c r="E4100" s="6" t="s">
        <v>36</v>
      </c>
      <c r="F4100" s="6" t="s">
        <v>37</v>
      </c>
      <c r="G4100" s="7">
        <v>0.09</v>
      </c>
      <c r="H4100" s="6" t="s">
        <v>141</v>
      </c>
      <c r="I4100" s="6" t="s">
        <v>20</v>
      </c>
      <c r="J4100" s="6">
        <v>2019.0</v>
      </c>
      <c r="K4100" s="10">
        <v>46024.0</v>
      </c>
      <c r="L4100" s="6">
        <v>1.0</v>
      </c>
      <c r="M4100" s="8">
        <f t="shared" si="4"/>
        <v>0.09</v>
      </c>
      <c r="P4100" s="9"/>
    </row>
    <row r="4101">
      <c r="A4101" s="6" t="s">
        <v>8779</v>
      </c>
      <c r="B4101" s="6" t="s">
        <v>165</v>
      </c>
      <c r="C4101" s="6" t="s">
        <v>15</v>
      </c>
      <c r="D4101" s="6" t="s">
        <v>8780</v>
      </c>
      <c r="E4101" s="6" t="s">
        <v>1080</v>
      </c>
      <c r="F4101" s="6" t="s">
        <v>65</v>
      </c>
      <c r="G4101" s="7">
        <v>0.24</v>
      </c>
      <c r="H4101" s="6" t="s">
        <v>209</v>
      </c>
      <c r="I4101" s="6" t="s">
        <v>20</v>
      </c>
      <c r="J4101" s="6">
        <v>2025.0</v>
      </c>
      <c r="L4101" s="6">
        <v>1.0</v>
      </c>
      <c r="M4101" s="8">
        <f t="shared" si="4"/>
        <v>0.24</v>
      </c>
      <c r="P4101" s="9"/>
    </row>
    <row r="4102">
      <c r="A4102" s="6" t="s">
        <v>8781</v>
      </c>
      <c r="B4102" s="6" t="s">
        <v>1016</v>
      </c>
      <c r="C4102" s="6" t="s">
        <v>23</v>
      </c>
      <c r="D4102" s="6" t="s">
        <v>8782</v>
      </c>
      <c r="E4102" s="6" t="s">
        <v>79</v>
      </c>
      <c r="F4102" s="6" t="s">
        <v>51</v>
      </c>
      <c r="G4102" s="7">
        <v>0.03</v>
      </c>
      <c r="H4102" s="6" t="s">
        <v>586</v>
      </c>
      <c r="I4102" s="6" t="s">
        <v>20</v>
      </c>
      <c r="J4102" s="6">
        <v>2000.0</v>
      </c>
      <c r="K4102" s="10">
        <v>46055.0</v>
      </c>
      <c r="L4102" s="6">
        <v>1.0</v>
      </c>
      <c r="M4102" s="8">
        <f t="shared" si="4"/>
        <v>0.03</v>
      </c>
      <c r="P4102" s="9"/>
    </row>
    <row r="4103">
      <c r="A4103" s="6" t="s">
        <v>8783</v>
      </c>
      <c r="B4103" s="6" t="s">
        <v>202</v>
      </c>
      <c r="C4103" s="6" t="s">
        <v>48</v>
      </c>
      <c r="D4103" s="6" t="s">
        <v>8784</v>
      </c>
      <c r="E4103" s="6" t="s">
        <v>153</v>
      </c>
      <c r="F4103" s="6" t="s">
        <v>103</v>
      </c>
      <c r="G4103" s="7">
        <v>0.15</v>
      </c>
      <c r="H4103" s="6" t="s">
        <v>346</v>
      </c>
      <c r="I4103" s="6" t="s">
        <v>20</v>
      </c>
      <c r="J4103" s="6">
        <v>2024.0</v>
      </c>
      <c r="L4103" s="6">
        <v>1.0</v>
      </c>
      <c r="M4103" s="8">
        <f t="shared" si="4"/>
        <v>0.15</v>
      </c>
      <c r="P4103" s="9"/>
    </row>
    <row r="4104">
      <c r="A4104" s="6" t="s">
        <v>8785</v>
      </c>
      <c r="B4104" s="6" t="s">
        <v>366</v>
      </c>
      <c r="C4104" s="6" t="s">
        <v>23</v>
      </c>
      <c r="D4104" s="6" t="s">
        <v>8786</v>
      </c>
      <c r="E4104" s="6" t="s">
        <v>235</v>
      </c>
      <c r="F4104" s="6" t="s">
        <v>103</v>
      </c>
      <c r="G4104" s="7">
        <v>0.05</v>
      </c>
      <c r="H4104" s="6" t="s">
        <v>245</v>
      </c>
      <c r="I4104" s="6" t="s">
        <v>20</v>
      </c>
      <c r="J4104" s="6">
        <v>1995.0</v>
      </c>
      <c r="L4104" s="6">
        <v>1.0</v>
      </c>
      <c r="M4104" s="8">
        <f t="shared" si="4"/>
        <v>0.05</v>
      </c>
      <c r="P4104" s="9"/>
    </row>
    <row r="4105">
      <c r="A4105" s="6" t="s">
        <v>8787</v>
      </c>
      <c r="B4105" s="6" t="s">
        <v>250</v>
      </c>
      <c r="C4105" s="6" t="s">
        <v>48</v>
      </c>
      <c r="D4105" s="6" t="s">
        <v>8788</v>
      </c>
      <c r="E4105" s="6" t="s">
        <v>303</v>
      </c>
      <c r="F4105" s="6" t="s">
        <v>37</v>
      </c>
      <c r="G4105" s="7">
        <v>0.1</v>
      </c>
      <c r="H4105" s="6" t="s">
        <v>119</v>
      </c>
      <c r="I4105" s="6" t="s">
        <v>20</v>
      </c>
      <c r="J4105" s="6">
        <v>1995.0</v>
      </c>
      <c r="L4105" s="6">
        <v>2.0</v>
      </c>
      <c r="M4105" s="8">
        <f t="shared" si="4"/>
        <v>0.2</v>
      </c>
      <c r="P4105" s="9"/>
    </row>
    <row r="4106">
      <c r="A4106" s="6" t="s">
        <v>8789</v>
      </c>
      <c r="B4106" s="6" t="s">
        <v>8790</v>
      </c>
      <c r="C4106" s="6" t="s">
        <v>1956</v>
      </c>
      <c r="D4106" s="6" t="s">
        <v>8791</v>
      </c>
      <c r="E4106" s="6" t="s">
        <v>1570</v>
      </c>
      <c r="F4106" s="6" t="s">
        <v>159</v>
      </c>
      <c r="G4106" s="7">
        <v>0.49</v>
      </c>
      <c r="H4106" s="6" t="s">
        <v>188</v>
      </c>
      <c r="I4106" s="6" t="s">
        <v>55</v>
      </c>
      <c r="J4106" s="6">
        <v>2014.0</v>
      </c>
      <c r="K4106" s="10">
        <v>46179.0</v>
      </c>
      <c r="L4106" s="6">
        <v>1.0</v>
      </c>
      <c r="M4106" s="8">
        <f t="shared" si="4"/>
        <v>0.49</v>
      </c>
      <c r="P4106" s="9"/>
    </row>
    <row r="4107">
      <c r="A4107" s="6" t="s">
        <v>8792</v>
      </c>
      <c r="B4107" s="6" t="s">
        <v>182</v>
      </c>
      <c r="C4107" s="6" t="s">
        <v>41</v>
      </c>
      <c r="D4107" s="6" t="s">
        <v>8793</v>
      </c>
      <c r="E4107" s="6" t="s">
        <v>1336</v>
      </c>
      <c r="F4107" s="6" t="s">
        <v>103</v>
      </c>
      <c r="G4107" s="7">
        <v>0.35</v>
      </c>
      <c r="H4107" s="6" t="s">
        <v>418</v>
      </c>
      <c r="I4107" s="6" t="s">
        <v>20</v>
      </c>
      <c r="J4107" s="6">
        <v>2022.0</v>
      </c>
      <c r="L4107" s="6">
        <v>1.0</v>
      </c>
      <c r="M4107" s="8">
        <f t="shared" si="4"/>
        <v>0.35</v>
      </c>
      <c r="P4107" s="9"/>
    </row>
    <row r="4108">
      <c r="A4108" s="6" t="s">
        <v>8794</v>
      </c>
      <c r="B4108" s="6" t="s">
        <v>815</v>
      </c>
      <c r="C4108" s="6" t="s">
        <v>23</v>
      </c>
      <c r="D4108" s="6" t="s">
        <v>8795</v>
      </c>
      <c r="E4108" s="6" t="s">
        <v>153</v>
      </c>
      <c r="F4108" s="6" t="s">
        <v>103</v>
      </c>
      <c r="G4108" s="7">
        <v>0.04</v>
      </c>
      <c r="H4108" s="6" t="s">
        <v>113</v>
      </c>
      <c r="I4108" s="6" t="s">
        <v>20</v>
      </c>
      <c r="J4108" s="6">
        <v>2024.0</v>
      </c>
      <c r="K4108" s="10">
        <v>46057.0</v>
      </c>
      <c r="L4108" s="6">
        <v>1.0</v>
      </c>
      <c r="M4108" s="8">
        <f t="shared" si="4"/>
        <v>0.04</v>
      </c>
      <c r="P4108" s="9"/>
    </row>
    <row r="4109">
      <c r="A4109" s="6" t="s">
        <v>8796</v>
      </c>
      <c r="B4109" s="6" t="s">
        <v>182</v>
      </c>
      <c r="C4109" s="6" t="s">
        <v>23</v>
      </c>
      <c r="D4109" s="6" t="s">
        <v>8797</v>
      </c>
      <c r="E4109" s="6" t="s">
        <v>602</v>
      </c>
      <c r="F4109" s="6" t="s">
        <v>159</v>
      </c>
      <c r="G4109" s="7">
        <v>0.05</v>
      </c>
      <c r="H4109" s="6" t="s">
        <v>552</v>
      </c>
      <c r="I4109" s="6" t="s">
        <v>20</v>
      </c>
      <c r="J4109" s="6">
        <v>2020.0</v>
      </c>
      <c r="L4109" s="6">
        <v>1.0</v>
      </c>
      <c r="M4109" s="8">
        <f t="shared" si="4"/>
        <v>0.05</v>
      </c>
      <c r="P4109" s="9"/>
    </row>
    <row r="4110">
      <c r="A4110" s="6" t="s">
        <v>8796</v>
      </c>
      <c r="B4110" s="6" t="s">
        <v>182</v>
      </c>
      <c r="C4110" s="6" t="s">
        <v>23</v>
      </c>
      <c r="D4110" s="6" t="s">
        <v>8797</v>
      </c>
      <c r="E4110" s="6" t="s">
        <v>602</v>
      </c>
      <c r="F4110" s="6" t="s">
        <v>159</v>
      </c>
      <c r="G4110" s="7">
        <v>0.1</v>
      </c>
      <c r="H4110" s="6" t="s">
        <v>581</v>
      </c>
      <c r="I4110" s="6" t="s">
        <v>20</v>
      </c>
      <c r="J4110" s="6">
        <v>2022.0</v>
      </c>
      <c r="L4110" s="6">
        <v>1.0</v>
      </c>
      <c r="M4110" s="8">
        <f t="shared" si="4"/>
        <v>0.1</v>
      </c>
      <c r="P4110" s="9"/>
    </row>
    <row r="4111">
      <c r="A4111" s="6" t="s">
        <v>8798</v>
      </c>
      <c r="B4111" s="6" t="s">
        <v>1937</v>
      </c>
      <c r="C4111" s="6" t="s">
        <v>48</v>
      </c>
      <c r="D4111" s="6" t="s">
        <v>8799</v>
      </c>
      <c r="E4111" s="6" t="s">
        <v>196</v>
      </c>
      <c r="F4111" s="6" t="s">
        <v>65</v>
      </c>
      <c r="G4111" s="7">
        <v>0.19</v>
      </c>
      <c r="H4111" s="6" t="s">
        <v>641</v>
      </c>
      <c r="I4111" s="6" t="s">
        <v>20</v>
      </c>
      <c r="J4111" s="6">
        <v>2026.0</v>
      </c>
      <c r="K4111" s="10">
        <v>46024.0</v>
      </c>
      <c r="L4111" s="6">
        <v>1.0</v>
      </c>
      <c r="M4111" s="8">
        <f t="shared" si="4"/>
        <v>0.19</v>
      </c>
      <c r="P4111" s="9"/>
    </row>
    <row r="4112">
      <c r="A4112" s="6" t="s">
        <v>8800</v>
      </c>
      <c r="B4112" s="6" t="s">
        <v>8801</v>
      </c>
      <c r="C4112" s="6" t="s">
        <v>48</v>
      </c>
      <c r="D4112" s="6" t="s">
        <v>8802</v>
      </c>
      <c r="E4112" s="6" t="s">
        <v>118</v>
      </c>
      <c r="F4112" s="6" t="s">
        <v>51</v>
      </c>
      <c r="G4112" s="7">
        <v>0.15</v>
      </c>
      <c r="H4112" s="6" t="s">
        <v>411</v>
      </c>
      <c r="I4112" s="6" t="s">
        <v>20</v>
      </c>
      <c r="J4112" s="6">
        <v>2014.0</v>
      </c>
      <c r="K4112" s="10">
        <v>46023.0</v>
      </c>
      <c r="L4112" s="6">
        <v>1.0</v>
      </c>
      <c r="M4112" s="8">
        <f t="shared" si="4"/>
        <v>0.15</v>
      </c>
      <c r="P4112" s="9"/>
    </row>
    <row r="4113">
      <c r="A4113" s="6" t="s">
        <v>8803</v>
      </c>
      <c r="B4113" s="6" t="s">
        <v>307</v>
      </c>
      <c r="C4113" s="6" t="s">
        <v>48</v>
      </c>
      <c r="D4113" s="6" t="s">
        <v>8804</v>
      </c>
      <c r="E4113" s="6" t="s">
        <v>149</v>
      </c>
      <c r="F4113" s="6" t="s">
        <v>18</v>
      </c>
      <c r="G4113" s="7">
        <v>0.09</v>
      </c>
      <c r="H4113" s="6" t="s">
        <v>114</v>
      </c>
      <c r="I4113" s="6" t="s">
        <v>20</v>
      </c>
      <c r="J4113" s="6">
        <v>2021.0</v>
      </c>
      <c r="L4113" s="6">
        <v>1.0</v>
      </c>
      <c r="M4113" s="8">
        <f t="shared" si="4"/>
        <v>0.09</v>
      </c>
      <c r="P4113" s="9"/>
    </row>
    <row r="4114">
      <c r="A4114" s="6" t="s">
        <v>8805</v>
      </c>
      <c r="B4114" s="6" t="s">
        <v>709</v>
      </c>
      <c r="C4114" s="6" t="s">
        <v>41</v>
      </c>
      <c r="D4114" s="6" t="s">
        <v>8806</v>
      </c>
      <c r="E4114" s="6" t="s">
        <v>1321</v>
      </c>
      <c r="F4114" s="6" t="s">
        <v>103</v>
      </c>
      <c r="G4114" s="7">
        <v>0.2</v>
      </c>
      <c r="H4114" s="6" t="s">
        <v>705</v>
      </c>
      <c r="I4114" s="6" t="s">
        <v>20</v>
      </c>
      <c r="J4114" s="6">
        <v>2015.0</v>
      </c>
      <c r="K4114" s="10">
        <v>46116.0</v>
      </c>
      <c r="L4114" s="6">
        <v>1.0</v>
      </c>
      <c r="M4114" s="8">
        <f t="shared" si="4"/>
        <v>0.2</v>
      </c>
      <c r="P4114" s="9"/>
    </row>
    <row r="4115">
      <c r="A4115" s="6" t="s">
        <v>8807</v>
      </c>
      <c r="B4115" s="6" t="s">
        <v>127</v>
      </c>
      <c r="C4115" s="6" t="s">
        <v>23</v>
      </c>
      <c r="D4115" s="6" t="s">
        <v>8808</v>
      </c>
      <c r="E4115" s="6" t="s">
        <v>175</v>
      </c>
      <c r="F4115" s="6" t="s">
        <v>51</v>
      </c>
      <c r="G4115" s="7">
        <v>0.08</v>
      </c>
      <c r="H4115" s="6" t="s">
        <v>154</v>
      </c>
      <c r="I4115" s="6" t="s">
        <v>20</v>
      </c>
      <c r="J4115" s="6">
        <v>2013.0</v>
      </c>
      <c r="K4115" s="10">
        <v>46023.0</v>
      </c>
      <c r="L4115" s="6">
        <v>1.0</v>
      </c>
      <c r="M4115" s="8">
        <f t="shared" si="4"/>
        <v>0.08</v>
      </c>
      <c r="P4115" s="9"/>
    </row>
    <row r="4116">
      <c r="A4116" s="6" t="s">
        <v>8809</v>
      </c>
      <c r="B4116" s="6" t="s">
        <v>8810</v>
      </c>
      <c r="C4116" s="6" t="s">
        <v>23</v>
      </c>
      <c r="D4116" s="6" t="s">
        <v>8811</v>
      </c>
      <c r="E4116" s="6" t="s">
        <v>235</v>
      </c>
      <c r="F4116" s="6" t="s">
        <v>103</v>
      </c>
      <c r="G4116" s="7">
        <v>0.03</v>
      </c>
      <c r="H4116" s="6" t="s">
        <v>526</v>
      </c>
      <c r="I4116" s="6" t="s">
        <v>20</v>
      </c>
      <c r="J4116" s="6">
        <v>2020.0</v>
      </c>
      <c r="K4116" s="10">
        <v>46083.0</v>
      </c>
      <c r="L4116" s="6">
        <v>1.0</v>
      </c>
      <c r="M4116" s="8">
        <f t="shared" si="4"/>
        <v>0.03</v>
      </c>
      <c r="P4116" s="9"/>
    </row>
    <row r="4117">
      <c r="A4117" s="6" t="s">
        <v>8812</v>
      </c>
      <c r="B4117" s="6" t="s">
        <v>194</v>
      </c>
      <c r="C4117" s="6" t="s">
        <v>23</v>
      </c>
      <c r="D4117" s="6" t="s">
        <v>8813</v>
      </c>
      <c r="E4117" s="6" t="s">
        <v>167</v>
      </c>
      <c r="F4117" s="6" t="s">
        <v>103</v>
      </c>
      <c r="G4117" s="7">
        <v>0.1</v>
      </c>
      <c r="H4117" s="6" t="s">
        <v>370</v>
      </c>
      <c r="I4117" s="6" t="s">
        <v>20</v>
      </c>
      <c r="J4117" s="6">
        <v>1996.0</v>
      </c>
      <c r="L4117" s="6">
        <v>1.0</v>
      </c>
      <c r="M4117" s="8">
        <f t="shared" si="4"/>
        <v>0.1</v>
      </c>
      <c r="P4117" s="9"/>
    </row>
    <row r="4118">
      <c r="A4118" s="6" t="s">
        <v>8814</v>
      </c>
      <c r="B4118" s="6" t="s">
        <v>8815</v>
      </c>
      <c r="C4118" s="6" t="s">
        <v>23</v>
      </c>
      <c r="D4118" s="6" t="s">
        <v>8816</v>
      </c>
      <c r="E4118" s="6" t="s">
        <v>153</v>
      </c>
      <c r="F4118" s="6" t="s">
        <v>103</v>
      </c>
      <c r="G4118" s="7">
        <v>0.03</v>
      </c>
      <c r="H4118" s="6" t="s">
        <v>562</v>
      </c>
      <c r="I4118" s="6" t="s">
        <v>20</v>
      </c>
      <c r="J4118" s="6">
        <v>2017.0</v>
      </c>
      <c r="K4118" s="10">
        <v>46146.0</v>
      </c>
      <c r="L4118" s="6">
        <v>1.0</v>
      </c>
      <c r="M4118" s="8">
        <f t="shared" si="4"/>
        <v>0.03</v>
      </c>
      <c r="P4118" s="9"/>
    </row>
    <row r="4119">
      <c r="A4119" s="6" t="s">
        <v>8817</v>
      </c>
      <c r="B4119" s="6" t="s">
        <v>8818</v>
      </c>
      <c r="C4119" s="6" t="s">
        <v>23</v>
      </c>
      <c r="D4119" s="6" t="s">
        <v>8819</v>
      </c>
      <c r="E4119" s="6" t="s">
        <v>43</v>
      </c>
      <c r="F4119" s="6" t="s">
        <v>44</v>
      </c>
      <c r="G4119" s="7">
        <v>0.04</v>
      </c>
      <c r="H4119" s="6" t="s">
        <v>978</v>
      </c>
      <c r="I4119" s="6" t="s">
        <v>20</v>
      </c>
      <c r="J4119" s="6">
        <v>2022.0</v>
      </c>
      <c r="K4119" s="10">
        <v>46116.0</v>
      </c>
      <c r="L4119" s="6">
        <v>1.0</v>
      </c>
      <c r="M4119" s="8">
        <f t="shared" si="4"/>
        <v>0.04</v>
      </c>
      <c r="P4119" s="9"/>
    </row>
    <row r="4120">
      <c r="A4120" s="6" t="s">
        <v>8820</v>
      </c>
      <c r="B4120" s="6" t="s">
        <v>62</v>
      </c>
      <c r="C4120" s="6" t="s">
        <v>23</v>
      </c>
      <c r="D4120" s="6" t="s">
        <v>8821</v>
      </c>
      <c r="E4120" s="6" t="s">
        <v>118</v>
      </c>
      <c r="F4120" s="6" t="s">
        <v>51</v>
      </c>
      <c r="G4120" s="7">
        <v>0.08</v>
      </c>
      <c r="H4120" s="6" t="s">
        <v>491</v>
      </c>
      <c r="I4120" s="6" t="s">
        <v>20</v>
      </c>
      <c r="J4120" s="6">
        <v>2011.0</v>
      </c>
      <c r="L4120" s="6">
        <v>4.0</v>
      </c>
      <c r="M4120" s="8">
        <f t="shared" si="4"/>
        <v>0.32</v>
      </c>
      <c r="P4120" s="9"/>
    </row>
    <row r="4121">
      <c r="A4121" s="6" t="s">
        <v>8822</v>
      </c>
      <c r="B4121" s="6" t="s">
        <v>182</v>
      </c>
      <c r="C4121" s="6" t="s">
        <v>23</v>
      </c>
      <c r="D4121" s="6" t="s">
        <v>8823</v>
      </c>
      <c r="E4121" s="6" t="s">
        <v>167</v>
      </c>
      <c r="F4121" s="6" t="s">
        <v>103</v>
      </c>
      <c r="G4121" s="7">
        <v>0.05</v>
      </c>
      <c r="H4121" s="6" t="s">
        <v>406</v>
      </c>
      <c r="I4121" s="6" t="s">
        <v>20</v>
      </c>
      <c r="J4121" s="6">
        <v>2019.0</v>
      </c>
      <c r="L4121" s="6">
        <v>1.0</v>
      </c>
      <c r="M4121" s="8">
        <f t="shared" si="4"/>
        <v>0.05</v>
      </c>
      <c r="P4121" s="9"/>
    </row>
    <row r="4122">
      <c r="A4122" s="6" t="s">
        <v>8824</v>
      </c>
      <c r="B4122" s="6" t="s">
        <v>1127</v>
      </c>
      <c r="C4122" s="6" t="s">
        <v>34</v>
      </c>
      <c r="D4122" s="6" t="s">
        <v>8825</v>
      </c>
      <c r="E4122" s="6" t="s">
        <v>681</v>
      </c>
      <c r="F4122" s="6" t="s">
        <v>65</v>
      </c>
      <c r="G4122" s="7">
        <v>0.09</v>
      </c>
      <c r="H4122" s="6" t="s">
        <v>180</v>
      </c>
      <c r="I4122" s="6" t="s">
        <v>20</v>
      </c>
      <c r="J4122" s="6">
        <v>2014.0</v>
      </c>
      <c r="K4122" s="10">
        <v>46023.0</v>
      </c>
      <c r="L4122" s="6">
        <v>1.0</v>
      </c>
      <c r="M4122" s="8">
        <f t="shared" si="4"/>
        <v>0.09</v>
      </c>
      <c r="P4122" s="9"/>
    </row>
    <row r="4123">
      <c r="A4123" s="6" t="s">
        <v>8826</v>
      </c>
      <c r="B4123" s="6" t="s">
        <v>62</v>
      </c>
      <c r="C4123" s="6" t="s">
        <v>48</v>
      </c>
      <c r="D4123" s="6" t="s">
        <v>8827</v>
      </c>
      <c r="E4123" s="6" t="s">
        <v>8828</v>
      </c>
      <c r="F4123" s="6" t="s">
        <v>37</v>
      </c>
      <c r="G4123" s="7">
        <v>0.08</v>
      </c>
      <c r="H4123" s="6" t="s">
        <v>336</v>
      </c>
      <c r="I4123" s="6" t="s">
        <v>20</v>
      </c>
      <c r="J4123" s="6">
        <v>2016.0</v>
      </c>
      <c r="L4123" s="6">
        <v>2.0</v>
      </c>
      <c r="M4123" s="8">
        <f t="shared" si="4"/>
        <v>0.16</v>
      </c>
      <c r="P4123" s="9"/>
    </row>
    <row r="4124">
      <c r="A4124" s="6" t="s">
        <v>8829</v>
      </c>
      <c r="B4124" s="6" t="s">
        <v>8830</v>
      </c>
      <c r="C4124" s="6" t="s">
        <v>684</v>
      </c>
      <c r="D4124" s="6" t="s">
        <v>8831</v>
      </c>
      <c r="E4124" s="6" t="s">
        <v>8832</v>
      </c>
      <c r="F4124" s="6" t="s">
        <v>103</v>
      </c>
      <c r="G4124" s="7">
        <v>2.17</v>
      </c>
      <c r="H4124" s="6" t="s">
        <v>515</v>
      </c>
      <c r="I4124" s="6" t="s">
        <v>20</v>
      </c>
      <c r="J4124" s="6">
        <v>2019.0</v>
      </c>
      <c r="K4124" s="10">
        <v>46116.0</v>
      </c>
      <c r="L4124" s="6">
        <v>1.0</v>
      </c>
      <c r="M4124" s="8">
        <f t="shared" si="4"/>
        <v>2.17</v>
      </c>
      <c r="P4124" s="9"/>
    </row>
    <row r="4125">
      <c r="A4125" s="6" t="s">
        <v>8833</v>
      </c>
      <c r="B4125" s="6" t="s">
        <v>8586</v>
      </c>
      <c r="C4125" s="6" t="s">
        <v>212</v>
      </c>
      <c r="D4125" s="6" t="s">
        <v>8834</v>
      </c>
      <c r="E4125" s="6" t="s">
        <v>4104</v>
      </c>
      <c r="F4125" s="6" t="s">
        <v>65</v>
      </c>
      <c r="G4125" s="7">
        <v>0.33</v>
      </c>
      <c r="H4125" s="6" t="s">
        <v>483</v>
      </c>
      <c r="I4125" s="6" t="s">
        <v>20</v>
      </c>
      <c r="J4125" s="6">
        <v>2014.0</v>
      </c>
      <c r="K4125" s="10">
        <v>46147.0</v>
      </c>
      <c r="L4125" s="6">
        <v>1.0</v>
      </c>
      <c r="M4125" s="8">
        <f t="shared" si="4"/>
        <v>0.33</v>
      </c>
      <c r="P4125" s="9"/>
    </row>
    <row r="4126">
      <c r="A4126" s="6" t="s">
        <v>8833</v>
      </c>
      <c r="B4126" s="6" t="s">
        <v>2545</v>
      </c>
      <c r="C4126" s="6" t="s">
        <v>41</v>
      </c>
      <c r="D4126" s="6" t="s">
        <v>8835</v>
      </c>
      <c r="E4126" s="6" t="s">
        <v>2070</v>
      </c>
      <c r="F4126" s="6" t="s">
        <v>65</v>
      </c>
      <c r="G4126" s="7">
        <v>0.33</v>
      </c>
      <c r="H4126" s="6" t="s">
        <v>2875</v>
      </c>
      <c r="I4126" s="6" t="s">
        <v>55</v>
      </c>
      <c r="J4126" s="6">
        <v>2014.0</v>
      </c>
      <c r="K4126" s="10">
        <v>46147.0</v>
      </c>
      <c r="L4126" s="6">
        <v>1.0</v>
      </c>
      <c r="M4126" s="8">
        <f t="shared" si="4"/>
        <v>0.33</v>
      </c>
      <c r="P4126" s="9"/>
    </row>
    <row r="4127">
      <c r="A4127" s="6" t="s">
        <v>8836</v>
      </c>
      <c r="B4127" s="6" t="s">
        <v>326</v>
      </c>
      <c r="C4127" s="6" t="s">
        <v>4336</v>
      </c>
      <c r="D4127" s="6" t="s">
        <v>8837</v>
      </c>
      <c r="E4127" s="6" t="s">
        <v>270</v>
      </c>
      <c r="F4127" s="6" t="s">
        <v>159</v>
      </c>
      <c r="G4127" s="7">
        <v>0.43</v>
      </c>
      <c r="H4127" s="6" t="s">
        <v>1361</v>
      </c>
      <c r="I4127" s="6" t="s">
        <v>20</v>
      </c>
      <c r="J4127" s="6">
        <v>2008.0</v>
      </c>
      <c r="K4127" s="10">
        <v>46055.0</v>
      </c>
      <c r="L4127" s="6">
        <v>1.0</v>
      </c>
      <c r="M4127" s="8">
        <f t="shared" si="4"/>
        <v>0.43</v>
      </c>
      <c r="P4127" s="9"/>
    </row>
    <row r="4128">
      <c r="A4128" s="6" t="s">
        <v>8838</v>
      </c>
      <c r="B4128" s="6" t="s">
        <v>4693</v>
      </c>
      <c r="C4128" s="6" t="s">
        <v>48</v>
      </c>
      <c r="D4128" s="6" t="s">
        <v>8839</v>
      </c>
      <c r="E4128" s="6" t="s">
        <v>558</v>
      </c>
      <c r="F4128" s="6" t="s">
        <v>18</v>
      </c>
      <c r="G4128" s="7">
        <v>0.04</v>
      </c>
      <c r="H4128" s="6" t="s">
        <v>171</v>
      </c>
      <c r="I4128" s="6" t="s">
        <v>20</v>
      </c>
      <c r="J4128" s="6">
        <v>2021.0</v>
      </c>
      <c r="K4128" s="10">
        <v>46024.0</v>
      </c>
      <c r="L4128" s="6">
        <v>1.0</v>
      </c>
      <c r="M4128" s="8">
        <f t="shared" si="4"/>
        <v>0.04</v>
      </c>
      <c r="P4128" s="9"/>
    </row>
    <row r="4129">
      <c r="A4129" s="6" t="s">
        <v>8840</v>
      </c>
      <c r="B4129" s="6" t="s">
        <v>8841</v>
      </c>
      <c r="C4129" s="6" t="s">
        <v>15</v>
      </c>
      <c r="D4129" s="6" t="s">
        <v>8842</v>
      </c>
      <c r="E4129" s="6" t="s">
        <v>8843</v>
      </c>
      <c r="F4129" s="6" t="s">
        <v>858</v>
      </c>
      <c r="G4129" s="7">
        <v>0.19</v>
      </c>
      <c r="H4129" s="6" t="s">
        <v>807</v>
      </c>
      <c r="I4129" s="6" t="s">
        <v>20</v>
      </c>
      <c r="J4129" s="6">
        <v>2026.0</v>
      </c>
      <c r="K4129" s="10">
        <v>46113.0</v>
      </c>
      <c r="L4129" s="6">
        <v>1.0</v>
      </c>
      <c r="M4129" s="8">
        <f t="shared" si="4"/>
        <v>0.19</v>
      </c>
      <c r="P4129" s="9"/>
    </row>
    <row r="4130">
      <c r="A4130" s="6" t="s">
        <v>8844</v>
      </c>
      <c r="B4130" s="6" t="s">
        <v>3412</v>
      </c>
      <c r="C4130" s="6" t="s">
        <v>23</v>
      </c>
      <c r="D4130" s="6" t="s">
        <v>8845</v>
      </c>
      <c r="E4130" s="6" t="s">
        <v>1321</v>
      </c>
      <c r="F4130" s="6" t="s">
        <v>103</v>
      </c>
      <c r="G4130" s="7">
        <v>0.17</v>
      </c>
      <c r="H4130" s="6" t="s">
        <v>645</v>
      </c>
      <c r="I4130" s="6" t="s">
        <v>55</v>
      </c>
      <c r="J4130" s="6">
        <v>2024.0</v>
      </c>
      <c r="K4130" s="10">
        <v>46148.0</v>
      </c>
      <c r="L4130" s="6">
        <v>3.0</v>
      </c>
      <c r="M4130" s="8">
        <f t="shared" si="4"/>
        <v>0.51</v>
      </c>
      <c r="P4130" s="9"/>
    </row>
    <row r="4131">
      <c r="A4131" s="6" t="s">
        <v>8846</v>
      </c>
      <c r="B4131" s="6" t="s">
        <v>8847</v>
      </c>
      <c r="C4131" s="6" t="s">
        <v>48</v>
      </c>
      <c r="D4131" s="6" t="s">
        <v>8848</v>
      </c>
      <c r="E4131" s="6" t="s">
        <v>112</v>
      </c>
      <c r="F4131" s="6" t="s">
        <v>65</v>
      </c>
      <c r="G4131" s="7">
        <v>0.19</v>
      </c>
      <c r="H4131" s="6" t="s">
        <v>31</v>
      </c>
      <c r="I4131" s="6" t="s">
        <v>55</v>
      </c>
      <c r="J4131" s="6">
        <v>2026.0</v>
      </c>
      <c r="K4131" s="10">
        <v>46055.0</v>
      </c>
      <c r="L4131" s="6">
        <v>1.0</v>
      </c>
      <c r="M4131" s="8">
        <f t="shared" si="4"/>
        <v>0.19</v>
      </c>
      <c r="P4131" s="9"/>
    </row>
    <row r="4132">
      <c r="A4132" s="6" t="s">
        <v>8849</v>
      </c>
      <c r="B4132" s="6" t="s">
        <v>62</v>
      </c>
      <c r="C4132" s="6" t="s">
        <v>23</v>
      </c>
      <c r="D4132" s="6" t="s">
        <v>8850</v>
      </c>
      <c r="E4132" s="6" t="s">
        <v>248</v>
      </c>
      <c r="F4132" s="6" t="s">
        <v>18</v>
      </c>
      <c r="G4132" s="7">
        <v>0.5</v>
      </c>
      <c r="H4132" s="6" t="s">
        <v>418</v>
      </c>
      <c r="I4132" s="6" t="s">
        <v>20</v>
      </c>
      <c r="J4132" s="6">
        <v>2022.0</v>
      </c>
      <c r="L4132" s="6">
        <v>2.0</v>
      </c>
      <c r="M4132" s="8">
        <f t="shared" si="4"/>
        <v>1</v>
      </c>
      <c r="P4132" s="9"/>
    </row>
    <row r="4133">
      <c r="A4133" s="6" t="s">
        <v>8849</v>
      </c>
      <c r="B4133" s="6" t="s">
        <v>62</v>
      </c>
      <c r="C4133" s="6" t="s">
        <v>41</v>
      </c>
      <c r="D4133" s="6" t="s">
        <v>8850</v>
      </c>
      <c r="E4133" s="6" t="s">
        <v>248</v>
      </c>
      <c r="F4133" s="6" t="s">
        <v>18</v>
      </c>
      <c r="G4133" s="7">
        <v>1.8</v>
      </c>
      <c r="H4133" s="6" t="s">
        <v>8851</v>
      </c>
      <c r="I4133" s="6" t="s">
        <v>20</v>
      </c>
      <c r="J4133" s="6">
        <v>2022.0</v>
      </c>
      <c r="L4133" s="6">
        <v>1.0</v>
      </c>
      <c r="M4133" s="8"/>
      <c r="P4133" s="9"/>
    </row>
    <row r="4134">
      <c r="A4134" s="6" t="s">
        <v>8852</v>
      </c>
      <c r="B4134" s="6" t="s">
        <v>62</v>
      </c>
      <c r="C4134" s="6" t="s">
        <v>23</v>
      </c>
      <c r="D4134" s="6" t="s">
        <v>8853</v>
      </c>
      <c r="E4134" s="6" t="s">
        <v>25</v>
      </c>
      <c r="F4134" s="6" t="s">
        <v>18</v>
      </c>
      <c r="G4134" s="7">
        <v>0.06</v>
      </c>
      <c r="H4134" s="6" t="s">
        <v>1748</v>
      </c>
      <c r="I4134" s="6" t="s">
        <v>20</v>
      </c>
      <c r="J4134" s="6">
        <v>2008.0</v>
      </c>
      <c r="L4134" s="6">
        <v>1.0</v>
      </c>
      <c r="M4134" s="8">
        <f t="shared" ref="M4134:M6026" si="5">L4134*G4134</f>
        <v>0.06</v>
      </c>
      <c r="P4134" s="9"/>
    </row>
    <row r="4135">
      <c r="A4135" s="6" t="s">
        <v>8854</v>
      </c>
      <c r="B4135" s="6" t="s">
        <v>2471</v>
      </c>
      <c r="C4135" s="6" t="s">
        <v>23</v>
      </c>
      <c r="D4135" s="6" t="s">
        <v>8855</v>
      </c>
      <c r="E4135" s="6" t="s">
        <v>30</v>
      </c>
      <c r="F4135" s="6" t="s">
        <v>18</v>
      </c>
      <c r="G4135" s="7">
        <v>0.06</v>
      </c>
      <c r="H4135" s="6" t="s">
        <v>204</v>
      </c>
      <c r="I4135" s="6" t="s">
        <v>20</v>
      </c>
      <c r="J4135" s="6">
        <v>2026.0</v>
      </c>
      <c r="K4135" s="10">
        <v>46084.0</v>
      </c>
      <c r="L4135" s="6">
        <v>1.0</v>
      </c>
      <c r="M4135" s="8">
        <f t="shared" si="5"/>
        <v>0.06</v>
      </c>
      <c r="P4135" s="9"/>
    </row>
    <row r="4136">
      <c r="A4136" s="6" t="s">
        <v>8856</v>
      </c>
      <c r="B4136" s="6" t="s">
        <v>143</v>
      </c>
      <c r="C4136" s="6" t="s">
        <v>41</v>
      </c>
      <c r="D4136" s="6" t="s">
        <v>8857</v>
      </c>
      <c r="E4136" s="6" t="s">
        <v>36</v>
      </c>
      <c r="F4136" s="6" t="s">
        <v>37</v>
      </c>
      <c r="G4136" s="7">
        <v>0.5</v>
      </c>
      <c r="H4136" s="6" t="s">
        <v>491</v>
      </c>
      <c r="I4136" s="6" t="s">
        <v>20</v>
      </c>
      <c r="J4136" s="6">
        <v>2011.0</v>
      </c>
      <c r="L4136" s="6">
        <v>1.0</v>
      </c>
      <c r="M4136" s="8">
        <f t="shared" si="5"/>
        <v>0.5</v>
      </c>
      <c r="P4136" s="9"/>
    </row>
    <row r="4137">
      <c r="A4137" s="6" t="s">
        <v>8858</v>
      </c>
      <c r="B4137" s="6" t="s">
        <v>8071</v>
      </c>
      <c r="C4137" s="6" t="s">
        <v>48</v>
      </c>
      <c r="D4137" s="6" t="s">
        <v>8859</v>
      </c>
      <c r="E4137" s="6" t="s">
        <v>2235</v>
      </c>
      <c r="F4137" s="6" t="s">
        <v>3489</v>
      </c>
      <c r="G4137" s="7">
        <v>0.03</v>
      </c>
      <c r="H4137" s="6" t="s">
        <v>185</v>
      </c>
      <c r="I4137" s="6" t="s">
        <v>20</v>
      </c>
      <c r="J4137" s="6">
        <v>2019.0</v>
      </c>
      <c r="K4137" s="10">
        <v>46147.0</v>
      </c>
      <c r="L4137" s="6">
        <v>1.0</v>
      </c>
      <c r="M4137" s="8">
        <f t="shared" si="5"/>
        <v>0.03</v>
      </c>
      <c r="P4137" s="9"/>
    </row>
    <row r="4138">
      <c r="A4138" s="6" t="s">
        <v>8860</v>
      </c>
      <c r="B4138" s="6" t="s">
        <v>8861</v>
      </c>
      <c r="C4138" s="6" t="s">
        <v>212</v>
      </c>
      <c r="D4138" s="6" t="s">
        <v>8862</v>
      </c>
      <c r="E4138" s="6" t="s">
        <v>3821</v>
      </c>
      <c r="F4138" s="6" t="s">
        <v>18</v>
      </c>
      <c r="G4138" s="7">
        <v>0.24</v>
      </c>
      <c r="H4138" s="6" t="s">
        <v>180</v>
      </c>
      <c r="I4138" s="6" t="s">
        <v>20</v>
      </c>
      <c r="J4138" s="6">
        <v>2014.0</v>
      </c>
      <c r="K4138" s="10">
        <v>46178.0</v>
      </c>
      <c r="L4138" s="6">
        <v>1.0</v>
      </c>
      <c r="M4138" s="8">
        <f t="shared" si="5"/>
        <v>0.24</v>
      </c>
      <c r="P4138" s="9"/>
    </row>
    <row r="4139">
      <c r="A4139" s="6" t="s">
        <v>8863</v>
      </c>
      <c r="B4139" s="6" t="s">
        <v>548</v>
      </c>
      <c r="C4139" s="6" t="s">
        <v>48</v>
      </c>
      <c r="D4139" s="6" t="s">
        <v>8864</v>
      </c>
      <c r="E4139" s="6" t="s">
        <v>64</v>
      </c>
      <c r="F4139" s="6" t="s">
        <v>65</v>
      </c>
      <c r="G4139" s="7">
        <v>0.12</v>
      </c>
      <c r="H4139" s="6" t="s">
        <v>192</v>
      </c>
      <c r="I4139" s="6" t="s">
        <v>20</v>
      </c>
      <c r="J4139" s="6">
        <v>2026.0</v>
      </c>
      <c r="L4139" s="6">
        <v>2.0</v>
      </c>
      <c r="M4139" s="8">
        <f t="shared" si="5"/>
        <v>0.24</v>
      </c>
      <c r="P4139" s="9"/>
    </row>
    <row r="4140">
      <c r="A4140" s="6" t="s">
        <v>8865</v>
      </c>
      <c r="B4140" s="6" t="s">
        <v>372</v>
      </c>
      <c r="C4140" s="6" t="s">
        <v>23</v>
      </c>
      <c r="D4140" s="6" t="s">
        <v>8866</v>
      </c>
      <c r="E4140" s="6" t="s">
        <v>238</v>
      </c>
      <c r="F4140" s="6" t="s">
        <v>159</v>
      </c>
      <c r="G4140" s="7">
        <v>0.6</v>
      </c>
      <c r="H4140" s="6" t="s">
        <v>1418</v>
      </c>
      <c r="I4140" s="6" t="s">
        <v>20</v>
      </c>
      <c r="J4140" s="6">
        <v>2010.0</v>
      </c>
      <c r="L4140" s="6">
        <v>2.0</v>
      </c>
      <c r="M4140" s="8">
        <f t="shared" si="5"/>
        <v>1.2</v>
      </c>
      <c r="P4140" s="9"/>
    </row>
    <row r="4141">
      <c r="A4141" s="6" t="s">
        <v>8867</v>
      </c>
      <c r="B4141" s="6" t="s">
        <v>8868</v>
      </c>
      <c r="C4141" s="6" t="s">
        <v>34</v>
      </c>
      <c r="D4141" s="6" t="s">
        <v>8869</v>
      </c>
      <c r="E4141" s="6" t="s">
        <v>36</v>
      </c>
      <c r="F4141" s="6" t="s">
        <v>37</v>
      </c>
      <c r="G4141" s="7">
        <v>0.1</v>
      </c>
      <c r="H4141" s="6" t="s">
        <v>2111</v>
      </c>
      <c r="I4141" s="6" t="s">
        <v>20</v>
      </c>
      <c r="J4141" s="6">
        <v>2025.0</v>
      </c>
      <c r="K4141" s="10">
        <v>46024.0</v>
      </c>
      <c r="L4141" s="6">
        <v>1.0</v>
      </c>
      <c r="M4141" s="8">
        <f t="shared" si="5"/>
        <v>0.1</v>
      </c>
      <c r="P4141" s="9"/>
    </row>
    <row r="4142">
      <c r="A4142" s="6" t="s">
        <v>8870</v>
      </c>
      <c r="B4142" s="6" t="s">
        <v>8871</v>
      </c>
      <c r="C4142" s="6" t="s">
        <v>34</v>
      </c>
      <c r="D4142" s="6" t="s">
        <v>8872</v>
      </c>
      <c r="E4142" s="6" t="s">
        <v>1475</v>
      </c>
      <c r="F4142" s="6" t="s">
        <v>65</v>
      </c>
      <c r="G4142" s="7">
        <v>0.15</v>
      </c>
      <c r="H4142" s="6" t="s">
        <v>2111</v>
      </c>
      <c r="I4142" s="6" t="s">
        <v>20</v>
      </c>
      <c r="J4142" s="6">
        <v>2025.0</v>
      </c>
      <c r="K4142" s="10">
        <v>46083.0</v>
      </c>
      <c r="L4142" s="6">
        <v>5.0</v>
      </c>
      <c r="M4142" s="8">
        <f t="shared" si="5"/>
        <v>0.75</v>
      </c>
      <c r="P4142" s="9"/>
    </row>
    <row r="4143">
      <c r="A4143" s="6" t="s">
        <v>8873</v>
      </c>
      <c r="B4143" s="6" t="s">
        <v>8871</v>
      </c>
      <c r="C4143" s="6" t="s">
        <v>34</v>
      </c>
      <c r="D4143" s="6" t="s">
        <v>8874</v>
      </c>
      <c r="E4143" s="6" t="s">
        <v>364</v>
      </c>
      <c r="F4143" s="6" t="s">
        <v>51</v>
      </c>
      <c r="G4143" s="7">
        <v>0.25</v>
      </c>
      <c r="H4143" s="6" t="s">
        <v>38</v>
      </c>
      <c r="I4143" s="6" t="s">
        <v>20</v>
      </c>
      <c r="J4143" s="6">
        <v>2025.0</v>
      </c>
      <c r="K4143" s="10">
        <v>46084.0</v>
      </c>
      <c r="L4143" s="6">
        <v>3.0</v>
      </c>
      <c r="M4143" s="8">
        <f t="shared" si="5"/>
        <v>0.75</v>
      </c>
      <c r="P4143" s="9"/>
    </row>
    <row r="4144">
      <c r="A4144" s="6" t="s">
        <v>8875</v>
      </c>
      <c r="B4144" s="6" t="s">
        <v>677</v>
      </c>
      <c r="C4144" s="6" t="s">
        <v>23</v>
      </c>
      <c r="D4144" s="6" t="s">
        <v>8876</v>
      </c>
      <c r="E4144" s="6" t="s">
        <v>298</v>
      </c>
      <c r="F4144" s="6" t="s">
        <v>159</v>
      </c>
      <c r="G4144" s="7">
        <v>0.05</v>
      </c>
      <c r="H4144" s="6" t="s">
        <v>701</v>
      </c>
      <c r="I4144" s="6" t="s">
        <v>20</v>
      </c>
      <c r="J4144" s="6">
        <v>2012.0</v>
      </c>
      <c r="K4144" s="10">
        <v>46057.0</v>
      </c>
      <c r="L4144" s="6">
        <v>2.0</v>
      </c>
      <c r="M4144" s="8">
        <f t="shared" si="5"/>
        <v>0.1</v>
      </c>
      <c r="P4144" s="9"/>
    </row>
    <row r="4145">
      <c r="A4145" s="6" t="s">
        <v>8877</v>
      </c>
      <c r="B4145" s="6" t="s">
        <v>307</v>
      </c>
      <c r="C4145" s="6" t="s">
        <v>23</v>
      </c>
      <c r="D4145" s="6" t="s">
        <v>8878</v>
      </c>
      <c r="E4145" s="6" t="s">
        <v>303</v>
      </c>
      <c r="F4145" s="6" t="s">
        <v>37</v>
      </c>
      <c r="G4145" s="7">
        <v>0.06</v>
      </c>
      <c r="H4145" s="6" t="s">
        <v>1675</v>
      </c>
      <c r="I4145" s="6" t="s">
        <v>20</v>
      </c>
      <c r="J4145" s="6">
        <v>2021.0</v>
      </c>
      <c r="L4145" s="6">
        <v>1.0</v>
      </c>
      <c r="M4145" s="8">
        <f t="shared" si="5"/>
        <v>0.06</v>
      </c>
      <c r="N4145" s="6" t="s">
        <v>518</v>
      </c>
      <c r="P4145" s="9"/>
    </row>
    <row r="4146">
      <c r="A4146" s="6" t="s">
        <v>8879</v>
      </c>
      <c r="B4146" s="6" t="s">
        <v>5651</v>
      </c>
      <c r="C4146" s="6" t="s">
        <v>23</v>
      </c>
      <c r="D4146" s="6" t="s">
        <v>8880</v>
      </c>
      <c r="E4146" s="6" t="s">
        <v>64</v>
      </c>
      <c r="F4146" s="6" t="s">
        <v>65</v>
      </c>
      <c r="G4146" s="7">
        <v>0.05</v>
      </c>
      <c r="H4146" s="6" t="s">
        <v>305</v>
      </c>
      <c r="I4146" s="6" t="s">
        <v>20</v>
      </c>
      <c r="J4146" s="6">
        <v>2003.0</v>
      </c>
      <c r="K4146" s="10">
        <v>46054.0</v>
      </c>
      <c r="L4146" s="6">
        <v>1.0</v>
      </c>
      <c r="M4146" s="8">
        <f t="shared" si="5"/>
        <v>0.05</v>
      </c>
      <c r="P4146" s="9"/>
    </row>
    <row r="4147">
      <c r="A4147" s="6" t="s">
        <v>8881</v>
      </c>
      <c r="B4147" s="6" t="s">
        <v>1032</v>
      </c>
      <c r="C4147" s="6" t="s">
        <v>23</v>
      </c>
      <c r="D4147" s="6" t="s">
        <v>8882</v>
      </c>
      <c r="E4147" s="6" t="s">
        <v>533</v>
      </c>
      <c r="F4147" s="6" t="s">
        <v>65</v>
      </c>
      <c r="G4147" s="7">
        <v>0.04</v>
      </c>
      <c r="H4147" s="6" t="s">
        <v>185</v>
      </c>
      <c r="I4147" s="6" t="s">
        <v>20</v>
      </c>
      <c r="J4147" s="6">
        <v>2019.0</v>
      </c>
      <c r="K4147" s="10">
        <v>46058.0</v>
      </c>
      <c r="L4147" s="6">
        <v>1.0</v>
      </c>
      <c r="M4147" s="8">
        <f t="shared" si="5"/>
        <v>0.04</v>
      </c>
      <c r="P4147" s="9"/>
    </row>
    <row r="4148">
      <c r="A4148" s="6" t="s">
        <v>8883</v>
      </c>
      <c r="B4148" s="6" t="s">
        <v>194</v>
      </c>
      <c r="C4148" s="6" t="s">
        <v>23</v>
      </c>
      <c r="D4148" s="6" t="s">
        <v>8884</v>
      </c>
      <c r="E4148" s="6" t="s">
        <v>1336</v>
      </c>
      <c r="F4148" s="6" t="s">
        <v>103</v>
      </c>
      <c r="G4148" s="7">
        <v>0.1</v>
      </c>
      <c r="H4148" s="6" t="s">
        <v>324</v>
      </c>
      <c r="I4148" s="6" t="s">
        <v>20</v>
      </c>
      <c r="J4148" s="6">
        <v>2025.0</v>
      </c>
      <c r="L4148" s="6">
        <v>2.0</v>
      </c>
      <c r="M4148" s="8">
        <f t="shared" si="5"/>
        <v>0.2</v>
      </c>
      <c r="P4148" s="9"/>
    </row>
    <row r="4149">
      <c r="A4149" s="6" t="s">
        <v>8885</v>
      </c>
      <c r="B4149" s="6" t="s">
        <v>307</v>
      </c>
      <c r="C4149" s="6" t="s">
        <v>41</v>
      </c>
      <c r="D4149" s="6" t="s">
        <v>8886</v>
      </c>
      <c r="E4149" s="6" t="s">
        <v>2235</v>
      </c>
      <c r="F4149" s="6" t="s">
        <v>37</v>
      </c>
      <c r="G4149" s="7">
        <v>0.8</v>
      </c>
      <c r="H4149" s="6" t="s">
        <v>8887</v>
      </c>
      <c r="I4149" s="6" t="s">
        <v>20</v>
      </c>
      <c r="J4149" s="6">
        <v>2024.0</v>
      </c>
      <c r="L4149" s="6">
        <v>1.0</v>
      </c>
      <c r="M4149" s="8">
        <f t="shared" si="5"/>
        <v>0.8</v>
      </c>
      <c r="N4149" s="6" t="s">
        <v>172</v>
      </c>
      <c r="P4149" s="9"/>
    </row>
    <row r="4150">
      <c r="A4150" s="6" t="s">
        <v>8888</v>
      </c>
      <c r="B4150" s="6" t="s">
        <v>2139</v>
      </c>
      <c r="C4150" s="6" t="s">
        <v>34</v>
      </c>
      <c r="D4150" s="6" t="s">
        <v>8889</v>
      </c>
      <c r="E4150" s="6" t="s">
        <v>696</v>
      </c>
      <c r="F4150" s="6" t="s">
        <v>37</v>
      </c>
      <c r="G4150" s="7">
        <v>0.1</v>
      </c>
      <c r="H4150" s="6" t="s">
        <v>4377</v>
      </c>
      <c r="I4150" s="6" t="s">
        <v>20</v>
      </c>
      <c r="J4150" s="6">
        <v>2004.0</v>
      </c>
      <c r="K4150" s="10">
        <v>46114.0</v>
      </c>
      <c r="L4150" s="6">
        <v>2.0</v>
      </c>
      <c r="M4150" s="8">
        <f t="shared" si="5"/>
        <v>0.2</v>
      </c>
      <c r="P4150" s="9"/>
    </row>
    <row r="4151">
      <c r="A4151" s="6" t="s">
        <v>8890</v>
      </c>
      <c r="B4151" s="6" t="s">
        <v>1808</v>
      </c>
      <c r="C4151" s="6" t="s">
        <v>48</v>
      </c>
      <c r="D4151" s="6" t="s">
        <v>8891</v>
      </c>
      <c r="E4151" s="6" t="s">
        <v>235</v>
      </c>
      <c r="F4151" s="6" t="s">
        <v>103</v>
      </c>
      <c r="G4151" s="7">
        <v>0.03</v>
      </c>
      <c r="H4151" s="6" t="s">
        <v>185</v>
      </c>
      <c r="I4151" s="6" t="s">
        <v>20</v>
      </c>
      <c r="J4151" s="6">
        <v>2019.0</v>
      </c>
      <c r="K4151" s="10">
        <v>46024.0</v>
      </c>
      <c r="L4151" s="6">
        <v>1.0</v>
      </c>
      <c r="M4151" s="8">
        <f t="shared" si="5"/>
        <v>0.03</v>
      </c>
      <c r="N4151" s="6" t="s">
        <v>518</v>
      </c>
      <c r="P4151" s="9"/>
    </row>
    <row r="4152">
      <c r="A4152" s="6" t="s">
        <v>8892</v>
      </c>
      <c r="B4152" s="6" t="s">
        <v>2518</v>
      </c>
      <c r="C4152" s="6" t="s">
        <v>23</v>
      </c>
      <c r="D4152" s="6" t="s">
        <v>8893</v>
      </c>
      <c r="E4152" s="6" t="s">
        <v>558</v>
      </c>
      <c r="F4152" s="6" t="s">
        <v>18</v>
      </c>
      <c r="G4152" s="7">
        <v>0.05</v>
      </c>
      <c r="H4152" s="6" t="s">
        <v>1293</v>
      </c>
      <c r="I4152" s="6" t="s">
        <v>20</v>
      </c>
      <c r="J4152" s="6">
        <v>2011.0</v>
      </c>
      <c r="K4152" s="10">
        <v>46145.0</v>
      </c>
      <c r="L4152" s="6">
        <v>1.0</v>
      </c>
      <c r="M4152" s="8">
        <f t="shared" si="5"/>
        <v>0.05</v>
      </c>
      <c r="P4152" s="9"/>
    </row>
    <row r="4153">
      <c r="A4153" s="6" t="s">
        <v>8894</v>
      </c>
      <c r="B4153" s="6" t="s">
        <v>1032</v>
      </c>
      <c r="C4153" s="6" t="s">
        <v>23</v>
      </c>
      <c r="D4153" s="6" t="s">
        <v>8895</v>
      </c>
      <c r="E4153" s="6" t="s">
        <v>64</v>
      </c>
      <c r="F4153" s="6" t="s">
        <v>65</v>
      </c>
      <c r="G4153" s="7">
        <v>0.04</v>
      </c>
      <c r="H4153" s="6" t="s">
        <v>316</v>
      </c>
      <c r="I4153" s="6" t="s">
        <v>20</v>
      </c>
      <c r="J4153" s="6">
        <v>2016.0</v>
      </c>
      <c r="K4153" s="10">
        <v>46056.0</v>
      </c>
      <c r="L4153" s="6">
        <v>1.0</v>
      </c>
      <c r="M4153" s="8">
        <f t="shared" si="5"/>
        <v>0.04</v>
      </c>
      <c r="P4153" s="9"/>
    </row>
    <row r="4154">
      <c r="A4154" s="6" t="s">
        <v>8896</v>
      </c>
      <c r="B4154" s="6" t="s">
        <v>8897</v>
      </c>
      <c r="C4154" s="6" t="s">
        <v>48</v>
      </c>
      <c r="D4154" s="6" t="s">
        <v>8898</v>
      </c>
      <c r="E4154" s="6" t="s">
        <v>298</v>
      </c>
      <c r="F4154" s="6" t="s">
        <v>159</v>
      </c>
      <c r="G4154" s="7">
        <v>0.09</v>
      </c>
      <c r="H4154" s="6" t="s">
        <v>881</v>
      </c>
      <c r="I4154" s="6" t="s">
        <v>20</v>
      </c>
      <c r="J4154" s="6">
        <v>2021.0</v>
      </c>
      <c r="K4154" s="6" t="s">
        <v>597</v>
      </c>
      <c r="L4154" s="6">
        <v>2.0</v>
      </c>
      <c r="M4154" s="8">
        <f t="shared" si="5"/>
        <v>0.18</v>
      </c>
      <c r="P4154" s="9"/>
    </row>
    <row r="4155">
      <c r="A4155" s="6" t="s">
        <v>8899</v>
      </c>
      <c r="B4155" s="6" t="s">
        <v>3913</v>
      </c>
      <c r="C4155" s="6" t="s">
        <v>41</v>
      </c>
      <c r="D4155" s="6" t="s">
        <v>8900</v>
      </c>
      <c r="E4155" s="6" t="s">
        <v>3477</v>
      </c>
      <c r="F4155" s="6" t="s">
        <v>159</v>
      </c>
      <c r="G4155" s="7">
        <v>0.2</v>
      </c>
      <c r="H4155" s="6" t="s">
        <v>66</v>
      </c>
      <c r="I4155" s="6" t="s">
        <v>20</v>
      </c>
      <c r="J4155" s="6">
        <v>2016.0</v>
      </c>
      <c r="K4155" s="10">
        <v>46084.0</v>
      </c>
      <c r="L4155" s="6">
        <v>1.0</v>
      </c>
      <c r="M4155" s="8">
        <f t="shared" si="5"/>
        <v>0.2</v>
      </c>
      <c r="P4155" s="9"/>
    </row>
    <row r="4156">
      <c r="A4156" s="6" t="s">
        <v>8901</v>
      </c>
      <c r="B4156" s="6" t="s">
        <v>366</v>
      </c>
      <c r="C4156" s="6" t="s">
        <v>23</v>
      </c>
      <c r="D4156" s="6" t="s">
        <v>8902</v>
      </c>
      <c r="E4156" s="6" t="s">
        <v>1092</v>
      </c>
      <c r="F4156" s="6" t="s">
        <v>103</v>
      </c>
      <c r="G4156" s="7">
        <v>0.09</v>
      </c>
      <c r="H4156" s="6" t="s">
        <v>109</v>
      </c>
      <c r="I4156" s="6" t="s">
        <v>20</v>
      </c>
      <c r="J4156" s="6">
        <v>1995.0</v>
      </c>
      <c r="L4156" s="6">
        <v>2.0</v>
      </c>
      <c r="M4156" s="8">
        <f t="shared" si="5"/>
        <v>0.18</v>
      </c>
      <c r="P4156" s="9"/>
    </row>
    <row r="4157">
      <c r="A4157" s="6" t="s">
        <v>8901</v>
      </c>
      <c r="B4157" s="6" t="s">
        <v>366</v>
      </c>
      <c r="C4157" s="6" t="s">
        <v>23</v>
      </c>
      <c r="D4157" s="6" t="s">
        <v>8902</v>
      </c>
      <c r="E4157" s="6" t="s">
        <v>1092</v>
      </c>
      <c r="F4157" s="6" t="s">
        <v>103</v>
      </c>
      <c r="G4157" s="7">
        <v>0.21</v>
      </c>
      <c r="H4157" s="6" t="s">
        <v>1382</v>
      </c>
      <c r="I4157" s="6" t="s">
        <v>20</v>
      </c>
      <c r="J4157" s="6">
        <v>1995.0</v>
      </c>
      <c r="L4157" s="6">
        <v>3.0</v>
      </c>
      <c r="M4157" s="8">
        <f t="shared" si="5"/>
        <v>0.63</v>
      </c>
      <c r="P4157" s="9"/>
    </row>
    <row r="4158">
      <c r="A4158" s="6" t="s">
        <v>8903</v>
      </c>
      <c r="B4158" s="6" t="s">
        <v>326</v>
      </c>
      <c r="C4158" s="6" t="s">
        <v>23</v>
      </c>
      <c r="D4158" s="6" t="s">
        <v>8904</v>
      </c>
      <c r="E4158" s="6" t="s">
        <v>1950</v>
      </c>
      <c r="F4158" s="6" t="s">
        <v>65</v>
      </c>
      <c r="G4158" s="7">
        <v>0.4</v>
      </c>
      <c r="H4158" s="6" t="s">
        <v>163</v>
      </c>
      <c r="I4158" s="6" t="s">
        <v>55</v>
      </c>
      <c r="J4158" s="6">
        <v>2023.0</v>
      </c>
      <c r="K4158" s="10">
        <v>46028.0</v>
      </c>
      <c r="L4158" s="6">
        <v>1.0</v>
      </c>
      <c r="M4158" s="8">
        <f t="shared" si="5"/>
        <v>0.4</v>
      </c>
      <c r="P4158" s="9"/>
    </row>
    <row r="4159">
      <c r="A4159" s="6" t="s">
        <v>8905</v>
      </c>
      <c r="B4159" s="6" t="s">
        <v>2539</v>
      </c>
      <c r="C4159" s="6" t="s">
        <v>48</v>
      </c>
      <c r="D4159" s="6" t="s">
        <v>8906</v>
      </c>
      <c r="E4159" s="6" t="s">
        <v>8907</v>
      </c>
      <c r="F4159" s="6" t="s">
        <v>426</v>
      </c>
      <c r="G4159" s="7">
        <v>0.09</v>
      </c>
      <c r="H4159" s="6" t="s">
        <v>1361</v>
      </c>
      <c r="I4159" s="6" t="s">
        <v>20</v>
      </c>
      <c r="J4159" s="6">
        <v>2008.0</v>
      </c>
      <c r="K4159" s="10">
        <v>46024.0</v>
      </c>
      <c r="L4159" s="6">
        <v>1.0</v>
      </c>
      <c r="M4159" s="8">
        <f t="shared" si="5"/>
        <v>0.09</v>
      </c>
      <c r="P4159" s="9"/>
    </row>
    <row r="4160">
      <c r="A4160" s="6" t="s">
        <v>8908</v>
      </c>
      <c r="B4160" s="6" t="s">
        <v>182</v>
      </c>
      <c r="C4160" s="6" t="s">
        <v>48</v>
      </c>
      <c r="D4160" s="6" t="s">
        <v>8909</v>
      </c>
      <c r="E4160" s="6" t="s">
        <v>1321</v>
      </c>
      <c r="F4160" s="6" t="s">
        <v>103</v>
      </c>
      <c r="G4160" s="7">
        <v>0.05</v>
      </c>
      <c r="H4160" s="6" t="s">
        <v>359</v>
      </c>
      <c r="I4160" s="6" t="s">
        <v>20</v>
      </c>
      <c r="J4160" s="6">
        <v>2014.0</v>
      </c>
      <c r="L4160" s="6">
        <v>2.0</v>
      </c>
      <c r="M4160" s="8">
        <f t="shared" si="5"/>
        <v>0.1</v>
      </c>
      <c r="P4160" s="9"/>
    </row>
    <row r="4161">
      <c r="A4161" s="6" t="s">
        <v>8910</v>
      </c>
      <c r="B4161" s="6" t="s">
        <v>357</v>
      </c>
      <c r="C4161" s="6" t="s">
        <v>48</v>
      </c>
      <c r="D4161" s="6" t="s">
        <v>8911</v>
      </c>
      <c r="E4161" s="6" t="s">
        <v>102</v>
      </c>
      <c r="F4161" s="6" t="s">
        <v>103</v>
      </c>
      <c r="G4161" s="7">
        <v>0.04</v>
      </c>
      <c r="H4161" s="6" t="s">
        <v>276</v>
      </c>
      <c r="I4161" s="6" t="s">
        <v>20</v>
      </c>
      <c r="J4161" s="6">
        <v>2014.0</v>
      </c>
      <c r="K4161" s="10">
        <v>46023.0</v>
      </c>
      <c r="L4161" s="6">
        <v>2.0</v>
      </c>
      <c r="M4161" s="8">
        <f t="shared" si="5"/>
        <v>0.08</v>
      </c>
      <c r="P4161" s="9"/>
    </row>
    <row r="4162">
      <c r="A4162" s="6" t="s">
        <v>8912</v>
      </c>
      <c r="B4162" s="6" t="s">
        <v>233</v>
      </c>
      <c r="C4162" s="6" t="s">
        <v>23</v>
      </c>
      <c r="D4162" s="6" t="s">
        <v>8913</v>
      </c>
      <c r="E4162" s="6" t="s">
        <v>802</v>
      </c>
      <c r="F4162" s="6" t="s">
        <v>98</v>
      </c>
      <c r="G4162" s="7">
        <v>0.05</v>
      </c>
      <c r="H4162" s="6" t="s">
        <v>5219</v>
      </c>
      <c r="I4162" s="6" t="s">
        <v>20</v>
      </c>
      <c r="J4162" s="6">
        <v>2021.0</v>
      </c>
      <c r="K4162" s="6" t="s">
        <v>697</v>
      </c>
      <c r="L4162" s="6">
        <v>2.0</v>
      </c>
      <c r="M4162" s="8">
        <f t="shared" si="5"/>
        <v>0.1</v>
      </c>
      <c r="P4162" s="9"/>
    </row>
    <row r="4163">
      <c r="A4163" s="6" t="s">
        <v>8914</v>
      </c>
      <c r="B4163" s="6" t="s">
        <v>1113</v>
      </c>
      <c r="C4163" s="6" t="s">
        <v>48</v>
      </c>
      <c r="D4163" s="6" t="s">
        <v>8915</v>
      </c>
      <c r="E4163" s="6" t="s">
        <v>112</v>
      </c>
      <c r="F4163" s="6" t="s">
        <v>65</v>
      </c>
      <c r="G4163" s="7">
        <v>0.18</v>
      </c>
      <c r="H4163" s="6" t="s">
        <v>632</v>
      </c>
      <c r="I4163" s="6" t="s">
        <v>20</v>
      </c>
      <c r="J4163" s="6">
        <v>2002.0</v>
      </c>
      <c r="K4163" s="10">
        <v>46023.0</v>
      </c>
      <c r="L4163" s="6">
        <v>1.0</v>
      </c>
      <c r="M4163" s="8">
        <f t="shared" si="5"/>
        <v>0.18</v>
      </c>
      <c r="P4163" s="9"/>
    </row>
    <row r="4164">
      <c r="A4164" s="6" t="s">
        <v>8916</v>
      </c>
      <c r="B4164" s="6" t="s">
        <v>1199</v>
      </c>
      <c r="C4164" s="6" t="s">
        <v>23</v>
      </c>
      <c r="D4164" s="6" t="s">
        <v>8917</v>
      </c>
      <c r="E4164" s="6" t="s">
        <v>533</v>
      </c>
      <c r="F4164" s="6" t="s">
        <v>65</v>
      </c>
      <c r="G4164" s="7">
        <v>0.09</v>
      </c>
      <c r="H4164" s="6" t="s">
        <v>224</v>
      </c>
      <c r="I4164" s="6" t="s">
        <v>20</v>
      </c>
      <c r="J4164" s="6">
        <v>2020.0</v>
      </c>
      <c r="K4164" s="10">
        <v>46115.0</v>
      </c>
      <c r="L4164" s="6">
        <v>1.0</v>
      </c>
      <c r="M4164" s="8">
        <f t="shared" si="5"/>
        <v>0.09</v>
      </c>
      <c r="P4164" s="9"/>
    </row>
    <row r="4165">
      <c r="A4165" s="6" t="s">
        <v>8918</v>
      </c>
      <c r="B4165" s="6" t="s">
        <v>182</v>
      </c>
      <c r="C4165" s="6" t="s">
        <v>23</v>
      </c>
      <c r="D4165" s="6" t="s">
        <v>8919</v>
      </c>
      <c r="E4165" s="6" t="s">
        <v>112</v>
      </c>
      <c r="F4165" s="6" t="s">
        <v>65</v>
      </c>
      <c r="G4165" s="7">
        <v>0.05</v>
      </c>
      <c r="H4165" s="6" t="s">
        <v>370</v>
      </c>
      <c r="I4165" s="6" t="s">
        <v>20</v>
      </c>
      <c r="J4165" s="6">
        <v>1996.0</v>
      </c>
      <c r="L4165" s="6">
        <v>1.0</v>
      </c>
      <c r="M4165" s="8">
        <f t="shared" si="5"/>
        <v>0.05</v>
      </c>
      <c r="P4165" s="9"/>
    </row>
    <row r="4166">
      <c r="A4166" s="6" t="s">
        <v>8920</v>
      </c>
      <c r="B4166" s="6" t="s">
        <v>1509</v>
      </c>
      <c r="C4166" s="6" t="s">
        <v>23</v>
      </c>
      <c r="D4166" s="6" t="s">
        <v>8921</v>
      </c>
      <c r="E4166" s="6" t="s">
        <v>64</v>
      </c>
      <c r="F4166" s="6" t="s">
        <v>65</v>
      </c>
      <c r="G4166" s="7">
        <v>0.03</v>
      </c>
      <c r="H4166" s="6" t="s">
        <v>271</v>
      </c>
      <c r="I4166" s="6" t="s">
        <v>20</v>
      </c>
      <c r="J4166" s="6">
        <v>2012.0</v>
      </c>
      <c r="K4166" s="10">
        <v>46055.0</v>
      </c>
      <c r="L4166" s="6">
        <v>1.0</v>
      </c>
      <c r="M4166" s="8">
        <f t="shared" si="5"/>
        <v>0.03</v>
      </c>
      <c r="P4166" s="9"/>
    </row>
    <row r="4167">
      <c r="A4167" s="6" t="s">
        <v>8922</v>
      </c>
      <c r="B4167" s="6" t="s">
        <v>326</v>
      </c>
      <c r="C4167" s="6" t="s">
        <v>41</v>
      </c>
      <c r="D4167" s="6" t="s">
        <v>8923</v>
      </c>
      <c r="E4167" s="6" t="s">
        <v>270</v>
      </c>
      <c r="F4167" s="6" t="s">
        <v>159</v>
      </c>
      <c r="G4167" s="7">
        <v>0.35</v>
      </c>
      <c r="H4167" s="6" t="s">
        <v>491</v>
      </c>
      <c r="I4167" s="6" t="s">
        <v>20</v>
      </c>
      <c r="J4167" s="6">
        <v>2011.0</v>
      </c>
      <c r="K4167" s="6" t="s">
        <v>89</v>
      </c>
      <c r="L4167" s="6">
        <v>1.0</v>
      </c>
      <c r="M4167" s="8">
        <f t="shared" si="5"/>
        <v>0.35</v>
      </c>
      <c r="P4167" s="9"/>
    </row>
    <row r="4168">
      <c r="A4168" s="6" t="s">
        <v>8924</v>
      </c>
      <c r="B4168" s="6" t="s">
        <v>5871</v>
      </c>
      <c r="C4168" s="6" t="s">
        <v>48</v>
      </c>
      <c r="D4168" s="6" t="s">
        <v>8925</v>
      </c>
      <c r="E4168" s="6" t="s">
        <v>118</v>
      </c>
      <c r="F4168" s="6" t="s">
        <v>51</v>
      </c>
      <c r="G4168" s="7">
        <v>0.15</v>
      </c>
      <c r="H4168" s="6" t="s">
        <v>645</v>
      </c>
      <c r="I4168" s="6" t="s">
        <v>20</v>
      </c>
      <c r="J4168" s="6">
        <v>2024.0</v>
      </c>
      <c r="K4168" s="10">
        <v>46024.0</v>
      </c>
      <c r="L4168" s="6">
        <v>1.0</v>
      </c>
      <c r="M4168" s="8">
        <f t="shared" si="5"/>
        <v>0.15</v>
      </c>
      <c r="P4168" s="9"/>
    </row>
    <row r="4169">
      <c r="A4169" s="6" t="s">
        <v>8926</v>
      </c>
      <c r="B4169" s="6" t="s">
        <v>372</v>
      </c>
      <c r="C4169" s="6" t="s">
        <v>23</v>
      </c>
      <c r="D4169" s="6" t="s">
        <v>8927</v>
      </c>
      <c r="E4169" s="6" t="s">
        <v>248</v>
      </c>
      <c r="F4169" s="6" t="s">
        <v>18</v>
      </c>
      <c r="G4169" s="7">
        <v>0.04</v>
      </c>
      <c r="H4169" s="6" t="s">
        <v>552</v>
      </c>
      <c r="I4169" s="6" t="s">
        <v>20</v>
      </c>
      <c r="J4169" s="6">
        <v>2020.0</v>
      </c>
      <c r="L4169" s="6">
        <v>1.0</v>
      </c>
      <c r="M4169" s="8">
        <f t="shared" si="5"/>
        <v>0.04</v>
      </c>
      <c r="N4169" s="6" t="s">
        <v>518</v>
      </c>
      <c r="P4169" s="9"/>
    </row>
    <row r="4170">
      <c r="A4170" s="6" t="s">
        <v>8928</v>
      </c>
      <c r="B4170" s="6" t="s">
        <v>1657</v>
      </c>
      <c r="C4170" s="6" t="s">
        <v>23</v>
      </c>
      <c r="D4170" s="6" t="s">
        <v>8929</v>
      </c>
      <c r="E4170" s="6" t="s">
        <v>270</v>
      </c>
      <c r="F4170" s="6" t="s">
        <v>159</v>
      </c>
      <c r="G4170" s="7">
        <v>0.04</v>
      </c>
      <c r="H4170" s="6" t="s">
        <v>114</v>
      </c>
      <c r="I4170" s="6" t="s">
        <v>20</v>
      </c>
      <c r="J4170" s="6">
        <v>2021.0</v>
      </c>
      <c r="K4170" s="10">
        <v>46056.0</v>
      </c>
      <c r="L4170" s="6">
        <v>3.0</v>
      </c>
      <c r="M4170" s="8">
        <f t="shared" si="5"/>
        <v>0.12</v>
      </c>
      <c r="P4170" s="9"/>
    </row>
    <row r="4171">
      <c r="A4171" s="6" t="s">
        <v>8930</v>
      </c>
      <c r="B4171" s="6" t="s">
        <v>156</v>
      </c>
      <c r="C4171" s="6" t="s">
        <v>23</v>
      </c>
      <c r="D4171" s="6" t="s">
        <v>7928</v>
      </c>
      <c r="E4171" s="6" t="s">
        <v>270</v>
      </c>
      <c r="F4171" s="6" t="s">
        <v>159</v>
      </c>
      <c r="G4171" s="7">
        <v>0.06</v>
      </c>
      <c r="H4171" s="6" t="s">
        <v>1418</v>
      </c>
      <c r="I4171" s="6" t="s">
        <v>20</v>
      </c>
      <c r="J4171" s="6">
        <v>2010.0</v>
      </c>
      <c r="K4171" s="10">
        <v>46143.0</v>
      </c>
      <c r="L4171" s="6">
        <v>2.0</v>
      </c>
      <c r="M4171" s="8">
        <f t="shared" si="5"/>
        <v>0.12</v>
      </c>
      <c r="P4171" s="9"/>
    </row>
    <row r="4172">
      <c r="A4172" s="6" t="s">
        <v>8931</v>
      </c>
      <c r="B4172" s="6" t="s">
        <v>1657</v>
      </c>
      <c r="C4172" s="6" t="s">
        <v>23</v>
      </c>
      <c r="D4172" s="6" t="s">
        <v>8932</v>
      </c>
      <c r="E4172" s="6" t="s">
        <v>158</v>
      </c>
      <c r="F4172" s="6" t="s">
        <v>159</v>
      </c>
      <c r="G4172" s="7">
        <v>0.11</v>
      </c>
      <c r="H4172" s="6" t="s">
        <v>154</v>
      </c>
      <c r="I4172" s="6" t="s">
        <v>20</v>
      </c>
      <c r="J4172" s="6">
        <v>2013.0</v>
      </c>
      <c r="K4172" s="10">
        <v>46084.0</v>
      </c>
      <c r="L4172" s="6">
        <v>1.0</v>
      </c>
      <c r="M4172" s="8">
        <f t="shared" si="5"/>
        <v>0.11</v>
      </c>
      <c r="P4172" s="9"/>
    </row>
    <row r="4173">
      <c r="A4173" s="6" t="s">
        <v>8933</v>
      </c>
      <c r="B4173" s="6" t="s">
        <v>8934</v>
      </c>
      <c r="C4173" s="6" t="s">
        <v>48</v>
      </c>
      <c r="D4173" s="6" t="s">
        <v>8935</v>
      </c>
      <c r="E4173" s="6" t="s">
        <v>8936</v>
      </c>
      <c r="F4173" s="6" t="s">
        <v>284</v>
      </c>
      <c r="G4173" s="7">
        <v>0.1</v>
      </c>
      <c r="H4173" s="6" t="s">
        <v>562</v>
      </c>
      <c r="I4173" s="6" t="s">
        <v>20</v>
      </c>
      <c r="J4173" s="6">
        <v>2017.0</v>
      </c>
      <c r="L4173" s="6">
        <v>3.0</v>
      </c>
      <c r="M4173" s="8">
        <f t="shared" si="5"/>
        <v>0.3</v>
      </c>
      <c r="P4173" s="9"/>
    </row>
    <row r="4174">
      <c r="A4174" s="6" t="s">
        <v>8937</v>
      </c>
      <c r="B4174" s="6" t="s">
        <v>4594</v>
      </c>
      <c r="C4174" s="6" t="s">
        <v>23</v>
      </c>
      <c r="D4174" s="6" t="s">
        <v>8938</v>
      </c>
      <c r="E4174" s="6" t="s">
        <v>50</v>
      </c>
      <c r="F4174" s="6" t="s">
        <v>51</v>
      </c>
      <c r="G4174" s="7">
        <v>0.04</v>
      </c>
      <c r="H4174" s="6" t="s">
        <v>113</v>
      </c>
      <c r="I4174" s="6" t="s">
        <v>20</v>
      </c>
      <c r="J4174" s="6">
        <v>2024.0</v>
      </c>
      <c r="K4174" s="10">
        <v>46115.0</v>
      </c>
      <c r="L4174" s="6">
        <v>1.0</v>
      </c>
      <c r="M4174" s="8">
        <f t="shared" si="5"/>
        <v>0.04</v>
      </c>
      <c r="P4174" s="9"/>
    </row>
    <row r="4175">
      <c r="A4175" s="6" t="s">
        <v>8939</v>
      </c>
      <c r="B4175" s="6" t="s">
        <v>206</v>
      </c>
      <c r="C4175" s="6" t="s">
        <v>15</v>
      </c>
      <c r="D4175" s="6" t="s">
        <v>8940</v>
      </c>
      <c r="E4175" s="6" t="s">
        <v>364</v>
      </c>
      <c r="F4175" s="6" t="s">
        <v>51</v>
      </c>
      <c r="G4175" s="7">
        <v>1.85</v>
      </c>
      <c r="H4175" s="6" t="s">
        <v>209</v>
      </c>
      <c r="I4175" s="6" t="s">
        <v>20</v>
      </c>
      <c r="J4175" s="6">
        <v>2025.0</v>
      </c>
      <c r="K4175" s="10">
        <v>46055.0</v>
      </c>
      <c r="L4175" s="6">
        <v>1.0</v>
      </c>
      <c r="M4175" s="8">
        <f t="shared" si="5"/>
        <v>1.85</v>
      </c>
      <c r="P4175" s="9"/>
    </row>
    <row r="4176">
      <c r="A4176" s="6" t="s">
        <v>8941</v>
      </c>
      <c r="B4176" s="6" t="s">
        <v>2119</v>
      </c>
      <c r="C4176" s="6" t="s">
        <v>23</v>
      </c>
      <c r="D4176" s="6" t="s">
        <v>8942</v>
      </c>
      <c r="E4176" s="6" t="s">
        <v>153</v>
      </c>
      <c r="F4176" s="6" t="s">
        <v>103</v>
      </c>
      <c r="G4176" s="7">
        <v>0.06</v>
      </c>
      <c r="H4176" s="6" t="s">
        <v>2861</v>
      </c>
      <c r="I4176" s="6" t="s">
        <v>20</v>
      </c>
      <c r="J4176" s="6">
        <v>2008.0</v>
      </c>
      <c r="K4176" s="10">
        <v>46056.0</v>
      </c>
      <c r="L4176" s="6">
        <v>2.0</v>
      </c>
      <c r="M4176" s="8">
        <f t="shared" si="5"/>
        <v>0.12</v>
      </c>
      <c r="P4176" s="9"/>
    </row>
    <row r="4177">
      <c r="A4177" s="6" t="s">
        <v>8943</v>
      </c>
      <c r="B4177" s="6" t="s">
        <v>5662</v>
      </c>
      <c r="C4177" s="6" t="s">
        <v>41</v>
      </c>
      <c r="D4177" s="6" t="s">
        <v>8944</v>
      </c>
      <c r="E4177" s="6" t="s">
        <v>1001</v>
      </c>
      <c r="F4177" s="6" t="s">
        <v>65</v>
      </c>
      <c r="G4177" s="7">
        <v>0.94</v>
      </c>
      <c r="H4177" s="6" t="s">
        <v>200</v>
      </c>
      <c r="I4177" s="6" t="s">
        <v>20</v>
      </c>
      <c r="J4177" s="6">
        <v>2018.0</v>
      </c>
      <c r="K4177" s="10">
        <v>46024.0</v>
      </c>
      <c r="L4177" s="6">
        <v>1.0</v>
      </c>
      <c r="M4177" s="8">
        <f t="shared" si="5"/>
        <v>0.94</v>
      </c>
      <c r="P4177" s="9"/>
    </row>
    <row r="4178">
      <c r="A4178" s="6" t="s">
        <v>8945</v>
      </c>
      <c r="B4178" s="6" t="s">
        <v>131</v>
      </c>
      <c r="C4178" s="6" t="s">
        <v>23</v>
      </c>
      <c r="D4178" s="6" t="s">
        <v>8946</v>
      </c>
      <c r="E4178" s="6" t="s">
        <v>175</v>
      </c>
      <c r="F4178" s="6" t="s">
        <v>51</v>
      </c>
      <c r="G4178" s="7">
        <v>0.08</v>
      </c>
      <c r="H4178" s="6" t="s">
        <v>19</v>
      </c>
      <c r="I4178" s="6" t="s">
        <v>20</v>
      </c>
      <c r="J4178" s="6">
        <v>2023.0</v>
      </c>
      <c r="K4178" s="10">
        <v>46023.0</v>
      </c>
      <c r="L4178" s="6">
        <v>1.0</v>
      </c>
      <c r="M4178" s="8">
        <f t="shared" si="5"/>
        <v>0.08</v>
      </c>
      <c r="P4178" s="9"/>
    </row>
    <row r="4179">
      <c r="A4179" s="6" t="s">
        <v>8947</v>
      </c>
      <c r="B4179" s="6" t="s">
        <v>372</v>
      </c>
      <c r="C4179" s="6" t="s">
        <v>23</v>
      </c>
      <c r="D4179" s="6" t="s">
        <v>8948</v>
      </c>
      <c r="E4179" s="6" t="s">
        <v>79</v>
      </c>
      <c r="F4179" s="6" t="s">
        <v>51</v>
      </c>
      <c r="G4179" s="7">
        <v>0.03</v>
      </c>
      <c r="H4179" s="6" t="s">
        <v>875</v>
      </c>
      <c r="I4179" s="6" t="s">
        <v>20</v>
      </c>
      <c r="J4179" s="6">
        <v>2018.0</v>
      </c>
      <c r="L4179" s="6">
        <v>2.0</v>
      </c>
      <c r="M4179" s="8">
        <f t="shared" si="5"/>
        <v>0.06</v>
      </c>
      <c r="P4179" s="9"/>
    </row>
    <row r="4180">
      <c r="A4180" s="6" t="s">
        <v>8949</v>
      </c>
      <c r="B4180" s="6" t="s">
        <v>850</v>
      </c>
      <c r="C4180" s="6" t="s">
        <v>34</v>
      </c>
      <c r="D4180" s="6" t="s">
        <v>8950</v>
      </c>
      <c r="E4180" s="6" t="s">
        <v>175</v>
      </c>
      <c r="F4180" s="6" t="s">
        <v>51</v>
      </c>
      <c r="G4180" s="7">
        <v>0.05</v>
      </c>
      <c r="H4180" s="6" t="s">
        <v>1043</v>
      </c>
      <c r="I4180" s="6" t="s">
        <v>20</v>
      </c>
      <c r="J4180" s="6">
        <v>2025.0</v>
      </c>
      <c r="L4180" s="6">
        <v>1.0</v>
      </c>
      <c r="M4180" s="8">
        <f t="shared" si="5"/>
        <v>0.05</v>
      </c>
      <c r="P4180" s="9"/>
    </row>
    <row r="4181">
      <c r="A4181" s="6" t="s">
        <v>8951</v>
      </c>
      <c r="B4181" s="6" t="s">
        <v>8952</v>
      </c>
      <c r="C4181" s="6" t="s">
        <v>23</v>
      </c>
      <c r="D4181" s="6" t="s">
        <v>8953</v>
      </c>
      <c r="E4181" s="6" t="s">
        <v>167</v>
      </c>
      <c r="F4181" s="6" t="s">
        <v>103</v>
      </c>
      <c r="G4181" s="7">
        <v>0.1</v>
      </c>
      <c r="H4181" s="6" t="s">
        <v>192</v>
      </c>
      <c r="I4181" s="6" t="s">
        <v>20</v>
      </c>
      <c r="J4181" s="6">
        <v>2026.0</v>
      </c>
      <c r="K4181" s="10">
        <v>46023.0</v>
      </c>
      <c r="L4181" s="6">
        <v>3.0</v>
      </c>
      <c r="M4181" s="8">
        <f t="shared" si="5"/>
        <v>0.3</v>
      </c>
      <c r="P4181" s="9"/>
    </row>
    <row r="4182">
      <c r="A4182" s="6" t="s">
        <v>8951</v>
      </c>
      <c r="B4182" s="6" t="s">
        <v>8952</v>
      </c>
      <c r="C4182" s="6" t="s">
        <v>23</v>
      </c>
      <c r="D4182" s="6" t="s">
        <v>8953</v>
      </c>
      <c r="E4182" s="6" t="s">
        <v>167</v>
      </c>
      <c r="F4182" s="6" t="s">
        <v>103</v>
      </c>
      <c r="G4182" s="7">
        <v>0.2</v>
      </c>
      <c r="H4182" s="6" t="s">
        <v>192</v>
      </c>
      <c r="I4182" s="6" t="s">
        <v>55</v>
      </c>
      <c r="J4182" s="6">
        <v>2026.0</v>
      </c>
      <c r="K4182" s="10">
        <v>46023.0</v>
      </c>
      <c r="L4182" s="6">
        <v>1.0</v>
      </c>
      <c r="M4182" s="8">
        <f t="shared" si="5"/>
        <v>0.2</v>
      </c>
      <c r="P4182" s="9"/>
    </row>
    <row r="4183">
      <c r="A4183" s="6" t="s">
        <v>8954</v>
      </c>
      <c r="B4183" s="6" t="s">
        <v>182</v>
      </c>
      <c r="C4183" s="6" t="s">
        <v>41</v>
      </c>
      <c r="D4183" s="6" t="s">
        <v>8955</v>
      </c>
      <c r="E4183" s="6" t="s">
        <v>395</v>
      </c>
      <c r="F4183" s="6" t="s">
        <v>51</v>
      </c>
      <c r="G4183" s="7">
        <v>0.38</v>
      </c>
      <c r="H4183" s="6" t="s">
        <v>299</v>
      </c>
      <c r="I4183" s="6" t="s">
        <v>20</v>
      </c>
      <c r="J4183" s="6">
        <v>2017.0</v>
      </c>
      <c r="L4183" s="6">
        <v>2.0</v>
      </c>
      <c r="M4183" s="8">
        <f t="shared" si="5"/>
        <v>0.76</v>
      </c>
      <c r="P4183" s="9"/>
    </row>
    <row r="4184">
      <c r="A4184" s="6" t="s">
        <v>8954</v>
      </c>
      <c r="B4184" s="6" t="s">
        <v>182</v>
      </c>
      <c r="C4184" s="6" t="s">
        <v>41</v>
      </c>
      <c r="D4184" s="6" t="s">
        <v>8955</v>
      </c>
      <c r="E4184" s="6" t="s">
        <v>395</v>
      </c>
      <c r="F4184" s="6" t="s">
        <v>51</v>
      </c>
      <c r="G4184" s="7">
        <v>0.38</v>
      </c>
      <c r="H4184" s="6" t="s">
        <v>299</v>
      </c>
      <c r="I4184" s="6" t="s">
        <v>20</v>
      </c>
      <c r="J4184" s="6">
        <v>2017.0</v>
      </c>
      <c r="L4184" s="6">
        <v>2.0</v>
      </c>
      <c r="M4184" s="8">
        <f t="shared" si="5"/>
        <v>0.76</v>
      </c>
      <c r="P4184" s="9"/>
    </row>
    <row r="4185">
      <c r="A4185" s="6" t="s">
        <v>8956</v>
      </c>
      <c r="B4185" s="6" t="s">
        <v>8957</v>
      </c>
      <c r="C4185" s="6" t="s">
        <v>34</v>
      </c>
      <c r="D4185" s="6" t="s">
        <v>8958</v>
      </c>
      <c r="E4185" s="6" t="s">
        <v>8843</v>
      </c>
      <c r="F4185" s="6" t="s">
        <v>858</v>
      </c>
      <c r="G4185" s="7">
        <v>0.08</v>
      </c>
      <c r="H4185" s="6" t="s">
        <v>807</v>
      </c>
      <c r="I4185" s="6" t="s">
        <v>20</v>
      </c>
      <c r="J4185" s="6">
        <v>2026.0</v>
      </c>
      <c r="K4185" s="10">
        <v>46116.0</v>
      </c>
      <c r="L4185" s="6">
        <v>2.0</v>
      </c>
      <c r="M4185" s="8">
        <f t="shared" si="5"/>
        <v>0.16</v>
      </c>
      <c r="P4185" s="9"/>
    </row>
    <row r="4186">
      <c r="A4186" s="6" t="s">
        <v>8959</v>
      </c>
      <c r="B4186" s="6" t="s">
        <v>307</v>
      </c>
      <c r="C4186" s="6" t="s">
        <v>48</v>
      </c>
      <c r="D4186" s="6" t="s">
        <v>8960</v>
      </c>
      <c r="E4186" s="6" t="s">
        <v>243</v>
      </c>
      <c r="F4186" s="6" t="s">
        <v>37</v>
      </c>
      <c r="G4186" s="7">
        <v>0.08</v>
      </c>
      <c r="H4186" s="6" t="s">
        <v>188</v>
      </c>
      <c r="I4186" s="6" t="s">
        <v>20</v>
      </c>
      <c r="J4186" s="6">
        <v>2014.0</v>
      </c>
      <c r="L4186" s="6">
        <v>2.0</v>
      </c>
      <c r="M4186" s="8">
        <f t="shared" si="5"/>
        <v>0.16</v>
      </c>
      <c r="P4186" s="9"/>
    </row>
    <row r="4187">
      <c r="A4187" s="6" t="s">
        <v>8961</v>
      </c>
      <c r="B4187" s="6" t="s">
        <v>1052</v>
      </c>
      <c r="C4187" s="6" t="s">
        <v>23</v>
      </c>
      <c r="D4187" s="6" t="s">
        <v>8962</v>
      </c>
      <c r="E4187" s="6" t="s">
        <v>36</v>
      </c>
      <c r="F4187" s="6" t="s">
        <v>37</v>
      </c>
      <c r="G4187" s="7">
        <v>0.1</v>
      </c>
      <c r="H4187" s="6" t="s">
        <v>641</v>
      </c>
      <c r="I4187" s="6" t="s">
        <v>20</v>
      </c>
      <c r="J4187" s="6">
        <v>2026.0</v>
      </c>
      <c r="L4187" s="6">
        <v>1.0</v>
      </c>
      <c r="M4187" s="8">
        <f t="shared" si="5"/>
        <v>0.1</v>
      </c>
      <c r="P4187" s="9"/>
    </row>
    <row r="4188">
      <c r="A4188" s="6" t="s">
        <v>8963</v>
      </c>
      <c r="B4188" s="6" t="s">
        <v>909</v>
      </c>
      <c r="C4188" s="6" t="s">
        <v>23</v>
      </c>
      <c r="D4188" s="6" t="s">
        <v>8964</v>
      </c>
      <c r="E4188" s="6" t="s">
        <v>79</v>
      </c>
      <c r="F4188" s="6" t="s">
        <v>51</v>
      </c>
      <c r="G4188" s="7">
        <v>0.06</v>
      </c>
      <c r="H4188" s="6" t="s">
        <v>184</v>
      </c>
      <c r="I4188" s="6" t="s">
        <v>20</v>
      </c>
      <c r="J4188" s="6">
        <v>2015.0</v>
      </c>
      <c r="K4188" s="10">
        <v>46082.0</v>
      </c>
      <c r="L4188" s="6">
        <v>4.0</v>
      </c>
      <c r="M4188" s="8">
        <f t="shared" si="5"/>
        <v>0.24</v>
      </c>
      <c r="P4188" s="9"/>
    </row>
    <row r="4189">
      <c r="A4189" s="6" t="s">
        <v>8965</v>
      </c>
      <c r="B4189" s="6" t="s">
        <v>131</v>
      </c>
      <c r="C4189" s="6" t="s">
        <v>23</v>
      </c>
      <c r="D4189" s="6" t="s">
        <v>8966</v>
      </c>
      <c r="E4189" s="6" t="s">
        <v>573</v>
      </c>
      <c r="F4189" s="6" t="s">
        <v>51</v>
      </c>
      <c r="G4189" s="7">
        <v>0.08</v>
      </c>
      <c r="H4189" s="6" t="s">
        <v>19</v>
      </c>
      <c r="I4189" s="6" t="s">
        <v>20</v>
      </c>
      <c r="J4189" s="6">
        <v>2023.0</v>
      </c>
      <c r="K4189" s="10">
        <v>46085.0</v>
      </c>
      <c r="L4189" s="6">
        <v>1.0</v>
      </c>
      <c r="M4189" s="8">
        <f t="shared" si="5"/>
        <v>0.08</v>
      </c>
      <c r="P4189" s="9"/>
    </row>
    <row r="4190">
      <c r="A4190" s="6" t="s">
        <v>8967</v>
      </c>
      <c r="B4190" s="6" t="s">
        <v>7631</v>
      </c>
      <c r="C4190" s="6" t="s">
        <v>23</v>
      </c>
      <c r="D4190" s="6" t="s">
        <v>8968</v>
      </c>
      <c r="E4190" s="6" t="s">
        <v>64</v>
      </c>
      <c r="F4190" s="6" t="s">
        <v>65</v>
      </c>
      <c r="G4190" s="7">
        <v>0.03</v>
      </c>
      <c r="H4190" s="6" t="s">
        <v>526</v>
      </c>
      <c r="I4190" s="6" t="s">
        <v>20</v>
      </c>
      <c r="J4190" s="6">
        <v>2020.0</v>
      </c>
      <c r="K4190" s="10">
        <v>46083.0</v>
      </c>
      <c r="L4190" s="6">
        <v>1.0</v>
      </c>
      <c r="M4190" s="8">
        <f t="shared" si="5"/>
        <v>0.03</v>
      </c>
      <c r="P4190" s="9"/>
    </row>
    <row r="4191">
      <c r="A4191" s="6" t="s">
        <v>8969</v>
      </c>
      <c r="B4191" s="6" t="s">
        <v>507</v>
      </c>
      <c r="C4191" s="6" t="s">
        <v>23</v>
      </c>
      <c r="D4191" s="6" t="s">
        <v>8970</v>
      </c>
      <c r="E4191" s="6" t="s">
        <v>502</v>
      </c>
      <c r="F4191" s="6" t="s">
        <v>65</v>
      </c>
      <c r="G4191" s="7">
        <v>0.03</v>
      </c>
      <c r="H4191" s="6" t="s">
        <v>875</v>
      </c>
      <c r="I4191" s="6" t="s">
        <v>20</v>
      </c>
      <c r="J4191" s="6">
        <v>2018.0</v>
      </c>
      <c r="K4191" s="10">
        <v>46116.0</v>
      </c>
      <c r="L4191" s="6">
        <v>4.0</v>
      </c>
      <c r="M4191" s="8">
        <f t="shared" si="5"/>
        <v>0.12</v>
      </c>
      <c r="P4191" s="9"/>
    </row>
    <row r="4192">
      <c r="A4192" s="6" t="s">
        <v>8969</v>
      </c>
      <c r="B4192" s="6" t="s">
        <v>507</v>
      </c>
      <c r="C4192" s="6" t="s">
        <v>23</v>
      </c>
      <c r="D4192" s="6" t="s">
        <v>8970</v>
      </c>
      <c r="E4192" s="6" t="s">
        <v>502</v>
      </c>
      <c r="F4192" s="6" t="s">
        <v>65</v>
      </c>
      <c r="G4192" s="7">
        <v>0.04</v>
      </c>
      <c r="H4192" s="6" t="s">
        <v>875</v>
      </c>
      <c r="I4192" s="6" t="s">
        <v>20</v>
      </c>
      <c r="J4192" s="6">
        <v>2018.0</v>
      </c>
      <c r="K4192" s="10">
        <v>46116.0</v>
      </c>
      <c r="L4192" s="6">
        <v>1.0</v>
      </c>
      <c r="M4192" s="8">
        <f t="shared" si="5"/>
        <v>0.04</v>
      </c>
      <c r="P4192" s="9"/>
    </row>
    <row r="4193">
      <c r="A4193" s="6" t="s">
        <v>8971</v>
      </c>
      <c r="B4193" s="6" t="s">
        <v>8972</v>
      </c>
      <c r="C4193" s="6" t="s">
        <v>23</v>
      </c>
      <c r="D4193" s="6" t="s">
        <v>8973</v>
      </c>
      <c r="E4193" s="6" t="s">
        <v>238</v>
      </c>
      <c r="F4193" s="6" t="s">
        <v>159</v>
      </c>
      <c r="G4193" s="7">
        <v>0.23</v>
      </c>
      <c r="H4193" s="6" t="s">
        <v>324</v>
      </c>
      <c r="I4193" s="6" t="s">
        <v>55</v>
      </c>
      <c r="J4193" s="6">
        <v>2025.0</v>
      </c>
      <c r="K4193" s="10">
        <v>46023.0</v>
      </c>
      <c r="L4193" s="6">
        <v>2.0</v>
      </c>
      <c r="M4193" s="8">
        <f t="shared" si="5"/>
        <v>0.46</v>
      </c>
      <c r="P4193" s="9"/>
    </row>
    <row r="4194">
      <c r="A4194" s="6" t="s">
        <v>8974</v>
      </c>
      <c r="B4194" s="6" t="s">
        <v>8975</v>
      </c>
      <c r="C4194" s="6" t="s">
        <v>23</v>
      </c>
      <c r="D4194" s="6" t="s">
        <v>8976</v>
      </c>
      <c r="E4194" s="6" t="s">
        <v>558</v>
      </c>
      <c r="F4194" s="6" t="s">
        <v>18</v>
      </c>
      <c r="G4194" s="7">
        <v>0.05</v>
      </c>
      <c r="H4194" s="6" t="s">
        <v>1269</v>
      </c>
      <c r="I4194" s="6" t="s">
        <v>20</v>
      </c>
      <c r="J4194" s="6">
        <v>2025.0</v>
      </c>
      <c r="K4194" s="10">
        <v>46145.0</v>
      </c>
      <c r="L4194" s="6">
        <v>1.0</v>
      </c>
      <c r="M4194" s="8">
        <f t="shared" si="5"/>
        <v>0.05</v>
      </c>
      <c r="P4194" s="9"/>
    </row>
    <row r="4195">
      <c r="A4195" s="6" t="s">
        <v>8977</v>
      </c>
      <c r="B4195" s="6" t="s">
        <v>8978</v>
      </c>
      <c r="C4195" s="6" t="s">
        <v>34</v>
      </c>
      <c r="D4195" s="6" t="s">
        <v>8979</v>
      </c>
      <c r="E4195" s="6" t="s">
        <v>208</v>
      </c>
      <c r="F4195" s="6" t="s">
        <v>51</v>
      </c>
      <c r="G4195" s="7">
        <v>0.05</v>
      </c>
      <c r="H4195" s="6" t="s">
        <v>1043</v>
      </c>
      <c r="I4195" s="6" t="s">
        <v>20</v>
      </c>
      <c r="J4195" s="6">
        <v>2025.0</v>
      </c>
      <c r="K4195" s="10">
        <v>46055.0</v>
      </c>
      <c r="L4195" s="6">
        <v>1.0</v>
      </c>
      <c r="M4195" s="8">
        <f t="shared" si="5"/>
        <v>0.05</v>
      </c>
      <c r="P4195" s="9"/>
    </row>
    <row r="4196">
      <c r="A4196" s="6" t="s">
        <v>8980</v>
      </c>
      <c r="B4196" s="6" t="s">
        <v>143</v>
      </c>
      <c r="C4196" s="6" t="s">
        <v>48</v>
      </c>
      <c r="D4196" s="6" t="s">
        <v>8981</v>
      </c>
      <c r="E4196" s="6" t="s">
        <v>625</v>
      </c>
      <c r="F4196" s="6" t="s">
        <v>37</v>
      </c>
      <c r="G4196" s="7">
        <v>0.1</v>
      </c>
      <c r="H4196" s="6" t="s">
        <v>994</v>
      </c>
      <c r="I4196" s="6" t="s">
        <v>20</v>
      </c>
      <c r="J4196" s="6">
        <v>2024.0</v>
      </c>
      <c r="L4196" s="6">
        <v>1.0</v>
      </c>
      <c r="M4196" s="8">
        <f t="shared" si="5"/>
        <v>0.1</v>
      </c>
      <c r="P4196" s="9"/>
    </row>
    <row r="4197">
      <c r="A4197" s="6" t="s">
        <v>8982</v>
      </c>
      <c r="B4197" s="6" t="s">
        <v>8983</v>
      </c>
      <c r="C4197" s="6" t="s">
        <v>34</v>
      </c>
      <c r="D4197" s="6" t="s">
        <v>8984</v>
      </c>
      <c r="E4197" s="6" t="s">
        <v>196</v>
      </c>
      <c r="F4197" s="6" t="s">
        <v>65</v>
      </c>
      <c r="G4197" s="7">
        <v>0.13</v>
      </c>
      <c r="H4197" s="6" t="s">
        <v>38</v>
      </c>
      <c r="I4197" s="6" t="s">
        <v>20</v>
      </c>
      <c r="J4197" s="6">
        <v>2026.0</v>
      </c>
      <c r="K4197" s="10">
        <v>46054.0</v>
      </c>
      <c r="L4197" s="6">
        <v>2.0</v>
      </c>
      <c r="M4197" s="8">
        <f t="shared" si="5"/>
        <v>0.26</v>
      </c>
      <c r="P4197" s="9"/>
    </row>
    <row r="4198">
      <c r="A4198" s="6" t="s">
        <v>8985</v>
      </c>
      <c r="B4198" s="6" t="s">
        <v>366</v>
      </c>
      <c r="C4198" s="6" t="s">
        <v>41</v>
      </c>
      <c r="D4198" s="6" t="s">
        <v>8986</v>
      </c>
      <c r="E4198" s="6" t="s">
        <v>25</v>
      </c>
      <c r="F4198" s="6" t="s">
        <v>18</v>
      </c>
      <c r="G4198" s="7">
        <v>27.55</v>
      </c>
      <c r="H4198" s="6" t="s">
        <v>26</v>
      </c>
      <c r="I4198" s="6" t="s">
        <v>20</v>
      </c>
      <c r="J4198" s="6">
        <v>2026.0</v>
      </c>
      <c r="L4198" s="6">
        <v>1.0</v>
      </c>
      <c r="M4198" s="8">
        <f t="shared" si="5"/>
        <v>27.55</v>
      </c>
      <c r="P4198" s="9"/>
    </row>
    <row r="4199">
      <c r="A4199" s="6" t="s">
        <v>8987</v>
      </c>
      <c r="B4199" s="6" t="s">
        <v>6463</v>
      </c>
      <c r="C4199" s="6" t="s">
        <v>23</v>
      </c>
      <c r="D4199" s="6" t="s">
        <v>8988</v>
      </c>
      <c r="E4199" s="6" t="s">
        <v>235</v>
      </c>
      <c r="F4199" s="6" t="s">
        <v>103</v>
      </c>
      <c r="G4199" s="7">
        <v>0.08</v>
      </c>
      <c r="H4199" s="6" t="s">
        <v>994</v>
      </c>
      <c r="I4199" s="6" t="s">
        <v>20</v>
      </c>
      <c r="J4199" s="6">
        <v>2024.0</v>
      </c>
      <c r="K4199" s="10">
        <v>46055.0</v>
      </c>
      <c r="L4199" s="6">
        <v>1.0</v>
      </c>
      <c r="M4199" s="8">
        <f t="shared" si="5"/>
        <v>0.08</v>
      </c>
      <c r="P4199" s="9"/>
    </row>
    <row r="4200">
      <c r="A4200" s="6" t="s">
        <v>8989</v>
      </c>
      <c r="B4200" s="6" t="s">
        <v>1790</v>
      </c>
      <c r="C4200" s="6" t="s">
        <v>48</v>
      </c>
      <c r="D4200" s="6" t="s">
        <v>8990</v>
      </c>
      <c r="E4200" s="6" t="s">
        <v>8991</v>
      </c>
      <c r="F4200" s="6" t="s">
        <v>98</v>
      </c>
      <c r="G4200" s="7">
        <v>0.08</v>
      </c>
      <c r="H4200" s="6" t="s">
        <v>562</v>
      </c>
      <c r="I4200" s="6" t="s">
        <v>20</v>
      </c>
      <c r="J4200" s="6">
        <v>2017.0</v>
      </c>
      <c r="L4200" s="6">
        <v>2.0</v>
      </c>
      <c r="M4200" s="8">
        <f t="shared" si="5"/>
        <v>0.16</v>
      </c>
      <c r="P4200" s="9"/>
    </row>
    <row r="4201">
      <c r="A4201" s="6" t="s">
        <v>8992</v>
      </c>
      <c r="B4201" s="6" t="s">
        <v>8993</v>
      </c>
      <c r="C4201" s="6" t="s">
        <v>15</v>
      </c>
      <c r="D4201" s="6" t="s">
        <v>8994</v>
      </c>
      <c r="E4201" s="6" t="s">
        <v>8995</v>
      </c>
      <c r="F4201" s="6" t="s">
        <v>858</v>
      </c>
      <c r="G4201" s="7">
        <v>0.19</v>
      </c>
      <c r="H4201" s="6" t="s">
        <v>807</v>
      </c>
      <c r="I4201" s="6" t="s">
        <v>20</v>
      </c>
      <c r="J4201" s="6">
        <v>2026.0</v>
      </c>
      <c r="K4201" s="10">
        <v>46116.0</v>
      </c>
      <c r="L4201" s="6">
        <v>2.0</v>
      </c>
      <c r="M4201" s="8">
        <f t="shared" si="5"/>
        <v>0.38</v>
      </c>
      <c r="P4201" s="9"/>
    </row>
    <row r="4202">
      <c r="A4202" s="6" t="s">
        <v>8996</v>
      </c>
      <c r="B4202" s="6" t="s">
        <v>841</v>
      </c>
      <c r="C4202" s="6" t="s">
        <v>23</v>
      </c>
      <c r="D4202" s="6" t="s">
        <v>8997</v>
      </c>
      <c r="E4202" s="6" t="s">
        <v>890</v>
      </c>
      <c r="F4202" s="6" t="s">
        <v>37</v>
      </c>
      <c r="G4202" s="7">
        <v>0.1</v>
      </c>
      <c r="H4202" s="6" t="s">
        <v>163</v>
      </c>
      <c r="I4202" s="6" t="s">
        <v>20</v>
      </c>
      <c r="J4202" s="6">
        <v>2023.0</v>
      </c>
      <c r="K4202" s="10">
        <v>46144.0</v>
      </c>
      <c r="L4202" s="6">
        <v>1.0</v>
      </c>
      <c r="M4202" s="8">
        <f t="shared" si="5"/>
        <v>0.1</v>
      </c>
      <c r="P4202" s="9"/>
    </row>
    <row r="4203">
      <c r="A4203" s="6" t="s">
        <v>8998</v>
      </c>
      <c r="B4203" s="6" t="s">
        <v>796</v>
      </c>
      <c r="C4203" s="6" t="s">
        <v>34</v>
      </c>
      <c r="D4203" s="6" t="s">
        <v>8999</v>
      </c>
      <c r="E4203" s="6" t="s">
        <v>5129</v>
      </c>
      <c r="F4203" s="6" t="s">
        <v>51</v>
      </c>
      <c r="G4203" s="7">
        <v>0.19</v>
      </c>
      <c r="H4203" s="6" t="s">
        <v>180</v>
      </c>
      <c r="I4203" s="6" t="s">
        <v>20</v>
      </c>
      <c r="J4203" s="6">
        <v>2014.0</v>
      </c>
      <c r="L4203" s="6">
        <v>1.0</v>
      </c>
      <c r="M4203" s="8">
        <f t="shared" si="5"/>
        <v>0.19</v>
      </c>
      <c r="P4203" s="9"/>
    </row>
    <row r="4204">
      <c r="A4204" s="6" t="s">
        <v>9000</v>
      </c>
      <c r="B4204" s="6" t="s">
        <v>131</v>
      </c>
      <c r="C4204" s="6" t="s">
        <v>23</v>
      </c>
      <c r="D4204" s="6" t="s">
        <v>9001</v>
      </c>
      <c r="E4204" s="6" t="s">
        <v>118</v>
      </c>
      <c r="F4204" s="6" t="s">
        <v>51</v>
      </c>
      <c r="G4204" s="7">
        <v>0.06</v>
      </c>
      <c r="H4204" s="6" t="s">
        <v>66</v>
      </c>
      <c r="I4204" s="6" t="s">
        <v>20</v>
      </c>
      <c r="J4204" s="6">
        <v>2016.0</v>
      </c>
      <c r="K4204" s="10">
        <v>46024.0</v>
      </c>
      <c r="L4204" s="6">
        <v>1.0</v>
      </c>
      <c r="M4204" s="8">
        <f t="shared" si="5"/>
        <v>0.06</v>
      </c>
      <c r="P4204" s="9"/>
    </row>
    <row r="4205">
      <c r="A4205" s="6" t="s">
        <v>9002</v>
      </c>
      <c r="B4205" s="6" t="s">
        <v>796</v>
      </c>
      <c r="C4205" s="6" t="s">
        <v>212</v>
      </c>
      <c r="D4205" s="6" t="s">
        <v>9003</v>
      </c>
      <c r="E4205" s="6" t="s">
        <v>9004</v>
      </c>
      <c r="F4205" s="6" t="s">
        <v>858</v>
      </c>
      <c r="G4205" s="7">
        <v>0.23</v>
      </c>
      <c r="H4205" s="6" t="s">
        <v>180</v>
      </c>
      <c r="I4205" s="6" t="s">
        <v>20</v>
      </c>
      <c r="J4205" s="6">
        <v>2014.0</v>
      </c>
      <c r="L4205" s="6">
        <v>1.0</v>
      </c>
      <c r="M4205" s="8">
        <f t="shared" si="5"/>
        <v>0.23</v>
      </c>
      <c r="P4205" s="9"/>
    </row>
    <row r="4206">
      <c r="A4206" s="6" t="s">
        <v>9005</v>
      </c>
      <c r="B4206" s="6" t="s">
        <v>62</v>
      </c>
      <c r="C4206" s="6" t="s">
        <v>23</v>
      </c>
      <c r="D4206" s="6" t="s">
        <v>9006</v>
      </c>
      <c r="E4206" s="6" t="s">
        <v>248</v>
      </c>
      <c r="F4206" s="6" t="s">
        <v>18</v>
      </c>
      <c r="G4206" s="7">
        <v>2.02</v>
      </c>
      <c r="H4206" s="6" t="s">
        <v>1293</v>
      </c>
      <c r="I4206" s="6" t="s">
        <v>20</v>
      </c>
      <c r="J4206" s="6">
        <v>2011.0</v>
      </c>
      <c r="L4206" s="6">
        <v>2.0</v>
      </c>
      <c r="M4206" s="8">
        <f t="shared" si="5"/>
        <v>4.04</v>
      </c>
      <c r="P4206" s="9"/>
    </row>
    <row r="4207">
      <c r="A4207" s="6" t="s">
        <v>9007</v>
      </c>
      <c r="B4207" s="6" t="s">
        <v>9008</v>
      </c>
      <c r="C4207" s="6" t="s">
        <v>287</v>
      </c>
      <c r="D4207" s="6" t="s">
        <v>9009</v>
      </c>
      <c r="E4207" s="6" t="s">
        <v>303</v>
      </c>
      <c r="F4207" s="6" t="s">
        <v>37</v>
      </c>
      <c r="G4207" s="7">
        <v>0.25</v>
      </c>
      <c r="H4207" s="6" t="s">
        <v>146</v>
      </c>
      <c r="I4207" s="6" t="s">
        <v>20</v>
      </c>
      <c r="J4207" s="6">
        <v>2010.0</v>
      </c>
      <c r="K4207" s="6" t="s">
        <v>597</v>
      </c>
      <c r="L4207" s="6">
        <v>1.0</v>
      </c>
      <c r="M4207" s="8">
        <f t="shared" si="5"/>
        <v>0.25</v>
      </c>
      <c r="P4207" s="9"/>
    </row>
    <row r="4208">
      <c r="A4208" s="6" t="s">
        <v>9010</v>
      </c>
      <c r="B4208" s="6" t="s">
        <v>151</v>
      </c>
      <c r="C4208" s="6" t="s">
        <v>23</v>
      </c>
      <c r="D4208" s="6" t="s">
        <v>9011</v>
      </c>
      <c r="E4208" s="6" t="s">
        <v>149</v>
      </c>
      <c r="F4208" s="6" t="s">
        <v>18</v>
      </c>
      <c r="G4208" s="7">
        <v>0.09</v>
      </c>
      <c r="H4208" s="6" t="s">
        <v>114</v>
      </c>
      <c r="I4208" s="6" t="s">
        <v>20</v>
      </c>
      <c r="J4208" s="6">
        <v>2021.0</v>
      </c>
      <c r="K4208" s="10">
        <v>46084.0</v>
      </c>
      <c r="L4208" s="6">
        <v>1.0</v>
      </c>
      <c r="M4208" s="8">
        <f t="shared" si="5"/>
        <v>0.09</v>
      </c>
      <c r="P4208" s="9"/>
    </row>
    <row r="4209">
      <c r="A4209" s="6" t="s">
        <v>9012</v>
      </c>
      <c r="B4209" s="6" t="s">
        <v>9013</v>
      </c>
      <c r="C4209" s="6" t="s">
        <v>23</v>
      </c>
      <c r="D4209" s="6" t="s">
        <v>9014</v>
      </c>
      <c r="E4209" s="6" t="s">
        <v>328</v>
      </c>
      <c r="F4209" s="6" t="s">
        <v>18</v>
      </c>
      <c r="G4209" s="7">
        <v>0.14</v>
      </c>
      <c r="H4209" s="6" t="s">
        <v>171</v>
      </c>
      <c r="I4209" s="6" t="s">
        <v>55</v>
      </c>
      <c r="J4209" s="6">
        <v>2021.0</v>
      </c>
      <c r="K4209" s="10">
        <v>46115.0</v>
      </c>
      <c r="L4209" s="6">
        <v>4.0</v>
      </c>
      <c r="M4209" s="8">
        <f t="shared" si="5"/>
        <v>0.56</v>
      </c>
      <c r="P4209" s="9"/>
    </row>
    <row r="4210">
      <c r="A4210" s="6" t="s">
        <v>9015</v>
      </c>
      <c r="B4210" s="6" t="s">
        <v>3094</v>
      </c>
      <c r="C4210" s="6" t="s">
        <v>48</v>
      </c>
      <c r="D4210" s="6" t="s">
        <v>9016</v>
      </c>
      <c r="E4210" s="6" t="s">
        <v>79</v>
      </c>
      <c r="F4210" s="6" t="s">
        <v>51</v>
      </c>
      <c r="G4210" s="7">
        <v>0.15</v>
      </c>
      <c r="H4210" s="6" t="s">
        <v>154</v>
      </c>
      <c r="I4210" s="6" t="s">
        <v>20</v>
      </c>
      <c r="J4210" s="6">
        <v>2013.0</v>
      </c>
      <c r="K4210" s="10">
        <v>46055.0</v>
      </c>
      <c r="L4210" s="6">
        <v>1.0</v>
      </c>
      <c r="M4210" s="8">
        <f t="shared" si="5"/>
        <v>0.15</v>
      </c>
      <c r="P4210" s="9"/>
    </row>
    <row r="4211">
      <c r="A4211" s="6" t="s">
        <v>9017</v>
      </c>
      <c r="B4211" s="6" t="s">
        <v>9018</v>
      </c>
      <c r="C4211" s="6" t="s">
        <v>34</v>
      </c>
      <c r="D4211" s="6" t="s">
        <v>9019</v>
      </c>
      <c r="E4211" s="6" t="s">
        <v>3384</v>
      </c>
      <c r="F4211" s="6" t="s">
        <v>65</v>
      </c>
      <c r="G4211" s="7">
        <v>0.1</v>
      </c>
      <c r="H4211" s="6" t="s">
        <v>2111</v>
      </c>
      <c r="I4211" s="6" t="s">
        <v>20</v>
      </c>
      <c r="J4211" s="6">
        <v>2025.0</v>
      </c>
      <c r="K4211" s="10">
        <v>46117.0</v>
      </c>
      <c r="L4211" s="6">
        <v>1.0</v>
      </c>
      <c r="M4211" s="8">
        <f t="shared" si="5"/>
        <v>0.1</v>
      </c>
      <c r="P4211" s="9"/>
    </row>
    <row r="4212">
      <c r="A4212" s="6" t="s">
        <v>9020</v>
      </c>
      <c r="B4212" s="6" t="s">
        <v>543</v>
      </c>
      <c r="C4212" s="6" t="s">
        <v>48</v>
      </c>
      <c r="D4212" s="6" t="s">
        <v>9021</v>
      </c>
      <c r="E4212" s="6" t="s">
        <v>124</v>
      </c>
      <c r="F4212" s="6" t="s">
        <v>103</v>
      </c>
      <c r="G4212" s="7">
        <v>0.33</v>
      </c>
      <c r="H4212" s="6" t="s">
        <v>245</v>
      </c>
      <c r="I4212" s="6" t="s">
        <v>20</v>
      </c>
      <c r="J4212" s="6">
        <v>1995.0</v>
      </c>
      <c r="L4212" s="6">
        <v>1.0</v>
      </c>
      <c r="M4212" s="8">
        <f t="shared" si="5"/>
        <v>0.33</v>
      </c>
      <c r="P4212" s="9"/>
    </row>
    <row r="4213">
      <c r="A4213" s="6" t="s">
        <v>9022</v>
      </c>
      <c r="B4213" s="6" t="s">
        <v>9023</v>
      </c>
      <c r="C4213" s="6" t="s">
        <v>23</v>
      </c>
      <c r="D4213" s="6" t="s">
        <v>9024</v>
      </c>
      <c r="E4213" s="6" t="s">
        <v>3869</v>
      </c>
      <c r="F4213" s="6" t="s">
        <v>874</v>
      </c>
      <c r="G4213" s="7">
        <v>0.1</v>
      </c>
      <c r="H4213" s="6" t="s">
        <v>1748</v>
      </c>
      <c r="I4213" s="6" t="s">
        <v>20</v>
      </c>
      <c r="J4213" s="6">
        <v>2008.0</v>
      </c>
      <c r="K4213" s="10">
        <v>46055.0</v>
      </c>
      <c r="L4213" s="6">
        <v>1.0</v>
      </c>
      <c r="M4213" s="8">
        <f t="shared" si="5"/>
        <v>0.1</v>
      </c>
      <c r="P4213" s="9"/>
    </row>
    <row r="4214">
      <c r="A4214" s="6" t="s">
        <v>9025</v>
      </c>
      <c r="B4214" s="6" t="s">
        <v>62</v>
      </c>
      <c r="C4214" s="6" t="s">
        <v>23</v>
      </c>
      <c r="D4214" s="6" t="s">
        <v>9026</v>
      </c>
      <c r="E4214" s="6" t="s">
        <v>238</v>
      </c>
      <c r="F4214" s="6" t="s">
        <v>159</v>
      </c>
      <c r="G4214" s="7">
        <v>0.03</v>
      </c>
      <c r="H4214" s="6" t="s">
        <v>562</v>
      </c>
      <c r="I4214" s="6" t="s">
        <v>20</v>
      </c>
      <c r="J4214" s="6">
        <v>2017.0</v>
      </c>
      <c r="L4214" s="6">
        <v>2.0</v>
      </c>
      <c r="M4214" s="8">
        <f t="shared" si="5"/>
        <v>0.06</v>
      </c>
      <c r="P4214" s="9"/>
    </row>
    <row r="4215">
      <c r="A4215" s="6" t="s">
        <v>9027</v>
      </c>
      <c r="B4215" s="6" t="s">
        <v>218</v>
      </c>
      <c r="C4215" s="6" t="s">
        <v>23</v>
      </c>
      <c r="D4215" s="6" t="s">
        <v>9028</v>
      </c>
      <c r="E4215" s="6" t="s">
        <v>25</v>
      </c>
      <c r="F4215" s="6" t="s">
        <v>18</v>
      </c>
      <c r="G4215" s="7">
        <v>0.06</v>
      </c>
      <c r="H4215" s="6" t="s">
        <v>93</v>
      </c>
      <c r="I4215" s="6" t="s">
        <v>20</v>
      </c>
      <c r="J4215" s="6">
        <v>2016.0</v>
      </c>
      <c r="K4215" s="10">
        <v>46083.0</v>
      </c>
      <c r="L4215" s="6">
        <v>1.0</v>
      </c>
      <c r="M4215" s="8">
        <f t="shared" si="5"/>
        <v>0.06</v>
      </c>
      <c r="P4215" s="9"/>
    </row>
    <row r="4216">
      <c r="A4216" s="6" t="s">
        <v>9029</v>
      </c>
      <c r="B4216" s="6" t="s">
        <v>2561</v>
      </c>
      <c r="C4216" s="6" t="s">
        <v>23</v>
      </c>
      <c r="D4216" s="6" t="s">
        <v>9030</v>
      </c>
      <c r="E4216" s="6" t="s">
        <v>149</v>
      </c>
      <c r="F4216" s="6" t="s">
        <v>18</v>
      </c>
      <c r="G4216" s="7">
        <v>0.06</v>
      </c>
      <c r="H4216" s="6" t="s">
        <v>430</v>
      </c>
      <c r="I4216" s="6" t="s">
        <v>20</v>
      </c>
      <c r="J4216" s="6">
        <v>2018.0</v>
      </c>
      <c r="K4216" s="10">
        <v>46054.0</v>
      </c>
      <c r="L4216" s="6">
        <v>1.0</v>
      </c>
      <c r="M4216" s="8">
        <f t="shared" si="5"/>
        <v>0.06</v>
      </c>
      <c r="P4216" s="9"/>
    </row>
    <row r="4217">
      <c r="A4217" s="6" t="s">
        <v>9029</v>
      </c>
      <c r="B4217" s="6" t="s">
        <v>2561</v>
      </c>
      <c r="C4217" s="6" t="s">
        <v>23</v>
      </c>
      <c r="D4217" s="6" t="s">
        <v>9030</v>
      </c>
      <c r="E4217" s="6" t="s">
        <v>149</v>
      </c>
      <c r="F4217" s="6" t="s">
        <v>18</v>
      </c>
      <c r="G4217" s="7">
        <v>0.06</v>
      </c>
      <c r="H4217" s="6" t="s">
        <v>430</v>
      </c>
      <c r="I4217" s="6" t="s">
        <v>20</v>
      </c>
      <c r="J4217" s="6">
        <v>2018.0</v>
      </c>
      <c r="K4217" s="10">
        <v>46054.0</v>
      </c>
      <c r="L4217" s="6">
        <v>2.0</v>
      </c>
      <c r="M4217" s="8">
        <f t="shared" si="5"/>
        <v>0.12</v>
      </c>
      <c r="P4217" s="9"/>
    </row>
    <row r="4218">
      <c r="A4218" s="6" t="s">
        <v>9031</v>
      </c>
      <c r="B4218" s="6" t="s">
        <v>9032</v>
      </c>
      <c r="C4218" s="6" t="s">
        <v>23</v>
      </c>
      <c r="D4218" s="6" t="s">
        <v>9033</v>
      </c>
      <c r="E4218" s="6" t="s">
        <v>558</v>
      </c>
      <c r="F4218" s="6" t="s">
        <v>18</v>
      </c>
      <c r="G4218" s="7">
        <v>0.09</v>
      </c>
      <c r="H4218" s="6" t="s">
        <v>192</v>
      </c>
      <c r="I4218" s="6" t="s">
        <v>20</v>
      </c>
      <c r="J4218" s="6">
        <v>2026.0</v>
      </c>
      <c r="K4218" s="10">
        <v>46115.0</v>
      </c>
      <c r="L4218" s="6">
        <v>6.0</v>
      </c>
      <c r="M4218" s="8">
        <f t="shared" si="5"/>
        <v>0.54</v>
      </c>
      <c r="P4218" s="9"/>
    </row>
    <row r="4219">
      <c r="A4219" s="6" t="s">
        <v>9034</v>
      </c>
      <c r="B4219" s="6" t="s">
        <v>194</v>
      </c>
      <c r="C4219" s="6" t="s">
        <v>23</v>
      </c>
      <c r="D4219" s="6" t="s">
        <v>9035</v>
      </c>
      <c r="E4219" s="6" t="s">
        <v>102</v>
      </c>
      <c r="F4219" s="6" t="s">
        <v>103</v>
      </c>
      <c r="G4219" s="7">
        <v>0.1</v>
      </c>
      <c r="H4219" s="6" t="s">
        <v>192</v>
      </c>
      <c r="I4219" s="6" t="s">
        <v>20</v>
      </c>
      <c r="J4219" s="6">
        <v>2026.0</v>
      </c>
      <c r="L4219" s="6">
        <v>3.0</v>
      </c>
      <c r="M4219" s="8">
        <f t="shared" si="5"/>
        <v>0.3</v>
      </c>
      <c r="P4219" s="9"/>
    </row>
    <row r="4220">
      <c r="A4220" s="6" t="s">
        <v>9036</v>
      </c>
      <c r="B4220" s="6" t="s">
        <v>1141</v>
      </c>
      <c r="C4220" s="6" t="s">
        <v>48</v>
      </c>
      <c r="D4220" s="6" t="s">
        <v>9037</v>
      </c>
      <c r="E4220" s="6" t="s">
        <v>1005</v>
      </c>
      <c r="F4220" s="6" t="s">
        <v>65</v>
      </c>
      <c r="G4220" s="7">
        <v>0.2</v>
      </c>
      <c r="H4220" s="6" t="s">
        <v>120</v>
      </c>
      <c r="I4220" s="6" t="s">
        <v>20</v>
      </c>
      <c r="J4220" s="6">
        <v>1995.0</v>
      </c>
      <c r="K4220" s="10">
        <v>46115.0</v>
      </c>
      <c r="L4220" s="6">
        <v>2.0</v>
      </c>
      <c r="M4220" s="8">
        <f t="shared" si="5"/>
        <v>0.4</v>
      </c>
      <c r="P4220" s="9"/>
    </row>
    <row r="4221">
      <c r="A4221" s="6" t="s">
        <v>9038</v>
      </c>
      <c r="B4221" s="6" t="s">
        <v>182</v>
      </c>
      <c r="C4221" s="6" t="s">
        <v>23</v>
      </c>
      <c r="D4221" s="6" t="s">
        <v>2433</v>
      </c>
      <c r="E4221" s="6" t="s">
        <v>64</v>
      </c>
      <c r="F4221" s="6" t="s">
        <v>65</v>
      </c>
      <c r="G4221" s="7">
        <v>0.25</v>
      </c>
      <c r="H4221" s="6" t="s">
        <v>245</v>
      </c>
      <c r="I4221" s="6" t="s">
        <v>20</v>
      </c>
      <c r="J4221" s="6">
        <v>1995.0</v>
      </c>
      <c r="L4221" s="6">
        <v>3.0</v>
      </c>
      <c r="M4221" s="8">
        <f t="shared" si="5"/>
        <v>0.75</v>
      </c>
      <c r="P4221" s="9"/>
    </row>
    <row r="4222">
      <c r="A4222" s="6" t="s">
        <v>9038</v>
      </c>
      <c r="B4222" s="6" t="s">
        <v>182</v>
      </c>
      <c r="C4222" s="6" t="s">
        <v>23</v>
      </c>
      <c r="D4222" s="6" t="s">
        <v>2433</v>
      </c>
      <c r="E4222" s="6" t="s">
        <v>64</v>
      </c>
      <c r="F4222" s="6" t="s">
        <v>65</v>
      </c>
      <c r="G4222" s="7">
        <v>0.08</v>
      </c>
      <c r="H4222" s="6" t="s">
        <v>1381</v>
      </c>
      <c r="I4222" s="6" t="s">
        <v>20</v>
      </c>
      <c r="J4222" s="6">
        <v>1995.0</v>
      </c>
      <c r="L4222" s="6">
        <v>4.0</v>
      </c>
      <c r="M4222" s="8">
        <f t="shared" si="5"/>
        <v>0.32</v>
      </c>
      <c r="P4222" s="9"/>
    </row>
    <row r="4223">
      <c r="A4223" s="6" t="s">
        <v>9038</v>
      </c>
      <c r="B4223" s="6" t="s">
        <v>182</v>
      </c>
      <c r="C4223" s="6" t="s">
        <v>23</v>
      </c>
      <c r="D4223" s="6" t="s">
        <v>2433</v>
      </c>
      <c r="E4223" s="6" t="s">
        <v>64</v>
      </c>
      <c r="F4223" s="6" t="s">
        <v>65</v>
      </c>
      <c r="G4223" s="7">
        <v>0.1</v>
      </c>
      <c r="H4223" s="6" t="s">
        <v>1382</v>
      </c>
      <c r="I4223" s="6" t="s">
        <v>20</v>
      </c>
      <c r="J4223" s="6">
        <v>1995.0</v>
      </c>
      <c r="L4223" s="6">
        <v>4.0</v>
      </c>
      <c r="M4223" s="8">
        <f t="shared" si="5"/>
        <v>0.4</v>
      </c>
      <c r="P4223" s="9"/>
    </row>
    <row r="4224">
      <c r="A4224" s="6" t="s">
        <v>9038</v>
      </c>
      <c r="B4224" s="6" t="s">
        <v>182</v>
      </c>
      <c r="C4224" s="6" t="s">
        <v>23</v>
      </c>
      <c r="D4224" s="6" t="s">
        <v>2433</v>
      </c>
      <c r="E4224" s="6" t="s">
        <v>64</v>
      </c>
      <c r="F4224" s="6" t="s">
        <v>65</v>
      </c>
      <c r="G4224" s="7">
        <v>0.25</v>
      </c>
      <c r="H4224" s="6" t="s">
        <v>607</v>
      </c>
      <c r="I4224" s="6" t="s">
        <v>20</v>
      </c>
      <c r="J4224" s="6">
        <v>1995.0</v>
      </c>
      <c r="L4224" s="6">
        <v>2.0</v>
      </c>
      <c r="M4224" s="8">
        <f t="shared" si="5"/>
        <v>0.5</v>
      </c>
      <c r="P4224" s="9"/>
    </row>
    <row r="4225">
      <c r="A4225" s="6" t="s">
        <v>9039</v>
      </c>
      <c r="B4225" s="6" t="s">
        <v>9040</v>
      </c>
      <c r="C4225" s="6" t="s">
        <v>15</v>
      </c>
      <c r="D4225" s="6" t="s">
        <v>9041</v>
      </c>
      <c r="E4225" s="6" t="s">
        <v>2642</v>
      </c>
      <c r="F4225" s="6" t="s">
        <v>51</v>
      </c>
      <c r="G4225" s="7">
        <v>0.15</v>
      </c>
      <c r="H4225" s="6" t="s">
        <v>180</v>
      </c>
      <c r="I4225" s="6" t="s">
        <v>20</v>
      </c>
      <c r="J4225" s="6">
        <v>2014.0</v>
      </c>
      <c r="K4225" s="10">
        <v>46056.0</v>
      </c>
      <c r="L4225" s="6">
        <v>1.0</v>
      </c>
      <c r="M4225" s="8">
        <f t="shared" si="5"/>
        <v>0.15</v>
      </c>
      <c r="P4225" s="9"/>
    </row>
    <row r="4226">
      <c r="A4226" s="6" t="s">
        <v>9042</v>
      </c>
      <c r="B4226" s="6" t="s">
        <v>1857</v>
      </c>
      <c r="C4226" s="6" t="s">
        <v>23</v>
      </c>
      <c r="D4226" s="6" t="s">
        <v>9043</v>
      </c>
      <c r="E4226" s="6" t="s">
        <v>270</v>
      </c>
      <c r="F4226" s="6" t="s">
        <v>159</v>
      </c>
      <c r="G4226" s="7">
        <v>0.04</v>
      </c>
      <c r="H4226" s="6" t="s">
        <v>271</v>
      </c>
      <c r="I4226" s="6" t="s">
        <v>20</v>
      </c>
      <c r="J4226" s="6">
        <v>2012.0</v>
      </c>
      <c r="K4226" s="10">
        <v>46056.0</v>
      </c>
      <c r="L4226" s="6">
        <v>1.0</v>
      </c>
      <c r="M4226" s="8">
        <f t="shared" si="5"/>
        <v>0.04</v>
      </c>
      <c r="P4226" s="9"/>
    </row>
    <row r="4227">
      <c r="A4227" s="6" t="s">
        <v>9044</v>
      </c>
      <c r="B4227" s="6" t="s">
        <v>62</v>
      </c>
      <c r="C4227" s="6" t="s">
        <v>23</v>
      </c>
      <c r="D4227" s="6" t="s">
        <v>9045</v>
      </c>
      <c r="E4227" s="6" t="s">
        <v>2129</v>
      </c>
      <c r="F4227" s="6" t="s">
        <v>65</v>
      </c>
      <c r="G4227" s="7">
        <v>0.05</v>
      </c>
      <c r="H4227" s="6" t="s">
        <v>552</v>
      </c>
      <c r="I4227" s="6" t="s">
        <v>20</v>
      </c>
      <c r="J4227" s="6">
        <v>2020.0</v>
      </c>
      <c r="L4227" s="6">
        <v>1.0</v>
      </c>
      <c r="M4227" s="8">
        <f t="shared" si="5"/>
        <v>0.05</v>
      </c>
      <c r="P4227" s="9"/>
    </row>
    <row r="4228">
      <c r="A4228" s="6" t="s">
        <v>9046</v>
      </c>
      <c r="B4228" s="6" t="s">
        <v>366</v>
      </c>
      <c r="C4228" s="6" t="s">
        <v>23</v>
      </c>
      <c r="D4228" s="6" t="s">
        <v>9047</v>
      </c>
      <c r="E4228" s="6" t="s">
        <v>64</v>
      </c>
      <c r="F4228" s="6" t="s">
        <v>65</v>
      </c>
      <c r="G4228" s="7">
        <v>0.05</v>
      </c>
      <c r="H4228" s="6" t="s">
        <v>245</v>
      </c>
      <c r="I4228" s="6" t="s">
        <v>20</v>
      </c>
      <c r="J4228" s="6">
        <v>1995.0</v>
      </c>
      <c r="L4228" s="6">
        <v>2.0</v>
      </c>
      <c r="M4228" s="8">
        <f t="shared" si="5"/>
        <v>0.1</v>
      </c>
      <c r="P4228" s="9"/>
    </row>
    <row r="4229">
      <c r="A4229" s="6" t="s">
        <v>9048</v>
      </c>
      <c r="B4229" s="6" t="s">
        <v>291</v>
      </c>
      <c r="C4229" s="6" t="s">
        <v>23</v>
      </c>
      <c r="D4229" s="6" t="s">
        <v>9049</v>
      </c>
      <c r="E4229" s="6" t="s">
        <v>118</v>
      </c>
      <c r="F4229" s="6" t="s">
        <v>51</v>
      </c>
      <c r="G4229" s="7">
        <v>0.03</v>
      </c>
      <c r="H4229" s="6" t="s">
        <v>359</v>
      </c>
      <c r="I4229" s="6" t="s">
        <v>20</v>
      </c>
      <c r="J4229" s="6">
        <v>2014.0</v>
      </c>
      <c r="K4229" s="10">
        <v>46055.0</v>
      </c>
      <c r="L4229" s="6">
        <v>3.0</v>
      </c>
      <c r="M4229" s="8">
        <f t="shared" si="5"/>
        <v>0.09</v>
      </c>
      <c r="P4229" s="9"/>
    </row>
    <row r="4230">
      <c r="A4230" s="6" t="s">
        <v>9050</v>
      </c>
      <c r="B4230" s="6" t="s">
        <v>9051</v>
      </c>
      <c r="C4230" s="6" t="s">
        <v>23</v>
      </c>
      <c r="D4230" s="6" t="s">
        <v>9052</v>
      </c>
      <c r="E4230" s="6" t="s">
        <v>223</v>
      </c>
      <c r="F4230" s="6" t="s">
        <v>159</v>
      </c>
      <c r="G4230" s="7">
        <v>0.1</v>
      </c>
      <c r="H4230" s="6" t="s">
        <v>663</v>
      </c>
      <c r="I4230" s="6" t="s">
        <v>20</v>
      </c>
      <c r="J4230" s="6">
        <v>2023.0</v>
      </c>
      <c r="K4230" s="10">
        <v>46055.0</v>
      </c>
      <c r="L4230" s="6">
        <v>3.0</v>
      </c>
      <c r="M4230" s="8">
        <f t="shared" si="5"/>
        <v>0.3</v>
      </c>
      <c r="P4230" s="9"/>
    </row>
    <row r="4231">
      <c r="A4231" s="6" t="s">
        <v>9053</v>
      </c>
      <c r="B4231" s="6" t="s">
        <v>8744</v>
      </c>
      <c r="C4231" s="6" t="s">
        <v>23</v>
      </c>
      <c r="D4231" s="6" t="s">
        <v>9054</v>
      </c>
      <c r="E4231" s="6" t="s">
        <v>36</v>
      </c>
      <c r="F4231" s="6" t="s">
        <v>37</v>
      </c>
      <c r="G4231" s="7">
        <v>0.05</v>
      </c>
      <c r="H4231" s="6" t="s">
        <v>224</v>
      </c>
      <c r="I4231" s="6" t="s">
        <v>20</v>
      </c>
      <c r="J4231" s="6">
        <v>2020.0</v>
      </c>
      <c r="K4231" s="10">
        <v>46024.0</v>
      </c>
      <c r="L4231" s="6">
        <v>1.0</v>
      </c>
      <c r="M4231" s="8">
        <f t="shared" si="5"/>
        <v>0.05</v>
      </c>
      <c r="P4231" s="9"/>
    </row>
    <row r="4232">
      <c r="A4232" s="6" t="s">
        <v>9055</v>
      </c>
      <c r="B4232" s="6" t="s">
        <v>9056</v>
      </c>
      <c r="C4232" s="6" t="s">
        <v>23</v>
      </c>
      <c r="D4232" s="6" t="s">
        <v>1438</v>
      </c>
      <c r="E4232" s="6" t="s">
        <v>149</v>
      </c>
      <c r="F4232" s="6" t="s">
        <v>18</v>
      </c>
      <c r="G4232" s="7">
        <v>0.09</v>
      </c>
      <c r="H4232" s="6" t="s">
        <v>6962</v>
      </c>
      <c r="I4232" s="6" t="s">
        <v>20</v>
      </c>
      <c r="J4232" s="6">
        <v>2005.0</v>
      </c>
      <c r="K4232" s="10">
        <v>46054.0</v>
      </c>
      <c r="L4232" s="6">
        <v>1.0</v>
      </c>
      <c r="M4232" s="8">
        <f t="shared" si="5"/>
        <v>0.09</v>
      </c>
      <c r="P4232" s="9"/>
    </row>
    <row r="4233">
      <c r="A4233" s="6" t="s">
        <v>9057</v>
      </c>
      <c r="B4233" s="6" t="s">
        <v>165</v>
      </c>
      <c r="C4233" s="6" t="s">
        <v>15</v>
      </c>
      <c r="D4233" s="6" t="s">
        <v>9058</v>
      </c>
      <c r="E4233" s="6" t="s">
        <v>2469</v>
      </c>
      <c r="F4233" s="6" t="s">
        <v>65</v>
      </c>
      <c r="G4233" s="7">
        <v>0.29</v>
      </c>
      <c r="H4233" s="6" t="s">
        <v>2326</v>
      </c>
      <c r="I4233" s="6" t="s">
        <v>20</v>
      </c>
      <c r="J4233" s="6">
        <v>2026.0</v>
      </c>
      <c r="L4233" s="6">
        <v>2.0</v>
      </c>
      <c r="M4233" s="8">
        <f t="shared" si="5"/>
        <v>0.58</v>
      </c>
      <c r="P4233" s="9"/>
    </row>
    <row r="4234">
      <c r="A4234" s="6" t="s">
        <v>9059</v>
      </c>
      <c r="B4234" s="6" t="s">
        <v>3823</v>
      </c>
      <c r="C4234" s="6" t="s">
        <v>41</v>
      </c>
      <c r="D4234" s="6" t="s">
        <v>9060</v>
      </c>
      <c r="E4234" s="6" t="s">
        <v>9061</v>
      </c>
      <c r="F4234" s="6" t="s">
        <v>44</v>
      </c>
      <c r="G4234" s="7">
        <v>3.68</v>
      </c>
      <c r="H4234" s="6" t="s">
        <v>245</v>
      </c>
      <c r="I4234" s="6" t="s">
        <v>20</v>
      </c>
      <c r="J4234" s="6">
        <v>1995.0</v>
      </c>
      <c r="K4234" s="10">
        <v>46084.0</v>
      </c>
      <c r="L4234" s="6">
        <v>1.0</v>
      </c>
      <c r="M4234" s="8">
        <f t="shared" si="5"/>
        <v>3.68</v>
      </c>
      <c r="N4234" s="6" t="s">
        <v>172</v>
      </c>
      <c r="P4234" s="9"/>
    </row>
    <row r="4235">
      <c r="A4235" s="6" t="s">
        <v>9062</v>
      </c>
      <c r="B4235" s="6" t="s">
        <v>62</v>
      </c>
      <c r="C4235" s="6" t="s">
        <v>23</v>
      </c>
      <c r="D4235" s="6" t="s">
        <v>9063</v>
      </c>
      <c r="E4235" s="6" t="s">
        <v>196</v>
      </c>
      <c r="F4235" s="6" t="s">
        <v>65</v>
      </c>
      <c r="G4235" s="7">
        <v>0.04</v>
      </c>
      <c r="H4235" s="6" t="s">
        <v>185</v>
      </c>
      <c r="I4235" s="6" t="s">
        <v>20</v>
      </c>
      <c r="J4235" s="6">
        <v>2019.0</v>
      </c>
      <c r="L4235" s="6">
        <v>1.0</v>
      </c>
      <c r="M4235" s="8">
        <f t="shared" si="5"/>
        <v>0.04</v>
      </c>
      <c r="P4235" s="9"/>
    </row>
    <row r="4236">
      <c r="A4236" s="6" t="s">
        <v>9064</v>
      </c>
      <c r="B4236" s="6" t="s">
        <v>9065</v>
      </c>
      <c r="C4236" s="6" t="s">
        <v>48</v>
      </c>
      <c r="D4236" s="6" t="s">
        <v>9066</v>
      </c>
      <c r="E4236" s="6" t="s">
        <v>533</v>
      </c>
      <c r="F4236" s="6" t="s">
        <v>65</v>
      </c>
      <c r="G4236" s="7">
        <v>17.69</v>
      </c>
      <c r="H4236" s="6" t="s">
        <v>163</v>
      </c>
      <c r="I4236" s="6" t="s">
        <v>20</v>
      </c>
      <c r="J4236" s="6">
        <v>2023.0</v>
      </c>
      <c r="K4236" s="10">
        <v>46055.0</v>
      </c>
      <c r="L4236" s="6">
        <v>1.0</v>
      </c>
      <c r="M4236" s="8">
        <f t="shared" si="5"/>
        <v>17.69</v>
      </c>
      <c r="N4236" s="6" t="s">
        <v>172</v>
      </c>
      <c r="P4236" s="9"/>
    </row>
    <row r="4237">
      <c r="A4237" s="6" t="s">
        <v>9067</v>
      </c>
      <c r="B4237" s="6" t="s">
        <v>151</v>
      </c>
      <c r="C4237" s="6" t="s">
        <v>23</v>
      </c>
      <c r="D4237" s="6" t="s">
        <v>9068</v>
      </c>
      <c r="E4237" s="6" t="s">
        <v>293</v>
      </c>
      <c r="F4237" s="6" t="s">
        <v>18</v>
      </c>
      <c r="G4237" s="7">
        <v>0.17</v>
      </c>
      <c r="H4237" s="6" t="s">
        <v>1494</v>
      </c>
      <c r="I4237" s="6" t="s">
        <v>20</v>
      </c>
      <c r="J4237" s="6">
        <v>2012.0</v>
      </c>
      <c r="K4237" s="10">
        <v>46055.0</v>
      </c>
      <c r="L4237" s="6">
        <v>3.0</v>
      </c>
      <c r="M4237" s="8">
        <f t="shared" si="5"/>
        <v>0.51</v>
      </c>
      <c r="P4237" s="9"/>
    </row>
    <row r="4238">
      <c r="A4238" s="6" t="s">
        <v>9069</v>
      </c>
      <c r="B4238" s="6" t="s">
        <v>2209</v>
      </c>
      <c r="C4238" s="6" t="s">
        <v>48</v>
      </c>
      <c r="D4238" s="6" t="s">
        <v>9070</v>
      </c>
      <c r="E4238" s="6" t="s">
        <v>6097</v>
      </c>
      <c r="F4238" s="6" t="s">
        <v>60</v>
      </c>
      <c r="G4238" s="7">
        <v>0.05</v>
      </c>
      <c r="H4238" s="6" t="s">
        <v>359</v>
      </c>
      <c r="I4238" s="6" t="s">
        <v>20</v>
      </c>
      <c r="J4238" s="6">
        <v>2014.0</v>
      </c>
      <c r="K4238" s="10">
        <v>46083.0</v>
      </c>
      <c r="L4238" s="6">
        <v>1.0</v>
      </c>
      <c r="M4238" s="8">
        <f t="shared" si="5"/>
        <v>0.05</v>
      </c>
      <c r="P4238" s="9"/>
    </row>
    <row r="4239">
      <c r="A4239" s="6" t="s">
        <v>9071</v>
      </c>
      <c r="B4239" s="6" t="s">
        <v>291</v>
      </c>
      <c r="C4239" s="6" t="s">
        <v>48</v>
      </c>
      <c r="D4239" s="6" t="s">
        <v>9072</v>
      </c>
      <c r="E4239" s="6" t="s">
        <v>4307</v>
      </c>
      <c r="F4239" s="6" t="s">
        <v>60</v>
      </c>
      <c r="G4239" s="7">
        <v>0.08</v>
      </c>
      <c r="H4239" s="6" t="s">
        <v>336</v>
      </c>
      <c r="I4239" s="6" t="s">
        <v>20</v>
      </c>
      <c r="J4239" s="6">
        <v>2016.0</v>
      </c>
      <c r="K4239" s="10">
        <v>46082.0</v>
      </c>
      <c r="L4239" s="6">
        <v>4.0</v>
      </c>
      <c r="M4239" s="8">
        <f t="shared" si="5"/>
        <v>0.32</v>
      </c>
      <c r="P4239" s="9"/>
    </row>
    <row r="4240">
      <c r="A4240" s="6" t="s">
        <v>9071</v>
      </c>
      <c r="B4240" s="6" t="s">
        <v>291</v>
      </c>
      <c r="C4240" s="6" t="s">
        <v>48</v>
      </c>
      <c r="D4240" s="6" t="s">
        <v>9072</v>
      </c>
      <c r="E4240" s="6" t="s">
        <v>4307</v>
      </c>
      <c r="F4240" s="6" t="s">
        <v>60</v>
      </c>
      <c r="G4240" s="7">
        <v>0.05</v>
      </c>
      <c r="H4240" s="6" t="s">
        <v>336</v>
      </c>
      <c r="I4240" s="6" t="s">
        <v>20</v>
      </c>
      <c r="J4240" s="6">
        <v>2016.0</v>
      </c>
      <c r="K4240" s="10">
        <v>46082.0</v>
      </c>
      <c r="L4240" s="6">
        <v>2.0</v>
      </c>
      <c r="M4240" s="8">
        <f t="shared" si="5"/>
        <v>0.1</v>
      </c>
      <c r="P4240" s="9"/>
    </row>
    <row r="4241">
      <c r="A4241" s="6" t="s">
        <v>9073</v>
      </c>
      <c r="B4241" s="6" t="s">
        <v>151</v>
      </c>
      <c r="C4241" s="6" t="s">
        <v>23</v>
      </c>
      <c r="D4241" s="6" t="s">
        <v>921</v>
      </c>
      <c r="E4241" s="6" t="s">
        <v>558</v>
      </c>
      <c r="F4241" s="6" t="s">
        <v>18</v>
      </c>
      <c r="G4241" s="7">
        <v>0.09</v>
      </c>
      <c r="H4241" s="6" t="s">
        <v>1692</v>
      </c>
      <c r="I4241" s="6" t="s">
        <v>20</v>
      </c>
      <c r="J4241" s="6">
        <v>2021.0</v>
      </c>
      <c r="K4241" s="10">
        <v>46084.0</v>
      </c>
      <c r="L4241" s="6">
        <v>2.0</v>
      </c>
      <c r="M4241" s="8">
        <f t="shared" si="5"/>
        <v>0.18</v>
      </c>
      <c r="P4241" s="9"/>
    </row>
    <row r="4242">
      <c r="A4242" s="6" t="s">
        <v>9074</v>
      </c>
      <c r="B4242" s="6" t="s">
        <v>5676</v>
      </c>
      <c r="C4242" s="6" t="s">
        <v>23</v>
      </c>
      <c r="D4242" s="6" t="s">
        <v>9075</v>
      </c>
      <c r="E4242" s="6" t="s">
        <v>248</v>
      </c>
      <c r="F4242" s="6" t="s">
        <v>18</v>
      </c>
      <c r="G4242" s="7">
        <v>0.05</v>
      </c>
      <c r="H4242" s="6" t="s">
        <v>574</v>
      </c>
      <c r="I4242" s="6" t="s">
        <v>20</v>
      </c>
      <c r="J4242" s="6">
        <v>2000.0</v>
      </c>
      <c r="K4242" s="10">
        <v>46023.0</v>
      </c>
      <c r="L4242" s="6">
        <v>1.0</v>
      </c>
      <c r="M4242" s="8">
        <f t="shared" si="5"/>
        <v>0.05</v>
      </c>
      <c r="P4242" s="9"/>
    </row>
    <row r="4243">
      <c r="A4243" s="6" t="s">
        <v>9076</v>
      </c>
      <c r="B4243" s="6" t="s">
        <v>9077</v>
      </c>
      <c r="C4243" s="6" t="s">
        <v>23</v>
      </c>
      <c r="D4243" s="6" t="s">
        <v>9078</v>
      </c>
      <c r="E4243" s="6" t="s">
        <v>118</v>
      </c>
      <c r="F4243" s="6" t="s">
        <v>51</v>
      </c>
      <c r="G4243" s="7">
        <v>0.06</v>
      </c>
      <c r="H4243" s="6" t="s">
        <v>881</v>
      </c>
      <c r="I4243" s="6" t="s">
        <v>20</v>
      </c>
      <c r="J4243" s="6">
        <v>2021.0</v>
      </c>
      <c r="K4243" s="10">
        <v>46055.0</v>
      </c>
      <c r="L4243" s="6">
        <v>1.0</v>
      </c>
      <c r="M4243" s="8">
        <f t="shared" si="5"/>
        <v>0.06</v>
      </c>
      <c r="P4243" s="9"/>
    </row>
    <row r="4244">
      <c r="A4244" s="6" t="s">
        <v>9079</v>
      </c>
      <c r="B4244" s="6" t="s">
        <v>62</v>
      </c>
      <c r="C4244" s="6" t="s">
        <v>23</v>
      </c>
      <c r="D4244" s="6" t="s">
        <v>9080</v>
      </c>
      <c r="E4244" s="6" t="s">
        <v>153</v>
      </c>
      <c r="F4244" s="6" t="s">
        <v>103</v>
      </c>
      <c r="G4244" s="7">
        <v>0.03</v>
      </c>
      <c r="H4244" s="6" t="s">
        <v>104</v>
      </c>
      <c r="I4244" s="6" t="s">
        <v>20</v>
      </c>
      <c r="J4244" s="6">
        <v>2018.0</v>
      </c>
      <c r="L4244" s="6">
        <v>1.0</v>
      </c>
      <c r="M4244" s="8">
        <f t="shared" si="5"/>
        <v>0.03</v>
      </c>
      <c r="P4244" s="9"/>
    </row>
    <row r="4245">
      <c r="A4245" s="6" t="s">
        <v>9081</v>
      </c>
      <c r="B4245" s="6" t="s">
        <v>182</v>
      </c>
      <c r="C4245" s="6" t="s">
        <v>23</v>
      </c>
      <c r="D4245" s="6" t="s">
        <v>9082</v>
      </c>
      <c r="E4245" s="6" t="s">
        <v>149</v>
      </c>
      <c r="F4245" s="6" t="s">
        <v>18</v>
      </c>
      <c r="G4245" s="7">
        <v>0.06</v>
      </c>
      <c r="H4245" s="6" t="s">
        <v>881</v>
      </c>
      <c r="I4245" s="6" t="s">
        <v>20</v>
      </c>
      <c r="J4245" s="6">
        <v>2021.0</v>
      </c>
      <c r="L4245" s="6">
        <v>1.0</v>
      </c>
      <c r="M4245" s="8">
        <f t="shared" si="5"/>
        <v>0.06</v>
      </c>
      <c r="P4245" s="9"/>
    </row>
    <row r="4246">
      <c r="A4246" s="6" t="s">
        <v>9081</v>
      </c>
      <c r="B4246" s="6" t="s">
        <v>182</v>
      </c>
      <c r="C4246" s="6" t="s">
        <v>48</v>
      </c>
      <c r="D4246" s="6" t="s">
        <v>9082</v>
      </c>
      <c r="E4246" s="6" t="s">
        <v>149</v>
      </c>
      <c r="F4246" s="6" t="s">
        <v>18</v>
      </c>
      <c r="G4246" s="7">
        <v>0.25</v>
      </c>
      <c r="H4246" s="6" t="s">
        <v>9083</v>
      </c>
      <c r="I4246" s="6" t="s">
        <v>20</v>
      </c>
      <c r="J4246" s="6">
        <v>2021.0</v>
      </c>
      <c r="L4246" s="6">
        <v>2.0</v>
      </c>
      <c r="M4246" s="8">
        <f t="shared" si="5"/>
        <v>0.5</v>
      </c>
      <c r="P4246" s="9"/>
    </row>
    <row r="4247">
      <c r="A4247" s="6" t="s">
        <v>9084</v>
      </c>
      <c r="B4247" s="6" t="s">
        <v>8434</v>
      </c>
      <c r="C4247" s="6" t="s">
        <v>521</v>
      </c>
      <c r="D4247" s="6" t="s">
        <v>9085</v>
      </c>
      <c r="E4247" s="6" t="s">
        <v>558</v>
      </c>
      <c r="F4247" s="6" t="s">
        <v>18</v>
      </c>
      <c r="G4247" s="7">
        <v>0.1</v>
      </c>
      <c r="H4247" s="6" t="s">
        <v>641</v>
      </c>
      <c r="I4247" s="6" t="s">
        <v>20</v>
      </c>
      <c r="J4247" s="6">
        <v>2026.0</v>
      </c>
      <c r="K4247" s="10">
        <v>46145.0</v>
      </c>
      <c r="L4247" s="6">
        <v>1.0</v>
      </c>
      <c r="M4247" s="8">
        <f t="shared" si="5"/>
        <v>0.1</v>
      </c>
      <c r="P4247" s="9"/>
    </row>
    <row r="4248">
      <c r="A4248" s="6" t="s">
        <v>9086</v>
      </c>
      <c r="B4248" s="6" t="s">
        <v>372</v>
      </c>
      <c r="C4248" s="6" t="s">
        <v>23</v>
      </c>
      <c r="D4248" s="6" t="s">
        <v>9087</v>
      </c>
      <c r="E4248" s="6" t="s">
        <v>149</v>
      </c>
      <c r="F4248" s="6" t="s">
        <v>18</v>
      </c>
      <c r="G4248" s="7">
        <v>0.05</v>
      </c>
      <c r="H4248" s="6" t="s">
        <v>276</v>
      </c>
      <c r="I4248" s="6" t="s">
        <v>20</v>
      </c>
      <c r="J4248" s="6">
        <v>2014.0</v>
      </c>
      <c r="L4248" s="6">
        <v>2.0</v>
      </c>
      <c r="M4248" s="8">
        <f t="shared" si="5"/>
        <v>0.1</v>
      </c>
      <c r="P4248" s="9"/>
    </row>
    <row r="4249">
      <c r="A4249" s="6" t="s">
        <v>9086</v>
      </c>
      <c r="B4249" s="6" t="s">
        <v>372</v>
      </c>
      <c r="C4249" s="6" t="s">
        <v>23</v>
      </c>
      <c r="D4249" s="6" t="s">
        <v>9087</v>
      </c>
      <c r="E4249" s="6" t="s">
        <v>149</v>
      </c>
      <c r="F4249" s="6" t="s">
        <v>18</v>
      </c>
      <c r="G4249" s="7">
        <v>0.15</v>
      </c>
      <c r="H4249" s="6" t="s">
        <v>184</v>
      </c>
      <c r="I4249" s="6" t="s">
        <v>55</v>
      </c>
      <c r="J4249" s="6">
        <v>2015.0</v>
      </c>
      <c r="L4249" s="6">
        <v>1.0</v>
      </c>
      <c r="M4249" s="8">
        <f t="shared" si="5"/>
        <v>0.15</v>
      </c>
      <c r="P4249" s="9"/>
    </row>
    <row r="4250">
      <c r="A4250" s="6" t="s">
        <v>9086</v>
      </c>
      <c r="B4250" s="6" t="s">
        <v>372</v>
      </c>
      <c r="C4250" s="6" t="s">
        <v>23</v>
      </c>
      <c r="D4250" s="6" t="s">
        <v>9087</v>
      </c>
      <c r="E4250" s="6" t="s">
        <v>149</v>
      </c>
      <c r="F4250" s="6" t="s">
        <v>18</v>
      </c>
      <c r="G4250" s="7">
        <v>0.06</v>
      </c>
      <c r="H4250" s="6" t="s">
        <v>184</v>
      </c>
      <c r="I4250" s="6" t="s">
        <v>20</v>
      </c>
      <c r="J4250" s="6">
        <v>2015.0</v>
      </c>
      <c r="L4250" s="6">
        <v>1.0</v>
      </c>
      <c r="M4250" s="8">
        <f t="shared" si="5"/>
        <v>0.06</v>
      </c>
      <c r="P4250" s="9"/>
    </row>
    <row r="4251">
      <c r="A4251" s="6" t="s">
        <v>9088</v>
      </c>
      <c r="B4251" s="6" t="s">
        <v>9089</v>
      </c>
      <c r="C4251" s="6" t="s">
        <v>23</v>
      </c>
      <c r="D4251" s="6" t="s">
        <v>9090</v>
      </c>
      <c r="E4251" s="6" t="s">
        <v>611</v>
      </c>
      <c r="F4251" s="6" t="s">
        <v>103</v>
      </c>
      <c r="G4251" s="7">
        <v>0.05</v>
      </c>
      <c r="H4251" s="6" t="s">
        <v>324</v>
      </c>
      <c r="I4251" s="6" t="s">
        <v>20</v>
      </c>
      <c r="J4251" s="6">
        <v>2025.0</v>
      </c>
      <c r="K4251" s="10">
        <v>46084.0</v>
      </c>
      <c r="L4251" s="6">
        <v>1.0</v>
      </c>
      <c r="M4251" s="8">
        <f t="shared" si="5"/>
        <v>0.05</v>
      </c>
      <c r="P4251" s="9"/>
    </row>
    <row r="4252">
      <c r="A4252" s="6" t="s">
        <v>9091</v>
      </c>
      <c r="B4252" s="6" t="s">
        <v>8818</v>
      </c>
      <c r="C4252" s="6" t="s">
        <v>48</v>
      </c>
      <c r="D4252" s="6" t="s">
        <v>9092</v>
      </c>
      <c r="E4252" s="6" t="s">
        <v>223</v>
      </c>
      <c r="F4252" s="6" t="s">
        <v>159</v>
      </c>
      <c r="G4252" s="7">
        <v>0.04</v>
      </c>
      <c r="H4252" s="6" t="s">
        <v>848</v>
      </c>
      <c r="I4252" s="6" t="s">
        <v>20</v>
      </c>
      <c r="J4252" s="6">
        <v>2023.0</v>
      </c>
      <c r="K4252" s="6" t="s">
        <v>341</v>
      </c>
      <c r="L4252" s="6">
        <v>1.0</v>
      </c>
      <c r="M4252" s="8">
        <f t="shared" si="5"/>
        <v>0.04</v>
      </c>
      <c r="P4252" s="9"/>
    </row>
    <row r="4253">
      <c r="A4253" s="6" t="s">
        <v>9093</v>
      </c>
      <c r="B4253" s="6" t="s">
        <v>202</v>
      </c>
      <c r="C4253" s="6" t="s">
        <v>48</v>
      </c>
      <c r="D4253" s="6" t="s">
        <v>9094</v>
      </c>
      <c r="E4253" s="6" t="s">
        <v>223</v>
      </c>
      <c r="F4253" s="6" t="s">
        <v>159</v>
      </c>
      <c r="G4253" s="7">
        <v>0.05</v>
      </c>
      <c r="H4253" s="6" t="s">
        <v>359</v>
      </c>
      <c r="I4253" s="6" t="s">
        <v>20</v>
      </c>
      <c r="J4253" s="6">
        <v>2014.0</v>
      </c>
      <c r="L4253" s="6">
        <v>4.0</v>
      </c>
      <c r="M4253" s="8">
        <f t="shared" si="5"/>
        <v>0.2</v>
      </c>
      <c r="P4253" s="9"/>
    </row>
    <row r="4254">
      <c r="A4254" s="6" t="s">
        <v>9095</v>
      </c>
      <c r="B4254" s="6" t="s">
        <v>62</v>
      </c>
      <c r="C4254" s="6" t="s">
        <v>23</v>
      </c>
      <c r="D4254" s="6" t="s">
        <v>9096</v>
      </c>
      <c r="E4254" s="6" t="s">
        <v>223</v>
      </c>
      <c r="F4254" s="6" t="s">
        <v>159</v>
      </c>
      <c r="G4254" s="7">
        <v>0.08</v>
      </c>
      <c r="H4254" s="6" t="s">
        <v>565</v>
      </c>
      <c r="I4254" s="6" t="s">
        <v>20</v>
      </c>
      <c r="J4254" s="6">
        <v>2021.0</v>
      </c>
      <c r="L4254" s="6">
        <v>1.0</v>
      </c>
      <c r="M4254" s="8">
        <f t="shared" si="5"/>
        <v>0.08</v>
      </c>
      <c r="N4254" s="6" t="s">
        <v>518</v>
      </c>
      <c r="P4254" s="9"/>
    </row>
    <row r="4255">
      <c r="A4255" s="6" t="s">
        <v>9097</v>
      </c>
      <c r="B4255" s="6" t="s">
        <v>62</v>
      </c>
      <c r="C4255" s="6" t="s">
        <v>23</v>
      </c>
      <c r="D4255" s="6" t="s">
        <v>9098</v>
      </c>
      <c r="E4255" s="6" t="s">
        <v>175</v>
      </c>
      <c r="F4255" s="6" t="s">
        <v>51</v>
      </c>
      <c r="G4255" s="7">
        <v>0.09</v>
      </c>
      <c r="H4255" s="6" t="s">
        <v>380</v>
      </c>
      <c r="I4255" s="6" t="s">
        <v>20</v>
      </c>
      <c r="J4255" s="6">
        <v>2025.0</v>
      </c>
      <c r="L4255" s="6">
        <v>1.0</v>
      </c>
      <c r="M4255" s="8">
        <f t="shared" si="5"/>
        <v>0.09</v>
      </c>
      <c r="P4255" s="9"/>
    </row>
    <row r="4256">
      <c r="A4256" s="6" t="s">
        <v>9099</v>
      </c>
      <c r="B4256" s="6" t="s">
        <v>62</v>
      </c>
      <c r="C4256" s="6" t="s">
        <v>48</v>
      </c>
      <c r="D4256" s="6" t="s">
        <v>9100</v>
      </c>
      <c r="E4256" s="6" t="s">
        <v>238</v>
      </c>
      <c r="F4256" s="6" t="s">
        <v>159</v>
      </c>
      <c r="G4256" s="7">
        <v>0.04</v>
      </c>
      <c r="H4256" s="6" t="s">
        <v>136</v>
      </c>
      <c r="I4256" s="6" t="s">
        <v>20</v>
      </c>
      <c r="J4256" s="6">
        <v>2022.0</v>
      </c>
      <c r="L4256" s="6">
        <v>1.0</v>
      </c>
      <c r="M4256" s="8">
        <f t="shared" si="5"/>
        <v>0.04</v>
      </c>
      <c r="P4256" s="9"/>
    </row>
    <row r="4257">
      <c r="A4257" s="6" t="s">
        <v>9101</v>
      </c>
      <c r="B4257" s="6" t="s">
        <v>143</v>
      </c>
      <c r="C4257" s="6" t="s">
        <v>48</v>
      </c>
      <c r="D4257" s="6" t="s">
        <v>9102</v>
      </c>
      <c r="E4257" s="6" t="s">
        <v>243</v>
      </c>
      <c r="F4257" s="6" t="s">
        <v>37</v>
      </c>
      <c r="G4257" s="7">
        <v>0.05</v>
      </c>
      <c r="H4257" s="6" t="s">
        <v>336</v>
      </c>
      <c r="I4257" s="6" t="s">
        <v>20</v>
      </c>
      <c r="J4257" s="6">
        <v>2016.0</v>
      </c>
      <c r="L4257" s="6">
        <v>1.0</v>
      </c>
      <c r="M4257" s="8">
        <f t="shared" si="5"/>
        <v>0.05</v>
      </c>
      <c r="P4257" s="9"/>
    </row>
    <row r="4258">
      <c r="A4258" s="6" t="s">
        <v>9103</v>
      </c>
      <c r="B4258" s="6" t="s">
        <v>4161</v>
      </c>
      <c r="C4258" s="6" t="s">
        <v>23</v>
      </c>
      <c r="D4258" s="6" t="s">
        <v>9104</v>
      </c>
      <c r="E4258" s="6" t="s">
        <v>64</v>
      </c>
      <c r="F4258" s="6" t="s">
        <v>65</v>
      </c>
      <c r="G4258" s="7">
        <v>0.32</v>
      </c>
      <c r="H4258" s="6" t="s">
        <v>204</v>
      </c>
      <c r="I4258" s="6" t="s">
        <v>55</v>
      </c>
      <c r="J4258" s="6">
        <v>2026.0</v>
      </c>
      <c r="K4258" s="10">
        <v>46056.0</v>
      </c>
      <c r="L4258" s="6">
        <v>1.0</v>
      </c>
      <c r="M4258" s="8">
        <f t="shared" si="5"/>
        <v>0.32</v>
      </c>
      <c r="P4258" s="9"/>
    </row>
    <row r="4259">
      <c r="A4259" s="6" t="s">
        <v>9103</v>
      </c>
      <c r="B4259" s="6" t="s">
        <v>4161</v>
      </c>
      <c r="C4259" s="6" t="s">
        <v>23</v>
      </c>
      <c r="D4259" s="6" t="s">
        <v>9104</v>
      </c>
      <c r="E4259" s="6" t="s">
        <v>64</v>
      </c>
      <c r="F4259" s="6" t="s">
        <v>65</v>
      </c>
      <c r="G4259" s="7">
        <v>0.06</v>
      </c>
      <c r="H4259" s="6" t="s">
        <v>204</v>
      </c>
      <c r="I4259" s="6" t="s">
        <v>20</v>
      </c>
      <c r="J4259" s="6">
        <v>2026.0</v>
      </c>
      <c r="K4259" s="10">
        <v>46056.0</v>
      </c>
      <c r="L4259" s="6">
        <v>1.0</v>
      </c>
      <c r="M4259" s="8">
        <f t="shared" si="5"/>
        <v>0.06</v>
      </c>
      <c r="P4259" s="9"/>
    </row>
    <row r="4260">
      <c r="A4260" s="6" t="s">
        <v>9105</v>
      </c>
      <c r="B4260" s="6" t="s">
        <v>3083</v>
      </c>
      <c r="C4260" s="6" t="s">
        <v>23</v>
      </c>
      <c r="D4260" s="6" t="s">
        <v>9106</v>
      </c>
      <c r="E4260" s="6" t="s">
        <v>149</v>
      </c>
      <c r="F4260" s="6" t="s">
        <v>18</v>
      </c>
      <c r="G4260" s="7">
        <v>0.05</v>
      </c>
      <c r="H4260" s="6" t="s">
        <v>113</v>
      </c>
      <c r="I4260" s="6" t="s">
        <v>20</v>
      </c>
      <c r="J4260" s="6">
        <v>2026.0</v>
      </c>
      <c r="K4260" s="10">
        <v>46054.0</v>
      </c>
      <c r="L4260" s="6">
        <v>2.0</v>
      </c>
      <c r="M4260" s="8">
        <f t="shared" si="5"/>
        <v>0.1</v>
      </c>
      <c r="P4260" s="9"/>
    </row>
    <row r="4261">
      <c r="A4261" s="6" t="s">
        <v>9107</v>
      </c>
      <c r="B4261" s="6" t="s">
        <v>3294</v>
      </c>
      <c r="C4261" s="6" t="s">
        <v>48</v>
      </c>
      <c r="D4261" s="6" t="s">
        <v>9108</v>
      </c>
      <c r="E4261" s="6" t="s">
        <v>573</v>
      </c>
      <c r="F4261" s="6" t="s">
        <v>51</v>
      </c>
      <c r="G4261" s="7">
        <v>0.06</v>
      </c>
      <c r="H4261" s="6" t="s">
        <v>559</v>
      </c>
      <c r="I4261" s="6" t="s">
        <v>20</v>
      </c>
      <c r="J4261" s="6">
        <v>2015.0</v>
      </c>
      <c r="K4261" s="10">
        <v>46084.0</v>
      </c>
      <c r="L4261" s="6">
        <v>1.0</v>
      </c>
      <c r="M4261" s="8">
        <f t="shared" si="5"/>
        <v>0.06</v>
      </c>
      <c r="N4261" s="6" t="s">
        <v>518</v>
      </c>
      <c r="P4261" s="9"/>
    </row>
    <row r="4262">
      <c r="A4262" s="6" t="s">
        <v>9107</v>
      </c>
      <c r="B4262" s="6" t="s">
        <v>3294</v>
      </c>
      <c r="C4262" s="6" t="s">
        <v>48</v>
      </c>
      <c r="D4262" s="6" t="s">
        <v>9108</v>
      </c>
      <c r="E4262" s="6" t="s">
        <v>573</v>
      </c>
      <c r="F4262" s="6" t="s">
        <v>51</v>
      </c>
      <c r="G4262" s="7">
        <v>0.06</v>
      </c>
      <c r="H4262" s="6" t="s">
        <v>559</v>
      </c>
      <c r="I4262" s="6" t="s">
        <v>20</v>
      </c>
      <c r="J4262" s="6">
        <v>2015.0</v>
      </c>
      <c r="K4262" s="10">
        <v>46084.0</v>
      </c>
      <c r="L4262" s="6">
        <v>1.0</v>
      </c>
      <c r="M4262" s="8">
        <f t="shared" si="5"/>
        <v>0.06</v>
      </c>
      <c r="P4262" s="9"/>
    </row>
    <row r="4263">
      <c r="A4263" s="6" t="s">
        <v>9109</v>
      </c>
      <c r="B4263" s="6" t="s">
        <v>182</v>
      </c>
      <c r="C4263" s="6" t="s">
        <v>23</v>
      </c>
      <c r="D4263" s="6" t="s">
        <v>9110</v>
      </c>
      <c r="E4263" s="6" t="s">
        <v>533</v>
      </c>
      <c r="F4263" s="6" t="s">
        <v>65</v>
      </c>
      <c r="G4263" s="7">
        <v>0.05</v>
      </c>
      <c r="H4263" s="6" t="s">
        <v>93</v>
      </c>
      <c r="I4263" s="6" t="s">
        <v>20</v>
      </c>
      <c r="J4263" s="6">
        <v>2016.0</v>
      </c>
      <c r="L4263" s="6">
        <v>1.0</v>
      </c>
      <c r="M4263" s="8">
        <f t="shared" si="5"/>
        <v>0.05</v>
      </c>
      <c r="P4263" s="9"/>
    </row>
    <row r="4264">
      <c r="A4264" s="6" t="s">
        <v>9111</v>
      </c>
      <c r="B4264" s="6" t="s">
        <v>2026</v>
      </c>
      <c r="C4264" s="6" t="s">
        <v>34</v>
      </c>
      <c r="D4264" s="6" t="s">
        <v>9112</v>
      </c>
      <c r="E4264" s="6" t="s">
        <v>1767</v>
      </c>
      <c r="F4264" s="6" t="s">
        <v>18</v>
      </c>
      <c r="G4264" s="7">
        <v>0.02</v>
      </c>
      <c r="H4264" s="6" t="s">
        <v>209</v>
      </c>
      <c r="I4264" s="6" t="s">
        <v>20</v>
      </c>
      <c r="J4264" s="6">
        <v>2025.0</v>
      </c>
      <c r="L4264" s="6">
        <v>10.0</v>
      </c>
      <c r="M4264" s="8">
        <f t="shared" si="5"/>
        <v>0.2</v>
      </c>
      <c r="P4264" s="9"/>
    </row>
    <row r="4265">
      <c r="A4265" s="6" t="s">
        <v>9111</v>
      </c>
      <c r="B4265" s="6" t="s">
        <v>2026</v>
      </c>
      <c r="C4265" s="6" t="s">
        <v>34</v>
      </c>
      <c r="D4265" s="6" t="s">
        <v>9112</v>
      </c>
      <c r="E4265" s="6" t="s">
        <v>1767</v>
      </c>
      <c r="F4265" s="6" t="s">
        <v>18</v>
      </c>
      <c r="G4265" s="7">
        <v>0.2</v>
      </c>
      <c r="H4265" s="6" t="s">
        <v>209</v>
      </c>
      <c r="I4265" s="6" t="s">
        <v>20</v>
      </c>
      <c r="J4265" s="6">
        <v>2025.0</v>
      </c>
      <c r="L4265" s="6">
        <v>1.0</v>
      </c>
      <c r="M4265" s="8">
        <f t="shared" si="5"/>
        <v>0.2</v>
      </c>
      <c r="P4265" s="9"/>
    </row>
    <row r="4266">
      <c r="A4266" s="6" t="s">
        <v>9113</v>
      </c>
      <c r="B4266" s="6" t="s">
        <v>307</v>
      </c>
      <c r="C4266" s="6" t="s">
        <v>23</v>
      </c>
      <c r="D4266" s="6" t="s">
        <v>9114</v>
      </c>
      <c r="E4266" s="6" t="s">
        <v>36</v>
      </c>
      <c r="F4266" s="6" t="s">
        <v>37</v>
      </c>
      <c r="G4266" s="7">
        <v>0.05</v>
      </c>
      <c r="H4266" s="6" t="s">
        <v>1692</v>
      </c>
      <c r="I4266" s="6" t="s">
        <v>20</v>
      </c>
      <c r="J4266" s="6">
        <v>2021.0</v>
      </c>
      <c r="L4266" s="6">
        <v>1.0</v>
      </c>
      <c r="M4266" s="8">
        <f t="shared" si="5"/>
        <v>0.05</v>
      </c>
      <c r="P4266" s="9"/>
    </row>
    <row r="4267">
      <c r="A4267" s="6" t="s">
        <v>9115</v>
      </c>
      <c r="B4267" s="6" t="s">
        <v>62</v>
      </c>
      <c r="C4267" s="6" t="s">
        <v>23</v>
      </c>
      <c r="D4267" s="6" t="s">
        <v>7689</v>
      </c>
      <c r="E4267" s="6" t="s">
        <v>112</v>
      </c>
      <c r="F4267" s="6" t="s">
        <v>65</v>
      </c>
      <c r="G4267" s="7">
        <v>18.0</v>
      </c>
      <c r="H4267" s="6" t="s">
        <v>574</v>
      </c>
      <c r="I4267" s="6" t="s">
        <v>55</v>
      </c>
      <c r="J4267" s="6">
        <v>2000.0</v>
      </c>
      <c r="L4267" s="6">
        <v>1.0</v>
      </c>
      <c r="M4267" s="8">
        <f t="shared" si="5"/>
        <v>18</v>
      </c>
      <c r="P4267" s="9"/>
    </row>
    <row r="4268">
      <c r="A4268" s="6" t="s">
        <v>9116</v>
      </c>
      <c r="B4268" s="6" t="s">
        <v>62</v>
      </c>
      <c r="C4268" s="6" t="s">
        <v>23</v>
      </c>
      <c r="D4268" s="6" t="s">
        <v>9117</v>
      </c>
      <c r="E4268" s="6" t="s">
        <v>149</v>
      </c>
      <c r="F4268" s="6" t="s">
        <v>18</v>
      </c>
      <c r="G4268" s="7">
        <v>0.05</v>
      </c>
      <c r="H4268" s="6" t="s">
        <v>626</v>
      </c>
      <c r="I4268" s="6" t="s">
        <v>20</v>
      </c>
      <c r="J4268" s="6">
        <v>2013.0</v>
      </c>
      <c r="L4268" s="6">
        <v>1.0</v>
      </c>
      <c r="M4268" s="8">
        <f t="shared" si="5"/>
        <v>0.05</v>
      </c>
      <c r="P4268" s="9"/>
    </row>
    <row r="4269">
      <c r="A4269" s="6" t="s">
        <v>9118</v>
      </c>
      <c r="B4269" s="6" t="s">
        <v>5711</v>
      </c>
      <c r="C4269" s="6" t="s">
        <v>48</v>
      </c>
      <c r="D4269" s="6" t="s">
        <v>9119</v>
      </c>
      <c r="E4269" s="6" t="s">
        <v>64</v>
      </c>
      <c r="F4269" s="6" t="s">
        <v>65</v>
      </c>
      <c r="G4269" s="7">
        <v>0.48</v>
      </c>
      <c r="H4269" s="6" t="s">
        <v>163</v>
      </c>
      <c r="I4269" s="6" t="s">
        <v>20</v>
      </c>
      <c r="J4269" s="6">
        <v>2023.0</v>
      </c>
      <c r="K4269" s="10">
        <v>46083.0</v>
      </c>
      <c r="L4269" s="6">
        <v>1.0</v>
      </c>
      <c r="M4269" s="8">
        <f t="shared" si="5"/>
        <v>0.48</v>
      </c>
      <c r="P4269" s="9"/>
    </row>
    <row r="4270">
      <c r="A4270" s="6" t="s">
        <v>9118</v>
      </c>
      <c r="B4270" s="6" t="s">
        <v>5711</v>
      </c>
      <c r="C4270" s="6" t="s">
        <v>48</v>
      </c>
      <c r="D4270" s="6" t="s">
        <v>9119</v>
      </c>
      <c r="E4270" s="6" t="s">
        <v>64</v>
      </c>
      <c r="F4270" s="6" t="s">
        <v>65</v>
      </c>
      <c r="G4270" s="7">
        <v>0.45</v>
      </c>
      <c r="H4270" s="6" t="s">
        <v>163</v>
      </c>
      <c r="I4270" s="6" t="s">
        <v>55</v>
      </c>
      <c r="J4270" s="6">
        <v>2023.0</v>
      </c>
      <c r="K4270" s="10">
        <v>46083.0</v>
      </c>
      <c r="L4270" s="6">
        <v>1.0</v>
      </c>
      <c r="M4270" s="8">
        <f t="shared" si="5"/>
        <v>0.45</v>
      </c>
      <c r="P4270" s="9"/>
    </row>
    <row r="4271">
      <c r="A4271" s="6" t="s">
        <v>9118</v>
      </c>
      <c r="B4271" s="6" t="s">
        <v>5711</v>
      </c>
      <c r="C4271" s="6" t="s">
        <v>48</v>
      </c>
      <c r="D4271" s="6" t="s">
        <v>9119</v>
      </c>
      <c r="E4271" s="6" t="s">
        <v>64</v>
      </c>
      <c r="F4271" s="6" t="s">
        <v>65</v>
      </c>
      <c r="G4271" s="7">
        <v>0.48</v>
      </c>
      <c r="H4271" s="6" t="s">
        <v>163</v>
      </c>
      <c r="I4271" s="6" t="s">
        <v>20</v>
      </c>
      <c r="J4271" s="6">
        <v>2023.0</v>
      </c>
      <c r="K4271" s="10">
        <v>46083.0</v>
      </c>
      <c r="L4271" s="6">
        <v>1.0</v>
      </c>
      <c r="M4271" s="8">
        <f t="shared" si="5"/>
        <v>0.48</v>
      </c>
      <c r="P4271" s="9"/>
    </row>
    <row r="4272">
      <c r="A4272" s="6" t="s">
        <v>9120</v>
      </c>
      <c r="B4272" s="6" t="s">
        <v>567</v>
      </c>
      <c r="C4272" s="6" t="s">
        <v>48</v>
      </c>
      <c r="D4272" s="6" t="s">
        <v>9121</v>
      </c>
      <c r="E4272" s="6" t="s">
        <v>2288</v>
      </c>
      <c r="F4272" s="6" t="s">
        <v>51</v>
      </c>
      <c r="G4272" s="7">
        <v>0.17</v>
      </c>
      <c r="H4272" s="6" t="s">
        <v>66</v>
      </c>
      <c r="I4272" s="6" t="s">
        <v>20</v>
      </c>
      <c r="J4272" s="6">
        <v>2016.0</v>
      </c>
      <c r="K4272" s="10">
        <v>46085.0</v>
      </c>
      <c r="L4272" s="6">
        <v>1.0</v>
      </c>
      <c r="M4272" s="8">
        <f t="shared" si="5"/>
        <v>0.17</v>
      </c>
      <c r="P4272" s="9"/>
    </row>
    <row r="4273">
      <c r="A4273" s="6" t="s">
        <v>9122</v>
      </c>
      <c r="B4273" s="6" t="s">
        <v>9123</v>
      </c>
      <c r="C4273" s="6" t="s">
        <v>23</v>
      </c>
      <c r="D4273" s="6" t="s">
        <v>9124</v>
      </c>
      <c r="E4273" s="6" t="s">
        <v>112</v>
      </c>
      <c r="F4273" s="6" t="s">
        <v>65</v>
      </c>
      <c r="G4273" s="7">
        <v>0.05</v>
      </c>
      <c r="H4273" s="6" t="s">
        <v>184</v>
      </c>
      <c r="I4273" s="6" t="s">
        <v>20</v>
      </c>
      <c r="J4273" s="6">
        <v>2015.0</v>
      </c>
      <c r="K4273" s="10">
        <v>46024.0</v>
      </c>
      <c r="L4273" s="6">
        <v>5.0</v>
      </c>
      <c r="M4273" s="8">
        <f t="shared" si="5"/>
        <v>0.25</v>
      </c>
      <c r="P4273" s="9"/>
    </row>
    <row r="4274">
      <c r="A4274" s="6" t="s">
        <v>9125</v>
      </c>
      <c r="B4274" s="6" t="s">
        <v>62</v>
      </c>
      <c r="C4274" s="6" t="s">
        <v>23</v>
      </c>
      <c r="D4274" s="6" t="s">
        <v>9126</v>
      </c>
      <c r="E4274" s="6" t="s">
        <v>102</v>
      </c>
      <c r="F4274" s="6" t="s">
        <v>103</v>
      </c>
      <c r="G4274" s="7">
        <v>0.07</v>
      </c>
      <c r="H4274" s="6" t="s">
        <v>1194</v>
      </c>
      <c r="I4274" s="6" t="s">
        <v>20</v>
      </c>
      <c r="J4274" s="6">
        <v>2023.0</v>
      </c>
      <c r="L4274" s="6">
        <v>2.0</v>
      </c>
      <c r="M4274" s="8">
        <f t="shared" si="5"/>
        <v>0.14</v>
      </c>
      <c r="P4274" s="9"/>
    </row>
    <row r="4275">
      <c r="A4275" s="6" t="s">
        <v>9127</v>
      </c>
      <c r="B4275" s="6" t="s">
        <v>5483</v>
      </c>
      <c r="C4275" s="6" t="s">
        <v>48</v>
      </c>
      <c r="D4275" s="6" t="s">
        <v>9128</v>
      </c>
      <c r="E4275" s="6" t="s">
        <v>9129</v>
      </c>
      <c r="F4275" s="6" t="s">
        <v>874</v>
      </c>
      <c r="G4275" s="7">
        <v>0.15</v>
      </c>
      <c r="H4275" s="6" t="s">
        <v>45</v>
      </c>
      <c r="I4275" s="6" t="s">
        <v>20</v>
      </c>
      <c r="J4275" s="6">
        <v>2025.0</v>
      </c>
      <c r="K4275" s="6" t="s">
        <v>2419</v>
      </c>
      <c r="L4275" s="6">
        <v>2.0</v>
      </c>
      <c r="M4275" s="8">
        <f t="shared" si="5"/>
        <v>0.3</v>
      </c>
      <c r="P4275" s="9"/>
    </row>
    <row r="4276">
      <c r="A4276" s="6" t="s">
        <v>9130</v>
      </c>
      <c r="B4276" s="6" t="s">
        <v>62</v>
      </c>
      <c r="C4276" s="6" t="s">
        <v>23</v>
      </c>
      <c r="D4276" s="6" t="s">
        <v>9131</v>
      </c>
      <c r="E4276" s="6" t="s">
        <v>1005</v>
      </c>
      <c r="F4276" s="6" t="s">
        <v>65</v>
      </c>
      <c r="G4276" s="7">
        <v>0.24</v>
      </c>
      <c r="H4276" s="6" t="s">
        <v>163</v>
      </c>
      <c r="I4276" s="6" t="s">
        <v>20</v>
      </c>
      <c r="J4276" s="6">
        <v>2023.0</v>
      </c>
      <c r="L4276" s="6">
        <v>1.0</v>
      </c>
      <c r="M4276" s="8">
        <f t="shared" si="5"/>
        <v>0.24</v>
      </c>
      <c r="P4276" s="9"/>
    </row>
    <row r="4277">
      <c r="A4277" s="6" t="s">
        <v>9132</v>
      </c>
      <c r="B4277" s="6" t="s">
        <v>916</v>
      </c>
      <c r="C4277" s="6" t="s">
        <v>23</v>
      </c>
      <c r="D4277" s="6" t="s">
        <v>9133</v>
      </c>
      <c r="E4277" s="6" t="s">
        <v>2312</v>
      </c>
      <c r="F4277" s="6" t="s">
        <v>103</v>
      </c>
      <c r="G4277" s="7">
        <v>0.05</v>
      </c>
      <c r="H4277" s="6" t="s">
        <v>129</v>
      </c>
      <c r="I4277" s="6" t="s">
        <v>20</v>
      </c>
      <c r="J4277" s="6">
        <v>2014.0</v>
      </c>
      <c r="K4277" s="10">
        <v>46084.0</v>
      </c>
      <c r="L4277" s="6">
        <v>1.0</v>
      </c>
      <c r="M4277" s="8">
        <f t="shared" si="5"/>
        <v>0.05</v>
      </c>
      <c r="P4277" s="9"/>
    </row>
    <row r="4278">
      <c r="A4278" s="6" t="s">
        <v>9134</v>
      </c>
      <c r="B4278" s="6" t="s">
        <v>9135</v>
      </c>
      <c r="C4278" s="6" t="s">
        <v>23</v>
      </c>
      <c r="D4278" s="6" t="s">
        <v>9136</v>
      </c>
      <c r="E4278" s="6" t="s">
        <v>149</v>
      </c>
      <c r="F4278" s="6" t="s">
        <v>18</v>
      </c>
      <c r="G4278" s="7">
        <v>0.05</v>
      </c>
      <c r="H4278" s="6" t="s">
        <v>705</v>
      </c>
      <c r="I4278" s="6" t="s">
        <v>20</v>
      </c>
      <c r="J4278" s="6">
        <v>2015.0</v>
      </c>
      <c r="K4278" s="10">
        <v>46024.0</v>
      </c>
      <c r="L4278" s="6">
        <v>1.0</v>
      </c>
      <c r="M4278" s="8">
        <f t="shared" si="5"/>
        <v>0.05</v>
      </c>
      <c r="P4278" s="9"/>
    </row>
    <row r="4279">
      <c r="A4279" s="6" t="s">
        <v>9137</v>
      </c>
      <c r="B4279" s="6" t="s">
        <v>62</v>
      </c>
      <c r="C4279" s="6" t="s">
        <v>41</v>
      </c>
      <c r="D4279" s="6" t="s">
        <v>9138</v>
      </c>
      <c r="E4279" s="6" t="s">
        <v>700</v>
      </c>
      <c r="F4279" s="6" t="s">
        <v>18</v>
      </c>
      <c r="G4279" s="7">
        <v>0.25</v>
      </c>
      <c r="H4279" s="6" t="s">
        <v>66</v>
      </c>
      <c r="I4279" s="6" t="s">
        <v>20</v>
      </c>
      <c r="J4279" s="6">
        <v>2016.0</v>
      </c>
      <c r="L4279" s="6">
        <v>1.0</v>
      </c>
      <c r="M4279" s="8">
        <f t="shared" si="5"/>
        <v>0.25</v>
      </c>
      <c r="P4279" s="9"/>
    </row>
    <row r="4280">
      <c r="A4280" s="6" t="s">
        <v>9139</v>
      </c>
      <c r="B4280" s="6" t="s">
        <v>9140</v>
      </c>
      <c r="C4280" s="6" t="s">
        <v>23</v>
      </c>
      <c r="E4280" s="6" t="s">
        <v>1005</v>
      </c>
      <c r="F4280" s="6" t="s">
        <v>65</v>
      </c>
      <c r="G4280" s="7">
        <v>0.05</v>
      </c>
      <c r="H4280" s="6" t="s">
        <v>129</v>
      </c>
      <c r="I4280" s="6" t="s">
        <v>20</v>
      </c>
      <c r="J4280" s="6">
        <v>2014.0</v>
      </c>
      <c r="K4280" s="10">
        <v>46085.0</v>
      </c>
      <c r="L4280" s="6">
        <v>1.0</v>
      </c>
      <c r="M4280" s="8">
        <f t="shared" si="5"/>
        <v>0.05</v>
      </c>
      <c r="P4280" s="9"/>
    </row>
    <row r="4281">
      <c r="A4281" s="6" t="s">
        <v>9141</v>
      </c>
      <c r="B4281" s="6" t="s">
        <v>9142</v>
      </c>
      <c r="C4281" s="6" t="s">
        <v>521</v>
      </c>
      <c r="D4281" s="6" t="s">
        <v>9143</v>
      </c>
      <c r="E4281" s="6" t="s">
        <v>149</v>
      </c>
      <c r="F4281" s="6" t="s">
        <v>1424</v>
      </c>
      <c r="G4281" s="7">
        <v>0.1</v>
      </c>
      <c r="H4281" s="6" t="s">
        <v>641</v>
      </c>
      <c r="I4281" s="6" t="s">
        <v>20</v>
      </c>
      <c r="J4281" s="6">
        <v>2026.0</v>
      </c>
      <c r="K4281" s="10">
        <v>46082.0</v>
      </c>
      <c r="L4281" s="6">
        <v>1.0</v>
      </c>
      <c r="M4281" s="8">
        <f t="shared" si="5"/>
        <v>0.1</v>
      </c>
      <c r="P4281" s="9"/>
    </row>
    <row r="4282">
      <c r="A4282" s="6" t="s">
        <v>9144</v>
      </c>
      <c r="B4282" s="6" t="s">
        <v>9145</v>
      </c>
      <c r="C4282" s="6" t="s">
        <v>34</v>
      </c>
      <c r="D4282" s="6" t="s">
        <v>9146</v>
      </c>
      <c r="E4282" s="6" t="s">
        <v>2642</v>
      </c>
      <c r="F4282" s="6" t="s">
        <v>51</v>
      </c>
      <c r="G4282" s="7">
        <v>0.91</v>
      </c>
      <c r="H4282" s="6" t="s">
        <v>1733</v>
      </c>
      <c r="I4282" s="6" t="s">
        <v>55</v>
      </c>
      <c r="J4282" s="6">
        <v>2025.0</v>
      </c>
      <c r="K4282" s="10">
        <v>46084.0</v>
      </c>
      <c r="L4282" s="6">
        <v>1.0</v>
      </c>
      <c r="M4282" s="8">
        <f t="shared" si="5"/>
        <v>0.91</v>
      </c>
      <c r="P4282" s="9"/>
    </row>
    <row r="4283">
      <c r="A4283" s="6" t="s">
        <v>9144</v>
      </c>
      <c r="B4283" s="6" t="s">
        <v>9145</v>
      </c>
      <c r="C4283" s="6" t="s">
        <v>34</v>
      </c>
      <c r="D4283" s="6" t="s">
        <v>9146</v>
      </c>
      <c r="E4283" s="6" t="s">
        <v>2642</v>
      </c>
      <c r="F4283" s="6" t="s">
        <v>51</v>
      </c>
      <c r="G4283" s="7">
        <v>0.14</v>
      </c>
      <c r="H4283" s="6" t="s">
        <v>1733</v>
      </c>
      <c r="I4283" s="6" t="s">
        <v>7037</v>
      </c>
      <c r="J4283" s="6">
        <v>2025.0</v>
      </c>
      <c r="K4283" s="10">
        <v>46084.0</v>
      </c>
      <c r="L4283" s="6">
        <v>10.0</v>
      </c>
      <c r="M4283" s="8">
        <f t="shared" si="5"/>
        <v>1.4</v>
      </c>
      <c r="P4283" s="9"/>
    </row>
    <row r="4284">
      <c r="A4284" s="6" t="s">
        <v>9147</v>
      </c>
      <c r="B4284" s="6" t="s">
        <v>9148</v>
      </c>
      <c r="C4284" s="6" t="s">
        <v>15</v>
      </c>
      <c r="D4284" s="6" t="s">
        <v>9149</v>
      </c>
      <c r="E4284" s="6" t="s">
        <v>514</v>
      </c>
      <c r="F4284" s="6" t="s">
        <v>65</v>
      </c>
      <c r="G4284" s="7">
        <v>0.19</v>
      </c>
      <c r="H4284" s="6" t="s">
        <v>209</v>
      </c>
      <c r="I4284" s="6" t="s">
        <v>20</v>
      </c>
      <c r="J4284" s="6">
        <v>2025.0</v>
      </c>
      <c r="K4284" s="10">
        <v>46084.0</v>
      </c>
      <c r="L4284" s="6">
        <v>1.0</v>
      </c>
      <c r="M4284" s="8">
        <f t="shared" si="5"/>
        <v>0.19</v>
      </c>
      <c r="P4284" s="9"/>
    </row>
    <row r="4285">
      <c r="A4285" s="6" t="s">
        <v>9150</v>
      </c>
      <c r="B4285" s="6" t="s">
        <v>9151</v>
      </c>
      <c r="C4285" s="6" t="s">
        <v>34</v>
      </c>
      <c r="D4285" s="6" t="s">
        <v>9152</v>
      </c>
      <c r="E4285" s="6" t="s">
        <v>7287</v>
      </c>
      <c r="F4285" s="6" t="s">
        <v>159</v>
      </c>
      <c r="G4285" s="7">
        <v>0.1</v>
      </c>
      <c r="H4285" s="6" t="s">
        <v>209</v>
      </c>
      <c r="I4285" s="6" t="s">
        <v>20</v>
      </c>
      <c r="J4285" s="6">
        <v>2025.0</v>
      </c>
      <c r="K4285" s="10">
        <v>46116.0</v>
      </c>
      <c r="L4285" s="6">
        <v>8.0</v>
      </c>
      <c r="M4285" s="8">
        <f t="shared" si="5"/>
        <v>0.8</v>
      </c>
      <c r="P4285" s="9"/>
    </row>
    <row r="4286">
      <c r="A4286" s="6" t="s">
        <v>9153</v>
      </c>
      <c r="B4286" s="6" t="s">
        <v>9154</v>
      </c>
      <c r="C4286" s="6" t="s">
        <v>15</v>
      </c>
      <c r="D4286" s="6" t="s">
        <v>9155</v>
      </c>
      <c r="E4286" s="6" t="s">
        <v>618</v>
      </c>
      <c r="F4286" s="6" t="s">
        <v>159</v>
      </c>
      <c r="G4286" s="7">
        <v>0.5</v>
      </c>
      <c r="H4286" s="6" t="s">
        <v>209</v>
      </c>
      <c r="I4286" s="6" t="s">
        <v>20</v>
      </c>
      <c r="J4286" s="6">
        <v>2025.0</v>
      </c>
      <c r="K4286" s="10">
        <v>46056.0</v>
      </c>
      <c r="L4286" s="6">
        <v>2.0</v>
      </c>
      <c r="M4286" s="8">
        <f t="shared" si="5"/>
        <v>1</v>
      </c>
      <c r="P4286" s="9"/>
    </row>
    <row r="4287">
      <c r="A4287" s="6" t="s">
        <v>9156</v>
      </c>
      <c r="B4287" s="6" t="s">
        <v>9157</v>
      </c>
      <c r="C4287" s="6" t="s">
        <v>34</v>
      </c>
      <c r="D4287" s="6" t="s">
        <v>9158</v>
      </c>
      <c r="E4287" s="6" t="s">
        <v>179</v>
      </c>
      <c r="F4287" s="6" t="s">
        <v>1732</v>
      </c>
      <c r="G4287" s="7">
        <v>0.24</v>
      </c>
      <c r="H4287" s="6" t="s">
        <v>7816</v>
      </c>
      <c r="I4287" s="6" t="s">
        <v>55</v>
      </c>
      <c r="J4287" s="6">
        <v>2025.0</v>
      </c>
      <c r="K4287" s="10">
        <v>46056.0</v>
      </c>
      <c r="L4287" s="6">
        <v>1.0</v>
      </c>
      <c r="M4287" s="8">
        <f t="shared" si="5"/>
        <v>0.24</v>
      </c>
      <c r="P4287" s="9"/>
    </row>
    <row r="4288">
      <c r="A4288" s="6" t="s">
        <v>9156</v>
      </c>
      <c r="B4288" s="6" t="s">
        <v>9157</v>
      </c>
      <c r="C4288" s="6" t="s">
        <v>34</v>
      </c>
      <c r="D4288" s="6" t="s">
        <v>9158</v>
      </c>
      <c r="E4288" s="6" t="s">
        <v>179</v>
      </c>
      <c r="F4288" s="6" t="s">
        <v>1732</v>
      </c>
      <c r="G4288" s="7">
        <v>0.15</v>
      </c>
      <c r="H4288" s="6" t="s">
        <v>7816</v>
      </c>
      <c r="I4288" s="6" t="s">
        <v>20</v>
      </c>
      <c r="J4288" s="6">
        <v>2025.0</v>
      </c>
      <c r="K4288" s="10">
        <v>46056.0</v>
      </c>
      <c r="L4288" s="6">
        <v>7.0</v>
      </c>
      <c r="M4288" s="8">
        <f t="shared" si="5"/>
        <v>1.05</v>
      </c>
      <c r="P4288" s="9"/>
    </row>
    <row r="4289">
      <c r="A4289" s="6" t="s">
        <v>9159</v>
      </c>
      <c r="B4289" s="6" t="s">
        <v>9160</v>
      </c>
      <c r="C4289" s="6" t="s">
        <v>212</v>
      </c>
      <c r="D4289" s="6" t="s">
        <v>9161</v>
      </c>
      <c r="E4289" s="6" t="s">
        <v>3237</v>
      </c>
      <c r="F4289" s="6" t="s">
        <v>18</v>
      </c>
      <c r="G4289" s="7">
        <v>2.3</v>
      </c>
      <c r="H4289" s="6" t="s">
        <v>209</v>
      </c>
      <c r="I4289" s="6" t="s">
        <v>20</v>
      </c>
      <c r="J4289" s="6">
        <v>2025.0</v>
      </c>
      <c r="K4289" s="10">
        <v>46179.0</v>
      </c>
      <c r="L4289" s="6">
        <v>1.0</v>
      </c>
      <c r="M4289" s="8">
        <f t="shared" si="5"/>
        <v>2.3</v>
      </c>
      <c r="P4289" s="9"/>
    </row>
    <row r="4290">
      <c r="A4290" s="6" t="s">
        <v>9162</v>
      </c>
      <c r="B4290" s="6" t="s">
        <v>9163</v>
      </c>
      <c r="C4290" s="6" t="s">
        <v>15</v>
      </c>
      <c r="D4290" s="6" t="s">
        <v>9164</v>
      </c>
      <c r="E4290" s="6" t="s">
        <v>279</v>
      </c>
      <c r="F4290" s="6" t="s">
        <v>51</v>
      </c>
      <c r="G4290" s="7">
        <v>0.2</v>
      </c>
      <c r="H4290" s="6" t="s">
        <v>209</v>
      </c>
      <c r="I4290" s="6" t="s">
        <v>20</v>
      </c>
      <c r="J4290" s="6">
        <v>2025.0</v>
      </c>
      <c r="K4290" s="10">
        <v>46084.0</v>
      </c>
      <c r="L4290" s="6">
        <v>1.0</v>
      </c>
      <c r="M4290" s="8">
        <f t="shared" si="5"/>
        <v>0.2</v>
      </c>
      <c r="P4290" s="9"/>
    </row>
    <row r="4291">
      <c r="A4291" s="6" t="s">
        <v>9162</v>
      </c>
      <c r="B4291" s="6" t="s">
        <v>9163</v>
      </c>
      <c r="C4291" s="6" t="s">
        <v>15</v>
      </c>
      <c r="D4291" s="6" t="s">
        <v>9164</v>
      </c>
      <c r="E4291" s="6" t="s">
        <v>279</v>
      </c>
      <c r="F4291" s="6" t="s">
        <v>51</v>
      </c>
      <c r="G4291" s="7">
        <v>0.4</v>
      </c>
      <c r="H4291" s="6" t="s">
        <v>209</v>
      </c>
      <c r="I4291" s="6" t="s">
        <v>55</v>
      </c>
      <c r="J4291" s="6">
        <v>2025.0</v>
      </c>
      <c r="K4291" s="10">
        <v>46084.0</v>
      </c>
      <c r="L4291" s="6">
        <v>1.0</v>
      </c>
      <c r="M4291" s="8">
        <f t="shared" si="5"/>
        <v>0.4</v>
      </c>
      <c r="P4291" s="9"/>
    </row>
    <row r="4292">
      <c r="A4292" s="6" t="s">
        <v>9165</v>
      </c>
      <c r="B4292" s="6" t="s">
        <v>131</v>
      </c>
      <c r="C4292" s="6" t="s">
        <v>23</v>
      </c>
      <c r="D4292" s="6" t="s">
        <v>9166</v>
      </c>
      <c r="E4292" s="6" t="s">
        <v>118</v>
      </c>
      <c r="F4292" s="6" t="s">
        <v>51</v>
      </c>
      <c r="G4292" s="7">
        <v>0.03</v>
      </c>
      <c r="H4292" s="6" t="s">
        <v>875</v>
      </c>
      <c r="I4292" s="6" t="s">
        <v>20</v>
      </c>
      <c r="J4292" s="6">
        <v>2018.0</v>
      </c>
      <c r="K4292" s="10">
        <v>46055.0</v>
      </c>
      <c r="L4292" s="6">
        <v>3.0</v>
      </c>
      <c r="M4292" s="8">
        <f t="shared" si="5"/>
        <v>0.09</v>
      </c>
      <c r="P4292" s="9"/>
    </row>
    <row r="4293">
      <c r="A4293" s="6" t="s">
        <v>9167</v>
      </c>
      <c r="B4293" s="6" t="s">
        <v>3890</v>
      </c>
      <c r="C4293" s="6" t="s">
        <v>48</v>
      </c>
      <c r="D4293" s="6" t="s">
        <v>9168</v>
      </c>
      <c r="E4293" s="6" t="s">
        <v>2195</v>
      </c>
      <c r="F4293" s="6" t="s">
        <v>986</v>
      </c>
      <c r="G4293" s="7">
        <v>0.15</v>
      </c>
      <c r="H4293" s="6" t="s">
        <v>45</v>
      </c>
      <c r="I4293" s="6" t="s">
        <v>20</v>
      </c>
      <c r="J4293" s="6">
        <v>2025.0</v>
      </c>
      <c r="K4293" s="10">
        <v>46145.0</v>
      </c>
      <c r="L4293" s="6">
        <v>1.0</v>
      </c>
      <c r="M4293" s="8">
        <f t="shared" si="5"/>
        <v>0.15</v>
      </c>
      <c r="P4293" s="9"/>
    </row>
    <row r="4294">
      <c r="A4294" s="6" t="s">
        <v>9169</v>
      </c>
      <c r="B4294" s="6" t="s">
        <v>80</v>
      </c>
      <c r="C4294" s="6" t="s">
        <v>48</v>
      </c>
      <c r="D4294" s="6" t="s">
        <v>9170</v>
      </c>
      <c r="E4294" s="6" t="s">
        <v>118</v>
      </c>
      <c r="F4294" s="6" t="s">
        <v>51</v>
      </c>
      <c r="G4294" s="7">
        <v>0.15</v>
      </c>
      <c r="H4294" s="6" t="s">
        <v>113</v>
      </c>
      <c r="I4294" s="6" t="s">
        <v>20</v>
      </c>
      <c r="J4294" s="6">
        <v>2024.0</v>
      </c>
      <c r="K4294" s="10">
        <v>46025.0</v>
      </c>
      <c r="L4294" s="6">
        <v>1.0</v>
      </c>
      <c r="M4294" s="8">
        <f t="shared" si="5"/>
        <v>0.15</v>
      </c>
      <c r="P4294" s="9"/>
    </row>
    <row r="4295">
      <c r="A4295" s="6" t="s">
        <v>9171</v>
      </c>
      <c r="B4295" s="6" t="s">
        <v>68</v>
      </c>
      <c r="C4295" s="6" t="s">
        <v>23</v>
      </c>
      <c r="D4295" s="6" t="s">
        <v>9172</v>
      </c>
      <c r="F4295" s="6" t="s">
        <v>986</v>
      </c>
      <c r="G4295" s="7">
        <v>0.15</v>
      </c>
      <c r="H4295" s="6" t="s">
        <v>45</v>
      </c>
      <c r="I4295" s="6" t="s">
        <v>20</v>
      </c>
      <c r="J4295" s="6">
        <v>2025.0</v>
      </c>
      <c r="L4295" s="6">
        <v>1.0</v>
      </c>
      <c r="M4295" s="8">
        <f t="shared" si="5"/>
        <v>0.15</v>
      </c>
      <c r="P4295" s="9"/>
    </row>
    <row r="4296">
      <c r="A4296" s="6" t="s">
        <v>9173</v>
      </c>
      <c r="B4296" s="6" t="s">
        <v>507</v>
      </c>
      <c r="C4296" s="6" t="s">
        <v>23</v>
      </c>
      <c r="D4296" s="6" t="s">
        <v>9174</v>
      </c>
      <c r="E4296" s="6" t="s">
        <v>573</v>
      </c>
      <c r="F4296" s="6" t="s">
        <v>51</v>
      </c>
      <c r="G4296" s="7">
        <v>0.03</v>
      </c>
      <c r="H4296" s="6" t="s">
        <v>875</v>
      </c>
      <c r="I4296" s="6" t="s">
        <v>20</v>
      </c>
      <c r="J4296" s="6">
        <v>2018.0</v>
      </c>
      <c r="K4296" s="10">
        <v>46144.0</v>
      </c>
      <c r="L4296" s="6">
        <v>1.0</v>
      </c>
      <c r="M4296" s="8">
        <f t="shared" si="5"/>
        <v>0.03</v>
      </c>
      <c r="P4296" s="9"/>
    </row>
    <row r="4297">
      <c r="A4297" s="6" t="s">
        <v>9175</v>
      </c>
      <c r="B4297" s="6" t="s">
        <v>507</v>
      </c>
      <c r="C4297" s="6" t="s">
        <v>23</v>
      </c>
      <c r="D4297" s="6" t="s">
        <v>9176</v>
      </c>
      <c r="E4297" s="6" t="s">
        <v>3669</v>
      </c>
      <c r="F4297" s="6" t="s">
        <v>65</v>
      </c>
      <c r="G4297" s="7">
        <v>0.03</v>
      </c>
      <c r="H4297" s="6" t="s">
        <v>555</v>
      </c>
      <c r="I4297" s="6" t="s">
        <v>20</v>
      </c>
      <c r="J4297" s="6">
        <v>2017.0</v>
      </c>
      <c r="K4297" s="10">
        <v>46117.0</v>
      </c>
      <c r="L4297" s="6">
        <v>1.0</v>
      </c>
      <c r="M4297" s="8">
        <f t="shared" si="5"/>
        <v>0.03</v>
      </c>
      <c r="P4297" s="9"/>
    </row>
    <row r="4298">
      <c r="A4298" s="6" t="s">
        <v>9177</v>
      </c>
      <c r="B4298" s="6" t="s">
        <v>6460</v>
      </c>
      <c r="C4298" s="6" t="s">
        <v>23</v>
      </c>
      <c r="D4298" s="6" t="s">
        <v>9178</v>
      </c>
      <c r="E4298" s="6" t="s">
        <v>2288</v>
      </c>
      <c r="F4298" s="6" t="s">
        <v>51</v>
      </c>
      <c r="G4298" s="7">
        <v>0.2</v>
      </c>
      <c r="H4298" s="6" t="s">
        <v>641</v>
      </c>
      <c r="I4298" s="6" t="s">
        <v>55</v>
      </c>
      <c r="J4298" s="6">
        <v>2026.0</v>
      </c>
      <c r="K4298" s="10">
        <v>46178.0</v>
      </c>
      <c r="L4298" s="6">
        <v>1.0</v>
      </c>
      <c r="M4298" s="8">
        <f t="shared" si="5"/>
        <v>0.2</v>
      </c>
      <c r="P4298" s="9"/>
    </row>
    <row r="4299">
      <c r="A4299" s="6" t="s">
        <v>9179</v>
      </c>
      <c r="B4299" s="6" t="s">
        <v>3249</v>
      </c>
      <c r="C4299" s="6" t="s">
        <v>23</v>
      </c>
      <c r="D4299" s="6" t="s">
        <v>9180</v>
      </c>
      <c r="E4299" s="6" t="s">
        <v>573</v>
      </c>
      <c r="F4299" s="6" t="s">
        <v>51</v>
      </c>
      <c r="G4299" s="7">
        <v>0.12</v>
      </c>
      <c r="H4299" s="6" t="s">
        <v>4672</v>
      </c>
      <c r="I4299" s="6" t="s">
        <v>20</v>
      </c>
      <c r="J4299" s="6">
        <v>2022.0</v>
      </c>
      <c r="K4299" s="10">
        <v>46116.0</v>
      </c>
      <c r="L4299" s="6">
        <v>1.0</v>
      </c>
      <c r="M4299" s="8">
        <f t="shared" si="5"/>
        <v>0.12</v>
      </c>
      <c r="P4299" s="9"/>
    </row>
    <row r="4300">
      <c r="A4300" s="6" t="s">
        <v>9181</v>
      </c>
      <c r="B4300" s="6" t="s">
        <v>9182</v>
      </c>
      <c r="C4300" s="6" t="s">
        <v>48</v>
      </c>
      <c r="D4300" s="6" t="s">
        <v>9183</v>
      </c>
      <c r="E4300" s="6" t="s">
        <v>9184</v>
      </c>
      <c r="F4300" s="6" t="s">
        <v>826</v>
      </c>
      <c r="G4300" s="7">
        <v>0.06</v>
      </c>
      <c r="H4300" s="6" t="s">
        <v>185</v>
      </c>
      <c r="I4300" s="6" t="s">
        <v>20</v>
      </c>
      <c r="J4300" s="6">
        <v>2019.0</v>
      </c>
      <c r="K4300" s="10">
        <v>46147.0</v>
      </c>
      <c r="L4300" s="6">
        <v>1.0</v>
      </c>
      <c r="M4300" s="8">
        <f t="shared" si="5"/>
        <v>0.06</v>
      </c>
      <c r="P4300" s="9"/>
    </row>
    <row r="4301">
      <c r="A4301" s="6" t="s">
        <v>9181</v>
      </c>
      <c r="B4301" s="6" t="s">
        <v>9182</v>
      </c>
      <c r="C4301" s="6" t="s">
        <v>48</v>
      </c>
      <c r="D4301" s="6" t="s">
        <v>9183</v>
      </c>
      <c r="E4301" s="6" t="s">
        <v>9184</v>
      </c>
      <c r="F4301" s="6" t="s">
        <v>826</v>
      </c>
      <c r="G4301" s="7">
        <v>0.13</v>
      </c>
      <c r="H4301" s="6" t="s">
        <v>786</v>
      </c>
      <c r="I4301" s="6" t="s">
        <v>20</v>
      </c>
      <c r="J4301" s="6">
        <v>2024.0</v>
      </c>
      <c r="K4301" s="10">
        <v>46147.0</v>
      </c>
      <c r="L4301" s="6">
        <v>1.0</v>
      </c>
      <c r="M4301" s="8">
        <f t="shared" si="5"/>
        <v>0.13</v>
      </c>
      <c r="P4301" s="9"/>
    </row>
    <row r="4302">
      <c r="A4302" s="6" t="s">
        <v>9185</v>
      </c>
      <c r="B4302" s="6" t="s">
        <v>62</v>
      </c>
      <c r="C4302" s="6" t="s">
        <v>23</v>
      </c>
      <c r="D4302" s="6" t="s">
        <v>9186</v>
      </c>
      <c r="E4302" s="6" t="s">
        <v>9187</v>
      </c>
      <c r="F4302" s="6" t="s">
        <v>874</v>
      </c>
      <c r="G4302" s="7">
        <v>0.1</v>
      </c>
      <c r="H4302" s="6" t="s">
        <v>271</v>
      </c>
      <c r="I4302" s="6" t="s">
        <v>20</v>
      </c>
      <c r="J4302" s="6">
        <v>2012.0</v>
      </c>
      <c r="L4302" s="6">
        <v>4.0</v>
      </c>
      <c r="M4302" s="8">
        <f t="shared" si="5"/>
        <v>0.4</v>
      </c>
      <c r="P4302" s="9"/>
    </row>
    <row r="4303">
      <c r="A4303" s="6" t="s">
        <v>9188</v>
      </c>
      <c r="B4303" s="6" t="s">
        <v>6249</v>
      </c>
      <c r="C4303" s="6" t="s">
        <v>23</v>
      </c>
      <c r="D4303" s="6" t="s">
        <v>9189</v>
      </c>
      <c r="E4303" s="6" t="s">
        <v>118</v>
      </c>
      <c r="F4303" s="6" t="s">
        <v>51</v>
      </c>
      <c r="G4303" s="7">
        <v>0.06</v>
      </c>
      <c r="H4303" s="6" t="s">
        <v>188</v>
      </c>
      <c r="I4303" s="6" t="s">
        <v>20</v>
      </c>
      <c r="J4303" s="6">
        <v>2014.0</v>
      </c>
      <c r="K4303" s="10">
        <v>46054.0</v>
      </c>
      <c r="L4303" s="6">
        <v>4.0</v>
      </c>
      <c r="M4303" s="8">
        <f t="shared" si="5"/>
        <v>0.24</v>
      </c>
      <c r="P4303" s="9"/>
    </row>
    <row r="4304">
      <c r="A4304" s="6" t="s">
        <v>9190</v>
      </c>
      <c r="B4304" s="6" t="s">
        <v>592</v>
      </c>
      <c r="C4304" s="6" t="s">
        <v>23</v>
      </c>
      <c r="D4304" s="6" t="s">
        <v>9191</v>
      </c>
      <c r="E4304" s="6" t="s">
        <v>1505</v>
      </c>
      <c r="F4304" s="6" t="s">
        <v>18</v>
      </c>
      <c r="G4304" s="7">
        <v>0.25</v>
      </c>
      <c r="H4304" s="6" t="s">
        <v>119</v>
      </c>
      <c r="I4304" s="6" t="s">
        <v>20</v>
      </c>
      <c r="J4304" s="6">
        <v>1995.0</v>
      </c>
      <c r="L4304" s="6">
        <v>1.0</v>
      </c>
      <c r="M4304" s="8">
        <f t="shared" si="5"/>
        <v>0.25</v>
      </c>
      <c r="P4304" s="9"/>
    </row>
    <row r="4305">
      <c r="A4305" s="6" t="s">
        <v>9192</v>
      </c>
      <c r="B4305" s="6" t="s">
        <v>182</v>
      </c>
      <c r="C4305" s="6" t="s">
        <v>23</v>
      </c>
      <c r="D4305" s="6" t="s">
        <v>9193</v>
      </c>
      <c r="E4305" s="6" t="s">
        <v>175</v>
      </c>
      <c r="F4305" s="6" t="s">
        <v>51</v>
      </c>
      <c r="G4305" s="7">
        <v>0.1</v>
      </c>
      <c r="H4305" s="6" t="s">
        <v>636</v>
      </c>
      <c r="I4305" s="6" t="s">
        <v>20</v>
      </c>
      <c r="J4305" s="6">
        <v>2015.0</v>
      </c>
      <c r="L4305" s="6">
        <v>1.0</v>
      </c>
      <c r="M4305" s="8">
        <f t="shared" si="5"/>
        <v>0.1</v>
      </c>
      <c r="P4305" s="9"/>
    </row>
    <row r="4306">
      <c r="A4306" s="6" t="s">
        <v>9194</v>
      </c>
      <c r="B4306" s="6" t="s">
        <v>9195</v>
      </c>
      <c r="C4306" s="6" t="s">
        <v>23</v>
      </c>
      <c r="D4306" s="6" t="s">
        <v>9196</v>
      </c>
      <c r="E4306" s="6" t="s">
        <v>238</v>
      </c>
      <c r="F4306" s="6" t="s">
        <v>159</v>
      </c>
      <c r="G4306" s="7">
        <v>0.13</v>
      </c>
      <c r="H4306" s="6" t="s">
        <v>994</v>
      </c>
      <c r="I4306" s="6" t="s">
        <v>20</v>
      </c>
      <c r="J4306" s="6">
        <v>2024.0</v>
      </c>
      <c r="K4306" s="6" t="s">
        <v>341</v>
      </c>
      <c r="L4306" s="6">
        <v>1.0</v>
      </c>
      <c r="M4306" s="8">
        <f t="shared" si="5"/>
        <v>0.13</v>
      </c>
      <c r="P4306" s="9"/>
    </row>
    <row r="4307">
      <c r="A4307" s="6" t="s">
        <v>9197</v>
      </c>
      <c r="B4307" s="6" t="s">
        <v>9198</v>
      </c>
      <c r="C4307" s="6" t="s">
        <v>15</v>
      </c>
      <c r="D4307" s="6" t="s">
        <v>9199</v>
      </c>
      <c r="E4307" s="6" t="s">
        <v>279</v>
      </c>
      <c r="F4307" s="6" t="s">
        <v>51</v>
      </c>
      <c r="G4307" s="7">
        <v>0.15</v>
      </c>
      <c r="H4307" s="6" t="s">
        <v>1043</v>
      </c>
      <c r="I4307" s="6" t="s">
        <v>20</v>
      </c>
      <c r="J4307" s="6">
        <v>2025.0</v>
      </c>
      <c r="K4307" s="10">
        <v>46084.0</v>
      </c>
      <c r="L4307" s="6">
        <v>2.0</v>
      </c>
      <c r="M4307" s="8">
        <f t="shared" si="5"/>
        <v>0.3</v>
      </c>
      <c r="P4307" s="9"/>
    </row>
    <row r="4308">
      <c r="A4308" s="6" t="s">
        <v>9200</v>
      </c>
      <c r="B4308" s="6" t="s">
        <v>366</v>
      </c>
      <c r="C4308" s="6" t="s">
        <v>48</v>
      </c>
      <c r="D4308" s="6" t="s">
        <v>9201</v>
      </c>
      <c r="E4308" s="6" t="s">
        <v>248</v>
      </c>
      <c r="F4308" s="6" t="s">
        <v>18</v>
      </c>
      <c r="G4308" s="7">
        <v>0.73</v>
      </c>
      <c r="H4308" s="6" t="s">
        <v>31</v>
      </c>
      <c r="I4308" s="6" t="s">
        <v>20</v>
      </c>
      <c r="J4308" s="6">
        <v>2026.0</v>
      </c>
      <c r="L4308" s="6">
        <v>1.0</v>
      </c>
      <c r="M4308" s="8">
        <f t="shared" si="5"/>
        <v>0.73</v>
      </c>
      <c r="P4308" s="9"/>
    </row>
    <row r="4309">
      <c r="A4309" s="6" t="s">
        <v>9202</v>
      </c>
      <c r="B4309" s="6" t="s">
        <v>165</v>
      </c>
      <c r="C4309" s="6" t="s">
        <v>34</v>
      </c>
      <c r="D4309" s="6" t="s">
        <v>9203</v>
      </c>
      <c r="E4309" s="6" t="s">
        <v>681</v>
      </c>
      <c r="F4309" s="6" t="s">
        <v>65</v>
      </c>
      <c r="G4309" s="7">
        <v>0.2</v>
      </c>
      <c r="H4309" s="6" t="s">
        <v>209</v>
      </c>
      <c r="I4309" s="6" t="s">
        <v>20</v>
      </c>
      <c r="J4309" s="6">
        <v>2025.0</v>
      </c>
      <c r="L4309" s="6">
        <v>3.0</v>
      </c>
      <c r="M4309" s="8">
        <f t="shared" si="5"/>
        <v>0.6</v>
      </c>
      <c r="P4309" s="9"/>
    </row>
    <row r="4310">
      <c r="A4310" s="6" t="s">
        <v>9204</v>
      </c>
      <c r="B4310" s="6" t="s">
        <v>628</v>
      </c>
      <c r="C4310" s="6" t="s">
        <v>23</v>
      </c>
      <c r="D4310" s="6" t="s">
        <v>9205</v>
      </c>
      <c r="E4310" s="6" t="s">
        <v>1771</v>
      </c>
      <c r="F4310" s="6" t="s">
        <v>51</v>
      </c>
      <c r="G4310" s="7">
        <v>0.03</v>
      </c>
      <c r="H4310" s="6" t="s">
        <v>359</v>
      </c>
      <c r="I4310" s="6" t="s">
        <v>20</v>
      </c>
      <c r="J4310" s="6">
        <v>2014.0</v>
      </c>
      <c r="K4310" s="10">
        <v>46114.0</v>
      </c>
      <c r="L4310" s="6">
        <v>2.0</v>
      </c>
      <c r="M4310" s="8">
        <f t="shared" si="5"/>
        <v>0.06</v>
      </c>
      <c r="P4310" s="9"/>
    </row>
    <row r="4311">
      <c r="A4311" s="6" t="s">
        <v>9206</v>
      </c>
      <c r="B4311" s="6" t="s">
        <v>372</v>
      </c>
      <c r="C4311" s="6" t="s">
        <v>23</v>
      </c>
      <c r="D4311" s="6" t="s">
        <v>9207</v>
      </c>
      <c r="E4311" s="6" t="s">
        <v>50</v>
      </c>
      <c r="F4311" s="6" t="s">
        <v>51</v>
      </c>
      <c r="G4311" s="7">
        <v>0.06</v>
      </c>
      <c r="H4311" s="6" t="s">
        <v>184</v>
      </c>
      <c r="I4311" s="6" t="s">
        <v>20</v>
      </c>
      <c r="J4311" s="6">
        <v>2015.0</v>
      </c>
      <c r="L4311" s="6">
        <v>4.0</v>
      </c>
      <c r="M4311" s="8">
        <f t="shared" si="5"/>
        <v>0.24</v>
      </c>
      <c r="P4311" s="9"/>
    </row>
    <row r="4312">
      <c r="A4312" s="6" t="s">
        <v>9206</v>
      </c>
      <c r="B4312" s="6" t="s">
        <v>372</v>
      </c>
      <c r="C4312" s="6" t="s">
        <v>23</v>
      </c>
      <c r="D4312" s="6" t="s">
        <v>9207</v>
      </c>
      <c r="E4312" s="6" t="s">
        <v>50</v>
      </c>
      <c r="F4312" s="6" t="s">
        <v>51</v>
      </c>
      <c r="G4312" s="7">
        <v>0.06</v>
      </c>
      <c r="H4312" s="6" t="s">
        <v>184</v>
      </c>
      <c r="I4312" s="6" t="s">
        <v>20</v>
      </c>
      <c r="J4312" s="6">
        <v>2015.0</v>
      </c>
      <c r="L4312" s="6">
        <v>1.0</v>
      </c>
      <c r="M4312" s="8">
        <f t="shared" si="5"/>
        <v>0.06</v>
      </c>
      <c r="P4312" s="9"/>
    </row>
    <row r="4313">
      <c r="A4313" s="6" t="s">
        <v>9208</v>
      </c>
      <c r="B4313" s="6" t="s">
        <v>62</v>
      </c>
      <c r="C4313" s="6" t="s">
        <v>48</v>
      </c>
      <c r="D4313" s="6" t="s">
        <v>9209</v>
      </c>
      <c r="E4313" s="6" t="s">
        <v>25</v>
      </c>
      <c r="F4313" s="6" t="s">
        <v>18</v>
      </c>
      <c r="G4313" s="7">
        <v>0.13</v>
      </c>
      <c r="H4313" s="6" t="s">
        <v>265</v>
      </c>
      <c r="I4313" s="6" t="s">
        <v>20</v>
      </c>
      <c r="J4313" s="6">
        <v>2017.0</v>
      </c>
      <c r="L4313" s="6">
        <v>1.0</v>
      </c>
      <c r="M4313" s="8">
        <f t="shared" si="5"/>
        <v>0.13</v>
      </c>
      <c r="P4313" s="9"/>
    </row>
    <row r="4314">
      <c r="A4314" s="6" t="s">
        <v>9210</v>
      </c>
      <c r="B4314" s="6" t="s">
        <v>307</v>
      </c>
      <c r="C4314" s="6" t="s">
        <v>23</v>
      </c>
      <c r="D4314" s="6" t="s">
        <v>9211</v>
      </c>
      <c r="E4314" s="6" t="s">
        <v>36</v>
      </c>
      <c r="F4314" s="6" t="s">
        <v>37</v>
      </c>
      <c r="G4314" s="7">
        <v>0.09</v>
      </c>
      <c r="H4314" s="6" t="s">
        <v>224</v>
      </c>
      <c r="I4314" s="6" t="s">
        <v>20</v>
      </c>
      <c r="J4314" s="6">
        <v>2020.0</v>
      </c>
      <c r="L4314" s="6">
        <v>1.0</v>
      </c>
      <c r="M4314" s="8">
        <f t="shared" si="5"/>
        <v>0.09</v>
      </c>
      <c r="P4314" s="9"/>
    </row>
    <row r="4315">
      <c r="A4315" s="6" t="s">
        <v>9212</v>
      </c>
      <c r="B4315" s="6" t="s">
        <v>62</v>
      </c>
      <c r="C4315" s="6" t="s">
        <v>23</v>
      </c>
      <c r="D4315" s="6" t="s">
        <v>9213</v>
      </c>
      <c r="E4315" s="6" t="s">
        <v>112</v>
      </c>
      <c r="F4315" s="6" t="s">
        <v>65</v>
      </c>
      <c r="G4315" s="7">
        <v>0.03</v>
      </c>
      <c r="H4315" s="6" t="s">
        <v>104</v>
      </c>
      <c r="I4315" s="6" t="s">
        <v>20</v>
      </c>
      <c r="J4315" s="6">
        <v>2018.0</v>
      </c>
      <c r="L4315" s="6">
        <v>1.0</v>
      </c>
      <c r="M4315" s="8">
        <f t="shared" si="5"/>
        <v>0.03</v>
      </c>
      <c r="P4315" s="9"/>
    </row>
    <row r="4316">
      <c r="A4316" s="6" t="s">
        <v>9212</v>
      </c>
      <c r="B4316" s="6" t="s">
        <v>62</v>
      </c>
      <c r="C4316" s="6" t="s">
        <v>23</v>
      </c>
      <c r="D4316" s="6" t="s">
        <v>9213</v>
      </c>
      <c r="E4316" s="6" t="s">
        <v>112</v>
      </c>
      <c r="F4316" s="6" t="s">
        <v>65</v>
      </c>
      <c r="G4316" s="7">
        <v>0.05</v>
      </c>
      <c r="H4316" s="6" t="s">
        <v>114</v>
      </c>
      <c r="I4316" s="6" t="s">
        <v>20</v>
      </c>
      <c r="J4316" s="6">
        <v>2021.0</v>
      </c>
      <c r="L4316" s="6">
        <v>1.0</v>
      </c>
      <c r="M4316" s="8">
        <f t="shared" si="5"/>
        <v>0.05</v>
      </c>
      <c r="P4316" s="9"/>
    </row>
    <row r="4317">
      <c r="A4317" s="6" t="s">
        <v>9214</v>
      </c>
      <c r="B4317" s="6" t="s">
        <v>62</v>
      </c>
      <c r="C4317" s="6" t="s">
        <v>48</v>
      </c>
      <c r="D4317" s="6" t="s">
        <v>9215</v>
      </c>
      <c r="E4317" s="6" t="s">
        <v>118</v>
      </c>
      <c r="F4317" s="6" t="s">
        <v>51</v>
      </c>
      <c r="G4317" s="7">
        <v>0.07</v>
      </c>
      <c r="H4317" s="6" t="s">
        <v>559</v>
      </c>
      <c r="I4317" s="6" t="s">
        <v>20</v>
      </c>
      <c r="J4317" s="6">
        <v>2015.0</v>
      </c>
      <c r="L4317" s="6">
        <v>1.0</v>
      </c>
      <c r="M4317" s="8">
        <f t="shared" si="5"/>
        <v>0.07</v>
      </c>
      <c r="P4317" s="9"/>
    </row>
    <row r="4318">
      <c r="A4318" s="6" t="s">
        <v>9216</v>
      </c>
      <c r="B4318" s="6" t="s">
        <v>182</v>
      </c>
      <c r="C4318" s="6" t="s">
        <v>23</v>
      </c>
      <c r="D4318" s="6" t="s">
        <v>9217</v>
      </c>
      <c r="E4318" s="6" t="s">
        <v>102</v>
      </c>
      <c r="F4318" s="6" t="s">
        <v>103</v>
      </c>
      <c r="G4318" s="7">
        <v>0.14</v>
      </c>
      <c r="H4318" s="6" t="s">
        <v>2005</v>
      </c>
      <c r="I4318" s="6" t="s">
        <v>20</v>
      </c>
      <c r="J4318" s="6">
        <v>2006.0</v>
      </c>
      <c r="L4318" s="6">
        <v>1.0</v>
      </c>
      <c r="M4318" s="8">
        <f t="shared" si="5"/>
        <v>0.14</v>
      </c>
      <c r="P4318" s="9"/>
    </row>
    <row r="4319">
      <c r="A4319" s="6" t="s">
        <v>9218</v>
      </c>
      <c r="B4319" s="6" t="s">
        <v>2599</v>
      </c>
      <c r="C4319" s="6" t="s">
        <v>48</v>
      </c>
      <c r="D4319" s="6" t="s">
        <v>9219</v>
      </c>
      <c r="E4319" s="6" t="s">
        <v>937</v>
      </c>
      <c r="F4319" s="6" t="s">
        <v>159</v>
      </c>
      <c r="G4319" s="7">
        <v>0.59</v>
      </c>
      <c r="H4319" s="6" t="s">
        <v>163</v>
      </c>
      <c r="I4319" s="6" t="s">
        <v>20</v>
      </c>
      <c r="J4319" s="6">
        <v>2023.0</v>
      </c>
      <c r="K4319" s="10">
        <v>46117.0</v>
      </c>
      <c r="L4319" s="6">
        <v>1.0</v>
      </c>
      <c r="M4319" s="8">
        <f t="shared" si="5"/>
        <v>0.59</v>
      </c>
      <c r="P4319" s="9"/>
    </row>
    <row r="4320">
      <c r="A4320" s="6" t="s">
        <v>9220</v>
      </c>
      <c r="B4320" s="6" t="s">
        <v>9221</v>
      </c>
      <c r="C4320" s="6" t="s">
        <v>23</v>
      </c>
      <c r="D4320" s="6" t="s">
        <v>9222</v>
      </c>
      <c r="E4320" s="6" t="s">
        <v>558</v>
      </c>
      <c r="F4320" s="6" t="s">
        <v>18</v>
      </c>
      <c r="G4320" s="7">
        <v>0.05</v>
      </c>
      <c r="H4320" s="6" t="s">
        <v>340</v>
      </c>
      <c r="I4320" s="6" t="s">
        <v>20</v>
      </c>
      <c r="J4320" s="6">
        <v>2010.0</v>
      </c>
      <c r="K4320" s="10">
        <v>46084.0</v>
      </c>
      <c r="L4320" s="6">
        <v>3.0</v>
      </c>
      <c r="M4320" s="8">
        <f t="shared" si="5"/>
        <v>0.15</v>
      </c>
      <c r="P4320" s="9"/>
    </row>
    <row r="4321">
      <c r="A4321" s="6" t="s">
        <v>9223</v>
      </c>
      <c r="B4321" s="6" t="s">
        <v>1074</v>
      </c>
      <c r="C4321" s="6" t="s">
        <v>72</v>
      </c>
      <c r="D4321" s="6" t="s">
        <v>9224</v>
      </c>
      <c r="F4321" s="6" t="s">
        <v>18</v>
      </c>
      <c r="G4321" s="7">
        <v>2.11</v>
      </c>
      <c r="H4321" s="6" t="s">
        <v>252</v>
      </c>
      <c r="I4321" s="6" t="s">
        <v>20</v>
      </c>
      <c r="J4321" s="6">
        <v>1994.0</v>
      </c>
      <c r="L4321" s="6">
        <v>1.0</v>
      </c>
      <c r="M4321" s="8">
        <f t="shared" si="5"/>
        <v>2.11</v>
      </c>
      <c r="N4321" s="6" t="s">
        <v>172</v>
      </c>
      <c r="P4321" s="9"/>
    </row>
    <row r="4322">
      <c r="A4322" s="6" t="s">
        <v>9225</v>
      </c>
      <c r="B4322" s="6" t="s">
        <v>796</v>
      </c>
      <c r="C4322" s="6" t="s">
        <v>15</v>
      </c>
      <c r="D4322" s="6" t="s">
        <v>9226</v>
      </c>
      <c r="E4322" s="6" t="s">
        <v>1767</v>
      </c>
      <c r="F4322" s="6" t="s">
        <v>18</v>
      </c>
      <c r="G4322" s="7">
        <v>0.19</v>
      </c>
      <c r="H4322" s="6" t="s">
        <v>209</v>
      </c>
      <c r="I4322" s="6" t="s">
        <v>20</v>
      </c>
      <c r="J4322" s="6">
        <v>2025.0</v>
      </c>
      <c r="L4322" s="6">
        <v>2.0</v>
      </c>
      <c r="M4322" s="8">
        <f t="shared" si="5"/>
        <v>0.38</v>
      </c>
      <c r="P4322" s="9"/>
    </row>
    <row r="4323">
      <c r="A4323" s="6" t="s">
        <v>9225</v>
      </c>
      <c r="B4323" s="6" t="s">
        <v>796</v>
      </c>
      <c r="C4323" s="6" t="s">
        <v>15</v>
      </c>
      <c r="D4323" s="6" t="s">
        <v>9226</v>
      </c>
      <c r="E4323" s="6" t="s">
        <v>1767</v>
      </c>
      <c r="F4323" s="6" t="s">
        <v>18</v>
      </c>
      <c r="G4323" s="7">
        <v>0.49</v>
      </c>
      <c r="H4323" s="6" t="s">
        <v>209</v>
      </c>
      <c r="I4323" s="6" t="s">
        <v>55</v>
      </c>
      <c r="J4323" s="6">
        <v>2025.0</v>
      </c>
      <c r="L4323" s="6">
        <v>1.0</v>
      </c>
      <c r="M4323" s="8">
        <f t="shared" si="5"/>
        <v>0.49</v>
      </c>
      <c r="P4323" s="9"/>
    </row>
    <row r="4324">
      <c r="A4324" s="6" t="s">
        <v>9227</v>
      </c>
      <c r="B4324" s="6" t="s">
        <v>9228</v>
      </c>
      <c r="C4324" s="6" t="s">
        <v>23</v>
      </c>
      <c r="D4324" s="6" t="s">
        <v>9229</v>
      </c>
      <c r="F4324" s="6" t="s">
        <v>37</v>
      </c>
      <c r="G4324" s="7">
        <v>0.27</v>
      </c>
      <c r="H4324" s="6" t="s">
        <v>184</v>
      </c>
      <c r="I4324" s="6" t="s">
        <v>20</v>
      </c>
      <c r="J4324" s="6">
        <v>2015.0</v>
      </c>
      <c r="L4324" s="6">
        <v>7.0</v>
      </c>
      <c r="M4324" s="8">
        <f t="shared" si="5"/>
        <v>1.89</v>
      </c>
      <c r="P4324" s="9"/>
    </row>
    <row r="4325">
      <c r="A4325" s="6" t="s">
        <v>9227</v>
      </c>
      <c r="B4325" s="6" t="s">
        <v>9228</v>
      </c>
      <c r="C4325" s="6" t="s">
        <v>23</v>
      </c>
      <c r="D4325" s="6" t="s">
        <v>9229</v>
      </c>
      <c r="F4325" s="6" t="s">
        <v>37</v>
      </c>
      <c r="G4325" s="7">
        <v>0.2</v>
      </c>
      <c r="H4325" s="6" t="s">
        <v>184</v>
      </c>
      <c r="I4325" s="6" t="s">
        <v>20</v>
      </c>
      <c r="J4325" s="6">
        <v>2015.0</v>
      </c>
      <c r="L4325" s="6">
        <v>8.0</v>
      </c>
      <c r="M4325" s="8">
        <f t="shared" si="5"/>
        <v>1.6</v>
      </c>
      <c r="P4325" s="9"/>
    </row>
    <row r="4326">
      <c r="A4326" s="6" t="s">
        <v>9227</v>
      </c>
      <c r="B4326" s="6" t="s">
        <v>9228</v>
      </c>
      <c r="C4326" s="6" t="s">
        <v>23</v>
      </c>
      <c r="D4326" s="6" t="s">
        <v>9229</v>
      </c>
      <c r="F4326" s="6" t="s">
        <v>103</v>
      </c>
      <c r="G4326" s="7">
        <v>0.2</v>
      </c>
      <c r="H4326" s="6" t="s">
        <v>9230</v>
      </c>
      <c r="I4326" s="6" t="s">
        <v>55</v>
      </c>
      <c r="J4326" s="6">
        <v>2026.0</v>
      </c>
      <c r="L4326" s="6">
        <v>6.0</v>
      </c>
      <c r="M4326" s="8">
        <f t="shared" si="5"/>
        <v>1.2</v>
      </c>
      <c r="P4326" s="9"/>
    </row>
    <row r="4327">
      <c r="A4327" s="6" t="s">
        <v>9227</v>
      </c>
      <c r="B4327" s="6" t="s">
        <v>9228</v>
      </c>
      <c r="C4327" s="6" t="s">
        <v>23</v>
      </c>
      <c r="D4327" s="6" t="s">
        <v>9229</v>
      </c>
      <c r="F4327" s="6" t="s">
        <v>103</v>
      </c>
      <c r="G4327" s="7">
        <v>0.49</v>
      </c>
      <c r="H4327" s="6" t="s">
        <v>9231</v>
      </c>
      <c r="I4327" s="6" t="s">
        <v>55</v>
      </c>
      <c r="J4327" s="6">
        <v>2026.0</v>
      </c>
      <c r="L4327" s="6">
        <v>1.0</v>
      </c>
      <c r="M4327" s="8">
        <f t="shared" si="5"/>
        <v>0.49</v>
      </c>
      <c r="P4327" s="9"/>
    </row>
    <row r="4328">
      <c r="A4328" s="6" t="s">
        <v>9232</v>
      </c>
      <c r="B4328" s="6" t="s">
        <v>366</v>
      </c>
      <c r="C4328" s="6" t="s">
        <v>23</v>
      </c>
      <c r="D4328" s="6" t="s">
        <v>9233</v>
      </c>
      <c r="E4328" s="6" t="s">
        <v>235</v>
      </c>
      <c r="F4328" s="6" t="s">
        <v>103</v>
      </c>
      <c r="G4328" s="7">
        <v>0.05</v>
      </c>
      <c r="H4328" s="6" t="s">
        <v>45</v>
      </c>
      <c r="I4328" s="6" t="s">
        <v>20</v>
      </c>
      <c r="J4328" s="6">
        <v>2025.0</v>
      </c>
      <c r="L4328" s="6">
        <v>4.0</v>
      </c>
      <c r="M4328" s="8">
        <f t="shared" si="5"/>
        <v>0.2</v>
      </c>
      <c r="P4328" s="9"/>
    </row>
    <row r="4329">
      <c r="A4329" s="6" t="s">
        <v>9234</v>
      </c>
      <c r="B4329" s="6" t="s">
        <v>2673</v>
      </c>
      <c r="C4329" s="6" t="s">
        <v>48</v>
      </c>
      <c r="D4329" s="6" t="s">
        <v>9235</v>
      </c>
      <c r="E4329" s="6" t="s">
        <v>214</v>
      </c>
      <c r="F4329" s="6" t="s">
        <v>215</v>
      </c>
      <c r="G4329" s="7">
        <v>0.03</v>
      </c>
      <c r="H4329" s="6" t="s">
        <v>1084</v>
      </c>
      <c r="I4329" s="6" t="s">
        <v>20</v>
      </c>
      <c r="J4329" s="6">
        <v>2018.0</v>
      </c>
      <c r="K4329" s="10">
        <v>46055.0</v>
      </c>
      <c r="L4329" s="6">
        <v>2.0</v>
      </c>
      <c r="M4329" s="8">
        <f t="shared" si="5"/>
        <v>0.06</v>
      </c>
      <c r="P4329" s="9"/>
    </row>
    <row r="4330">
      <c r="A4330" s="6" t="s">
        <v>9236</v>
      </c>
      <c r="B4330" s="6" t="s">
        <v>1141</v>
      </c>
      <c r="C4330" s="6" t="s">
        <v>48</v>
      </c>
      <c r="D4330" s="6" t="s">
        <v>9237</v>
      </c>
      <c r="E4330" s="6" t="s">
        <v>937</v>
      </c>
      <c r="F4330" s="6" t="s">
        <v>159</v>
      </c>
      <c r="G4330" s="7">
        <v>0.05</v>
      </c>
      <c r="H4330" s="6" t="s">
        <v>359</v>
      </c>
      <c r="I4330" s="6" t="s">
        <v>20</v>
      </c>
      <c r="J4330" s="6">
        <v>2014.0</v>
      </c>
      <c r="K4330" s="10">
        <v>46179.0</v>
      </c>
      <c r="L4330" s="6">
        <v>1.0</v>
      </c>
      <c r="M4330" s="8">
        <f t="shared" si="5"/>
        <v>0.05</v>
      </c>
      <c r="P4330" s="9"/>
    </row>
    <row r="4331">
      <c r="A4331" s="6" t="s">
        <v>9238</v>
      </c>
      <c r="B4331" s="6" t="s">
        <v>1113</v>
      </c>
      <c r="C4331" s="6" t="s">
        <v>23</v>
      </c>
      <c r="D4331" s="6" t="s">
        <v>9239</v>
      </c>
      <c r="E4331" s="6" t="s">
        <v>502</v>
      </c>
      <c r="F4331" s="6" t="s">
        <v>65</v>
      </c>
      <c r="G4331" s="7">
        <v>0.1</v>
      </c>
      <c r="H4331" s="6" t="s">
        <v>1675</v>
      </c>
      <c r="I4331" s="6" t="s">
        <v>20</v>
      </c>
      <c r="J4331" s="6">
        <v>2021.0</v>
      </c>
      <c r="K4331" s="10">
        <v>46085.0</v>
      </c>
      <c r="L4331" s="6">
        <v>1.0</v>
      </c>
      <c r="M4331" s="8">
        <f t="shared" si="5"/>
        <v>0.1</v>
      </c>
      <c r="P4331" s="9"/>
    </row>
    <row r="4332">
      <c r="A4332" s="6" t="s">
        <v>9240</v>
      </c>
      <c r="B4332" s="6" t="s">
        <v>774</v>
      </c>
      <c r="C4332" s="6" t="s">
        <v>48</v>
      </c>
      <c r="D4332" s="6" t="s">
        <v>9241</v>
      </c>
      <c r="E4332" s="6" t="s">
        <v>9242</v>
      </c>
      <c r="F4332" s="6" t="s">
        <v>986</v>
      </c>
      <c r="G4332" s="7">
        <v>0.03</v>
      </c>
      <c r="H4332" s="6" t="s">
        <v>1084</v>
      </c>
      <c r="I4332" s="6" t="s">
        <v>20</v>
      </c>
      <c r="J4332" s="6">
        <v>2018.0</v>
      </c>
      <c r="K4332" s="10">
        <v>46147.0</v>
      </c>
      <c r="L4332" s="6">
        <v>1.0</v>
      </c>
      <c r="M4332" s="8">
        <f t="shared" si="5"/>
        <v>0.03</v>
      </c>
      <c r="P4332" s="9"/>
    </row>
    <row r="4333">
      <c r="A4333" s="6" t="s">
        <v>9243</v>
      </c>
      <c r="B4333" s="6" t="s">
        <v>62</v>
      </c>
      <c r="C4333" s="6" t="s">
        <v>23</v>
      </c>
      <c r="D4333" s="6" t="s">
        <v>9244</v>
      </c>
      <c r="E4333" s="6" t="s">
        <v>25</v>
      </c>
      <c r="F4333" s="6" t="s">
        <v>18</v>
      </c>
      <c r="G4333" s="7">
        <v>0.06</v>
      </c>
      <c r="H4333" s="6" t="s">
        <v>336</v>
      </c>
      <c r="I4333" s="6" t="s">
        <v>20</v>
      </c>
      <c r="J4333" s="6">
        <v>2016.0</v>
      </c>
      <c r="L4333" s="6">
        <v>2.0</v>
      </c>
      <c r="M4333" s="8">
        <f t="shared" si="5"/>
        <v>0.12</v>
      </c>
      <c r="P4333" s="9"/>
    </row>
    <row r="4334">
      <c r="A4334" s="6" t="s">
        <v>9245</v>
      </c>
      <c r="B4334" s="6" t="s">
        <v>796</v>
      </c>
      <c r="C4334" s="6" t="s">
        <v>34</v>
      </c>
      <c r="D4334" s="6" t="s">
        <v>9246</v>
      </c>
      <c r="E4334" s="6" t="s">
        <v>5129</v>
      </c>
      <c r="F4334" s="6" t="s">
        <v>51</v>
      </c>
      <c r="G4334" s="7">
        <v>0.06</v>
      </c>
      <c r="H4334" s="6" t="s">
        <v>180</v>
      </c>
      <c r="I4334" s="6" t="s">
        <v>20</v>
      </c>
      <c r="J4334" s="6">
        <v>2014.0</v>
      </c>
      <c r="L4334" s="6">
        <v>1.0</v>
      </c>
      <c r="M4334" s="8">
        <f t="shared" si="5"/>
        <v>0.06</v>
      </c>
      <c r="P4334" s="9"/>
    </row>
    <row r="4335">
      <c r="A4335" s="6" t="s">
        <v>9247</v>
      </c>
      <c r="B4335" s="6" t="s">
        <v>62</v>
      </c>
      <c r="C4335" s="6" t="s">
        <v>23</v>
      </c>
      <c r="D4335" s="6" t="s">
        <v>9248</v>
      </c>
      <c r="E4335" s="6" t="s">
        <v>533</v>
      </c>
      <c r="F4335" s="6" t="s">
        <v>65</v>
      </c>
      <c r="G4335" s="7">
        <v>0.04</v>
      </c>
      <c r="H4335" s="6" t="s">
        <v>129</v>
      </c>
      <c r="I4335" s="6" t="s">
        <v>20</v>
      </c>
      <c r="J4335" s="6">
        <v>2014.0</v>
      </c>
      <c r="L4335" s="6">
        <v>1.0</v>
      </c>
      <c r="M4335" s="8">
        <f t="shared" si="5"/>
        <v>0.04</v>
      </c>
      <c r="P4335" s="9"/>
    </row>
    <row r="4336">
      <c r="A4336" s="6" t="s">
        <v>9249</v>
      </c>
      <c r="B4336" s="6" t="s">
        <v>143</v>
      </c>
      <c r="C4336" s="6" t="s">
        <v>48</v>
      </c>
      <c r="D4336" s="6" t="s">
        <v>9250</v>
      </c>
      <c r="E4336" s="6" t="s">
        <v>36</v>
      </c>
      <c r="F4336" s="6" t="s">
        <v>37</v>
      </c>
      <c r="G4336" s="7">
        <v>12.99</v>
      </c>
      <c r="H4336" s="6" t="s">
        <v>9251</v>
      </c>
      <c r="I4336" s="6" t="s">
        <v>20</v>
      </c>
      <c r="J4336" s="6">
        <v>2013.0</v>
      </c>
      <c r="L4336" s="6">
        <v>2.0</v>
      </c>
      <c r="M4336" s="8">
        <f t="shared" si="5"/>
        <v>25.98</v>
      </c>
      <c r="N4336" s="6" t="s">
        <v>172</v>
      </c>
      <c r="P4336" s="9"/>
    </row>
    <row r="4337">
      <c r="A4337" s="6" t="s">
        <v>9252</v>
      </c>
      <c r="B4337" s="6" t="s">
        <v>9253</v>
      </c>
      <c r="C4337" s="6" t="s">
        <v>23</v>
      </c>
      <c r="D4337" s="6" t="s">
        <v>9254</v>
      </c>
      <c r="E4337" s="6" t="s">
        <v>50</v>
      </c>
      <c r="F4337" s="6" t="s">
        <v>51</v>
      </c>
      <c r="G4337" s="7">
        <v>0.05</v>
      </c>
      <c r="H4337" s="6" t="s">
        <v>324</v>
      </c>
      <c r="I4337" s="6" t="s">
        <v>20</v>
      </c>
      <c r="J4337" s="6">
        <v>2025.0</v>
      </c>
      <c r="K4337" s="10">
        <v>46084.0</v>
      </c>
      <c r="L4337" s="6">
        <v>1.0</v>
      </c>
      <c r="M4337" s="8">
        <f t="shared" si="5"/>
        <v>0.05</v>
      </c>
      <c r="P4337" s="9"/>
    </row>
    <row r="4338">
      <c r="A4338" s="6" t="s">
        <v>9255</v>
      </c>
      <c r="B4338" s="6" t="s">
        <v>182</v>
      </c>
      <c r="C4338" s="6" t="s">
        <v>23</v>
      </c>
      <c r="D4338" s="6" t="s">
        <v>9256</v>
      </c>
      <c r="E4338" s="6" t="s">
        <v>533</v>
      </c>
      <c r="F4338" s="6" t="s">
        <v>65</v>
      </c>
      <c r="G4338" s="7">
        <v>0.8</v>
      </c>
      <c r="H4338" s="6" t="s">
        <v>3853</v>
      </c>
      <c r="I4338" s="6" t="s">
        <v>20</v>
      </c>
      <c r="J4338" s="6">
        <v>2002.0</v>
      </c>
      <c r="L4338" s="6">
        <v>1.0</v>
      </c>
      <c r="M4338" s="8">
        <f t="shared" si="5"/>
        <v>0.8</v>
      </c>
      <c r="P4338" s="9"/>
    </row>
    <row r="4339">
      <c r="A4339" s="6" t="s">
        <v>9257</v>
      </c>
      <c r="B4339" s="6" t="s">
        <v>182</v>
      </c>
      <c r="C4339" s="6" t="s">
        <v>23</v>
      </c>
      <c r="D4339" s="6" t="s">
        <v>9258</v>
      </c>
      <c r="E4339" s="6" t="s">
        <v>79</v>
      </c>
      <c r="F4339" s="6" t="s">
        <v>51</v>
      </c>
      <c r="G4339" s="7">
        <v>0.04</v>
      </c>
      <c r="H4339" s="6" t="s">
        <v>1084</v>
      </c>
      <c r="I4339" s="6" t="s">
        <v>20</v>
      </c>
      <c r="J4339" s="6">
        <v>2018.0</v>
      </c>
      <c r="L4339" s="6">
        <v>1.0</v>
      </c>
      <c r="M4339" s="8">
        <f t="shared" si="5"/>
        <v>0.04</v>
      </c>
      <c r="P4339" s="9"/>
    </row>
    <row r="4340">
      <c r="A4340" s="6" t="s">
        <v>9259</v>
      </c>
      <c r="B4340" s="6" t="s">
        <v>1907</v>
      </c>
      <c r="C4340" s="6" t="s">
        <v>23</v>
      </c>
      <c r="D4340" s="6" t="s">
        <v>9260</v>
      </c>
      <c r="E4340" s="6" t="s">
        <v>223</v>
      </c>
      <c r="F4340" s="6" t="s">
        <v>159</v>
      </c>
      <c r="G4340" s="7">
        <v>0.06</v>
      </c>
      <c r="H4340" s="6" t="s">
        <v>294</v>
      </c>
      <c r="I4340" s="6" t="s">
        <v>20</v>
      </c>
      <c r="J4340" s="6">
        <v>2010.0</v>
      </c>
      <c r="K4340" s="10">
        <v>46023.0</v>
      </c>
      <c r="L4340" s="6">
        <v>4.0</v>
      </c>
      <c r="M4340" s="8">
        <f t="shared" si="5"/>
        <v>0.24</v>
      </c>
      <c r="P4340" s="9"/>
    </row>
    <row r="4341">
      <c r="A4341" s="6" t="s">
        <v>9261</v>
      </c>
      <c r="B4341" s="6" t="s">
        <v>291</v>
      </c>
      <c r="C4341" s="6" t="s">
        <v>41</v>
      </c>
      <c r="D4341" s="6" t="s">
        <v>9262</v>
      </c>
      <c r="E4341" s="6" t="s">
        <v>238</v>
      </c>
      <c r="F4341" s="6" t="s">
        <v>159</v>
      </c>
      <c r="G4341" s="7">
        <v>0.06</v>
      </c>
      <c r="H4341" s="6" t="s">
        <v>294</v>
      </c>
      <c r="I4341" s="6" t="s">
        <v>20</v>
      </c>
      <c r="J4341" s="6">
        <v>2002.0</v>
      </c>
      <c r="K4341" s="10">
        <v>46023.0</v>
      </c>
      <c r="L4341" s="6">
        <v>1.0</v>
      </c>
      <c r="M4341" s="8">
        <f t="shared" si="5"/>
        <v>0.06</v>
      </c>
      <c r="P4341" s="9"/>
    </row>
    <row r="4342">
      <c r="A4342" s="6" t="s">
        <v>9263</v>
      </c>
      <c r="B4342" s="6" t="s">
        <v>182</v>
      </c>
      <c r="C4342" s="6" t="s">
        <v>48</v>
      </c>
      <c r="D4342" s="6" t="s">
        <v>9264</v>
      </c>
      <c r="E4342" s="6" t="s">
        <v>223</v>
      </c>
      <c r="F4342" s="6" t="s">
        <v>159</v>
      </c>
      <c r="G4342" s="7">
        <v>0.37</v>
      </c>
      <c r="H4342" s="6" t="s">
        <v>621</v>
      </c>
      <c r="I4342" s="6" t="s">
        <v>20</v>
      </c>
      <c r="J4342" s="6">
        <v>2015.0</v>
      </c>
      <c r="L4342" s="6">
        <v>1.0</v>
      </c>
      <c r="M4342" s="8">
        <f t="shared" si="5"/>
        <v>0.37</v>
      </c>
      <c r="P4342" s="9"/>
    </row>
    <row r="4343">
      <c r="A4343" s="6" t="s">
        <v>9263</v>
      </c>
      <c r="B4343" s="6" t="s">
        <v>182</v>
      </c>
      <c r="C4343" s="6" t="s">
        <v>48</v>
      </c>
      <c r="D4343" s="6" t="s">
        <v>9265</v>
      </c>
      <c r="E4343" s="6" t="s">
        <v>223</v>
      </c>
      <c r="F4343" s="6" t="s">
        <v>159</v>
      </c>
      <c r="G4343" s="7">
        <v>0.34</v>
      </c>
      <c r="H4343" s="6" t="s">
        <v>621</v>
      </c>
      <c r="I4343" s="6" t="s">
        <v>20</v>
      </c>
      <c r="J4343" s="6">
        <v>2015.0</v>
      </c>
      <c r="L4343" s="6">
        <v>2.0</v>
      </c>
      <c r="M4343" s="8">
        <f t="shared" si="5"/>
        <v>0.68</v>
      </c>
      <c r="P4343" s="9"/>
    </row>
    <row r="4344">
      <c r="A4344" s="6" t="s">
        <v>9266</v>
      </c>
      <c r="B4344" s="6" t="s">
        <v>9267</v>
      </c>
      <c r="C4344" s="6" t="s">
        <v>23</v>
      </c>
      <c r="D4344" s="6" t="s">
        <v>9268</v>
      </c>
      <c r="E4344" s="6" t="s">
        <v>243</v>
      </c>
      <c r="F4344" s="6" t="s">
        <v>37</v>
      </c>
      <c r="G4344" s="7">
        <v>0.06</v>
      </c>
      <c r="H4344" s="6" t="s">
        <v>146</v>
      </c>
      <c r="I4344" s="6" t="s">
        <v>20</v>
      </c>
      <c r="J4344" s="6">
        <v>2010.0</v>
      </c>
      <c r="K4344" s="10">
        <v>46082.0</v>
      </c>
      <c r="L4344" s="6">
        <v>1.0</v>
      </c>
      <c r="M4344" s="8">
        <f t="shared" si="5"/>
        <v>0.06</v>
      </c>
      <c r="P4344" s="9"/>
    </row>
    <row r="4345">
      <c r="A4345" s="6" t="s">
        <v>9269</v>
      </c>
      <c r="B4345" s="6" t="s">
        <v>9270</v>
      </c>
      <c r="C4345" s="6" t="s">
        <v>23</v>
      </c>
      <c r="D4345" s="6" t="s">
        <v>9271</v>
      </c>
      <c r="E4345" s="6" t="s">
        <v>1570</v>
      </c>
      <c r="F4345" s="6" t="s">
        <v>159</v>
      </c>
      <c r="G4345" s="7">
        <v>0.1</v>
      </c>
      <c r="H4345" s="6" t="s">
        <v>663</v>
      </c>
      <c r="I4345" s="6" t="s">
        <v>20</v>
      </c>
      <c r="J4345" s="6">
        <v>2023.0</v>
      </c>
      <c r="K4345" s="10">
        <v>46116.0</v>
      </c>
      <c r="L4345" s="6">
        <v>7.0</v>
      </c>
      <c r="M4345" s="8">
        <f t="shared" si="5"/>
        <v>0.7</v>
      </c>
      <c r="P4345" s="9"/>
    </row>
    <row r="4346">
      <c r="A4346" s="6" t="s">
        <v>9272</v>
      </c>
      <c r="B4346" s="6" t="s">
        <v>62</v>
      </c>
      <c r="C4346" s="6" t="s">
        <v>23</v>
      </c>
      <c r="D4346" s="6" t="s">
        <v>9273</v>
      </c>
      <c r="E4346" s="6" t="s">
        <v>2132</v>
      </c>
      <c r="F4346" s="6" t="s">
        <v>18</v>
      </c>
      <c r="G4346" s="7">
        <v>0.05</v>
      </c>
      <c r="H4346" s="6" t="s">
        <v>200</v>
      </c>
      <c r="I4346" s="6" t="s">
        <v>20</v>
      </c>
      <c r="J4346" s="6">
        <v>2018.0</v>
      </c>
      <c r="L4346" s="6">
        <v>1.0</v>
      </c>
      <c r="M4346" s="8">
        <f t="shared" si="5"/>
        <v>0.05</v>
      </c>
      <c r="P4346" s="9"/>
    </row>
    <row r="4347">
      <c r="A4347" s="6" t="s">
        <v>9274</v>
      </c>
      <c r="B4347" s="6" t="s">
        <v>796</v>
      </c>
      <c r="C4347" s="6" t="s">
        <v>34</v>
      </c>
      <c r="D4347" s="6" t="s">
        <v>9275</v>
      </c>
      <c r="E4347" s="6" t="s">
        <v>2132</v>
      </c>
      <c r="F4347" s="6" t="s">
        <v>18</v>
      </c>
      <c r="G4347" s="7">
        <v>0.05</v>
      </c>
      <c r="H4347" s="6" t="s">
        <v>209</v>
      </c>
      <c r="I4347" s="6" t="s">
        <v>20</v>
      </c>
      <c r="J4347" s="6">
        <v>2025.0</v>
      </c>
      <c r="L4347" s="6">
        <v>6.0</v>
      </c>
      <c r="M4347" s="8">
        <f t="shared" si="5"/>
        <v>0.3</v>
      </c>
      <c r="P4347" s="9"/>
    </row>
    <row r="4348">
      <c r="A4348" s="6" t="s">
        <v>9276</v>
      </c>
      <c r="B4348" s="6" t="s">
        <v>127</v>
      </c>
      <c r="C4348" s="6" t="s">
        <v>48</v>
      </c>
      <c r="D4348" s="6" t="s">
        <v>9277</v>
      </c>
      <c r="E4348" s="6" t="s">
        <v>1844</v>
      </c>
      <c r="F4348" s="6" t="s">
        <v>98</v>
      </c>
      <c r="G4348" s="7">
        <v>0.03</v>
      </c>
      <c r="H4348" s="6" t="s">
        <v>185</v>
      </c>
      <c r="I4348" s="6" t="s">
        <v>20</v>
      </c>
      <c r="J4348" s="6">
        <v>2019.0</v>
      </c>
      <c r="K4348" s="10">
        <v>46055.0</v>
      </c>
      <c r="L4348" s="6">
        <v>2.0</v>
      </c>
      <c r="M4348" s="8">
        <f t="shared" si="5"/>
        <v>0.06</v>
      </c>
      <c r="P4348" s="9"/>
    </row>
    <row r="4349">
      <c r="A4349" s="6" t="s">
        <v>9276</v>
      </c>
      <c r="B4349" s="6" t="s">
        <v>127</v>
      </c>
      <c r="C4349" s="6" t="s">
        <v>48</v>
      </c>
      <c r="D4349" s="6" t="s">
        <v>9277</v>
      </c>
      <c r="E4349" s="6" t="s">
        <v>1844</v>
      </c>
      <c r="F4349" s="6" t="s">
        <v>98</v>
      </c>
      <c r="G4349" s="7">
        <v>0.03</v>
      </c>
      <c r="H4349" s="6" t="s">
        <v>185</v>
      </c>
      <c r="I4349" s="6" t="s">
        <v>20</v>
      </c>
      <c r="J4349" s="6">
        <v>2019.0</v>
      </c>
      <c r="K4349" s="10">
        <v>46055.0</v>
      </c>
      <c r="L4349" s="6">
        <v>2.0</v>
      </c>
      <c r="M4349" s="8">
        <f t="shared" si="5"/>
        <v>0.06</v>
      </c>
      <c r="P4349" s="9"/>
    </row>
    <row r="4350">
      <c r="A4350" s="6" t="s">
        <v>9278</v>
      </c>
      <c r="B4350" s="6" t="s">
        <v>628</v>
      </c>
      <c r="C4350" s="6" t="s">
        <v>23</v>
      </c>
      <c r="D4350" s="6" t="s">
        <v>9279</v>
      </c>
      <c r="E4350" s="6" t="s">
        <v>50</v>
      </c>
      <c r="F4350" s="6" t="s">
        <v>51</v>
      </c>
      <c r="G4350" s="7">
        <v>0.03</v>
      </c>
      <c r="H4350" s="6" t="s">
        <v>185</v>
      </c>
      <c r="I4350" s="6" t="s">
        <v>20</v>
      </c>
      <c r="J4350" s="6">
        <v>2019.0</v>
      </c>
      <c r="K4350" s="10">
        <v>46083.0</v>
      </c>
      <c r="L4350" s="6">
        <v>1.0</v>
      </c>
      <c r="M4350" s="8">
        <f t="shared" si="5"/>
        <v>0.03</v>
      </c>
      <c r="P4350" s="9"/>
    </row>
    <row r="4351">
      <c r="A4351" s="6" t="s">
        <v>9280</v>
      </c>
      <c r="B4351" s="6" t="s">
        <v>182</v>
      </c>
      <c r="C4351" s="6" t="s">
        <v>23</v>
      </c>
      <c r="D4351" s="6" t="s">
        <v>9281</v>
      </c>
      <c r="E4351" s="6" t="s">
        <v>235</v>
      </c>
      <c r="F4351" s="6" t="s">
        <v>103</v>
      </c>
      <c r="G4351" s="7">
        <v>0.15</v>
      </c>
      <c r="H4351" s="6" t="s">
        <v>411</v>
      </c>
      <c r="I4351" s="6" t="s">
        <v>20</v>
      </c>
      <c r="J4351" s="6">
        <v>2014.0</v>
      </c>
      <c r="L4351" s="6">
        <v>1.0</v>
      </c>
      <c r="M4351" s="8">
        <f t="shared" si="5"/>
        <v>0.15</v>
      </c>
      <c r="P4351" s="9"/>
    </row>
    <row r="4352">
      <c r="A4352" s="6" t="s">
        <v>9282</v>
      </c>
      <c r="B4352" s="6" t="s">
        <v>800</v>
      </c>
      <c r="C4352" s="6" t="s">
        <v>48</v>
      </c>
      <c r="D4352" s="6" t="s">
        <v>9283</v>
      </c>
      <c r="E4352" s="6" t="s">
        <v>1771</v>
      </c>
      <c r="F4352" s="6" t="s">
        <v>51</v>
      </c>
      <c r="G4352" s="7">
        <v>0.12</v>
      </c>
      <c r="H4352" s="6" t="s">
        <v>141</v>
      </c>
      <c r="I4352" s="6" t="s">
        <v>20</v>
      </c>
      <c r="J4352" s="6">
        <v>2019.0</v>
      </c>
      <c r="K4352" s="10">
        <v>46116.0</v>
      </c>
      <c r="L4352" s="6">
        <v>1.0</v>
      </c>
      <c r="M4352" s="8">
        <f t="shared" si="5"/>
        <v>0.12</v>
      </c>
      <c r="P4352" s="9"/>
    </row>
    <row r="4353">
      <c r="A4353" s="6" t="s">
        <v>9284</v>
      </c>
      <c r="B4353" s="6" t="s">
        <v>800</v>
      </c>
      <c r="C4353" s="6" t="s">
        <v>48</v>
      </c>
      <c r="D4353" s="6" t="s">
        <v>9285</v>
      </c>
      <c r="E4353" s="6" t="s">
        <v>4780</v>
      </c>
      <c r="F4353" s="6" t="s">
        <v>874</v>
      </c>
      <c r="G4353" s="7">
        <v>0.1</v>
      </c>
      <c r="H4353" s="6" t="s">
        <v>1194</v>
      </c>
      <c r="I4353" s="6" t="s">
        <v>20</v>
      </c>
      <c r="J4353" s="6">
        <v>2023.0</v>
      </c>
      <c r="K4353" s="10">
        <v>46116.0</v>
      </c>
      <c r="L4353" s="6">
        <v>1.0</v>
      </c>
      <c r="M4353" s="8">
        <f t="shared" si="5"/>
        <v>0.1</v>
      </c>
      <c r="P4353" s="9"/>
    </row>
    <row r="4354">
      <c r="A4354" s="6" t="s">
        <v>9286</v>
      </c>
      <c r="B4354" s="6" t="s">
        <v>800</v>
      </c>
      <c r="C4354" s="6" t="s">
        <v>48</v>
      </c>
      <c r="D4354" s="6" t="s">
        <v>9287</v>
      </c>
      <c r="E4354" s="6" t="s">
        <v>1098</v>
      </c>
      <c r="F4354" s="6" t="s">
        <v>159</v>
      </c>
      <c r="G4354" s="7">
        <v>0.09</v>
      </c>
      <c r="H4354" s="6" t="s">
        <v>141</v>
      </c>
      <c r="I4354" s="6" t="s">
        <v>20</v>
      </c>
      <c r="J4354" s="6">
        <v>2019.0</v>
      </c>
      <c r="K4354" s="10">
        <v>46055.0</v>
      </c>
      <c r="L4354" s="6">
        <v>1.0</v>
      </c>
      <c r="M4354" s="8">
        <f t="shared" si="5"/>
        <v>0.09</v>
      </c>
      <c r="P4354" s="9"/>
    </row>
    <row r="4355">
      <c r="A4355" s="6" t="s">
        <v>9288</v>
      </c>
      <c r="B4355" s="6" t="s">
        <v>9289</v>
      </c>
      <c r="C4355" s="6" t="s">
        <v>48</v>
      </c>
      <c r="D4355" s="6" t="s">
        <v>9290</v>
      </c>
      <c r="E4355" s="6" t="s">
        <v>235</v>
      </c>
      <c r="F4355" s="6" t="s">
        <v>103</v>
      </c>
      <c r="G4355" s="7">
        <v>0.39</v>
      </c>
      <c r="H4355" s="6" t="s">
        <v>163</v>
      </c>
      <c r="I4355" s="6" t="s">
        <v>20</v>
      </c>
      <c r="J4355" s="6">
        <v>2023.0</v>
      </c>
      <c r="K4355" s="10">
        <v>46055.0</v>
      </c>
      <c r="L4355" s="6">
        <v>2.0</v>
      </c>
      <c r="M4355" s="8">
        <f t="shared" si="5"/>
        <v>0.78</v>
      </c>
      <c r="P4355" s="9"/>
    </row>
    <row r="4356">
      <c r="A4356" s="6" t="s">
        <v>9291</v>
      </c>
      <c r="B4356" s="6" t="s">
        <v>4904</v>
      </c>
      <c r="C4356" s="6" t="s">
        <v>23</v>
      </c>
      <c r="D4356" s="6" t="s">
        <v>9292</v>
      </c>
      <c r="E4356" s="6" t="s">
        <v>149</v>
      </c>
      <c r="F4356" s="6" t="s">
        <v>18</v>
      </c>
      <c r="G4356" s="7">
        <v>0.03</v>
      </c>
      <c r="H4356" s="6" t="s">
        <v>562</v>
      </c>
      <c r="I4356" s="6" t="s">
        <v>20</v>
      </c>
      <c r="J4356" s="6">
        <v>2017.0</v>
      </c>
      <c r="K4356" s="10">
        <v>46024.0</v>
      </c>
      <c r="L4356" s="6">
        <v>2.0</v>
      </c>
      <c r="M4356" s="8">
        <f t="shared" si="5"/>
        <v>0.06</v>
      </c>
      <c r="P4356" s="9"/>
    </row>
    <row r="4357">
      <c r="A4357" s="6" t="s">
        <v>9293</v>
      </c>
      <c r="B4357" s="6" t="s">
        <v>182</v>
      </c>
      <c r="C4357" s="6" t="s">
        <v>23</v>
      </c>
      <c r="D4357" s="6" t="s">
        <v>9294</v>
      </c>
      <c r="E4357" s="6" t="s">
        <v>30</v>
      </c>
      <c r="F4357" s="6" t="s">
        <v>18</v>
      </c>
      <c r="G4357" s="7">
        <v>0.06</v>
      </c>
      <c r="H4357" s="6" t="s">
        <v>559</v>
      </c>
      <c r="I4357" s="6" t="s">
        <v>20</v>
      </c>
      <c r="J4357" s="6">
        <v>2015.0</v>
      </c>
      <c r="L4357" s="6">
        <v>3.0</v>
      </c>
      <c r="M4357" s="8">
        <f t="shared" si="5"/>
        <v>0.18</v>
      </c>
      <c r="P4357" s="9"/>
    </row>
    <row r="4358">
      <c r="A4358" s="6" t="s">
        <v>9295</v>
      </c>
      <c r="B4358" s="6" t="s">
        <v>194</v>
      </c>
      <c r="C4358" s="6" t="s">
        <v>48</v>
      </c>
      <c r="D4358" s="6" t="s">
        <v>9296</v>
      </c>
      <c r="E4358" s="6" t="s">
        <v>1860</v>
      </c>
      <c r="F4358" s="6" t="s">
        <v>215</v>
      </c>
      <c r="G4358" s="7">
        <v>0.16</v>
      </c>
      <c r="H4358" s="6" t="s">
        <v>192</v>
      </c>
      <c r="I4358" s="6" t="s">
        <v>20</v>
      </c>
      <c r="J4358" s="6">
        <v>2026.0</v>
      </c>
      <c r="L4358" s="6">
        <v>1.0</v>
      </c>
      <c r="M4358" s="8">
        <f t="shared" si="5"/>
        <v>0.16</v>
      </c>
      <c r="P4358" s="9"/>
    </row>
    <row r="4359">
      <c r="A4359" s="6" t="s">
        <v>9297</v>
      </c>
      <c r="B4359" s="6" t="s">
        <v>182</v>
      </c>
      <c r="C4359" s="6" t="s">
        <v>23</v>
      </c>
      <c r="D4359" s="6" t="s">
        <v>9298</v>
      </c>
      <c r="E4359" s="6" t="s">
        <v>238</v>
      </c>
      <c r="F4359" s="6" t="s">
        <v>159</v>
      </c>
      <c r="G4359" s="7">
        <v>0.03</v>
      </c>
      <c r="H4359" s="6" t="s">
        <v>316</v>
      </c>
      <c r="I4359" s="6" t="s">
        <v>20</v>
      </c>
      <c r="J4359" s="6">
        <v>2016.0</v>
      </c>
      <c r="L4359" s="6">
        <v>4.0</v>
      </c>
      <c r="M4359" s="8">
        <f t="shared" si="5"/>
        <v>0.12</v>
      </c>
      <c r="P4359" s="9"/>
    </row>
    <row r="4360">
      <c r="A4360" s="6" t="s">
        <v>9299</v>
      </c>
      <c r="B4360" s="6" t="s">
        <v>62</v>
      </c>
      <c r="C4360" s="6" t="s">
        <v>23</v>
      </c>
      <c r="D4360" s="6" t="s">
        <v>9300</v>
      </c>
      <c r="E4360" s="6" t="s">
        <v>175</v>
      </c>
      <c r="F4360" s="6" t="s">
        <v>51</v>
      </c>
      <c r="G4360" s="7">
        <v>0.04</v>
      </c>
      <c r="H4360" s="6" t="s">
        <v>1084</v>
      </c>
      <c r="I4360" s="6" t="s">
        <v>20</v>
      </c>
      <c r="J4360" s="6">
        <v>2018.0</v>
      </c>
      <c r="L4360" s="6">
        <v>1.0</v>
      </c>
      <c r="M4360" s="8">
        <f t="shared" si="5"/>
        <v>0.04</v>
      </c>
      <c r="P4360" s="9"/>
    </row>
    <row r="4361">
      <c r="A4361" s="6" t="s">
        <v>9301</v>
      </c>
      <c r="B4361" s="6" t="s">
        <v>9302</v>
      </c>
      <c r="C4361" s="6" t="s">
        <v>23</v>
      </c>
      <c r="D4361" s="6" t="s">
        <v>1274</v>
      </c>
      <c r="E4361" s="6" t="s">
        <v>30</v>
      </c>
      <c r="F4361" s="6" t="s">
        <v>18</v>
      </c>
      <c r="G4361" s="7">
        <v>0.06</v>
      </c>
      <c r="H4361" s="6" t="s">
        <v>2033</v>
      </c>
      <c r="I4361" s="6" t="s">
        <v>20</v>
      </c>
      <c r="J4361" s="6">
        <v>1998.0</v>
      </c>
      <c r="K4361" s="10">
        <v>46056.0</v>
      </c>
      <c r="L4361" s="6">
        <v>1.0</v>
      </c>
      <c r="M4361" s="8">
        <f t="shared" si="5"/>
        <v>0.06</v>
      </c>
      <c r="P4361" s="9"/>
    </row>
    <row r="4362">
      <c r="A4362" s="6" t="s">
        <v>9303</v>
      </c>
      <c r="B4362" s="6" t="s">
        <v>9304</v>
      </c>
      <c r="C4362" s="6" t="s">
        <v>34</v>
      </c>
      <c r="D4362" s="6" t="s">
        <v>9305</v>
      </c>
      <c r="E4362" s="6" t="s">
        <v>3558</v>
      </c>
      <c r="F4362" s="6" t="s">
        <v>18</v>
      </c>
      <c r="G4362" s="7">
        <v>0.26</v>
      </c>
      <c r="H4362" s="6" t="s">
        <v>483</v>
      </c>
      <c r="I4362" s="6" t="s">
        <v>20</v>
      </c>
      <c r="J4362" s="6">
        <v>2014.0</v>
      </c>
      <c r="K4362" s="10">
        <v>46023.0</v>
      </c>
      <c r="L4362" s="6">
        <v>6.0</v>
      </c>
      <c r="M4362" s="8">
        <f t="shared" si="5"/>
        <v>1.56</v>
      </c>
      <c r="P4362" s="9"/>
    </row>
    <row r="4363">
      <c r="A4363" s="6" t="s">
        <v>9306</v>
      </c>
      <c r="B4363" s="6" t="s">
        <v>8773</v>
      </c>
      <c r="C4363" s="6" t="s">
        <v>48</v>
      </c>
      <c r="D4363" s="6" t="s">
        <v>9307</v>
      </c>
      <c r="E4363" s="6" t="s">
        <v>1771</v>
      </c>
      <c r="F4363" s="6" t="s">
        <v>51</v>
      </c>
      <c r="G4363" s="7">
        <v>0.22</v>
      </c>
      <c r="H4363" s="6" t="s">
        <v>19</v>
      </c>
      <c r="I4363" s="6" t="s">
        <v>20</v>
      </c>
      <c r="J4363" s="6">
        <v>2023.0</v>
      </c>
      <c r="L4363" s="6">
        <v>1.0</v>
      </c>
      <c r="M4363" s="8">
        <f t="shared" si="5"/>
        <v>0.22</v>
      </c>
      <c r="P4363" s="9"/>
    </row>
    <row r="4364">
      <c r="A4364" s="6" t="s">
        <v>9308</v>
      </c>
      <c r="B4364" s="6" t="s">
        <v>182</v>
      </c>
      <c r="C4364" s="6" t="s">
        <v>41</v>
      </c>
      <c r="D4364" s="6" t="s">
        <v>9309</v>
      </c>
      <c r="E4364" s="6" t="s">
        <v>700</v>
      </c>
      <c r="F4364" s="6" t="s">
        <v>18</v>
      </c>
      <c r="G4364" s="7">
        <v>0.69</v>
      </c>
      <c r="H4364" s="6" t="s">
        <v>184</v>
      </c>
      <c r="I4364" s="6" t="s">
        <v>20</v>
      </c>
      <c r="J4364" s="6">
        <v>2015.0</v>
      </c>
      <c r="L4364" s="6">
        <v>1.0</v>
      </c>
      <c r="M4364" s="8">
        <f t="shared" si="5"/>
        <v>0.69</v>
      </c>
      <c r="N4364" s="6" t="s">
        <v>172</v>
      </c>
      <c r="P4364" s="9"/>
    </row>
    <row r="4365">
      <c r="A4365" s="6" t="s">
        <v>9310</v>
      </c>
      <c r="B4365" s="6" t="s">
        <v>9311</v>
      </c>
      <c r="C4365" s="6" t="s">
        <v>23</v>
      </c>
      <c r="D4365" s="6" t="s">
        <v>9312</v>
      </c>
      <c r="E4365" s="6" t="s">
        <v>602</v>
      </c>
      <c r="F4365" s="6" t="s">
        <v>159</v>
      </c>
      <c r="G4365" s="7">
        <v>0.06</v>
      </c>
      <c r="H4365" s="6" t="s">
        <v>418</v>
      </c>
      <c r="I4365" s="6" t="s">
        <v>20</v>
      </c>
      <c r="J4365" s="6">
        <v>2022.0</v>
      </c>
      <c r="K4365" s="10">
        <v>46147.0</v>
      </c>
      <c r="L4365" s="6">
        <v>1.0</v>
      </c>
      <c r="M4365" s="8">
        <f t="shared" si="5"/>
        <v>0.06</v>
      </c>
      <c r="P4365" s="9"/>
    </row>
    <row r="4366">
      <c r="A4366" s="6" t="s">
        <v>9313</v>
      </c>
      <c r="B4366" s="6" t="s">
        <v>413</v>
      </c>
      <c r="C4366" s="6" t="s">
        <v>287</v>
      </c>
      <c r="D4366" s="6" t="s">
        <v>9314</v>
      </c>
      <c r="E4366" s="6" t="s">
        <v>4941</v>
      </c>
      <c r="F4366" s="6" t="s">
        <v>103</v>
      </c>
      <c r="G4366" s="7">
        <v>0.4</v>
      </c>
      <c r="H4366" s="6" t="s">
        <v>346</v>
      </c>
      <c r="I4366" s="6" t="s">
        <v>20</v>
      </c>
      <c r="J4366" s="6">
        <v>2024.0</v>
      </c>
      <c r="L4366" s="6">
        <v>1.0</v>
      </c>
      <c r="M4366" s="8">
        <f t="shared" si="5"/>
        <v>0.4</v>
      </c>
      <c r="P4366" s="9"/>
    </row>
    <row r="4367">
      <c r="A4367" s="6" t="s">
        <v>9315</v>
      </c>
      <c r="B4367" s="6" t="s">
        <v>372</v>
      </c>
      <c r="C4367" s="6" t="s">
        <v>23</v>
      </c>
      <c r="D4367" s="6" t="s">
        <v>9316</v>
      </c>
      <c r="E4367" s="6" t="s">
        <v>298</v>
      </c>
      <c r="F4367" s="6" t="s">
        <v>159</v>
      </c>
      <c r="G4367" s="7">
        <v>0.05</v>
      </c>
      <c r="H4367" s="6" t="s">
        <v>141</v>
      </c>
      <c r="I4367" s="6" t="s">
        <v>20</v>
      </c>
      <c r="J4367" s="6">
        <v>2019.0</v>
      </c>
      <c r="L4367" s="6">
        <v>4.0</v>
      </c>
      <c r="M4367" s="8">
        <f t="shared" si="5"/>
        <v>0.2</v>
      </c>
      <c r="P4367" s="9"/>
    </row>
    <row r="4368">
      <c r="A4368" s="6" t="s">
        <v>9317</v>
      </c>
      <c r="B4368" s="6" t="s">
        <v>9318</v>
      </c>
      <c r="C4368" s="6" t="s">
        <v>41</v>
      </c>
      <c r="D4368" s="6" t="s">
        <v>9319</v>
      </c>
      <c r="E4368" s="6" t="s">
        <v>50</v>
      </c>
      <c r="F4368" s="6" t="s">
        <v>51</v>
      </c>
      <c r="G4368" s="7">
        <v>0.85</v>
      </c>
      <c r="H4368" s="6" t="s">
        <v>340</v>
      </c>
      <c r="I4368" s="6" t="s">
        <v>20</v>
      </c>
      <c r="J4368" s="6">
        <v>2010.0</v>
      </c>
      <c r="K4368" s="10">
        <v>46083.0</v>
      </c>
      <c r="L4368" s="6">
        <v>3.0</v>
      </c>
      <c r="M4368" s="8">
        <f t="shared" si="5"/>
        <v>2.55</v>
      </c>
      <c r="P4368" s="9"/>
    </row>
    <row r="4369">
      <c r="A4369" s="6" t="s">
        <v>9320</v>
      </c>
      <c r="B4369" s="6" t="s">
        <v>301</v>
      </c>
      <c r="C4369" s="6" t="s">
        <v>9321</v>
      </c>
      <c r="D4369" s="6" t="s">
        <v>9322</v>
      </c>
      <c r="E4369" s="6" t="s">
        <v>303</v>
      </c>
      <c r="F4369" s="6" t="s">
        <v>37</v>
      </c>
      <c r="G4369" s="7">
        <v>1.5</v>
      </c>
      <c r="H4369" s="6" t="s">
        <v>9323</v>
      </c>
      <c r="I4369" s="6" t="s">
        <v>20</v>
      </c>
      <c r="J4369" s="6">
        <v>2024.0</v>
      </c>
      <c r="L4369" s="6">
        <v>4.0</v>
      </c>
      <c r="M4369" s="8">
        <f t="shared" si="5"/>
        <v>6</v>
      </c>
      <c r="P4369" s="9"/>
    </row>
    <row r="4370">
      <c r="A4370" s="6" t="s">
        <v>9324</v>
      </c>
      <c r="B4370" s="6" t="s">
        <v>9325</v>
      </c>
      <c r="C4370" s="6" t="s">
        <v>48</v>
      </c>
      <c r="D4370" s="6" t="s">
        <v>9326</v>
      </c>
      <c r="E4370" s="6" t="s">
        <v>25</v>
      </c>
      <c r="F4370" s="6" t="s">
        <v>18</v>
      </c>
      <c r="G4370" s="7">
        <v>0.04</v>
      </c>
      <c r="H4370" s="6" t="s">
        <v>1050</v>
      </c>
      <c r="I4370" s="6" t="s">
        <v>20</v>
      </c>
      <c r="J4370" s="6">
        <v>2023.0</v>
      </c>
      <c r="L4370" s="6">
        <v>1.0</v>
      </c>
      <c r="M4370" s="8">
        <f t="shared" si="5"/>
        <v>0.04</v>
      </c>
      <c r="P4370" s="9"/>
    </row>
    <row r="4371">
      <c r="A4371" s="6" t="s">
        <v>9327</v>
      </c>
      <c r="B4371" s="6" t="s">
        <v>1808</v>
      </c>
      <c r="C4371" s="6" t="s">
        <v>23</v>
      </c>
      <c r="D4371" s="6" t="s">
        <v>1976</v>
      </c>
      <c r="E4371" s="6" t="s">
        <v>937</v>
      </c>
      <c r="F4371" s="6" t="s">
        <v>159</v>
      </c>
      <c r="G4371" s="7">
        <v>0.03</v>
      </c>
      <c r="H4371" s="6" t="s">
        <v>1293</v>
      </c>
      <c r="I4371" s="6" t="s">
        <v>20</v>
      </c>
      <c r="J4371" s="6">
        <v>2011.0</v>
      </c>
      <c r="K4371" s="10">
        <v>46115.0</v>
      </c>
      <c r="L4371" s="6">
        <v>1.0</v>
      </c>
      <c r="M4371" s="8">
        <f t="shared" si="5"/>
        <v>0.03</v>
      </c>
      <c r="P4371" s="9"/>
    </row>
    <row r="4372">
      <c r="A4372" s="6" t="s">
        <v>9328</v>
      </c>
      <c r="B4372" s="6" t="s">
        <v>9329</v>
      </c>
      <c r="C4372" s="6" t="s">
        <v>48</v>
      </c>
      <c r="D4372" s="6" t="s">
        <v>9330</v>
      </c>
      <c r="E4372" s="6" t="s">
        <v>3595</v>
      </c>
      <c r="F4372" s="6" t="s">
        <v>826</v>
      </c>
      <c r="G4372" s="7">
        <v>0.48</v>
      </c>
      <c r="H4372" s="6" t="s">
        <v>1269</v>
      </c>
      <c r="I4372" s="6" t="s">
        <v>20</v>
      </c>
      <c r="J4372" s="6">
        <v>2025.0</v>
      </c>
      <c r="K4372" s="10">
        <v>46114.0</v>
      </c>
      <c r="L4372" s="6">
        <v>1.0</v>
      </c>
      <c r="M4372" s="8">
        <f t="shared" si="5"/>
        <v>0.48</v>
      </c>
      <c r="P4372" s="9"/>
    </row>
    <row r="4373">
      <c r="A4373" s="6" t="s">
        <v>9331</v>
      </c>
      <c r="B4373" s="6" t="s">
        <v>9332</v>
      </c>
      <c r="C4373" s="6" t="s">
        <v>23</v>
      </c>
      <c r="D4373" s="6" t="s">
        <v>9333</v>
      </c>
      <c r="E4373" s="6" t="s">
        <v>79</v>
      </c>
      <c r="F4373" s="6" t="s">
        <v>51</v>
      </c>
      <c r="G4373" s="7">
        <v>0.23</v>
      </c>
      <c r="H4373" s="6" t="s">
        <v>581</v>
      </c>
      <c r="I4373" s="6" t="s">
        <v>20</v>
      </c>
      <c r="J4373" s="6">
        <v>2022.0</v>
      </c>
      <c r="K4373" s="10">
        <v>46082.0</v>
      </c>
      <c r="L4373" s="6">
        <v>1.0</v>
      </c>
      <c r="M4373" s="8">
        <f t="shared" si="5"/>
        <v>0.23</v>
      </c>
      <c r="P4373" s="9"/>
    </row>
    <row r="4374">
      <c r="A4374" s="6" t="s">
        <v>9334</v>
      </c>
      <c r="B4374" s="6" t="s">
        <v>9335</v>
      </c>
      <c r="C4374" s="6" t="s">
        <v>23</v>
      </c>
      <c r="D4374" s="6" t="s">
        <v>9336</v>
      </c>
      <c r="E4374" s="6" t="s">
        <v>4150</v>
      </c>
      <c r="F4374" s="6" t="s">
        <v>826</v>
      </c>
      <c r="G4374" s="7">
        <v>0.06</v>
      </c>
      <c r="H4374" s="6" t="s">
        <v>1361</v>
      </c>
      <c r="I4374" s="6" t="s">
        <v>20</v>
      </c>
      <c r="J4374" s="6">
        <v>2008.0</v>
      </c>
      <c r="K4374" s="10">
        <v>46083.0</v>
      </c>
      <c r="L4374" s="6">
        <v>2.0</v>
      </c>
      <c r="M4374" s="8">
        <f t="shared" si="5"/>
        <v>0.12</v>
      </c>
      <c r="P4374" s="9"/>
    </row>
    <row r="4375">
      <c r="A4375" s="6" t="s">
        <v>9337</v>
      </c>
      <c r="B4375" s="6" t="s">
        <v>1032</v>
      </c>
      <c r="C4375" s="6" t="s">
        <v>48</v>
      </c>
      <c r="D4375" s="6" t="s">
        <v>9338</v>
      </c>
      <c r="E4375" s="6" t="s">
        <v>102</v>
      </c>
      <c r="F4375" s="6" t="s">
        <v>103</v>
      </c>
      <c r="G4375" s="7">
        <v>0.04</v>
      </c>
      <c r="H4375" s="6" t="s">
        <v>271</v>
      </c>
      <c r="I4375" s="6" t="s">
        <v>20</v>
      </c>
      <c r="J4375" s="6">
        <v>2012.0</v>
      </c>
      <c r="K4375" s="10">
        <v>46055.0</v>
      </c>
      <c r="L4375" s="6">
        <v>1.0</v>
      </c>
      <c r="M4375" s="8">
        <f t="shared" si="5"/>
        <v>0.04</v>
      </c>
      <c r="P4375" s="9"/>
    </row>
    <row r="4376">
      <c r="A4376" s="6" t="s">
        <v>9339</v>
      </c>
      <c r="B4376" s="6" t="s">
        <v>250</v>
      </c>
      <c r="C4376" s="6" t="s">
        <v>48</v>
      </c>
      <c r="D4376" s="6" t="s">
        <v>9340</v>
      </c>
      <c r="E4376" s="6" t="s">
        <v>625</v>
      </c>
      <c r="F4376" s="6" t="s">
        <v>37</v>
      </c>
      <c r="G4376" s="7">
        <v>0.15</v>
      </c>
      <c r="H4376" s="6" t="s">
        <v>119</v>
      </c>
      <c r="I4376" s="6" t="s">
        <v>20</v>
      </c>
      <c r="J4376" s="6">
        <v>1995.0</v>
      </c>
      <c r="L4376" s="6">
        <v>1.0</v>
      </c>
      <c r="M4376" s="8">
        <f t="shared" si="5"/>
        <v>0.15</v>
      </c>
      <c r="P4376" s="9"/>
    </row>
    <row r="4377">
      <c r="A4377" s="6" t="s">
        <v>9339</v>
      </c>
      <c r="B4377" s="6" t="s">
        <v>250</v>
      </c>
      <c r="C4377" s="6" t="s">
        <v>48</v>
      </c>
      <c r="D4377" s="6" t="s">
        <v>9340</v>
      </c>
      <c r="E4377" s="6" t="s">
        <v>625</v>
      </c>
      <c r="F4377" s="6" t="s">
        <v>37</v>
      </c>
      <c r="G4377" s="7">
        <v>0.35</v>
      </c>
      <c r="H4377" s="6" t="s">
        <v>120</v>
      </c>
      <c r="I4377" s="6" t="s">
        <v>20</v>
      </c>
      <c r="J4377" s="6">
        <v>1995.0</v>
      </c>
      <c r="L4377" s="6">
        <v>1.0</v>
      </c>
      <c r="M4377" s="8">
        <f t="shared" si="5"/>
        <v>0.35</v>
      </c>
      <c r="P4377" s="9"/>
    </row>
    <row r="4378">
      <c r="A4378" s="6" t="s">
        <v>9341</v>
      </c>
      <c r="B4378" s="6" t="s">
        <v>250</v>
      </c>
      <c r="C4378" s="6" t="s">
        <v>48</v>
      </c>
      <c r="D4378" s="6" t="s">
        <v>9342</v>
      </c>
      <c r="E4378" s="6" t="s">
        <v>36</v>
      </c>
      <c r="F4378" s="6" t="s">
        <v>37</v>
      </c>
      <c r="G4378" s="7">
        <v>0.1</v>
      </c>
      <c r="H4378" s="6" t="s">
        <v>119</v>
      </c>
      <c r="I4378" s="6" t="s">
        <v>20</v>
      </c>
      <c r="J4378" s="6">
        <v>1995.0</v>
      </c>
      <c r="L4378" s="6">
        <v>2.0</v>
      </c>
      <c r="M4378" s="8">
        <f t="shared" si="5"/>
        <v>0.2</v>
      </c>
      <c r="P4378" s="9"/>
    </row>
    <row r="4379">
      <c r="A4379" s="6" t="s">
        <v>9343</v>
      </c>
      <c r="B4379" s="6" t="s">
        <v>628</v>
      </c>
      <c r="C4379" s="6" t="s">
        <v>23</v>
      </c>
      <c r="D4379" s="6" t="s">
        <v>9344</v>
      </c>
      <c r="E4379" s="6" t="s">
        <v>79</v>
      </c>
      <c r="F4379" s="6" t="s">
        <v>51</v>
      </c>
      <c r="G4379" s="7">
        <v>0.05</v>
      </c>
      <c r="H4379" s="6" t="s">
        <v>224</v>
      </c>
      <c r="I4379" s="6" t="s">
        <v>20</v>
      </c>
      <c r="J4379" s="6">
        <v>2020.0</v>
      </c>
      <c r="K4379" s="10">
        <v>46055.0</v>
      </c>
      <c r="L4379" s="6">
        <v>1.0</v>
      </c>
      <c r="M4379" s="8">
        <f t="shared" si="5"/>
        <v>0.05</v>
      </c>
      <c r="P4379" s="9"/>
    </row>
    <row r="4380">
      <c r="A4380" s="6" t="s">
        <v>9345</v>
      </c>
      <c r="B4380" s="6" t="s">
        <v>68</v>
      </c>
      <c r="C4380" s="6" t="s">
        <v>23</v>
      </c>
      <c r="D4380" s="6" t="s">
        <v>9346</v>
      </c>
      <c r="F4380" s="6" t="s">
        <v>60</v>
      </c>
      <c r="G4380" s="7">
        <v>0.13</v>
      </c>
      <c r="H4380" s="6" t="s">
        <v>192</v>
      </c>
      <c r="I4380" s="6" t="s">
        <v>20</v>
      </c>
      <c r="J4380" s="6">
        <v>2026.0</v>
      </c>
      <c r="L4380" s="6">
        <v>1.0</v>
      </c>
      <c r="M4380" s="8">
        <f t="shared" si="5"/>
        <v>0.13</v>
      </c>
      <c r="P4380" s="9"/>
    </row>
    <row r="4381">
      <c r="A4381" s="6" t="s">
        <v>9347</v>
      </c>
      <c r="B4381" s="6" t="s">
        <v>182</v>
      </c>
      <c r="C4381" s="6" t="s">
        <v>23</v>
      </c>
      <c r="D4381" s="6" t="s">
        <v>9348</v>
      </c>
      <c r="E4381" s="6" t="s">
        <v>196</v>
      </c>
      <c r="F4381" s="6" t="s">
        <v>65</v>
      </c>
      <c r="G4381" s="7">
        <v>0.5</v>
      </c>
      <c r="H4381" s="6" t="s">
        <v>769</v>
      </c>
      <c r="I4381" s="6" t="s">
        <v>20</v>
      </c>
      <c r="J4381" s="6">
        <v>2023.0</v>
      </c>
      <c r="L4381" s="6">
        <v>1.0</v>
      </c>
      <c r="M4381" s="8">
        <f t="shared" si="5"/>
        <v>0.5</v>
      </c>
      <c r="P4381" s="9"/>
    </row>
    <row r="4382">
      <c r="A4382" s="6" t="s">
        <v>9349</v>
      </c>
      <c r="B4382" s="6" t="s">
        <v>1449</v>
      </c>
      <c r="C4382" s="6" t="s">
        <v>23</v>
      </c>
      <c r="D4382" s="6" t="s">
        <v>9350</v>
      </c>
      <c r="E4382" s="6" t="s">
        <v>112</v>
      </c>
      <c r="F4382" s="6" t="s">
        <v>65</v>
      </c>
      <c r="G4382" s="7">
        <v>0.16</v>
      </c>
      <c r="H4382" s="6" t="s">
        <v>224</v>
      </c>
      <c r="I4382" s="6" t="s">
        <v>20</v>
      </c>
      <c r="J4382" s="6">
        <v>2020.0</v>
      </c>
      <c r="K4382" s="10">
        <v>46082.0</v>
      </c>
      <c r="L4382" s="6">
        <v>2.0</v>
      </c>
      <c r="M4382" s="8">
        <f t="shared" si="5"/>
        <v>0.32</v>
      </c>
      <c r="P4382" s="9"/>
    </row>
    <row r="4383">
      <c r="A4383" s="6" t="s">
        <v>9351</v>
      </c>
      <c r="B4383" s="6" t="s">
        <v>3094</v>
      </c>
      <c r="C4383" s="6" t="s">
        <v>48</v>
      </c>
      <c r="D4383" s="6" t="s">
        <v>9352</v>
      </c>
      <c r="E4383" s="6" t="s">
        <v>700</v>
      </c>
      <c r="F4383" s="6" t="s">
        <v>18</v>
      </c>
      <c r="G4383" s="7">
        <v>1.2</v>
      </c>
      <c r="H4383" s="6" t="s">
        <v>1246</v>
      </c>
      <c r="I4383" s="6" t="s">
        <v>20</v>
      </c>
      <c r="J4383" s="6">
        <v>2006.0</v>
      </c>
      <c r="K4383" s="10">
        <v>46055.0</v>
      </c>
      <c r="L4383" s="6">
        <v>1.0</v>
      </c>
      <c r="M4383" s="8">
        <f t="shared" si="5"/>
        <v>1.2</v>
      </c>
      <c r="N4383" s="6" t="s">
        <v>172</v>
      </c>
      <c r="P4383" s="9"/>
    </row>
    <row r="4384">
      <c r="A4384" s="6" t="s">
        <v>9353</v>
      </c>
      <c r="B4384" s="6" t="s">
        <v>1106</v>
      </c>
      <c r="C4384" s="6" t="s">
        <v>15</v>
      </c>
      <c r="D4384" s="6" t="s">
        <v>9354</v>
      </c>
      <c r="E4384" s="6" t="s">
        <v>625</v>
      </c>
      <c r="F4384" s="6" t="s">
        <v>37</v>
      </c>
      <c r="G4384" s="7">
        <v>0.14</v>
      </c>
      <c r="H4384" s="6" t="s">
        <v>2066</v>
      </c>
      <c r="I4384" s="6" t="s">
        <v>20</v>
      </c>
      <c r="J4384" s="6">
        <v>1997.0</v>
      </c>
      <c r="K4384" s="10">
        <v>46025.0</v>
      </c>
      <c r="L4384" s="6">
        <v>1.0</v>
      </c>
      <c r="M4384" s="8">
        <f t="shared" si="5"/>
        <v>0.14</v>
      </c>
      <c r="P4384" s="9"/>
    </row>
    <row r="4385">
      <c r="A4385" s="6" t="s">
        <v>9355</v>
      </c>
      <c r="B4385" s="6" t="s">
        <v>9356</v>
      </c>
      <c r="C4385" s="6" t="s">
        <v>41</v>
      </c>
      <c r="D4385" s="6" t="s">
        <v>9357</v>
      </c>
      <c r="E4385" s="6" t="s">
        <v>502</v>
      </c>
      <c r="F4385" s="6" t="s">
        <v>65</v>
      </c>
      <c r="G4385" s="7">
        <v>2.5</v>
      </c>
      <c r="H4385" s="6" t="s">
        <v>370</v>
      </c>
      <c r="I4385" s="6" t="s">
        <v>20</v>
      </c>
      <c r="J4385" s="6">
        <v>1996.0</v>
      </c>
      <c r="K4385" s="10">
        <v>46055.0</v>
      </c>
      <c r="L4385" s="6">
        <v>1.0</v>
      </c>
      <c r="M4385" s="8">
        <f t="shared" si="5"/>
        <v>2.5</v>
      </c>
      <c r="P4385" s="9"/>
    </row>
    <row r="4386">
      <c r="A4386" s="6" t="s">
        <v>9358</v>
      </c>
      <c r="B4386" s="6" t="s">
        <v>7474</v>
      </c>
      <c r="C4386" s="6" t="s">
        <v>212</v>
      </c>
      <c r="D4386" s="6" t="s">
        <v>9359</v>
      </c>
      <c r="E4386" s="6" t="s">
        <v>9360</v>
      </c>
      <c r="F4386" s="6" t="s">
        <v>1251</v>
      </c>
      <c r="G4386" s="7">
        <v>0.53</v>
      </c>
      <c r="H4386" s="6" t="s">
        <v>209</v>
      </c>
      <c r="I4386" s="6" t="s">
        <v>20</v>
      </c>
      <c r="J4386" s="6">
        <v>2025.0</v>
      </c>
      <c r="K4386" s="10">
        <v>46084.0</v>
      </c>
      <c r="L4386" s="6">
        <v>1.0</v>
      </c>
      <c r="M4386" s="8">
        <f t="shared" si="5"/>
        <v>0.53</v>
      </c>
      <c r="P4386" s="9"/>
    </row>
    <row r="4387">
      <c r="A4387" s="6" t="s">
        <v>9361</v>
      </c>
      <c r="B4387" s="6" t="s">
        <v>2898</v>
      </c>
      <c r="C4387" s="6" t="s">
        <v>41</v>
      </c>
      <c r="D4387" s="6" t="s">
        <v>9362</v>
      </c>
      <c r="E4387" s="6" t="s">
        <v>235</v>
      </c>
      <c r="F4387" s="6" t="s">
        <v>9363</v>
      </c>
      <c r="G4387" s="7">
        <v>0.19</v>
      </c>
      <c r="H4387" s="6" t="s">
        <v>2680</v>
      </c>
      <c r="I4387" s="6" t="s">
        <v>20</v>
      </c>
      <c r="J4387" s="6">
        <v>1998.0</v>
      </c>
      <c r="K4387" s="10">
        <v>46084.0</v>
      </c>
      <c r="L4387" s="6">
        <v>1.0</v>
      </c>
      <c r="M4387" s="8">
        <f t="shared" si="5"/>
        <v>0.19</v>
      </c>
      <c r="P4387" s="9"/>
    </row>
    <row r="4388">
      <c r="A4388" s="6" t="s">
        <v>9364</v>
      </c>
      <c r="B4388" s="6" t="s">
        <v>9365</v>
      </c>
      <c r="C4388" s="6" t="s">
        <v>48</v>
      </c>
      <c r="D4388" s="6" t="s">
        <v>9366</v>
      </c>
      <c r="E4388" s="6" t="s">
        <v>9367</v>
      </c>
      <c r="F4388" s="6" t="s">
        <v>159</v>
      </c>
      <c r="G4388" s="7">
        <v>0.44</v>
      </c>
      <c r="H4388" s="6" t="s">
        <v>1194</v>
      </c>
      <c r="I4388" s="6" t="s">
        <v>55</v>
      </c>
      <c r="J4388" s="6">
        <v>2023.0</v>
      </c>
      <c r="K4388" s="10">
        <v>46115.0</v>
      </c>
      <c r="L4388" s="6">
        <v>1.0</v>
      </c>
      <c r="M4388" s="8">
        <f t="shared" si="5"/>
        <v>0.44</v>
      </c>
      <c r="P4388" s="9"/>
    </row>
    <row r="4389">
      <c r="A4389" s="6" t="s">
        <v>9368</v>
      </c>
      <c r="B4389" s="6" t="s">
        <v>424</v>
      </c>
      <c r="C4389" s="6" t="s">
        <v>41</v>
      </c>
      <c r="D4389" s="6" t="s">
        <v>9369</v>
      </c>
      <c r="F4389" s="6" t="s">
        <v>874</v>
      </c>
      <c r="G4389" s="7">
        <v>0.4</v>
      </c>
      <c r="H4389" s="6" t="s">
        <v>9370</v>
      </c>
      <c r="I4389" s="6" t="s">
        <v>55</v>
      </c>
      <c r="J4389" s="6">
        <v>2023.0</v>
      </c>
      <c r="L4389" s="6">
        <v>4.0</v>
      </c>
      <c r="M4389" s="8">
        <f t="shared" si="5"/>
        <v>1.6</v>
      </c>
      <c r="P4389" s="9"/>
    </row>
    <row r="4390">
      <c r="A4390" s="6" t="s">
        <v>9371</v>
      </c>
      <c r="B4390" s="6" t="s">
        <v>424</v>
      </c>
      <c r="C4390" s="6" t="s">
        <v>41</v>
      </c>
      <c r="D4390" s="6" t="s">
        <v>9372</v>
      </c>
      <c r="F4390" s="6" t="s">
        <v>98</v>
      </c>
      <c r="G4390" s="7">
        <v>0.9</v>
      </c>
      <c r="H4390" s="6" t="s">
        <v>626</v>
      </c>
      <c r="I4390" s="6" t="s">
        <v>20</v>
      </c>
      <c r="J4390" s="6">
        <v>2013.0</v>
      </c>
      <c r="L4390" s="6">
        <v>1.0</v>
      </c>
      <c r="M4390" s="8">
        <f t="shared" si="5"/>
        <v>0.9</v>
      </c>
      <c r="N4390" s="6" t="s">
        <v>172</v>
      </c>
      <c r="P4390" s="9"/>
    </row>
    <row r="4391">
      <c r="A4391" s="6" t="s">
        <v>9373</v>
      </c>
      <c r="B4391" s="6" t="s">
        <v>1032</v>
      </c>
      <c r="C4391" s="6" t="s">
        <v>23</v>
      </c>
      <c r="D4391" s="6" t="s">
        <v>9374</v>
      </c>
      <c r="E4391" s="6" t="s">
        <v>102</v>
      </c>
      <c r="F4391" s="6" t="s">
        <v>103</v>
      </c>
      <c r="G4391" s="7">
        <v>0.03</v>
      </c>
      <c r="H4391" s="6" t="s">
        <v>526</v>
      </c>
      <c r="I4391" s="6" t="s">
        <v>20</v>
      </c>
      <c r="J4391" s="6">
        <v>2020.0</v>
      </c>
      <c r="K4391" s="10">
        <v>46055.0</v>
      </c>
      <c r="L4391" s="6">
        <v>1.0</v>
      </c>
      <c r="M4391" s="8">
        <f t="shared" si="5"/>
        <v>0.03</v>
      </c>
      <c r="P4391" s="9"/>
    </row>
    <row r="4392">
      <c r="A4392" s="6" t="s">
        <v>9373</v>
      </c>
      <c r="B4392" s="6" t="s">
        <v>1032</v>
      </c>
      <c r="C4392" s="6" t="s">
        <v>23</v>
      </c>
      <c r="D4392" s="6" t="s">
        <v>9374</v>
      </c>
      <c r="E4392" s="6" t="s">
        <v>102</v>
      </c>
      <c r="F4392" s="6" t="s">
        <v>103</v>
      </c>
      <c r="G4392" s="7">
        <v>0.03</v>
      </c>
      <c r="H4392" s="6" t="s">
        <v>526</v>
      </c>
      <c r="I4392" s="6" t="s">
        <v>20</v>
      </c>
      <c r="J4392" s="6">
        <v>2020.0</v>
      </c>
      <c r="K4392" s="10">
        <v>46055.0</v>
      </c>
      <c r="L4392" s="6">
        <v>1.0</v>
      </c>
      <c r="M4392" s="8">
        <f t="shared" si="5"/>
        <v>0.03</v>
      </c>
      <c r="P4392" s="9"/>
    </row>
    <row r="4393">
      <c r="A4393" s="6" t="s">
        <v>9375</v>
      </c>
      <c r="B4393" s="6" t="s">
        <v>169</v>
      </c>
      <c r="C4393" s="6" t="s">
        <v>287</v>
      </c>
      <c r="D4393" s="6" t="s">
        <v>9376</v>
      </c>
      <c r="E4393" s="6" t="s">
        <v>30</v>
      </c>
      <c r="F4393" s="6" t="s">
        <v>5281</v>
      </c>
      <c r="G4393" s="7">
        <v>0.05</v>
      </c>
      <c r="H4393" s="6" t="s">
        <v>641</v>
      </c>
      <c r="I4393" s="6" t="s">
        <v>20</v>
      </c>
      <c r="J4393" s="6">
        <v>2026.0</v>
      </c>
      <c r="L4393" s="6">
        <v>2.0</v>
      </c>
      <c r="M4393" s="8">
        <f t="shared" si="5"/>
        <v>0.1</v>
      </c>
      <c r="P4393" s="9"/>
    </row>
    <row r="4394">
      <c r="A4394" s="6" t="s">
        <v>9377</v>
      </c>
      <c r="B4394" s="6" t="s">
        <v>182</v>
      </c>
      <c r="C4394" s="6" t="s">
        <v>23</v>
      </c>
      <c r="D4394" s="6" t="s">
        <v>9378</v>
      </c>
      <c r="E4394" s="6" t="s">
        <v>700</v>
      </c>
      <c r="F4394" s="6" t="s">
        <v>18</v>
      </c>
      <c r="G4394" s="7">
        <v>0.02</v>
      </c>
      <c r="H4394" s="6" t="s">
        <v>1246</v>
      </c>
      <c r="I4394" s="6" t="s">
        <v>20</v>
      </c>
      <c r="J4394" s="6">
        <v>2006.0</v>
      </c>
      <c r="L4394" s="6">
        <v>3.0</v>
      </c>
      <c r="M4394" s="8">
        <f t="shared" si="5"/>
        <v>0.06</v>
      </c>
      <c r="P4394" s="9"/>
    </row>
    <row r="4395">
      <c r="A4395" s="6" t="s">
        <v>9379</v>
      </c>
      <c r="B4395" s="6" t="s">
        <v>182</v>
      </c>
      <c r="C4395" s="6" t="s">
        <v>23</v>
      </c>
      <c r="D4395" s="6" t="s">
        <v>9380</v>
      </c>
      <c r="E4395" s="6" t="s">
        <v>558</v>
      </c>
      <c r="F4395" s="6" t="s">
        <v>18</v>
      </c>
      <c r="G4395" s="7">
        <v>0.23</v>
      </c>
      <c r="H4395" s="6" t="s">
        <v>2701</v>
      </c>
      <c r="I4395" s="6" t="s">
        <v>20</v>
      </c>
      <c r="J4395" s="6">
        <v>2003.0</v>
      </c>
      <c r="L4395" s="6">
        <v>1.0</v>
      </c>
      <c r="M4395" s="8">
        <f t="shared" si="5"/>
        <v>0.23</v>
      </c>
      <c r="P4395" s="9"/>
    </row>
    <row r="4396">
      <c r="A4396" s="6" t="s">
        <v>9381</v>
      </c>
      <c r="B4396" s="6" t="s">
        <v>62</v>
      </c>
      <c r="C4396" s="6" t="s">
        <v>48</v>
      </c>
      <c r="D4396" s="6" t="s">
        <v>9382</v>
      </c>
      <c r="E4396" s="6" t="s">
        <v>9383</v>
      </c>
      <c r="F4396" s="6" t="s">
        <v>5259</v>
      </c>
      <c r="G4396" s="7">
        <v>0.09</v>
      </c>
      <c r="H4396" s="6" t="s">
        <v>129</v>
      </c>
      <c r="I4396" s="6" t="s">
        <v>20</v>
      </c>
      <c r="J4396" s="6">
        <v>2014.0</v>
      </c>
      <c r="L4396" s="6">
        <v>1.0</v>
      </c>
      <c r="M4396" s="8">
        <f t="shared" si="5"/>
        <v>0.09</v>
      </c>
      <c r="N4396" s="6" t="s">
        <v>518</v>
      </c>
      <c r="P4396" s="9"/>
    </row>
    <row r="4397">
      <c r="A4397" s="6" t="s">
        <v>9384</v>
      </c>
      <c r="B4397" s="6" t="s">
        <v>543</v>
      </c>
      <c r="C4397" s="6" t="s">
        <v>521</v>
      </c>
      <c r="D4397" s="6" t="s">
        <v>9385</v>
      </c>
      <c r="E4397" s="6" t="s">
        <v>270</v>
      </c>
      <c r="F4397" s="6" t="s">
        <v>159</v>
      </c>
      <c r="G4397" s="7">
        <v>0.1</v>
      </c>
      <c r="H4397" s="6" t="s">
        <v>641</v>
      </c>
      <c r="I4397" s="6" t="s">
        <v>20</v>
      </c>
      <c r="J4397" s="6">
        <v>2026.0</v>
      </c>
      <c r="L4397" s="6">
        <v>2.0</v>
      </c>
      <c r="M4397" s="8">
        <f t="shared" si="5"/>
        <v>0.2</v>
      </c>
      <c r="P4397" s="9"/>
    </row>
    <row r="4398">
      <c r="A4398" s="6" t="s">
        <v>9386</v>
      </c>
      <c r="B4398" s="6" t="s">
        <v>9387</v>
      </c>
      <c r="C4398" s="6" t="s">
        <v>41</v>
      </c>
      <c r="D4398" s="6" t="s">
        <v>9388</v>
      </c>
      <c r="E4398" s="6" t="s">
        <v>223</v>
      </c>
      <c r="F4398" s="6" t="s">
        <v>159</v>
      </c>
      <c r="G4398" s="7">
        <v>1.0</v>
      </c>
      <c r="H4398" s="6" t="s">
        <v>994</v>
      </c>
      <c r="I4398" s="6" t="s">
        <v>20</v>
      </c>
      <c r="J4398" s="6">
        <v>2024.0</v>
      </c>
      <c r="K4398" s="10">
        <v>46055.0</v>
      </c>
      <c r="L4398" s="6">
        <v>1.0</v>
      </c>
      <c r="M4398" s="8">
        <f t="shared" si="5"/>
        <v>1</v>
      </c>
      <c r="N4398" s="6" t="s">
        <v>172</v>
      </c>
      <c r="P4398" s="9"/>
    </row>
    <row r="4399">
      <c r="A4399" s="6" t="s">
        <v>9389</v>
      </c>
      <c r="B4399" s="6" t="s">
        <v>194</v>
      </c>
      <c r="C4399" s="6" t="s">
        <v>23</v>
      </c>
      <c r="D4399" s="6" t="s">
        <v>7864</v>
      </c>
      <c r="E4399" s="6" t="s">
        <v>223</v>
      </c>
      <c r="F4399" s="6" t="s">
        <v>159</v>
      </c>
      <c r="G4399" s="7">
        <v>0.1</v>
      </c>
      <c r="H4399" s="6" t="s">
        <v>192</v>
      </c>
      <c r="I4399" s="6" t="s">
        <v>20</v>
      </c>
      <c r="J4399" s="6">
        <v>2026.0</v>
      </c>
      <c r="L4399" s="6">
        <v>4.0</v>
      </c>
      <c r="M4399" s="8">
        <f t="shared" si="5"/>
        <v>0.4</v>
      </c>
      <c r="P4399" s="9"/>
    </row>
    <row r="4400">
      <c r="A4400" s="6" t="s">
        <v>9390</v>
      </c>
      <c r="B4400" s="6" t="s">
        <v>677</v>
      </c>
      <c r="C4400" s="6" t="s">
        <v>23</v>
      </c>
      <c r="D4400" s="6" t="s">
        <v>9391</v>
      </c>
      <c r="E4400" s="6" t="s">
        <v>1950</v>
      </c>
      <c r="F4400" s="6" t="s">
        <v>65</v>
      </c>
      <c r="G4400" s="7">
        <v>0.05</v>
      </c>
      <c r="H4400" s="6" t="s">
        <v>271</v>
      </c>
      <c r="I4400" s="6" t="s">
        <v>20</v>
      </c>
      <c r="J4400" s="6">
        <v>2012.0</v>
      </c>
      <c r="K4400" s="10">
        <v>46117.0</v>
      </c>
      <c r="L4400" s="6">
        <v>1.0</v>
      </c>
      <c r="M4400" s="8">
        <f t="shared" si="5"/>
        <v>0.05</v>
      </c>
      <c r="P4400" s="9"/>
    </row>
    <row r="4401">
      <c r="A4401" s="6" t="s">
        <v>9392</v>
      </c>
      <c r="B4401" s="6" t="s">
        <v>131</v>
      </c>
      <c r="C4401" s="6" t="s">
        <v>23</v>
      </c>
      <c r="D4401" s="6" t="s">
        <v>9393</v>
      </c>
      <c r="E4401" s="6" t="s">
        <v>118</v>
      </c>
      <c r="F4401" s="6" t="s">
        <v>51</v>
      </c>
      <c r="G4401" s="7">
        <v>0.03</v>
      </c>
      <c r="H4401" s="6" t="s">
        <v>1084</v>
      </c>
      <c r="I4401" s="6" t="s">
        <v>20</v>
      </c>
      <c r="J4401" s="6">
        <v>2018.0</v>
      </c>
      <c r="K4401" s="10">
        <v>46055.0</v>
      </c>
      <c r="L4401" s="6">
        <v>1.0</v>
      </c>
      <c r="M4401" s="8">
        <f t="shared" si="5"/>
        <v>0.03</v>
      </c>
      <c r="P4401" s="9"/>
    </row>
    <row r="4402">
      <c r="A4402" s="6" t="s">
        <v>9394</v>
      </c>
      <c r="B4402" s="6" t="s">
        <v>9395</v>
      </c>
      <c r="C4402" s="6" t="s">
        <v>287</v>
      </c>
      <c r="D4402" s="6" t="s">
        <v>9396</v>
      </c>
      <c r="E4402" s="6" t="s">
        <v>50</v>
      </c>
      <c r="F4402" s="6" t="s">
        <v>51</v>
      </c>
      <c r="G4402" s="7">
        <v>0.05</v>
      </c>
      <c r="H4402" s="6" t="s">
        <v>370</v>
      </c>
      <c r="I4402" s="6" t="s">
        <v>20</v>
      </c>
      <c r="J4402" s="6">
        <v>1996.0</v>
      </c>
      <c r="K4402" s="10">
        <v>46055.0</v>
      </c>
      <c r="L4402" s="6">
        <v>1.0</v>
      </c>
      <c r="M4402" s="8">
        <f t="shared" si="5"/>
        <v>0.05</v>
      </c>
      <c r="P4402" s="9"/>
    </row>
    <row r="4403">
      <c r="A4403" s="6" t="s">
        <v>9397</v>
      </c>
      <c r="B4403" s="6" t="s">
        <v>301</v>
      </c>
      <c r="C4403" s="6" t="s">
        <v>34</v>
      </c>
      <c r="D4403" s="6" t="s">
        <v>9398</v>
      </c>
      <c r="E4403" s="6" t="s">
        <v>243</v>
      </c>
      <c r="F4403" s="6" t="s">
        <v>37</v>
      </c>
      <c r="G4403" s="7">
        <v>0.4</v>
      </c>
      <c r="H4403" s="6" t="s">
        <v>418</v>
      </c>
      <c r="I4403" s="6" t="s">
        <v>55</v>
      </c>
      <c r="J4403" s="6">
        <v>2022.0</v>
      </c>
      <c r="L4403" s="6">
        <v>2.0</v>
      </c>
      <c r="M4403" s="8">
        <f t="shared" si="5"/>
        <v>0.8</v>
      </c>
      <c r="P4403" s="9"/>
    </row>
    <row r="4404">
      <c r="A4404" s="6" t="s">
        <v>9399</v>
      </c>
      <c r="B4404" s="6" t="s">
        <v>2257</v>
      </c>
      <c r="C4404" s="6" t="s">
        <v>34</v>
      </c>
      <c r="D4404" s="6" t="s">
        <v>9400</v>
      </c>
      <c r="E4404" s="6" t="s">
        <v>231</v>
      </c>
      <c r="F4404" s="6" t="s">
        <v>37</v>
      </c>
      <c r="G4404" s="7">
        <v>0.19</v>
      </c>
      <c r="H4404" s="6" t="s">
        <v>180</v>
      </c>
      <c r="I4404" s="6" t="s">
        <v>20</v>
      </c>
      <c r="J4404" s="6">
        <v>2014.0</v>
      </c>
      <c r="L4404" s="6">
        <v>2.0</v>
      </c>
      <c r="M4404" s="8">
        <f t="shared" si="5"/>
        <v>0.38</v>
      </c>
      <c r="P4404" s="9"/>
    </row>
    <row r="4405">
      <c r="A4405" s="6" t="s">
        <v>9401</v>
      </c>
      <c r="B4405" s="6" t="s">
        <v>424</v>
      </c>
      <c r="C4405" s="6" t="s">
        <v>23</v>
      </c>
      <c r="D4405" s="6" t="s">
        <v>9402</v>
      </c>
      <c r="F4405" s="6" t="s">
        <v>37</v>
      </c>
      <c r="G4405" s="7">
        <v>0.25</v>
      </c>
      <c r="H4405" s="6" t="s">
        <v>9403</v>
      </c>
      <c r="I4405" s="6" t="s">
        <v>55</v>
      </c>
      <c r="J4405" s="6">
        <v>2009.0</v>
      </c>
      <c r="L4405" s="6">
        <v>4.0</v>
      </c>
      <c r="M4405" s="8">
        <f t="shared" si="5"/>
        <v>1</v>
      </c>
      <c r="P4405" s="9"/>
    </row>
    <row r="4406">
      <c r="A4406" s="6" t="s">
        <v>9401</v>
      </c>
      <c r="B4406" s="6" t="s">
        <v>424</v>
      </c>
      <c r="C4406" s="6" t="s">
        <v>23</v>
      </c>
      <c r="D4406" s="6" t="s">
        <v>9402</v>
      </c>
      <c r="F4406" s="6" t="s">
        <v>37</v>
      </c>
      <c r="G4406" s="7">
        <v>0.4</v>
      </c>
      <c r="H4406" s="6" t="s">
        <v>9404</v>
      </c>
      <c r="I4406" s="6" t="s">
        <v>55</v>
      </c>
      <c r="J4406" s="6">
        <v>2010.0</v>
      </c>
      <c r="L4406" s="6">
        <v>4.0</v>
      </c>
      <c r="M4406" s="8">
        <f t="shared" si="5"/>
        <v>1.6</v>
      </c>
      <c r="P4406" s="9"/>
    </row>
    <row r="4407">
      <c r="A4407" s="6" t="s">
        <v>9401</v>
      </c>
      <c r="B4407" s="6" t="s">
        <v>424</v>
      </c>
      <c r="C4407" s="6" t="s">
        <v>23</v>
      </c>
      <c r="D4407" s="6" t="s">
        <v>9402</v>
      </c>
      <c r="E4407" s="6"/>
      <c r="F4407" s="6" t="s">
        <v>37</v>
      </c>
      <c r="G4407" s="7">
        <v>0.1</v>
      </c>
      <c r="H4407" s="6" t="s">
        <v>99</v>
      </c>
      <c r="I4407" s="6" t="s">
        <v>20</v>
      </c>
      <c r="J4407" s="6">
        <v>2026.0</v>
      </c>
      <c r="K4407" s="6"/>
      <c r="L4407" s="6">
        <v>1.0</v>
      </c>
      <c r="M4407" s="8">
        <f t="shared" si="5"/>
        <v>0.1</v>
      </c>
      <c r="P4407" s="9"/>
    </row>
    <row r="4408">
      <c r="A4408" s="6" t="s">
        <v>9405</v>
      </c>
      <c r="B4408" s="6" t="s">
        <v>809</v>
      </c>
      <c r="C4408" s="6" t="s">
        <v>23</v>
      </c>
      <c r="D4408" s="6" t="s">
        <v>9406</v>
      </c>
      <c r="E4408" s="6" t="s">
        <v>223</v>
      </c>
      <c r="F4408" s="6" t="s">
        <v>159</v>
      </c>
      <c r="G4408" s="7">
        <v>0.22</v>
      </c>
      <c r="H4408" s="6" t="s">
        <v>1194</v>
      </c>
      <c r="I4408" s="6" t="s">
        <v>55</v>
      </c>
      <c r="J4408" s="6">
        <v>2023.0</v>
      </c>
      <c r="K4408" s="10">
        <v>46083.0</v>
      </c>
      <c r="L4408" s="6">
        <v>1.0</v>
      </c>
      <c r="M4408" s="8">
        <f t="shared" si="5"/>
        <v>0.22</v>
      </c>
      <c r="P4408" s="9"/>
    </row>
    <row r="4409">
      <c r="A4409" s="6" t="s">
        <v>9407</v>
      </c>
      <c r="B4409" s="6" t="s">
        <v>62</v>
      </c>
      <c r="C4409" s="6" t="s">
        <v>23</v>
      </c>
      <c r="D4409" s="6" t="s">
        <v>9408</v>
      </c>
      <c r="E4409" s="6" t="s">
        <v>102</v>
      </c>
      <c r="F4409" s="6" t="s">
        <v>103</v>
      </c>
      <c r="G4409" s="7">
        <v>0.15</v>
      </c>
      <c r="H4409" s="6" t="s">
        <v>663</v>
      </c>
      <c r="I4409" s="6" t="s">
        <v>20</v>
      </c>
      <c r="J4409" s="6">
        <v>2023.0</v>
      </c>
      <c r="L4409" s="6">
        <v>1.0</v>
      </c>
      <c r="M4409" s="8">
        <f t="shared" si="5"/>
        <v>0.15</v>
      </c>
      <c r="P4409" s="9"/>
    </row>
    <row r="4410">
      <c r="A4410" s="6" t="s">
        <v>9407</v>
      </c>
      <c r="B4410" s="6" t="s">
        <v>62</v>
      </c>
      <c r="C4410" s="6" t="s">
        <v>23</v>
      </c>
      <c r="D4410" s="6" t="s">
        <v>9408</v>
      </c>
      <c r="E4410" s="6" t="s">
        <v>102</v>
      </c>
      <c r="F4410" s="6" t="s">
        <v>103</v>
      </c>
      <c r="G4410" s="7">
        <v>0.06</v>
      </c>
      <c r="H4410" s="6" t="s">
        <v>119</v>
      </c>
      <c r="I4410" s="6" t="s">
        <v>20</v>
      </c>
      <c r="J4410" s="6">
        <v>1995.0</v>
      </c>
      <c r="L4410" s="6">
        <v>10.0</v>
      </c>
      <c r="M4410" s="8">
        <f t="shared" si="5"/>
        <v>0.6</v>
      </c>
      <c r="P4410" s="9"/>
    </row>
    <row r="4411">
      <c r="A4411" s="6" t="s">
        <v>9407</v>
      </c>
      <c r="B4411" s="6" t="s">
        <v>62</v>
      </c>
      <c r="C4411" s="6" t="s">
        <v>23</v>
      </c>
      <c r="D4411" s="6" t="s">
        <v>9408</v>
      </c>
      <c r="E4411" s="6" t="s">
        <v>102</v>
      </c>
      <c r="F4411" s="6" t="s">
        <v>103</v>
      </c>
      <c r="G4411" s="7">
        <v>0.75</v>
      </c>
      <c r="H4411" s="6" t="s">
        <v>607</v>
      </c>
      <c r="I4411" s="6" t="s">
        <v>20</v>
      </c>
      <c r="J4411" s="6">
        <v>1994.0</v>
      </c>
      <c r="L4411" s="6">
        <v>2.0</v>
      </c>
      <c r="M4411" s="8">
        <f t="shared" si="5"/>
        <v>1.5</v>
      </c>
      <c r="P4411" s="9"/>
    </row>
    <row r="4412">
      <c r="A4412" s="6" t="s">
        <v>9409</v>
      </c>
      <c r="B4412" s="6" t="s">
        <v>1363</v>
      </c>
      <c r="C4412" s="6" t="s">
        <v>23</v>
      </c>
      <c r="E4412" s="6" t="s">
        <v>533</v>
      </c>
      <c r="F4412" s="6" t="s">
        <v>65</v>
      </c>
      <c r="G4412" s="7">
        <v>0.04</v>
      </c>
      <c r="H4412" s="6" t="s">
        <v>316</v>
      </c>
      <c r="I4412" s="6" t="s">
        <v>20</v>
      </c>
      <c r="J4412" s="6">
        <v>2016.0</v>
      </c>
      <c r="K4412" s="10">
        <v>46058.0</v>
      </c>
      <c r="L4412" s="6">
        <v>3.0</v>
      </c>
      <c r="M4412" s="8">
        <f t="shared" si="5"/>
        <v>0.12</v>
      </c>
      <c r="P4412" s="9"/>
    </row>
    <row r="4413">
      <c r="A4413" s="6" t="s">
        <v>9410</v>
      </c>
      <c r="B4413" s="6" t="s">
        <v>9411</v>
      </c>
      <c r="C4413" s="6" t="s">
        <v>41</v>
      </c>
      <c r="D4413" s="6" t="s">
        <v>9412</v>
      </c>
      <c r="E4413" s="6" t="s">
        <v>50</v>
      </c>
      <c r="F4413" s="6" t="s">
        <v>51</v>
      </c>
      <c r="G4413" s="7">
        <v>0.49</v>
      </c>
      <c r="H4413" s="6" t="s">
        <v>200</v>
      </c>
      <c r="I4413" s="6" t="s">
        <v>20</v>
      </c>
      <c r="J4413" s="6">
        <v>2018.0</v>
      </c>
      <c r="K4413" s="10">
        <v>46055.0</v>
      </c>
      <c r="L4413" s="6">
        <v>1.0</v>
      </c>
      <c r="M4413" s="8">
        <f t="shared" si="5"/>
        <v>0.49</v>
      </c>
      <c r="P4413" s="9"/>
    </row>
    <row r="4414">
      <c r="A4414" s="6" t="s">
        <v>9413</v>
      </c>
      <c r="B4414" s="6" t="s">
        <v>2072</v>
      </c>
      <c r="C4414" s="6" t="s">
        <v>23</v>
      </c>
      <c r="D4414" s="6" t="s">
        <v>9414</v>
      </c>
      <c r="E4414" s="6" t="s">
        <v>153</v>
      </c>
      <c r="F4414" s="6" t="s">
        <v>103</v>
      </c>
      <c r="G4414" s="7">
        <v>0.04</v>
      </c>
      <c r="H4414" s="6" t="s">
        <v>1050</v>
      </c>
      <c r="I4414" s="6" t="s">
        <v>20</v>
      </c>
      <c r="J4414" s="6">
        <v>2023.0</v>
      </c>
      <c r="K4414" s="10">
        <v>46026.0</v>
      </c>
      <c r="L4414" s="6">
        <v>1.0</v>
      </c>
      <c r="M4414" s="8">
        <f t="shared" si="5"/>
        <v>0.04</v>
      </c>
      <c r="P4414" s="9"/>
    </row>
    <row r="4415">
      <c r="A4415" s="6" t="s">
        <v>9415</v>
      </c>
      <c r="B4415" s="6" t="s">
        <v>139</v>
      </c>
      <c r="C4415" s="6" t="s">
        <v>41</v>
      </c>
      <c r="D4415" s="6" t="s">
        <v>9416</v>
      </c>
      <c r="E4415" s="6" t="s">
        <v>1771</v>
      </c>
      <c r="F4415" s="6" t="s">
        <v>51</v>
      </c>
      <c r="G4415" s="7">
        <v>0.5</v>
      </c>
      <c r="H4415" s="6" t="s">
        <v>66</v>
      </c>
      <c r="I4415" s="6" t="s">
        <v>20</v>
      </c>
      <c r="J4415" s="6">
        <v>2016.0</v>
      </c>
      <c r="K4415" s="10">
        <v>46116.0</v>
      </c>
      <c r="L4415" s="6">
        <v>1.0</v>
      </c>
      <c r="M4415" s="8">
        <f t="shared" si="5"/>
        <v>0.5</v>
      </c>
      <c r="P4415" s="9"/>
    </row>
    <row r="4416">
      <c r="A4416" s="6" t="s">
        <v>9417</v>
      </c>
      <c r="B4416" s="6" t="s">
        <v>301</v>
      </c>
      <c r="C4416" s="6" t="s">
        <v>34</v>
      </c>
      <c r="D4416" s="6" t="s">
        <v>9418</v>
      </c>
      <c r="E4416" s="6" t="s">
        <v>303</v>
      </c>
      <c r="F4416" s="6" t="s">
        <v>37</v>
      </c>
      <c r="G4416" s="7">
        <v>0.05</v>
      </c>
      <c r="H4416" s="6" t="s">
        <v>1043</v>
      </c>
      <c r="I4416" s="6" t="s">
        <v>20</v>
      </c>
      <c r="J4416" s="6">
        <v>2025.0</v>
      </c>
      <c r="L4416" s="6">
        <v>1.0</v>
      </c>
      <c r="M4416" s="8">
        <f t="shared" si="5"/>
        <v>0.05</v>
      </c>
      <c r="P4416" s="9"/>
    </row>
    <row r="4417">
      <c r="A4417" s="6" t="s">
        <v>9419</v>
      </c>
      <c r="B4417" s="6" t="s">
        <v>307</v>
      </c>
      <c r="C4417" s="6" t="s">
        <v>23</v>
      </c>
      <c r="D4417" s="6" t="s">
        <v>9420</v>
      </c>
      <c r="E4417" s="6" t="s">
        <v>303</v>
      </c>
      <c r="F4417" s="6" t="s">
        <v>37</v>
      </c>
      <c r="G4417" s="7">
        <v>0.06</v>
      </c>
      <c r="H4417" s="6" t="s">
        <v>9421</v>
      </c>
      <c r="I4417" s="6" t="s">
        <v>20</v>
      </c>
      <c r="J4417" s="6">
        <v>2025.0</v>
      </c>
      <c r="L4417" s="6">
        <v>1.0</v>
      </c>
      <c r="M4417" s="8">
        <f t="shared" si="5"/>
        <v>0.06</v>
      </c>
      <c r="P4417" s="9"/>
    </row>
    <row r="4418">
      <c r="A4418" s="6" t="s">
        <v>9422</v>
      </c>
      <c r="B4418" s="6" t="s">
        <v>9423</v>
      </c>
      <c r="C4418" s="6" t="s">
        <v>34</v>
      </c>
      <c r="D4418" s="6" t="s">
        <v>9424</v>
      </c>
      <c r="E4418" s="6" t="s">
        <v>618</v>
      </c>
      <c r="F4418" s="6" t="s">
        <v>159</v>
      </c>
      <c r="G4418" s="7">
        <v>0.05</v>
      </c>
      <c r="H4418" s="6" t="s">
        <v>1043</v>
      </c>
      <c r="I4418" s="6" t="s">
        <v>20</v>
      </c>
      <c r="J4418" s="6">
        <v>2025.0</v>
      </c>
      <c r="K4418" s="10">
        <v>46057.0</v>
      </c>
      <c r="L4418" s="6">
        <v>1.0</v>
      </c>
      <c r="M4418" s="8">
        <f t="shared" si="5"/>
        <v>0.05</v>
      </c>
      <c r="P4418" s="9"/>
    </row>
    <row r="4419">
      <c r="A4419" s="6" t="s">
        <v>9425</v>
      </c>
      <c r="B4419" s="6" t="s">
        <v>8773</v>
      </c>
      <c r="C4419" s="6" t="s">
        <v>48</v>
      </c>
      <c r="D4419" s="6" t="s">
        <v>9426</v>
      </c>
      <c r="E4419" s="6" t="s">
        <v>223</v>
      </c>
      <c r="F4419" s="6" t="s">
        <v>159</v>
      </c>
      <c r="G4419" s="7">
        <v>0.13</v>
      </c>
      <c r="H4419" s="6" t="s">
        <v>163</v>
      </c>
      <c r="I4419" s="6" t="s">
        <v>20</v>
      </c>
      <c r="J4419" s="6">
        <v>2023.0</v>
      </c>
      <c r="L4419" s="6">
        <v>1.0</v>
      </c>
      <c r="M4419" s="8">
        <f t="shared" si="5"/>
        <v>0.13</v>
      </c>
      <c r="P4419" s="9"/>
    </row>
    <row r="4420">
      <c r="A4420" s="6" t="s">
        <v>9427</v>
      </c>
      <c r="B4420" s="6" t="s">
        <v>2489</v>
      </c>
      <c r="C4420" s="6" t="s">
        <v>23</v>
      </c>
      <c r="D4420" s="6" t="s">
        <v>9428</v>
      </c>
      <c r="E4420" s="6" t="s">
        <v>112</v>
      </c>
      <c r="F4420" s="6" t="s">
        <v>65</v>
      </c>
      <c r="G4420" s="7">
        <v>0.05</v>
      </c>
      <c r="H4420" s="6" t="s">
        <v>119</v>
      </c>
      <c r="I4420" s="6" t="s">
        <v>20</v>
      </c>
      <c r="J4420" s="6">
        <v>1995.0</v>
      </c>
      <c r="L4420" s="6">
        <v>2.0</v>
      </c>
      <c r="M4420" s="8">
        <f t="shared" si="5"/>
        <v>0.1</v>
      </c>
      <c r="P4420" s="9"/>
    </row>
    <row r="4421">
      <c r="A4421" s="6" t="s">
        <v>9427</v>
      </c>
      <c r="B4421" s="6" t="s">
        <v>2489</v>
      </c>
      <c r="C4421" s="6" t="s">
        <v>23</v>
      </c>
      <c r="D4421" s="6" t="s">
        <v>9428</v>
      </c>
      <c r="E4421" s="6" t="s">
        <v>112</v>
      </c>
      <c r="F4421" s="6" t="s">
        <v>65</v>
      </c>
      <c r="G4421" s="7">
        <v>0.17</v>
      </c>
      <c r="H4421" s="6" t="s">
        <v>120</v>
      </c>
      <c r="I4421" s="6" t="s">
        <v>20</v>
      </c>
      <c r="J4421" s="6">
        <v>1995.0</v>
      </c>
      <c r="L4421" s="6">
        <v>6.0</v>
      </c>
      <c r="M4421" s="8">
        <f t="shared" si="5"/>
        <v>1.02</v>
      </c>
      <c r="P4421" s="9"/>
    </row>
    <row r="4422">
      <c r="A4422" s="6" t="s">
        <v>9429</v>
      </c>
      <c r="B4422" s="6" t="s">
        <v>592</v>
      </c>
      <c r="C4422" s="6" t="s">
        <v>449</v>
      </c>
      <c r="D4422" s="6" t="s">
        <v>9430</v>
      </c>
      <c r="E4422" s="6" t="s">
        <v>2288</v>
      </c>
      <c r="F4422" s="6" t="s">
        <v>904</v>
      </c>
      <c r="G4422" s="7">
        <v>29.98</v>
      </c>
      <c r="H4422" s="6" t="s">
        <v>2680</v>
      </c>
      <c r="I4422" s="6" t="s">
        <v>20</v>
      </c>
      <c r="J4422" s="6">
        <v>1998.0</v>
      </c>
      <c r="L4422" s="6">
        <v>1.0</v>
      </c>
      <c r="M4422" s="8">
        <f t="shared" si="5"/>
        <v>29.98</v>
      </c>
      <c r="P4422" s="9"/>
    </row>
    <row r="4423">
      <c r="A4423" s="6" t="s">
        <v>9431</v>
      </c>
      <c r="B4423" s="6" t="s">
        <v>5780</v>
      </c>
      <c r="C4423" s="6" t="s">
        <v>1956</v>
      </c>
      <c r="D4423" s="6" t="s">
        <v>9432</v>
      </c>
      <c r="E4423" s="6" t="s">
        <v>1321</v>
      </c>
      <c r="F4423" s="6" t="s">
        <v>103</v>
      </c>
      <c r="G4423" s="7">
        <v>17.99</v>
      </c>
      <c r="H4423" s="6" t="s">
        <v>192</v>
      </c>
      <c r="I4423" s="6" t="s">
        <v>20</v>
      </c>
      <c r="J4423" s="6">
        <v>2026.0</v>
      </c>
      <c r="L4423" s="6">
        <v>1.0</v>
      </c>
      <c r="M4423" s="8">
        <f t="shared" si="5"/>
        <v>17.99</v>
      </c>
      <c r="P4423" s="9"/>
    </row>
    <row r="4424">
      <c r="A4424" s="6" t="s">
        <v>9433</v>
      </c>
      <c r="B4424" s="6" t="s">
        <v>165</v>
      </c>
      <c r="C4424" s="6" t="s">
        <v>15</v>
      </c>
      <c r="D4424" s="6" t="s">
        <v>9434</v>
      </c>
      <c r="E4424" s="6" t="s">
        <v>9435</v>
      </c>
      <c r="F4424" s="6" t="s">
        <v>51</v>
      </c>
      <c r="G4424" s="7">
        <v>0.12</v>
      </c>
      <c r="H4424" s="6" t="s">
        <v>209</v>
      </c>
      <c r="I4424" s="6" t="s">
        <v>20</v>
      </c>
      <c r="J4424" s="6">
        <v>2025.0</v>
      </c>
      <c r="L4424" s="6">
        <v>1.0</v>
      </c>
      <c r="M4424" s="8">
        <f t="shared" si="5"/>
        <v>0.12</v>
      </c>
      <c r="P4424" s="9"/>
    </row>
    <row r="4425">
      <c r="A4425" s="6" t="s">
        <v>9436</v>
      </c>
      <c r="B4425" s="6" t="s">
        <v>9437</v>
      </c>
      <c r="C4425" s="6" t="s">
        <v>23</v>
      </c>
      <c r="D4425" s="6" t="s">
        <v>9438</v>
      </c>
      <c r="F4425" s="6" t="s">
        <v>103</v>
      </c>
      <c r="G4425" s="7">
        <v>0.1</v>
      </c>
      <c r="H4425" s="6" t="s">
        <v>1050</v>
      </c>
      <c r="I4425" s="6" t="s">
        <v>20</v>
      </c>
      <c r="J4425" s="6">
        <v>2023.0</v>
      </c>
      <c r="L4425" s="6">
        <v>1.0</v>
      </c>
      <c r="M4425" s="8">
        <f t="shared" si="5"/>
        <v>0.1</v>
      </c>
      <c r="P4425" s="9"/>
    </row>
    <row r="4426">
      <c r="A4426" s="6" t="s">
        <v>9439</v>
      </c>
      <c r="B4426" s="6" t="s">
        <v>1683</v>
      </c>
      <c r="C4426" s="6" t="s">
        <v>41</v>
      </c>
      <c r="D4426" s="6" t="s">
        <v>9440</v>
      </c>
      <c r="E4426" s="6" t="s">
        <v>298</v>
      </c>
      <c r="F4426" s="6" t="s">
        <v>159</v>
      </c>
      <c r="G4426" s="7">
        <v>2.49</v>
      </c>
      <c r="H4426" s="6" t="s">
        <v>45</v>
      </c>
      <c r="I4426" s="6" t="s">
        <v>20</v>
      </c>
      <c r="J4426" s="6">
        <v>2025.0</v>
      </c>
      <c r="K4426" s="10">
        <v>46055.0</v>
      </c>
      <c r="L4426" s="6">
        <v>1.0</v>
      </c>
      <c r="M4426" s="8">
        <f t="shared" si="5"/>
        <v>2.49</v>
      </c>
      <c r="P4426" s="9"/>
    </row>
    <row r="4427">
      <c r="A4427" s="6" t="s">
        <v>9441</v>
      </c>
      <c r="B4427" s="6" t="s">
        <v>613</v>
      </c>
      <c r="C4427" s="6" t="s">
        <v>48</v>
      </c>
      <c r="D4427" s="6" t="s">
        <v>9442</v>
      </c>
      <c r="E4427" s="6" t="s">
        <v>573</v>
      </c>
      <c r="F4427" s="6" t="s">
        <v>51</v>
      </c>
      <c r="G4427" s="7">
        <v>1.0</v>
      </c>
      <c r="H4427" s="6" t="s">
        <v>26</v>
      </c>
      <c r="I4427" s="6" t="s">
        <v>20</v>
      </c>
      <c r="J4427" s="6">
        <v>2026.0</v>
      </c>
      <c r="K4427" s="10">
        <v>46084.0</v>
      </c>
      <c r="L4427" s="6">
        <v>1.0</v>
      </c>
      <c r="M4427" s="8">
        <f t="shared" si="5"/>
        <v>1</v>
      </c>
      <c r="P4427" s="9"/>
    </row>
    <row r="4428">
      <c r="A4428" s="6" t="s">
        <v>9443</v>
      </c>
      <c r="B4428" s="6" t="s">
        <v>815</v>
      </c>
      <c r="C4428" s="6" t="s">
        <v>48</v>
      </c>
      <c r="D4428" s="6" t="s">
        <v>9444</v>
      </c>
      <c r="E4428" s="6" t="s">
        <v>9445</v>
      </c>
      <c r="F4428" s="6" t="s">
        <v>103</v>
      </c>
      <c r="G4428" s="7">
        <v>0.19</v>
      </c>
      <c r="H4428" s="6" t="s">
        <v>197</v>
      </c>
      <c r="I4428" s="6" t="s">
        <v>20</v>
      </c>
      <c r="J4428" s="6">
        <v>1995.0</v>
      </c>
      <c r="K4428" s="10">
        <v>46083.0</v>
      </c>
      <c r="L4428" s="6">
        <v>2.0</v>
      </c>
      <c r="M4428" s="8">
        <f t="shared" si="5"/>
        <v>0.38</v>
      </c>
      <c r="P4428" s="9"/>
    </row>
    <row r="4429">
      <c r="A4429" s="6" t="s">
        <v>9446</v>
      </c>
      <c r="B4429" s="6" t="s">
        <v>165</v>
      </c>
      <c r="C4429" s="6" t="s">
        <v>15</v>
      </c>
      <c r="D4429" s="6" t="s">
        <v>9447</v>
      </c>
      <c r="E4429" s="6" t="s">
        <v>8832</v>
      </c>
      <c r="F4429" s="6" t="s">
        <v>103</v>
      </c>
      <c r="G4429" s="7">
        <v>0.2</v>
      </c>
      <c r="H4429" s="6" t="s">
        <v>209</v>
      </c>
      <c r="I4429" s="6" t="s">
        <v>20</v>
      </c>
      <c r="J4429" s="6">
        <v>2025.0</v>
      </c>
      <c r="L4429" s="6">
        <v>4.0</v>
      </c>
      <c r="M4429" s="8">
        <f t="shared" si="5"/>
        <v>0.8</v>
      </c>
      <c r="P4429" s="9"/>
    </row>
    <row r="4430">
      <c r="A4430" s="6" t="s">
        <v>9448</v>
      </c>
      <c r="B4430" s="6" t="s">
        <v>8773</v>
      </c>
      <c r="C4430" s="6" t="s">
        <v>41</v>
      </c>
      <c r="D4430" s="6" t="s">
        <v>9449</v>
      </c>
      <c r="E4430" s="6" t="s">
        <v>64</v>
      </c>
      <c r="F4430" s="6" t="s">
        <v>65</v>
      </c>
      <c r="G4430" s="7">
        <v>0.19</v>
      </c>
      <c r="H4430" s="6" t="s">
        <v>200</v>
      </c>
      <c r="I4430" s="6" t="s">
        <v>20</v>
      </c>
      <c r="J4430" s="6">
        <v>2018.0</v>
      </c>
      <c r="L4430" s="6">
        <v>2.0</v>
      </c>
      <c r="M4430" s="8">
        <f t="shared" si="5"/>
        <v>0.38</v>
      </c>
      <c r="P4430" s="9"/>
    </row>
    <row r="4431">
      <c r="A4431" s="6" t="s">
        <v>9448</v>
      </c>
      <c r="B4431" s="6" t="s">
        <v>8773</v>
      </c>
      <c r="C4431" s="6" t="s">
        <v>41</v>
      </c>
      <c r="D4431" s="6" t="s">
        <v>9449</v>
      </c>
      <c r="E4431" s="6" t="s">
        <v>64</v>
      </c>
      <c r="F4431" s="6" t="s">
        <v>65</v>
      </c>
      <c r="G4431" s="7">
        <v>0.39</v>
      </c>
      <c r="H4431" s="6" t="s">
        <v>200</v>
      </c>
      <c r="I4431" s="6" t="s">
        <v>55</v>
      </c>
      <c r="J4431" s="6">
        <v>2018.0</v>
      </c>
      <c r="L4431" s="6">
        <v>1.0</v>
      </c>
      <c r="M4431" s="8">
        <f t="shared" si="5"/>
        <v>0.39</v>
      </c>
      <c r="P4431" s="9"/>
    </row>
    <row r="4432">
      <c r="A4432" s="6" t="s">
        <v>9450</v>
      </c>
      <c r="B4432" s="6" t="s">
        <v>8773</v>
      </c>
      <c r="C4432" s="6" t="s">
        <v>41</v>
      </c>
      <c r="D4432" s="6" t="s">
        <v>9451</v>
      </c>
      <c r="E4432" s="6" t="s">
        <v>270</v>
      </c>
      <c r="F4432" s="6" t="s">
        <v>159</v>
      </c>
      <c r="G4432" s="7">
        <v>0.24</v>
      </c>
      <c r="H4432" s="6" t="s">
        <v>526</v>
      </c>
      <c r="I4432" s="6" t="s">
        <v>20</v>
      </c>
      <c r="J4432" s="6">
        <v>2020.0</v>
      </c>
      <c r="L4432" s="6">
        <v>1.0</v>
      </c>
      <c r="M4432" s="8">
        <f t="shared" si="5"/>
        <v>0.24</v>
      </c>
      <c r="P4432" s="9"/>
    </row>
    <row r="4433">
      <c r="A4433" s="6" t="s">
        <v>9452</v>
      </c>
      <c r="B4433" s="6" t="s">
        <v>8773</v>
      </c>
      <c r="C4433" s="6" t="s">
        <v>48</v>
      </c>
      <c r="D4433" s="6" t="s">
        <v>9453</v>
      </c>
      <c r="E4433" s="6" t="s">
        <v>112</v>
      </c>
      <c r="F4433" s="6" t="s">
        <v>65</v>
      </c>
      <c r="G4433" s="7">
        <v>0.2</v>
      </c>
      <c r="H4433" s="6" t="s">
        <v>200</v>
      </c>
      <c r="I4433" s="6" t="s">
        <v>20</v>
      </c>
      <c r="J4433" s="6">
        <v>2018.0</v>
      </c>
      <c r="L4433" s="6">
        <v>1.0</v>
      </c>
      <c r="M4433" s="8">
        <f t="shared" si="5"/>
        <v>0.2</v>
      </c>
      <c r="P4433" s="9"/>
    </row>
    <row r="4434">
      <c r="A4434" s="6" t="s">
        <v>9454</v>
      </c>
      <c r="B4434" s="6" t="s">
        <v>229</v>
      </c>
      <c r="C4434" s="6" t="s">
        <v>15</v>
      </c>
      <c r="D4434" s="6" t="s">
        <v>9455</v>
      </c>
      <c r="E4434" s="6" t="s">
        <v>231</v>
      </c>
      <c r="F4434" s="6" t="s">
        <v>37</v>
      </c>
      <c r="G4434" s="7">
        <v>0.5</v>
      </c>
      <c r="H4434" s="6" t="s">
        <v>209</v>
      </c>
      <c r="I4434" s="6" t="s">
        <v>20</v>
      </c>
      <c r="J4434" s="6">
        <v>2025.0</v>
      </c>
      <c r="L4434" s="6">
        <v>3.0</v>
      </c>
      <c r="M4434" s="8">
        <f t="shared" si="5"/>
        <v>1.5</v>
      </c>
      <c r="P4434" s="9"/>
    </row>
    <row r="4435">
      <c r="A4435" s="6" t="s">
        <v>9456</v>
      </c>
      <c r="B4435" s="6" t="s">
        <v>9457</v>
      </c>
      <c r="C4435" s="6" t="s">
        <v>48</v>
      </c>
      <c r="D4435" s="6" t="s">
        <v>9458</v>
      </c>
      <c r="F4435" s="6" t="s">
        <v>37</v>
      </c>
      <c r="G4435" s="7">
        <v>0.75</v>
      </c>
      <c r="H4435" s="6" t="s">
        <v>19</v>
      </c>
      <c r="I4435" s="6" t="s">
        <v>20</v>
      </c>
      <c r="J4435" s="6">
        <v>2023.0</v>
      </c>
      <c r="L4435" s="6">
        <v>2.0</v>
      </c>
      <c r="M4435" s="8">
        <f t="shared" si="5"/>
        <v>1.5</v>
      </c>
      <c r="P4435" s="9"/>
    </row>
    <row r="4436">
      <c r="A4436" s="6" t="s">
        <v>9459</v>
      </c>
      <c r="B4436" s="6" t="s">
        <v>307</v>
      </c>
      <c r="C4436" s="6" t="s">
        <v>41</v>
      </c>
      <c r="D4436" s="6" t="s">
        <v>9460</v>
      </c>
      <c r="E4436" s="6" t="s">
        <v>890</v>
      </c>
      <c r="F4436" s="6" t="s">
        <v>37</v>
      </c>
      <c r="G4436" s="7">
        <v>0.39</v>
      </c>
      <c r="H4436" s="6" t="s">
        <v>119</v>
      </c>
      <c r="I4436" s="6" t="s">
        <v>20</v>
      </c>
      <c r="J4436" s="6">
        <v>1995.0</v>
      </c>
      <c r="L4436" s="6">
        <v>1.0</v>
      </c>
      <c r="M4436" s="8">
        <f t="shared" si="5"/>
        <v>0.39</v>
      </c>
      <c r="N4436" s="6" t="s">
        <v>172</v>
      </c>
      <c r="P4436" s="9"/>
    </row>
    <row r="4437">
      <c r="A4437" s="6" t="s">
        <v>9459</v>
      </c>
      <c r="B4437" s="6" t="s">
        <v>307</v>
      </c>
      <c r="C4437" s="6" t="s">
        <v>41</v>
      </c>
      <c r="D4437" s="6" t="s">
        <v>9460</v>
      </c>
      <c r="E4437" s="6" t="s">
        <v>890</v>
      </c>
      <c r="F4437" s="6" t="s">
        <v>37</v>
      </c>
      <c r="G4437" s="7">
        <v>1.5</v>
      </c>
      <c r="H4437" s="6" t="s">
        <v>120</v>
      </c>
      <c r="I4437" s="6" t="s">
        <v>20</v>
      </c>
      <c r="J4437" s="6">
        <v>1995.0</v>
      </c>
      <c r="L4437" s="6">
        <v>1.0</v>
      </c>
      <c r="M4437" s="8">
        <f t="shared" si="5"/>
        <v>1.5</v>
      </c>
      <c r="N4437" s="6" t="s">
        <v>172</v>
      </c>
      <c r="P4437" s="9"/>
    </row>
    <row r="4438">
      <c r="A4438" s="6" t="s">
        <v>9461</v>
      </c>
      <c r="B4438" s="6" t="s">
        <v>9462</v>
      </c>
      <c r="C4438" s="6" t="s">
        <v>15</v>
      </c>
      <c r="D4438" s="6" t="s">
        <v>9463</v>
      </c>
      <c r="E4438" s="6" t="s">
        <v>208</v>
      </c>
      <c r="F4438" s="6" t="s">
        <v>51</v>
      </c>
      <c r="G4438" s="7">
        <v>1.36</v>
      </c>
      <c r="H4438" s="6" t="s">
        <v>209</v>
      </c>
      <c r="I4438" s="6" t="s">
        <v>20</v>
      </c>
      <c r="J4438" s="6">
        <v>2025.0</v>
      </c>
      <c r="K4438" s="6" t="s">
        <v>597</v>
      </c>
      <c r="L4438" s="6">
        <v>1.0</v>
      </c>
      <c r="M4438" s="8">
        <f t="shared" si="5"/>
        <v>1.36</v>
      </c>
      <c r="P4438" s="9"/>
    </row>
    <row r="4439">
      <c r="A4439" s="6" t="s">
        <v>9464</v>
      </c>
      <c r="B4439" s="6" t="s">
        <v>946</v>
      </c>
      <c r="C4439" s="6" t="s">
        <v>287</v>
      </c>
      <c r="D4439" s="6" t="s">
        <v>9465</v>
      </c>
      <c r="E4439" s="6" t="s">
        <v>9466</v>
      </c>
      <c r="F4439" s="6" t="s">
        <v>2232</v>
      </c>
      <c r="G4439" s="7">
        <v>11.69</v>
      </c>
      <c r="H4439" s="6" t="s">
        <v>4237</v>
      </c>
      <c r="I4439" s="6" t="s">
        <v>20</v>
      </c>
      <c r="J4439" s="6">
        <v>1994.0</v>
      </c>
      <c r="K4439" s="10">
        <v>46147.0</v>
      </c>
      <c r="L4439" s="6">
        <v>1.0</v>
      </c>
      <c r="M4439" s="8">
        <f t="shared" si="5"/>
        <v>11.69</v>
      </c>
      <c r="N4439" s="6" t="s">
        <v>172</v>
      </c>
      <c r="P4439" s="9"/>
    </row>
    <row r="4440">
      <c r="A4440" s="6" t="s">
        <v>9467</v>
      </c>
      <c r="B4440" s="6" t="s">
        <v>194</v>
      </c>
      <c r="C4440" s="6" t="s">
        <v>48</v>
      </c>
      <c r="D4440" s="6" t="s">
        <v>9468</v>
      </c>
      <c r="E4440" s="6" t="s">
        <v>50</v>
      </c>
      <c r="F4440" s="6" t="s">
        <v>51</v>
      </c>
      <c r="G4440" s="7">
        <v>0.2</v>
      </c>
      <c r="H4440" s="6" t="s">
        <v>192</v>
      </c>
      <c r="I4440" s="6" t="s">
        <v>20</v>
      </c>
      <c r="J4440" s="6">
        <v>2026.0</v>
      </c>
      <c r="L4440" s="6">
        <v>2.0</v>
      </c>
      <c r="M4440" s="8">
        <f t="shared" si="5"/>
        <v>0.4</v>
      </c>
      <c r="P4440" s="9"/>
    </row>
    <row r="4441">
      <c r="A4441" s="6" t="s">
        <v>9469</v>
      </c>
      <c r="B4441" s="6" t="s">
        <v>4627</v>
      </c>
      <c r="C4441" s="6" t="s">
        <v>212</v>
      </c>
      <c r="D4441" s="6" t="s">
        <v>9470</v>
      </c>
      <c r="E4441" s="6" t="s">
        <v>17</v>
      </c>
      <c r="F4441" s="6" t="s">
        <v>18</v>
      </c>
      <c r="G4441" s="7">
        <v>0.5</v>
      </c>
      <c r="H4441" s="6" t="s">
        <v>209</v>
      </c>
      <c r="I4441" s="6" t="s">
        <v>20</v>
      </c>
      <c r="J4441" s="6">
        <v>2025.0</v>
      </c>
      <c r="K4441" s="10">
        <v>46145.0</v>
      </c>
      <c r="L4441" s="6">
        <v>1.0</v>
      </c>
      <c r="M4441" s="8">
        <f t="shared" si="5"/>
        <v>0.5</v>
      </c>
      <c r="P4441" s="9"/>
    </row>
    <row r="4442">
      <c r="A4442" s="6" t="s">
        <v>9471</v>
      </c>
      <c r="B4442" s="6" t="s">
        <v>4446</v>
      </c>
      <c r="C4442" s="6" t="s">
        <v>212</v>
      </c>
      <c r="D4442" s="6" t="s">
        <v>9472</v>
      </c>
      <c r="E4442" s="6">
        <v>3.0</v>
      </c>
      <c r="F4442" s="6" t="s">
        <v>37</v>
      </c>
      <c r="G4442" s="7">
        <v>2.82</v>
      </c>
      <c r="H4442" s="6" t="s">
        <v>209</v>
      </c>
      <c r="I4442" s="6" t="s">
        <v>20</v>
      </c>
      <c r="J4442" s="6">
        <v>2025.0</v>
      </c>
      <c r="L4442" s="6">
        <v>1.0</v>
      </c>
      <c r="M4442" s="8">
        <f t="shared" si="5"/>
        <v>2.82</v>
      </c>
      <c r="P4442" s="9"/>
    </row>
    <row r="4443">
      <c r="A4443" s="6" t="s">
        <v>9473</v>
      </c>
      <c r="B4443" s="6" t="s">
        <v>1066</v>
      </c>
      <c r="C4443" s="6" t="s">
        <v>15</v>
      </c>
      <c r="D4443" s="6" t="s">
        <v>9474</v>
      </c>
      <c r="E4443" s="6" t="s">
        <v>9475</v>
      </c>
      <c r="F4443" s="6" t="s">
        <v>103</v>
      </c>
      <c r="G4443" s="7">
        <v>0.44</v>
      </c>
      <c r="H4443" s="6" t="s">
        <v>38</v>
      </c>
      <c r="I4443" s="6" t="s">
        <v>20</v>
      </c>
      <c r="J4443" s="6">
        <v>2026.0</v>
      </c>
      <c r="K4443" s="10">
        <v>46178.0</v>
      </c>
      <c r="L4443" s="6">
        <v>1.0</v>
      </c>
      <c r="M4443" s="8">
        <f t="shared" si="5"/>
        <v>0.44</v>
      </c>
      <c r="P4443" s="9"/>
    </row>
    <row r="4444">
      <c r="A4444" s="6" t="s">
        <v>9476</v>
      </c>
      <c r="B4444" s="6" t="s">
        <v>8773</v>
      </c>
      <c r="C4444" s="6" t="s">
        <v>41</v>
      </c>
      <c r="D4444" s="6" t="s">
        <v>9477</v>
      </c>
      <c r="E4444" s="6" t="s">
        <v>558</v>
      </c>
      <c r="F4444" s="6" t="s">
        <v>18</v>
      </c>
      <c r="G4444" s="7">
        <v>0.27</v>
      </c>
      <c r="H4444" s="6" t="s">
        <v>200</v>
      </c>
      <c r="I4444" s="6" t="s">
        <v>20</v>
      </c>
      <c r="J4444" s="6">
        <v>2018.0</v>
      </c>
      <c r="L4444" s="6">
        <v>1.0</v>
      </c>
      <c r="M4444" s="8">
        <f t="shared" si="5"/>
        <v>0.27</v>
      </c>
      <c r="P4444" s="9"/>
    </row>
    <row r="4445">
      <c r="A4445" s="6" t="s">
        <v>9478</v>
      </c>
      <c r="B4445" s="6" t="s">
        <v>9479</v>
      </c>
      <c r="C4445" s="6" t="s">
        <v>48</v>
      </c>
      <c r="D4445" s="6" t="s">
        <v>9480</v>
      </c>
      <c r="E4445" s="6" t="s">
        <v>2195</v>
      </c>
      <c r="F4445" s="6" t="s">
        <v>986</v>
      </c>
      <c r="G4445" s="7">
        <v>0.15</v>
      </c>
      <c r="H4445" s="6" t="s">
        <v>192</v>
      </c>
      <c r="I4445" s="6" t="s">
        <v>20</v>
      </c>
      <c r="J4445" s="6">
        <v>2026.0</v>
      </c>
      <c r="K4445" s="10">
        <v>46114.0</v>
      </c>
      <c r="L4445" s="6">
        <v>1.0</v>
      </c>
      <c r="M4445" s="8">
        <f t="shared" si="5"/>
        <v>0.15</v>
      </c>
      <c r="P4445" s="9"/>
    </row>
    <row r="4446">
      <c r="A4446" s="6" t="s">
        <v>9481</v>
      </c>
      <c r="B4446" s="6" t="s">
        <v>4627</v>
      </c>
      <c r="C4446" s="6" t="s">
        <v>15</v>
      </c>
      <c r="D4446" s="6" t="s">
        <v>9482</v>
      </c>
      <c r="E4446" s="6" t="s">
        <v>3574</v>
      </c>
      <c r="F4446" s="6" t="s">
        <v>18</v>
      </c>
      <c r="G4446" s="7">
        <v>0.1</v>
      </c>
      <c r="H4446" s="6" t="s">
        <v>209</v>
      </c>
      <c r="I4446" s="6" t="s">
        <v>20</v>
      </c>
      <c r="J4446" s="6">
        <v>2025.0</v>
      </c>
      <c r="K4446" s="10">
        <v>46086.0</v>
      </c>
      <c r="L4446" s="6">
        <v>1.0</v>
      </c>
      <c r="M4446" s="8">
        <f t="shared" si="5"/>
        <v>0.1</v>
      </c>
      <c r="P4446" s="9"/>
    </row>
    <row r="4447">
      <c r="A4447" s="6" t="s">
        <v>9483</v>
      </c>
      <c r="B4447" s="6" t="s">
        <v>4627</v>
      </c>
      <c r="C4447" s="6" t="s">
        <v>212</v>
      </c>
      <c r="D4447" s="6" t="s">
        <v>9484</v>
      </c>
      <c r="E4447" s="6">
        <v>4.0</v>
      </c>
      <c r="F4447" s="6" t="s">
        <v>37</v>
      </c>
      <c r="G4447" s="7">
        <v>4.95</v>
      </c>
      <c r="H4447" s="6" t="s">
        <v>209</v>
      </c>
      <c r="I4447" s="6" t="s">
        <v>20</v>
      </c>
      <c r="J4447" s="6">
        <v>2025.0</v>
      </c>
      <c r="K4447" s="10">
        <v>46116.0</v>
      </c>
      <c r="L4447" s="6">
        <v>1.0</v>
      </c>
      <c r="M4447" s="8">
        <f t="shared" si="5"/>
        <v>4.95</v>
      </c>
      <c r="P4447" s="9"/>
    </row>
    <row r="4448">
      <c r="A4448" s="6" t="s">
        <v>9485</v>
      </c>
      <c r="B4448" s="6" t="s">
        <v>9486</v>
      </c>
      <c r="C4448" s="6" t="s">
        <v>1956</v>
      </c>
      <c r="D4448" s="6" t="s">
        <v>9487</v>
      </c>
      <c r="E4448" s="6" t="s">
        <v>4155</v>
      </c>
      <c r="F4448" s="6" t="s">
        <v>426</v>
      </c>
      <c r="G4448" s="7">
        <v>1.0</v>
      </c>
      <c r="H4448" s="6" t="s">
        <v>265</v>
      </c>
      <c r="I4448" s="6" t="s">
        <v>20</v>
      </c>
      <c r="J4448" s="6">
        <v>2017.0</v>
      </c>
      <c r="K4448" s="10">
        <v>46148.0</v>
      </c>
      <c r="L4448" s="6">
        <v>1.0</v>
      </c>
      <c r="M4448" s="8">
        <f t="shared" si="5"/>
        <v>1</v>
      </c>
      <c r="N4448" s="6" t="s">
        <v>172</v>
      </c>
      <c r="P4448" s="9"/>
    </row>
    <row r="4449">
      <c r="A4449" s="6" t="s">
        <v>9488</v>
      </c>
      <c r="B4449" s="6" t="s">
        <v>9489</v>
      </c>
      <c r="C4449" s="6" t="s">
        <v>23</v>
      </c>
      <c r="D4449" s="6" t="s">
        <v>9490</v>
      </c>
      <c r="E4449" s="6" t="s">
        <v>502</v>
      </c>
      <c r="F4449" s="6" t="s">
        <v>65</v>
      </c>
      <c r="G4449" s="7">
        <v>0.06</v>
      </c>
      <c r="H4449" s="6" t="s">
        <v>418</v>
      </c>
      <c r="I4449" s="6" t="s">
        <v>20</v>
      </c>
      <c r="J4449" s="6">
        <v>2022.0</v>
      </c>
      <c r="K4449" s="10">
        <v>46084.0</v>
      </c>
      <c r="L4449" s="6">
        <v>1.0</v>
      </c>
      <c r="M4449" s="8">
        <f t="shared" si="5"/>
        <v>0.06</v>
      </c>
      <c r="P4449" s="9"/>
    </row>
    <row r="4450">
      <c r="A4450" s="6" t="s">
        <v>9491</v>
      </c>
      <c r="B4450" s="6" t="s">
        <v>5694</v>
      </c>
      <c r="C4450" s="6" t="s">
        <v>48</v>
      </c>
      <c r="D4450" s="6" t="s">
        <v>9492</v>
      </c>
      <c r="E4450" s="6" t="s">
        <v>25</v>
      </c>
      <c r="F4450" s="6" t="s">
        <v>18</v>
      </c>
      <c r="G4450" s="7">
        <v>0.2</v>
      </c>
      <c r="H4450" s="6" t="s">
        <v>45</v>
      </c>
      <c r="I4450" s="6" t="s">
        <v>20</v>
      </c>
      <c r="J4450" s="6">
        <v>2025.0</v>
      </c>
      <c r="L4450" s="6">
        <v>1.0</v>
      </c>
      <c r="M4450" s="8">
        <f t="shared" si="5"/>
        <v>0.2</v>
      </c>
      <c r="P4450" s="9"/>
    </row>
    <row r="4451">
      <c r="A4451" s="6" t="s">
        <v>9493</v>
      </c>
      <c r="B4451" s="6" t="s">
        <v>8773</v>
      </c>
      <c r="C4451" s="6" t="s">
        <v>48</v>
      </c>
      <c r="D4451" s="6" t="s">
        <v>9494</v>
      </c>
      <c r="E4451" s="6" t="s">
        <v>650</v>
      </c>
      <c r="F4451" s="6" t="s">
        <v>284</v>
      </c>
      <c r="G4451" s="7">
        <v>0.1</v>
      </c>
      <c r="H4451" s="6" t="s">
        <v>881</v>
      </c>
      <c r="I4451" s="6" t="s">
        <v>20</v>
      </c>
      <c r="J4451" s="6">
        <v>2021.0</v>
      </c>
      <c r="L4451" s="6">
        <v>1.0</v>
      </c>
      <c r="M4451" s="8">
        <f t="shared" si="5"/>
        <v>0.1</v>
      </c>
      <c r="P4451" s="9"/>
    </row>
    <row r="4452">
      <c r="A4452" s="6" t="s">
        <v>9495</v>
      </c>
      <c r="B4452" s="6" t="s">
        <v>9496</v>
      </c>
      <c r="C4452" s="6" t="s">
        <v>212</v>
      </c>
      <c r="D4452" s="6" t="s">
        <v>9497</v>
      </c>
      <c r="E4452" s="6" t="s">
        <v>9498</v>
      </c>
      <c r="F4452" s="6" t="s">
        <v>4194</v>
      </c>
      <c r="G4452" s="7">
        <v>2.9</v>
      </c>
      <c r="H4452" s="6" t="s">
        <v>209</v>
      </c>
      <c r="I4452" s="6" t="s">
        <v>20</v>
      </c>
      <c r="J4452" s="6">
        <v>2025.0</v>
      </c>
      <c r="K4452" s="10">
        <v>46082.0</v>
      </c>
      <c r="L4452" s="6">
        <v>1.0</v>
      </c>
      <c r="M4452" s="8">
        <f t="shared" si="5"/>
        <v>2.9</v>
      </c>
      <c r="P4452" s="9"/>
    </row>
    <row r="4453">
      <c r="A4453" s="6" t="s">
        <v>9499</v>
      </c>
      <c r="B4453" s="6" t="s">
        <v>613</v>
      </c>
      <c r="C4453" s="6" t="s">
        <v>48</v>
      </c>
      <c r="D4453" s="6" t="s">
        <v>9500</v>
      </c>
      <c r="E4453" s="6" t="s">
        <v>79</v>
      </c>
      <c r="F4453" s="6" t="s">
        <v>51</v>
      </c>
      <c r="G4453" s="7">
        <v>1.98</v>
      </c>
      <c r="H4453" s="6" t="s">
        <v>26</v>
      </c>
      <c r="I4453" s="6" t="s">
        <v>20</v>
      </c>
      <c r="J4453" s="6">
        <v>2026.0</v>
      </c>
      <c r="K4453" s="10">
        <v>46023.0</v>
      </c>
      <c r="L4453" s="6">
        <v>1.0</v>
      </c>
      <c r="M4453" s="8">
        <f t="shared" si="5"/>
        <v>1.98</v>
      </c>
      <c r="P4453" s="9"/>
    </row>
    <row r="4454">
      <c r="A4454" s="6" t="s">
        <v>9501</v>
      </c>
      <c r="B4454" s="6" t="s">
        <v>9502</v>
      </c>
      <c r="C4454" s="6" t="s">
        <v>23</v>
      </c>
      <c r="D4454" s="6" t="s">
        <v>9503</v>
      </c>
      <c r="F4454" s="6" t="s">
        <v>37</v>
      </c>
      <c r="G4454" s="7">
        <v>0.04</v>
      </c>
      <c r="H4454" s="6" t="s">
        <v>9504</v>
      </c>
      <c r="I4454" s="6" t="s">
        <v>20</v>
      </c>
      <c r="J4454" s="6">
        <v>2023.0</v>
      </c>
      <c r="L4454" s="6">
        <v>1.0</v>
      </c>
      <c r="M4454" s="8">
        <f t="shared" si="5"/>
        <v>0.04</v>
      </c>
      <c r="P4454" s="9"/>
    </row>
    <row r="4455">
      <c r="A4455" s="6" t="s">
        <v>9505</v>
      </c>
      <c r="B4455" s="6" t="s">
        <v>8773</v>
      </c>
      <c r="C4455" s="6" t="s">
        <v>48</v>
      </c>
      <c r="D4455" s="6" t="s">
        <v>9506</v>
      </c>
      <c r="E4455" s="6" t="s">
        <v>102</v>
      </c>
      <c r="F4455" s="6" t="s">
        <v>103</v>
      </c>
      <c r="G4455" s="7">
        <v>0.1</v>
      </c>
      <c r="H4455" s="6" t="s">
        <v>1194</v>
      </c>
      <c r="I4455" s="6" t="s">
        <v>20</v>
      </c>
      <c r="J4455" s="6">
        <v>2023.0</v>
      </c>
      <c r="L4455" s="6">
        <v>1.0</v>
      </c>
      <c r="M4455" s="8">
        <f t="shared" si="5"/>
        <v>0.1</v>
      </c>
      <c r="P4455" s="9"/>
    </row>
    <row r="4456">
      <c r="A4456" s="6" t="s">
        <v>9507</v>
      </c>
      <c r="B4456" s="6" t="s">
        <v>202</v>
      </c>
      <c r="C4456" s="6" t="s">
        <v>41</v>
      </c>
      <c r="D4456" s="6" t="s">
        <v>9508</v>
      </c>
      <c r="E4456" s="6" t="s">
        <v>5713</v>
      </c>
      <c r="F4456" s="6" t="s">
        <v>426</v>
      </c>
      <c r="G4456" s="7">
        <v>0.25</v>
      </c>
      <c r="H4456" s="6" t="s">
        <v>9509</v>
      </c>
      <c r="I4456" s="6" t="s">
        <v>20</v>
      </c>
      <c r="J4456" s="6">
        <v>2021.0</v>
      </c>
      <c r="L4456" s="6">
        <v>1.0</v>
      </c>
      <c r="M4456" s="8">
        <f t="shared" si="5"/>
        <v>0.25</v>
      </c>
      <c r="N4456" s="6" t="s">
        <v>518</v>
      </c>
      <c r="P4456" s="9"/>
    </row>
    <row r="4457">
      <c r="A4457" s="6" t="s">
        <v>9507</v>
      </c>
      <c r="B4457" s="6" t="s">
        <v>202</v>
      </c>
      <c r="C4457" s="6" t="s">
        <v>41</v>
      </c>
      <c r="D4457" s="6" t="s">
        <v>9508</v>
      </c>
      <c r="E4457" s="6" t="s">
        <v>5713</v>
      </c>
      <c r="F4457" s="6" t="s">
        <v>426</v>
      </c>
      <c r="G4457" s="7">
        <v>0.25</v>
      </c>
      <c r="H4457" s="6" t="s">
        <v>185</v>
      </c>
      <c r="I4457" s="6" t="s">
        <v>20</v>
      </c>
      <c r="J4457" s="6">
        <v>2019.0</v>
      </c>
      <c r="L4457" s="6">
        <v>4.0</v>
      </c>
      <c r="M4457" s="8">
        <f t="shared" si="5"/>
        <v>1</v>
      </c>
      <c r="P4457" s="9"/>
    </row>
    <row r="4458">
      <c r="A4458" s="6" t="s">
        <v>9510</v>
      </c>
      <c r="B4458" s="6" t="s">
        <v>2789</v>
      </c>
      <c r="C4458" s="6" t="s">
        <v>15</v>
      </c>
      <c r="D4458" s="6" t="s">
        <v>9511</v>
      </c>
      <c r="E4458" s="6" t="s">
        <v>9512</v>
      </c>
      <c r="F4458" s="6" t="s">
        <v>8372</v>
      </c>
      <c r="G4458" s="7">
        <v>0.23</v>
      </c>
      <c r="H4458" s="6" t="s">
        <v>19</v>
      </c>
      <c r="I4458" s="6" t="s">
        <v>20</v>
      </c>
      <c r="J4458" s="6">
        <v>2023.0</v>
      </c>
      <c r="K4458" s="10">
        <v>46083.0</v>
      </c>
      <c r="L4458" s="6">
        <v>1.0</v>
      </c>
      <c r="M4458" s="8">
        <f t="shared" si="5"/>
        <v>0.23</v>
      </c>
      <c r="P4458" s="9"/>
    </row>
    <row r="4459">
      <c r="A4459" s="6" t="s">
        <v>9513</v>
      </c>
      <c r="B4459" s="6" t="s">
        <v>1016</v>
      </c>
      <c r="C4459" s="6" t="s">
        <v>23</v>
      </c>
      <c r="D4459" s="6" t="s">
        <v>9514</v>
      </c>
      <c r="E4459" s="6" t="s">
        <v>79</v>
      </c>
      <c r="F4459" s="6" t="s">
        <v>51</v>
      </c>
      <c r="G4459" s="7">
        <v>0.19</v>
      </c>
      <c r="H4459" s="6" t="s">
        <v>1018</v>
      </c>
      <c r="I4459" s="6" t="s">
        <v>20</v>
      </c>
      <c r="J4459" s="6">
        <v>1999.0</v>
      </c>
      <c r="K4459" s="10">
        <v>46024.0</v>
      </c>
      <c r="L4459" s="6">
        <v>1.0</v>
      </c>
      <c r="M4459" s="8">
        <f t="shared" si="5"/>
        <v>0.19</v>
      </c>
      <c r="P4459" s="9"/>
    </row>
    <row r="4460">
      <c r="A4460" s="6" t="s">
        <v>9515</v>
      </c>
      <c r="B4460" s="6" t="s">
        <v>628</v>
      </c>
      <c r="C4460" s="6" t="s">
        <v>48</v>
      </c>
      <c r="D4460" s="6" t="s">
        <v>9516</v>
      </c>
      <c r="E4460" s="6" t="s">
        <v>700</v>
      </c>
      <c r="F4460" s="6" t="s">
        <v>18</v>
      </c>
      <c r="G4460" s="7">
        <v>0.14</v>
      </c>
      <c r="H4460" s="6" t="s">
        <v>663</v>
      </c>
      <c r="I4460" s="6" t="s">
        <v>20</v>
      </c>
      <c r="J4460" s="6">
        <v>2023.0</v>
      </c>
      <c r="K4460" s="10">
        <v>46082.0</v>
      </c>
      <c r="L4460" s="6">
        <v>1.0</v>
      </c>
      <c r="M4460" s="8">
        <f t="shared" si="5"/>
        <v>0.14</v>
      </c>
      <c r="P4460" s="9"/>
    </row>
    <row r="4461">
      <c r="A4461" s="6" t="s">
        <v>9517</v>
      </c>
      <c r="B4461" s="6" t="s">
        <v>9518</v>
      </c>
      <c r="C4461" s="6" t="s">
        <v>23</v>
      </c>
      <c r="D4461" s="6" t="s">
        <v>9519</v>
      </c>
      <c r="E4461" s="6" t="s">
        <v>25</v>
      </c>
      <c r="F4461" s="6" t="s">
        <v>18</v>
      </c>
      <c r="G4461" s="7">
        <v>0.04</v>
      </c>
      <c r="H4461" s="6" t="s">
        <v>477</v>
      </c>
      <c r="I4461" s="6" t="s">
        <v>20</v>
      </c>
      <c r="J4461" s="6">
        <v>2020.0</v>
      </c>
      <c r="K4461" s="10">
        <v>46055.0</v>
      </c>
      <c r="L4461" s="6">
        <v>1.0</v>
      </c>
      <c r="M4461" s="8">
        <f t="shared" si="5"/>
        <v>0.04</v>
      </c>
      <c r="P4461" s="9"/>
    </row>
    <row r="4462">
      <c r="A4462" s="6" t="s">
        <v>9520</v>
      </c>
      <c r="B4462" s="6" t="s">
        <v>2859</v>
      </c>
      <c r="C4462" s="6" t="s">
        <v>23</v>
      </c>
      <c r="D4462" s="6" t="s">
        <v>9521</v>
      </c>
      <c r="E4462" s="6" t="s">
        <v>235</v>
      </c>
      <c r="F4462" s="6" t="s">
        <v>103</v>
      </c>
      <c r="G4462" s="7">
        <v>0.08</v>
      </c>
      <c r="H4462" s="6" t="s">
        <v>396</v>
      </c>
      <c r="I4462" s="6" t="s">
        <v>20</v>
      </c>
      <c r="J4462" s="6">
        <v>2007.0</v>
      </c>
      <c r="K4462" s="10">
        <v>46023.0</v>
      </c>
      <c r="L4462" s="6">
        <v>1.0</v>
      </c>
      <c r="M4462" s="8">
        <f t="shared" si="5"/>
        <v>0.08</v>
      </c>
      <c r="P4462" s="9"/>
    </row>
    <row r="4463">
      <c r="A4463" s="6" t="s">
        <v>9522</v>
      </c>
      <c r="B4463" s="6" t="s">
        <v>62</v>
      </c>
      <c r="C4463" s="6" t="s">
        <v>23</v>
      </c>
      <c r="D4463" s="6" t="s">
        <v>9523</v>
      </c>
      <c r="E4463" s="6" t="s">
        <v>149</v>
      </c>
      <c r="F4463" s="6" t="s">
        <v>18</v>
      </c>
      <c r="G4463" s="7">
        <v>0.05</v>
      </c>
      <c r="H4463" s="6" t="s">
        <v>113</v>
      </c>
      <c r="I4463" s="6" t="s">
        <v>20</v>
      </c>
      <c r="J4463" s="6">
        <v>2024.0</v>
      </c>
      <c r="L4463" s="6">
        <v>1.0</v>
      </c>
      <c r="M4463" s="8">
        <f t="shared" si="5"/>
        <v>0.05</v>
      </c>
      <c r="P4463" s="9"/>
    </row>
    <row r="4464">
      <c r="A4464" s="6" t="s">
        <v>9522</v>
      </c>
      <c r="B4464" s="6" t="s">
        <v>62</v>
      </c>
      <c r="C4464" s="6" t="s">
        <v>23</v>
      </c>
      <c r="D4464" s="6" t="s">
        <v>9523</v>
      </c>
      <c r="E4464" s="6" t="s">
        <v>149</v>
      </c>
      <c r="F4464" s="6" t="s">
        <v>18</v>
      </c>
      <c r="G4464" s="7">
        <v>0.05</v>
      </c>
      <c r="H4464" s="6" t="s">
        <v>9524</v>
      </c>
      <c r="I4464" s="6" t="s">
        <v>20</v>
      </c>
      <c r="J4464" s="6">
        <v>2021.0</v>
      </c>
      <c r="L4464" s="6">
        <v>2.0</v>
      </c>
      <c r="M4464" s="8">
        <f t="shared" si="5"/>
        <v>0.1</v>
      </c>
      <c r="P4464" s="9"/>
    </row>
    <row r="4465">
      <c r="A4465" s="6" t="s">
        <v>9525</v>
      </c>
      <c r="B4465" s="6" t="s">
        <v>291</v>
      </c>
      <c r="C4465" s="6" t="s">
        <v>23</v>
      </c>
      <c r="D4465" s="6" t="s">
        <v>9526</v>
      </c>
      <c r="E4465" s="6" t="s">
        <v>25</v>
      </c>
      <c r="F4465" s="6" t="s">
        <v>18</v>
      </c>
      <c r="G4465" s="7">
        <v>0.06</v>
      </c>
      <c r="H4465" s="6" t="s">
        <v>1301</v>
      </c>
      <c r="I4465" s="6" t="s">
        <v>20</v>
      </c>
      <c r="J4465" s="6">
        <v>2022.0</v>
      </c>
      <c r="K4465" s="10">
        <v>46083.0</v>
      </c>
      <c r="L4465" s="6">
        <v>1.0</v>
      </c>
      <c r="M4465" s="8">
        <f t="shared" si="5"/>
        <v>0.06</v>
      </c>
      <c r="P4465" s="9"/>
    </row>
    <row r="4466">
      <c r="A4466" s="6" t="s">
        <v>9527</v>
      </c>
      <c r="B4466" s="6" t="s">
        <v>194</v>
      </c>
      <c r="C4466" s="6" t="s">
        <v>571</v>
      </c>
      <c r="D4466" s="6" t="s">
        <v>9528</v>
      </c>
      <c r="E4466" s="6" t="s">
        <v>25</v>
      </c>
      <c r="F4466" s="6" t="s">
        <v>1424</v>
      </c>
      <c r="G4466" s="7">
        <v>0.09</v>
      </c>
      <c r="H4466" s="6" t="s">
        <v>641</v>
      </c>
      <c r="I4466" s="6" t="s">
        <v>20</v>
      </c>
      <c r="J4466" s="6">
        <v>2026.0</v>
      </c>
      <c r="L4466" s="6">
        <v>1.0</v>
      </c>
      <c r="M4466" s="8">
        <f t="shared" si="5"/>
        <v>0.09</v>
      </c>
      <c r="P4466" s="9"/>
    </row>
    <row r="4467">
      <c r="A4467" s="6" t="s">
        <v>9529</v>
      </c>
      <c r="B4467" s="6" t="s">
        <v>62</v>
      </c>
      <c r="C4467" s="6" t="s">
        <v>48</v>
      </c>
      <c r="D4467" s="6" t="s">
        <v>9530</v>
      </c>
      <c r="E4467" s="6" t="s">
        <v>25</v>
      </c>
      <c r="F4467" s="6" t="s">
        <v>18</v>
      </c>
      <c r="G4467" s="7">
        <v>0.12</v>
      </c>
      <c r="H4467" s="6" t="s">
        <v>31</v>
      </c>
      <c r="I4467" s="6" t="s">
        <v>20</v>
      </c>
      <c r="J4467" s="6">
        <v>2026.0</v>
      </c>
      <c r="L4467" s="6">
        <v>1.0</v>
      </c>
      <c r="M4467" s="8">
        <f t="shared" si="5"/>
        <v>0.12</v>
      </c>
      <c r="P4467" s="9"/>
    </row>
    <row r="4468">
      <c r="A4468" s="6" t="s">
        <v>9531</v>
      </c>
      <c r="B4468" s="6" t="s">
        <v>143</v>
      </c>
      <c r="C4468" s="6" t="s">
        <v>48</v>
      </c>
      <c r="D4468" s="6" t="s">
        <v>9532</v>
      </c>
      <c r="E4468" s="6" t="s">
        <v>243</v>
      </c>
      <c r="F4468" s="6" t="s">
        <v>37</v>
      </c>
      <c r="G4468" s="7">
        <v>0.06</v>
      </c>
      <c r="H4468" s="6" t="s">
        <v>66</v>
      </c>
      <c r="I4468" s="6" t="s">
        <v>20</v>
      </c>
      <c r="J4468" s="6">
        <v>2016.0</v>
      </c>
      <c r="L4468" s="6">
        <v>4.0</v>
      </c>
      <c r="M4468" s="8">
        <f t="shared" si="5"/>
        <v>0.24</v>
      </c>
      <c r="P4468" s="9"/>
    </row>
    <row r="4469">
      <c r="A4469" s="6" t="s">
        <v>9533</v>
      </c>
      <c r="B4469" s="6" t="s">
        <v>3067</v>
      </c>
      <c r="C4469" s="6" t="s">
        <v>23</v>
      </c>
      <c r="D4469" s="6" t="s">
        <v>9534</v>
      </c>
      <c r="E4469" s="6" t="s">
        <v>167</v>
      </c>
      <c r="F4469" s="6" t="s">
        <v>103</v>
      </c>
      <c r="G4469" s="7">
        <v>0.03</v>
      </c>
      <c r="H4469" s="6" t="s">
        <v>185</v>
      </c>
      <c r="I4469" s="6" t="s">
        <v>20</v>
      </c>
      <c r="J4469" s="6">
        <v>2019.0</v>
      </c>
      <c r="K4469" s="10">
        <v>46023.0</v>
      </c>
      <c r="L4469" s="6">
        <v>1.0</v>
      </c>
      <c r="M4469" s="8">
        <f t="shared" si="5"/>
        <v>0.03</v>
      </c>
      <c r="P4469" s="9"/>
    </row>
    <row r="4470">
      <c r="A4470" s="6" t="s">
        <v>9535</v>
      </c>
      <c r="B4470" s="6" t="s">
        <v>1900</v>
      </c>
      <c r="C4470" s="6" t="s">
        <v>1900</v>
      </c>
      <c r="D4470" s="6" t="s">
        <v>1274</v>
      </c>
      <c r="E4470" s="6" t="s">
        <v>1901</v>
      </c>
      <c r="F4470" s="6" t="s">
        <v>244</v>
      </c>
      <c r="G4470" s="7">
        <v>0.25</v>
      </c>
      <c r="H4470" s="6" t="s">
        <v>9536</v>
      </c>
      <c r="I4470" s="6" t="s">
        <v>20</v>
      </c>
      <c r="J4470" s="6">
        <v>2026.0</v>
      </c>
      <c r="K4470" s="10">
        <v>46023.0</v>
      </c>
      <c r="L4470" s="6">
        <v>1.0</v>
      </c>
      <c r="M4470" s="8">
        <f t="shared" si="5"/>
        <v>0.25</v>
      </c>
      <c r="N4470" s="6"/>
      <c r="O4470" s="6"/>
      <c r="P4470" s="9"/>
    </row>
    <row r="4471">
      <c r="A4471" s="6" t="s">
        <v>9537</v>
      </c>
      <c r="B4471" s="6" t="s">
        <v>258</v>
      </c>
      <c r="C4471" s="6" t="s">
        <v>48</v>
      </c>
      <c r="D4471" s="6" t="s">
        <v>9538</v>
      </c>
      <c r="E4471" s="6" t="s">
        <v>64</v>
      </c>
      <c r="F4471" s="6" t="s">
        <v>65</v>
      </c>
      <c r="G4471" s="7">
        <v>0.05</v>
      </c>
      <c r="H4471" s="6" t="s">
        <v>184</v>
      </c>
      <c r="I4471" s="6" t="s">
        <v>20</v>
      </c>
      <c r="J4471" s="6">
        <v>2015.0</v>
      </c>
      <c r="K4471" s="10">
        <v>46082.0</v>
      </c>
      <c r="L4471" s="6">
        <v>1.0</v>
      </c>
      <c r="M4471" s="8">
        <f t="shared" si="5"/>
        <v>0.05</v>
      </c>
      <c r="P4471" s="9"/>
    </row>
    <row r="4472">
      <c r="A4472" s="6" t="s">
        <v>9539</v>
      </c>
      <c r="B4472" s="6" t="s">
        <v>5981</v>
      </c>
      <c r="C4472" s="6" t="s">
        <v>23</v>
      </c>
      <c r="D4472" s="6" t="s">
        <v>9540</v>
      </c>
      <c r="E4472" s="6" t="s">
        <v>167</v>
      </c>
      <c r="F4472" s="6" t="s">
        <v>103</v>
      </c>
      <c r="G4472" s="7">
        <v>0.08</v>
      </c>
      <c r="H4472" s="6" t="s">
        <v>184</v>
      </c>
      <c r="I4472" s="6" t="s">
        <v>20</v>
      </c>
      <c r="J4472" s="6">
        <v>2015.0</v>
      </c>
      <c r="K4472" s="10">
        <v>46054.0</v>
      </c>
      <c r="L4472" s="6">
        <v>1.0</v>
      </c>
      <c r="M4472" s="8">
        <f t="shared" si="5"/>
        <v>0.08</v>
      </c>
      <c r="P4472" s="9"/>
    </row>
    <row r="4473">
      <c r="A4473" s="6" t="s">
        <v>9541</v>
      </c>
      <c r="B4473" s="6" t="s">
        <v>9542</v>
      </c>
      <c r="C4473" s="6" t="s">
        <v>48</v>
      </c>
      <c r="D4473" s="6" t="s">
        <v>9543</v>
      </c>
      <c r="E4473" s="6" t="s">
        <v>2312</v>
      </c>
      <c r="F4473" s="6" t="s">
        <v>103</v>
      </c>
      <c r="G4473" s="7">
        <v>0.1</v>
      </c>
      <c r="H4473" s="6" t="s">
        <v>396</v>
      </c>
      <c r="I4473" s="6" t="s">
        <v>20</v>
      </c>
      <c r="J4473" s="6">
        <v>2007.0</v>
      </c>
      <c r="K4473" s="10">
        <v>46115.0</v>
      </c>
      <c r="L4473" s="6">
        <v>1.0</v>
      </c>
      <c r="M4473" s="8">
        <f t="shared" si="5"/>
        <v>0.1</v>
      </c>
      <c r="P4473" s="9"/>
    </row>
    <row r="4474">
      <c r="A4474" s="6" t="s">
        <v>9544</v>
      </c>
      <c r="B4474" s="6" t="s">
        <v>5981</v>
      </c>
      <c r="C4474" s="6" t="s">
        <v>23</v>
      </c>
      <c r="D4474" s="6" t="s">
        <v>9545</v>
      </c>
      <c r="E4474" s="6" t="s">
        <v>223</v>
      </c>
      <c r="F4474" s="6" t="s">
        <v>159</v>
      </c>
      <c r="G4474" s="7">
        <v>0.2</v>
      </c>
      <c r="H4474" s="6" t="s">
        <v>7279</v>
      </c>
      <c r="I4474" s="6" t="s">
        <v>20</v>
      </c>
      <c r="J4474" s="6">
        <v>2014.0</v>
      </c>
      <c r="K4474" s="10">
        <v>46024.0</v>
      </c>
      <c r="L4474" s="6">
        <v>1.0</v>
      </c>
      <c r="M4474" s="8">
        <f t="shared" si="5"/>
        <v>0.2</v>
      </c>
      <c r="P4474" s="9"/>
    </row>
    <row r="4475">
      <c r="A4475" s="6" t="s">
        <v>9546</v>
      </c>
      <c r="B4475" s="6" t="s">
        <v>62</v>
      </c>
      <c r="C4475" s="6" t="s">
        <v>23</v>
      </c>
      <c r="D4475" s="6" t="s">
        <v>9547</v>
      </c>
      <c r="E4475" s="6" t="s">
        <v>293</v>
      </c>
      <c r="F4475" s="6" t="s">
        <v>18</v>
      </c>
      <c r="G4475" s="7">
        <v>0.06</v>
      </c>
      <c r="H4475" s="6" t="s">
        <v>185</v>
      </c>
      <c r="I4475" s="6" t="s">
        <v>20</v>
      </c>
      <c r="J4475" s="6">
        <v>2019.0</v>
      </c>
      <c r="L4475" s="6">
        <v>3.0</v>
      </c>
      <c r="M4475" s="8">
        <f t="shared" si="5"/>
        <v>0.18</v>
      </c>
      <c r="P4475" s="9"/>
    </row>
    <row r="4476">
      <c r="A4476" s="6" t="s">
        <v>9548</v>
      </c>
      <c r="B4476" s="6" t="s">
        <v>6135</v>
      </c>
      <c r="C4476" s="6" t="s">
        <v>23</v>
      </c>
      <c r="D4476" s="6" t="s">
        <v>9549</v>
      </c>
      <c r="E4476" s="6" t="s">
        <v>149</v>
      </c>
      <c r="F4476" s="6" t="s">
        <v>18</v>
      </c>
      <c r="G4476" s="7">
        <v>0.12</v>
      </c>
      <c r="H4476" s="6" t="s">
        <v>4377</v>
      </c>
      <c r="I4476" s="6" t="s">
        <v>20</v>
      </c>
      <c r="J4476" s="6">
        <v>2004.0</v>
      </c>
      <c r="K4476" s="10">
        <v>46023.0</v>
      </c>
      <c r="L4476" s="6">
        <v>1.0</v>
      </c>
      <c r="M4476" s="8">
        <f t="shared" si="5"/>
        <v>0.12</v>
      </c>
      <c r="P4476" s="9"/>
    </row>
    <row r="4477">
      <c r="A4477" s="6" t="s">
        <v>9550</v>
      </c>
      <c r="B4477" s="6" t="s">
        <v>62</v>
      </c>
      <c r="C4477" s="6" t="s">
        <v>23</v>
      </c>
      <c r="D4477" s="6" t="s">
        <v>9551</v>
      </c>
      <c r="E4477" s="6" t="s">
        <v>248</v>
      </c>
      <c r="F4477" s="6" t="s">
        <v>18</v>
      </c>
      <c r="G4477" s="7">
        <v>3.9</v>
      </c>
      <c r="H4477" s="6" t="s">
        <v>384</v>
      </c>
      <c r="I4477" s="6" t="s">
        <v>20</v>
      </c>
      <c r="J4477" s="6">
        <v>2022.0</v>
      </c>
      <c r="L4477" s="6">
        <v>1.0</v>
      </c>
      <c r="M4477" s="8">
        <f t="shared" si="5"/>
        <v>3.9</v>
      </c>
      <c r="N4477" s="6" t="s">
        <v>172</v>
      </c>
      <c r="P4477" s="9"/>
    </row>
    <row r="4478">
      <c r="A4478" s="6" t="s">
        <v>9552</v>
      </c>
      <c r="B4478" s="6" t="s">
        <v>9553</v>
      </c>
      <c r="C4478" s="6" t="s">
        <v>23</v>
      </c>
      <c r="D4478" s="6" t="s">
        <v>9554</v>
      </c>
      <c r="E4478" s="6" t="s">
        <v>149</v>
      </c>
      <c r="F4478" s="6" t="s">
        <v>18</v>
      </c>
      <c r="G4478" s="7">
        <v>0.06</v>
      </c>
      <c r="H4478" s="6" t="s">
        <v>994</v>
      </c>
      <c r="I4478" s="6" t="s">
        <v>20</v>
      </c>
      <c r="J4478" s="6">
        <v>2024.0</v>
      </c>
      <c r="K4478" s="10">
        <v>46082.0</v>
      </c>
      <c r="L4478" s="6">
        <v>1.0</v>
      </c>
      <c r="M4478" s="8">
        <f t="shared" si="5"/>
        <v>0.06</v>
      </c>
      <c r="P4478" s="9"/>
    </row>
    <row r="4479">
      <c r="A4479" s="6" t="s">
        <v>9555</v>
      </c>
      <c r="B4479" s="6" t="s">
        <v>9556</v>
      </c>
      <c r="C4479" s="6" t="s">
        <v>48</v>
      </c>
      <c r="D4479" s="6" t="s">
        <v>9557</v>
      </c>
      <c r="E4479" s="6" t="s">
        <v>1321</v>
      </c>
      <c r="F4479" s="6" t="s">
        <v>103</v>
      </c>
      <c r="G4479" s="7">
        <v>0.05</v>
      </c>
      <c r="H4479" s="6" t="s">
        <v>359</v>
      </c>
      <c r="I4479" s="6" t="s">
        <v>20</v>
      </c>
      <c r="J4479" s="6">
        <v>2014.0</v>
      </c>
      <c r="K4479" s="10">
        <v>46086.0</v>
      </c>
      <c r="L4479" s="6">
        <v>1.0</v>
      </c>
      <c r="M4479" s="8">
        <f t="shared" si="5"/>
        <v>0.05</v>
      </c>
      <c r="P4479" s="9"/>
    </row>
    <row r="4480">
      <c r="A4480" s="6" t="s">
        <v>9558</v>
      </c>
      <c r="B4480" s="6" t="s">
        <v>194</v>
      </c>
      <c r="C4480" s="6" t="s">
        <v>571</v>
      </c>
      <c r="D4480" s="6" t="s">
        <v>9559</v>
      </c>
      <c r="E4480" s="6" t="s">
        <v>223</v>
      </c>
      <c r="F4480" s="6" t="s">
        <v>159</v>
      </c>
      <c r="G4480" s="7">
        <v>0.18</v>
      </c>
      <c r="H4480" s="6" t="s">
        <v>641</v>
      </c>
      <c r="I4480" s="6" t="s">
        <v>20</v>
      </c>
      <c r="J4480" s="6">
        <v>2026.0</v>
      </c>
      <c r="L4480" s="6">
        <v>1.0</v>
      </c>
      <c r="M4480" s="8">
        <f t="shared" si="5"/>
        <v>0.18</v>
      </c>
      <c r="P4480" s="9"/>
    </row>
    <row r="4481">
      <c r="A4481" s="6" t="s">
        <v>9560</v>
      </c>
      <c r="B4481" s="6" t="s">
        <v>6400</v>
      </c>
      <c r="C4481" s="6" t="s">
        <v>48</v>
      </c>
      <c r="D4481" s="6" t="s">
        <v>9561</v>
      </c>
      <c r="E4481" s="6" t="s">
        <v>50</v>
      </c>
      <c r="F4481" s="6" t="s">
        <v>51</v>
      </c>
      <c r="G4481" s="7">
        <v>0.07</v>
      </c>
      <c r="H4481" s="6" t="s">
        <v>641</v>
      </c>
      <c r="I4481" s="6" t="s">
        <v>20</v>
      </c>
      <c r="J4481" s="6">
        <v>2026.0</v>
      </c>
      <c r="K4481" s="6" t="s">
        <v>137</v>
      </c>
      <c r="L4481" s="6">
        <v>1.0</v>
      </c>
      <c r="M4481" s="8">
        <f t="shared" si="5"/>
        <v>0.07</v>
      </c>
      <c r="P4481" s="9"/>
    </row>
    <row r="4482">
      <c r="A4482" s="6" t="s">
        <v>9562</v>
      </c>
      <c r="B4482" s="6" t="s">
        <v>7683</v>
      </c>
      <c r="C4482" s="6" t="s">
        <v>48</v>
      </c>
      <c r="D4482" s="6" t="s">
        <v>9563</v>
      </c>
      <c r="E4482" s="6" t="s">
        <v>3869</v>
      </c>
      <c r="F4482" s="6" t="s">
        <v>874</v>
      </c>
      <c r="G4482" s="7">
        <v>0.2</v>
      </c>
      <c r="H4482" s="6" t="s">
        <v>641</v>
      </c>
      <c r="I4482" s="6" t="s">
        <v>20</v>
      </c>
      <c r="J4482" s="6">
        <v>2026.0</v>
      </c>
      <c r="K4482" s="10">
        <v>46055.0</v>
      </c>
      <c r="L4482" s="6">
        <v>1.0</v>
      </c>
      <c r="M4482" s="8">
        <f t="shared" si="5"/>
        <v>0.2</v>
      </c>
      <c r="P4482" s="9"/>
    </row>
    <row r="4483">
      <c r="A4483" s="6" t="s">
        <v>9564</v>
      </c>
      <c r="B4483" s="6" t="s">
        <v>511</v>
      </c>
      <c r="C4483" s="6" t="s">
        <v>212</v>
      </c>
      <c r="D4483" s="6" t="s">
        <v>9565</v>
      </c>
      <c r="E4483" s="6" t="s">
        <v>9566</v>
      </c>
      <c r="F4483" s="6" t="s">
        <v>18</v>
      </c>
      <c r="G4483" s="7">
        <v>0.15</v>
      </c>
      <c r="H4483" s="6" t="s">
        <v>180</v>
      </c>
      <c r="I4483" s="6" t="s">
        <v>20</v>
      </c>
      <c r="J4483" s="6">
        <v>2014.0</v>
      </c>
      <c r="K4483" s="10">
        <v>46178.0</v>
      </c>
      <c r="L4483" s="6">
        <v>1.0</v>
      </c>
      <c r="M4483" s="8">
        <f t="shared" si="5"/>
        <v>0.15</v>
      </c>
      <c r="P4483" s="9"/>
    </row>
    <row r="4484">
      <c r="A4484" s="6" t="s">
        <v>9567</v>
      </c>
      <c r="B4484" s="6" t="s">
        <v>507</v>
      </c>
      <c r="C4484" s="6" t="s">
        <v>23</v>
      </c>
      <c r="D4484" s="6" t="s">
        <v>9568</v>
      </c>
      <c r="E4484" s="6" t="s">
        <v>533</v>
      </c>
      <c r="F4484" s="6" t="s">
        <v>65</v>
      </c>
      <c r="G4484" s="7">
        <v>0.03</v>
      </c>
      <c r="H4484" s="6" t="s">
        <v>555</v>
      </c>
      <c r="I4484" s="6" t="s">
        <v>20</v>
      </c>
      <c r="J4484" s="6">
        <v>2017.0</v>
      </c>
      <c r="K4484" s="10">
        <v>46084.0</v>
      </c>
      <c r="L4484" s="6">
        <v>1.0</v>
      </c>
      <c r="M4484" s="8">
        <f t="shared" si="5"/>
        <v>0.03</v>
      </c>
      <c r="P4484" s="9"/>
    </row>
    <row r="4485">
      <c r="A4485" s="6" t="s">
        <v>9569</v>
      </c>
      <c r="B4485" s="6" t="s">
        <v>592</v>
      </c>
      <c r="C4485" s="6" t="s">
        <v>48</v>
      </c>
      <c r="D4485" s="6" t="s">
        <v>9570</v>
      </c>
      <c r="E4485" s="6" t="s">
        <v>298</v>
      </c>
      <c r="F4485" s="6" t="s">
        <v>159</v>
      </c>
      <c r="G4485" s="7">
        <v>0.09</v>
      </c>
      <c r="H4485" s="6" t="s">
        <v>645</v>
      </c>
      <c r="I4485" s="6" t="s">
        <v>20</v>
      </c>
      <c r="J4485" s="6">
        <v>2024.0</v>
      </c>
      <c r="L4485" s="6">
        <v>2.0</v>
      </c>
      <c r="M4485" s="8">
        <f t="shared" si="5"/>
        <v>0.18</v>
      </c>
      <c r="P4485" s="9"/>
    </row>
    <row r="4486">
      <c r="A4486" s="6" t="s">
        <v>9571</v>
      </c>
      <c r="B4486" s="6" t="s">
        <v>9195</v>
      </c>
      <c r="C4486" s="6" t="s">
        <v>48</v>
      </c>
      <c r="D4486" s="6" t="s">
        <v>9572</v>
      </c>
      <c r="E4486" s="6" t="s">
        <v>223</v>
      </c>
      <c r="F4486" s="6" t="s">
        <v>159</v>
      </c>
      <c r="G4486" s="7">
        <v>0.15</v>
      </c>
      <c r="H4486" s="6" t="s">
        <v>994</v>
      </c>
      <c r="I4486" s="6" t="s">
        <v>20</v>
      </c>
      <c r="J4486" s="6">
        <v>2024.0</v>
      </c>
      <c r="K4486" s="10">
        <v>46083.0</v>
      </c>
      <c r="L4486" s="6">
        <v>1.0</v>
      </c>
      <c r="M4486" s="8">
        <f t="shared" si="5"/>
        <v>0.15</v>
      </c>
      <c r="P4486" s="9"/>
    </row>
    <row r="4487">
      <c r="A4487" s="6" t="s">
        <v>9573</v>
      </c>
      <c r="B4487" s="6" t="s">
        <v>424</v>
      </c>
      <c r="C4487" s="6" t="s">
        <v>23</v>
      </c>
      <c r="D4487" s="6" t="s">
        <v>9574</v>
      </c>
      <c r="F4487" s="6" t="s">
        <v>51</v>
      </c>
      <c r="G4487" s="7">
        <v>0.43</v>
      </c>
      <c r="H4487" s="6" t="s">
        <v>26</v>
      </c>
      <c r="I4487" s="6" t="s">
        <v>20</v>
      </c>
      <c r="J4487" s="6">
        <v>2026.0</v>
      </c>
      <c r="L4487" s="6">
        <v>1.0</v>
      </c>
      <c r="M4487" s="8">
        <f t="shared" si="5"/>
        <v>0.43</v>
      </c>
      <c r="P4487" s="9"/>
    </row>
    <row r="4488">
      <c r="A4488" s="6" t="s">
        <v>9575</v>
      </c>
      <c r="B4488" s="6" t="s">
        <v>9576</v>
      </c>
      <c r="C4488" s="6" t="s">
        <v>23</v>
      </c>
      <c r="D4488" s="6" t="s">
        <v>9577</v>
      </c>
      <c r="E4488" s="6" t="s">
        <v>50</v>
      </c>
      <c r="F4488" s="6" t="s">
        <v>51</v>
      </c>
      <c r="G4488" s="7">
        <v>0.03</v>
      </c>
      <c r="H4488" s="6" t="s">
        <v>316</v>
      </c>
      <c r="I4488" s="6" t="s">
        <v>20</v>
      </c>
      <c r="J4488" s="6">
        <v>2016.0</v>
      </c>
      <c r="K4488" s="10">
        <v>46114.0</v>
      </c>
      <c r="L4488" s="6">
        <v>2.0</v>
      </c>
      <c r="M4488" s="8">
        <f t="shared" si="5"/>
        <v>0.06</v>
      </c>
      <c r="P4488" s="9"/>
    </row>
    <row r="4489">
      <c r="A4489" s="6" t="s">
        <v>9578</v>
      </c>
      <c r="B4489" s="6" t="s">
        <v>424</v>
      </c>
      <c r="C4489" s="6" t="s">
        <v>23</v>
      </c>
      <c r="D4489" s="6" t="s">
        <v>9579</v>
      </c>
      <c r="F4489" s="6" t="s">
        <v>18</v>
      </c>
      <c r="G4489" s="7">
        <v>0.43</v>
      </c>
      <c r="H4489" s="6" t="s">
        <v>26</v>
      </c>
      <c r="I4489" s="6" t="s">
        <v>20</v>
      </c>
      <c r="J4489" s="6">
        <v>2026.0</v>
      </c>
      <c r="L4489" s="6">
        <v>2.0</v>
      </c>
      <c r="M4489" s="8">
        <f t="shared" si="5"/>
        <v>0.86</v>
      </c>
      <c r="P4489" s="9"/>
    </row>
    <row r="4490">
      <c r="A4490" s="6" t="s">
        <v>9580</v>
      </c>
      <c r="B4490" s="6" t="s">
        <v>424</v>
      </c>
      <c r="C4490" s="6" t="s">
        <v>23</v>
      </c>
      <c r="D4490" s="6" t="s">
        <v>9581</v>
      </c>
      <c r="F4490" s="6" t="s">
        <v>103</v>
      </c>
      <c r="G4490" s="7">
        <v>0.17</v>
      </c>
      <c r="H4490" s="6" t="s">
        <v>26</v>
      </c>
      <c r="I4490" s="6" t="s">
        <v>20</v>
      </c>
      <c r="J4490" s="6">
        <v>2026.0</v>
      </c>
      <c r="L4490" s="6">
        <v>1.0</v>
      </c>
      <c r="M4490" s="8">
        <f t="shared" si="5"/>
        <v>0.17</v>
      </c>
      <c r="P4490" s="9"/>
    </row>
    <row r="4491">
      <c r="A4491" s="6" t="s">
        <v>9582</v>
      </c>
      <c r="B4491" s="6" t="s">
        <v>1981</v>
      </c>
      <c r="C4491" s="6" t="s">
        <v>23</v>
      </c>
      <c r="D4491" s="6" t="s">
        <v>9583</v>
      </c>
      <c r="E4491" s="6" t="s">
        <v>270</v>
      </c>
      <c r="F4491" s="6" t="s">
        <v>159</v>
      </c>
      <c r="G4491" s="7">
        <v>0.03</v>
      </c>
      <c r="H4491" s="6" t="s">
        <v>316</v>
      </c>
      <c r="I4491" s="6" t="s">
        <v>20</v>
      </c>
      <c r="J4491" s="6">
        <v>2016.0</v>
      </c>
      <c r="K4491" s="10">
        <v>46083.0</v>
      </c>
      <c r="L4491" s="6">
        <v>2.0</v>
      </c>
      <c r="M4491" s="8">
        <f t="shared" si="5"/>
        <v>0.06</v>
      </c>
      <c r="P4491" s="9"/>
    </row>
    <row r="4492">
      <c r="A4492" s="6" t="s">
        <v>9584</v>
      </c>
      <c r="B4492" s="6" t="s">
        <v>9585</v>
      </c>
      <c r="C4492" s="6" t="s">
        <v>23</v>
      </c>
      <c r="D4492" s="6" t="s">
        <v>9586</v>
      </c>
      <c r="E4492" s="6" t="s">
        <v>1005</v>
      </c>
      <c r="F4492" s="6" t="s">
        <v>65</v>
      </c>
      <c r="G4492" s="7">
        <v>0.05</v>
      </c>
      <c r="H4492" s="6" t="s">
        <v>509</v>
      </c>
      <c r="I4492" s="6" t="s">
        <v>20</v>
      </c>
      <c r="J4492" s="6">
        <v>2024.0</v>
      </c>
      <c r="K4492" s="10">
        <v>46056.0</v>
      </c>
      <c r="L4492" s="6">
        <v>1.0</v>
      </c>
      <c r="M4492" s="8">
        <f t="shared" si="5"/>
        <v>0.05</v>
      </c>
      <c r="P4492" s="9"/>
    </row>
    <row r="4493">
      <c r="A4493" s="6" t="s">
        <v>9587</v>
      </c>
      <c r="B4493" s="6" t="s">
        <v>247</v>
      </c>
      <c r="C4493" s="6" t="s">
        <v>23</v>
      </c>
      <c r="D4493" s="6" t="s">
        <v>9588</v>
      </c>
      <c r="E4493" s="6" t="s">
        <v>248</v>
      </c>
      <c r="F4493" s="6" t="s">
        <v>18</v>
      </c>
      <c r="G4493" s="7">
        <v>0.03</v>
      </c>
      <c r="H4493" s="6" t="s">
        <v>316</v>
      </c>
      <c r="I4493" s="6" t="s">
        <v>20</v>
      </c>
      <c r="J4493" s="6">
        <v>2016.0</v>
      </c>
      <c r="K4493" s="6" t="s">
        <v>1035</v>
      </c>
      <c r="L4493" s="6">
        <v>1.0</v>
      </c>
      <c r="M4493" s="8">
        <f t="shared" si="5"/>
        <v>0.03</v>
      </c>
      <c r="P4493" s="9"/>
    </row>
    <row r="4494">
      <c r="A4494" s="6" t="s">
        <v>9589</v>
      </c>
      <c r="B4494" s="6" t="s">
        <v>307</v>
      </c>
      <c r="C4494" s="6" t="s">
        <v>48</v>
      </c>
      <c r="D4494" s="6" t="s">
        <v>9590</v>
      </c>
      <c r="E4494" s="6" t="s">
        <v>303</v>
      </c>
      <c r="F4494" s="6" t="s">
        <v>37</v>
      </c>
      <c r="G4494" s="7">
        <v>0.43</v>
      </c>
      <c r="H4494" s="6" t="s">
        <v>120</v>
      </c>
      <c r="I4494" s="6" t="s">
        <v>20</v>
      </c>
      <c r="J4494" s="6">
        <v>1995.0</v>
      </c>
      <c r="L4494" s="6">
        <v>3.0</v>
      </c>
      <c r="M4494" s="8">
        <f t="shared" si="5"/>
        <v>1.29</v>
      </c>
      <c r="P4494" s="9"/>
    </row>
    <row r="4495">
      <c r="A4495" s="6" t="s">
        <v>9591</v>
      </c>
      <c r="B4495" s="6" t="s">
        <v>366</v>
      </c>
      <c r="C4495" s="6" t="s">
        <v>48</v>
      </c>
      <c r="D4495" s="6" t="s">
        <v>9592</v>
      </c>
      <c r="E4495" s="6" t="s">
        <v>167</v>
      </c>
      <c r="F4495" s="6" t="s">
        <v>103</v>
      </c>
      <c r="G4495" s="7">
        <v>0.4</v>
      </c>
      <c r="H4495" s="6" t="s">
        <v>252</v>
      </c>
      <c r="I4495" s="6" t="s">
        <v>20</v>
      </c>
      <c r="J4495" s="6">
        <v>1994.0</v>
      </c>
      <c r="L4495" s="6">
        <v>1.0</v>
      </c>
      <c r="M4495" s="8">
        <f t="shared" si="5"/>
        <v>0.4</v>
      </c>
      <c r="P4495" s="9"/>
    </row>
    <row r="4496">
      <c r="A4496" s="6" t="s">
        <v>9593</v>
      </c>
      <c r="B4496" s="6" t="s">
        <v>796</v>
      </c>
      <c r="C4496" s="6" t="s">
        <v>15</v>
      </c>
      <c r="D4496" s="6" t="s">
        <v>9594</v>
      </c>
      <c r="E4496" s="6" t="s">
        <v>1304</v>
      </c>
      <c r="F4496" s="6" t="s">
        <v>65</v>
      </c>
      <c r="G4496" s="7">
        <v>8.5</v>
      </c>
      <c r="H4496" s="6" t="s">
        <v>209</v>
      </c>
      <c r="I4496" s="6" t="s">
        <v>20</v>
      </c>
      <c r="J4496" s="6">
        <v>2025.0</v>
      </c>
      <c r="L4496" s="6">
        <v>1.0</v>
      </c>
      <c r="M4496" s="8">
        <f t="shared" si="5"/>
        <v>8.5</v>
      </c>
      <c r="P4496" s="9"/>
    </row>
    <row r="4497">
      <c r="A4497" s="6" t="s">
        <v>9595</v>
      </c>
      <c r="B4497" s="6" t="s">
        <v>9596</v>
      </c>
      <c r="C4497" s="6" t="s">
        <v>41</v>
      </c>
      <c r="D4497" s="6" t="s">
        <v>9597</v>
      </c>
      <c r="E4497" s="6" t="s">
        <v>220</v>
      </c>
      <c r="F4497" s="6" t="s">
        <v>18</v>
      </c>
      <c r="G4497" s="7">
        <v>1.13</v>
      </c>
      <c r="H4497" s="6" t="s">
        <v>526</v>
      </c>
      <c r="I4497" s="6" t="s">
        <v>20</v>
      </c>
      <c r="J4497" s="6">
        <v>2020.0</v>
      </c>
      <c r="K4497" s="10">
        <v>46146.0</v>
      </c>
      <c r="L4497" s="6">
        <v>2.0</v>
      </c>
      <c r="M4497" s="8">
        <f t="shared" si="5"/>
        <v>2.26</v>
      </c>
      <c r="P4497" s="9"/>
    </row>
    <row r="4498">
      <c r="A4498" s="6" t="s">
        <v>9598</v>
      </c>
      <c r="B4498" s="6" t="s">
        <v>9599</v>
      </c>
      <c r="C4498" s="6" t="s">
        <v>23</v>
      </c>
      <c r="D4498" s="6" t="s">
        <v>9600</v>
      </c>
      <c r="E4498" s="6" t="s">
        <v>30</v>
      </c>
      <c r="F4498" s="6" t="s">
        <v>18</v>
      </c>
      <c r="G4498" s="7">
        <v>0.02</v>
      </c>
      <c r="H4498" s="6" t="s">
        <v>406</v>
      </c>
      <c r="I4498" s="6" t="s">
        <v>20</v>
      </c>
      <c r="J4498" s="6">
        <v>2019.0</v>
      </c>
      <c r="K4498" s="10">
        <v>46083.0</v>
      </c>
      <c r="L4498" s="6">
        <v>1.0</v>
      </c>
      <c r="M4498" s="8">
        <f t="shared" si="5"/>
        <v>0.02</v>
      </c>
      <c r="P4498" s="9"/>
    </row>
    <row r="4499">
      <c r="A4499" s="6" t="s">
        <v>9601</v>
      </c>
      <c r="B4499" s="6" t="s">
        <v>796</v>
      </c>
      <c r="C4499" s="6" t="s">
        <v>34</v>
      </c>
      <c r="D4499" s="6" t="s">
        <v>9602</v>
      </c>
      <c r="E4499" s="6" t="s">
        <v>1304</v>
      </c>
      <c r="F4499" s="6" t="s">
        <v>65</v>
      </c>
      <c r="G4499" s="7">
        <v>0.15</v>
      </c>
      <c r="H4499" s="6" t="s">
        <v>209</v>
      </c>
      <c r="I4499" s="6" t="s">
        <v>20</v>
      </c>
      <c r="J4499" s="6">
        <v>2025.0</v>
      </c>
      <c r="L4499" s="6">
        <v>3.0</v>
      </c>
      <c r="M4499" s="8">
        <f t="shared" si="5"/>
        <v>0.45</v>
      </c>
      <c r="P4499" s="9"/>
    </row>
    <row r="4500">
      <c r="A4500" s="6" t="s">
        <v>9601</v>
      </c>
      <c r="B4500" s="6" t="s">
        <v>796</v>
      </c>
      <c r="C4500" s="6" t="s">
        <v>34</v>
      </c>
      <c r="D4500" s="6" t="s">
        <v>9602</v>
      </c>
      <c r="E4500" s="6" t="s">
        <v>1304</v>
      </c>
      <c r="F4500" s="6" t="s">
        <v>65</v>
      </c>
      <c r="G4500" s="7">
        <v>0.45</v>
      </c>
      <c r="H4500" s="6" t="s">
        <v>209</v>
      </c>
      <c r="I4500" s="6" t="s">
        <v>55</v>
      </c>
      <c r="J4500" s="6">
        <v>2025.0</v>
      </c>
      <c r="L4500" s="6">
        <v>1.0</v>
      </c>
      <c r="M4500" s="8">
        <f t="shared" si="5"/>
        <v>0.45</v>
      </c>
      <c r="P4500" s="9"/>
    </row>
    <row r="4501">
      <c r="A4501" s="6" t="s">
        <v>9603</v>
      </c>
      <c r="B4501" s="6" t="s">
        <v>263</v>
      </c>
      <c r="C4501" s="6" t="s">
        <v>48</v>
      </c>
      <c r="D4501" s="6" t="s">
        <v>9604</v>
      </c>
      <c r="E4501" s="6" t="s">
        <v>260</v>
      </c>
      <c r="F4501" s="6" t="s">
        <v>261</v>
      </c>
      <c r="G4501" s="7">
        <v>0.13</v>
      </c>
      <c r="H4501" s="6" t="s">
        <v>184</v>
      </c>
      <c r="I4501" s="6" t="s">
        <v>20</v>
      </c>
      <c r="J4501" s="6">
        <v>2015.0</v>
      </c>
      <c r="K4501" s="10">
        <v>46083.0</v>
      </c>
      <c r="L4501" s="6">
        <v>2.0</v>
      </c>
      <c r="M4501" s="8">
        <f t="shared" si="5"/>
        <v>0.26</v>
      </c>
      <c r="P4501" s="9"/>
    </row>
    <row r="4502">
      <c r="A4502" s="6" t="s">
        <v>9605</v>
      </c>
      <c r="B4502" s="6" t="s">
        <v>2193</v>
      </c>
      <c r="C4502" s="6" t="s">
        <v>48</v>
      </c>
      <c r="D4502" s="6" t="s">
        <v>9606</v>
      </c>
      <c r="E4502" s="6" t="s">
        <v>9607</v>
      </c>
      <c r="F4502" s="6" t="s">
        <v>215</v>
      </c>
      <c r="G4502" s="7">
        <v>0.25</v>
      </c>
      <c r="H4502" s="6" t="s">
        <v>324</v>
      </c>
      <c r="I4502" s="6" t="s">
        <v>55</v>
      </c>
      <c r="J4502" s="6">
        <v>2025.0</v>
      </c>
      <c r="K4502" s="10">
        <v>46148.0</v>
      </c>
      <c r="L4502" s="6">
        <v>1.0</v>
      </c>
      <c r="M4502" s="8">
        <f t="shared" si="5"/>
        <v>0.25</v>
      </c>
      <c r="P4502" s="9"/>
    </row>
    <row r="4503">
      <c r="A4503" s="6" t="s">
        <v>9608</v>
      </c>
      <c r="B4503" s="6" t="s">
        <v>151</v>
      </c>
      <c r="C4503" s="6" t="s">
        <v>41</v>
      </c>
      <c r="D4503" s="6" t="s">
        <v>9609</v>
      </c>
      <c r="E4503" s="6" t="s">
        <v>1005</v>
      </c>
      <c r="F4503" s="6" t="s">
        <v>65</v>
      </c>
      <c r="G4503" s="7">
        <v>0.99</v>
      </c>
      <c r="H4503" s="6" t="s">
        <v>418</v>
      </c>
      <c r="I4503" s="6" t="s">
        <v>20</v>
      </c>
      <c r="J4503" s="6">
        <v>2022.0</v>
      </c>
      <c r="K4503" s="10">
        <v>46084.0</v>
      </c>
      <c r="L4503" s="6">
        <v>1.0</v>
      </c>
      <c r="M4503" s="8">
        <f t="shared" si="5"/>
        <v>0.99</v>
      </c>
      <c r="P4503" s="9"/>
    </row>
    <row r="4504">
      <c r="A4504" s="6" t="s">
        <v>9610</v>
      </c>
      <c r="B4504" s="6" t="s">
        <v>182</v>
      </c>
      <c r="C4504" s="6" t="s">
        <v>48</v>
      </c>
      <c r="D4504" s="6" t="s">
        <v>9611</v>
      </c>
      <c r="E4504" s="6" t="s">
        <v>112</v>
      </c>
      <c r="F4504" s="6" t="s">
        <v>65</v>
      </c>
      <c r="G4504" s="7">
        <v>0.1</v>
      </c>
      <c r="H4504" s="6" t="s">
        <v>224</v>
      </c>
      <c r="I4504" s="6" t="s">
        <v>20</v>
      </c>
      <c r="J4504" s="6">
        <v>2020.0</v>
      </c>
      <c r="L4504" s="6">
        <v>1.0</v>
      </c>
      <c r="M4504" s="8">
        <f t="shared" si="5"/>
        <v>0.1</v>
      </c>
      <c r="P4504" s="9"/>
    </row>
    <row r="4505">
      <c r="A4505" s="6" t="s">
        <v>9612</v>
      </c>
      <c r="B4505" s="6" t="s">
        <v>62</v>
      </c>
      <c r="C4505" s="6" t="s">
        <v>23</v>
      </c>
      <c r="D4505" s="6" t="s">
        <v>9613</v>
      </c>
      <c r="E4505" s="6" t="s">
        <v>502</v>
      </c>
      <c r="F4505" s="6" t="s">
        <v>65</v>
      </c>
      <c r="G4505" s="7">
        <v>0.2</v>
      </c>
      <c r="H4505" s="6" t="s">
        <v>4243</v>
      </c>
      <c r="I4505" s="6" t="s">
        <v>20</v>
      </c>
      <c r="J4505" s="6">
        <v>2017.0</v>
      </c>
      <c r="L4505" s="6">
        <v>4.0</v>
      </c>
      <c r="M4505" s="8">
        <f t="shared" si="5"/>
        <v>0.8</v>
      </c>
      <c r="P4505" s="9"/>
    </row>
    <row r="4506">
      <c r="A4506" s="6" t="s">
        <v>9614</v>
      </c>
      <c r="B4506" s="6" t="s">
        <v>9615</v>
      </c>
      <c r="C4506" s="6" t="s">
        <v>23</v>
      </c>
      <c r="D4506" s="6" t="s">
        <v>9616</v>
      </c>
      <c r="E4506" s="6" t="s">
        <v>502</v>
      </c>
      <c r="F4506" s="6" t="s">
        <v>65</v>
      </c>
      <c r="G4506" s="7">
        <v>0.09</v>
      </c>
      <c r="H4506" s="6" t="s">
        <v>845</v>
      </c>
      <c r="I4506" s="6" t="s">
        <v>20</v>
      </c>
      <c r="J4506" s="6">
        <v>2022.0</v>
      </c>
      <c r="K4506" s="10">
        <v>46085.0</v>
      </c>
      <c r="L4506" s="6">
        <v>1.0</v>
      </c>
      <c r="M4506" s="8">
        <f t="shared" si="5"/>
        <v>0.09</v>
      </c>
      <c r="P4506" s="9"/>
    </row>
    <row r="4507">
      <c r="A4507" s="6" t="s">
        <v>9617</v>
      </c>
      <c r="B4507" s="6" t="s">
        <v>9618</v>
      </c>
      <c r="C4507" s="6" t="s">
        <v>1956</v>
      </c>
      <c r="D4507" s="11" t="str">
        <f>+1: Draw a card, then discard a card at random. −4: Tibalt deals damage equal to the number of cards in target player's hand to that player. −6: Gain control of all creatures until end of turn. Untap them. They gain haste until end of turn. / +1: Compre um card. Depois, descarte um card aleatoriamente. -4: Tibalt, Sangue Demoníaco, causa ao jogador alvo dano igual ao número de cards na mão daquele jogador. -6: Ganhe o controle de todas as criaturas até o final do turno. Desvire-as. Todas ganham ímpeto até o final do turno.</f>
        <v>#ERROR!</v>
      </c>
      <c r="E4507" s="6" t="s">
        <v>3170</v>
      </c>
      <c r="F4507" s="6" t="s">
        <v>65</v>
      </c>
      <c r="G4507" s="7">
        <v>1.4</v>
      </c>
      <c r="H4507" s="6" t="s">
        <v>9619</v>
      </c>
      <c r="I4507" s="6" t="s">
        <v>55</v>
      </c>
      <c r="J4507" s="6">
        <v>2013.0</v>
      </c>
      <c r="L4507" s="6">
        <v>1.0</v>
      </c>
      <c r="M4507" s="8">
        <f t="shared" si="5"/>
        <v>1.4</v>
      </c>
      <c r="N4507" s="6" t="s">
        <v>172</v>
      </c>
      <c r="P4507" s="9"/>
    </row>
    <row r="4508">
      <c r="A4508" s="6" t="s">
        <v>9620</v>
      </c>
      <c r="B4508" s="6" t="s">
        <v>165</v>
      </c>
      <c r="C4508" s="6" t="s">
        <v>34</v>
      </c>
      <c r="D4508" s="6" t="s">
        <v>9621</v>
      </c>
      <c r="E4508" s="6" t="s">
        <v>1307</v>
      </c>
      <c r="F4508" s="6" t="s">
        <v>65</v>
      </c>
      <c r="G4508" s="7">
        <v>0.21</v>
      </c>
      <c r="H4508" s="6" t="s">
        <v>2326</v>
      </c>
      <c r="I4508" s="6" t="s">
        <v>20</v>
      </c>
      <c r="J4508" s="6">
        <v>2026.0</v>
      </c>
      <c r="L4508" s="6">
        <v>2.0</v>
      </c>
      <c r="M4508" s="8">
        <f t="shared" si="5"/>
        <v>0.42</v>
      </c>
      <c r="P4508" s="9"/>
    </row>
    <row r="4509">
      <c r="A4509" s="6" t="s">
        <v>9622</v>
      </c>
      <c r="B4509" s="6" t="s">
        <v>3605</v>
      </c>
      <c r="C4509" s="6" t="s">
        <v>15</v>
      </c>
      <c r="D4509" s="6" t="s">
        <v>9623</v>
      </c>
      <c r="E4509" s="6" t="s">
        <v>9624</v>
      </c>
      <c r="F4509" s="6" t="s">
        <v>9625</v>
      </c>
      <c r="G4509" s="7">
        <v>0.13</v>
      </c>
      <c r="H4509" s="6" t="s">
        <v>209</v>
      </c>
      <c r="I4509" s="6" t="s">
        <v>20</v>
      </c>
      <c r="J4509" s="6">
        <v>2025.0</v>
      </c>
      <c r="K4509" s="10">
        <v>46024.0</v>
      </c>
      <c r="L4509" s="6">
        <v>1.0</v>
      </c>
      <c r="M4509" s="8">
        <f t="shared" si="5"/>
        <v>0.13</v>
      </c>
      <c r="P4509" s="9"/>
    </row>
    <row r="4510">
      <c r="A4510" s="6" t="s">
        <v>9626</v>
      </c>
      <c r="B4510" s="6" t="s">
        <v>796</v>
      </c>
      <c r="C4510" s="6" t="s">
        <v>15</v>
      </c>
      <c r="D4510" s="6" t="s">
        <v>9627</v>
      </c>
      <c r="E4510" s="6" t="s">
        <v>238</v>
      </c>
      <c r="F4510" s="6" t="s">
        <v>159</v>
      </c>
      <c r="G4510" s="7">
        <v>0.2</v>
      </c>
      <c r="H4510" s="6" t="s">
        <v>209</v>
      </c>
      <c r="I4510" s="6" t="s">
        <v>20</v>
      </c>
      <c r="J4510" s="6">
        <v>2025.0</v>
      </c>
      <c r="L4510" s="6">
        <v>2.0</v>
      </c>
      <c r="M4510" s="8">
        <f t="shared" si="5"/>
        <v>0.4</v>
      </c>
      <c r="P4510" s="9"/>
    </row>
    <row r="4511">
      <c r="A4511" s="6" t="s">
        <v>9626</v>
      </c>
      <c r="B4511" s="6" t="s">
        <v>796</v>
      </c>
      <c r="C4511" s="6" t="s">
        <v>15</v>
      </c>
      <c r="D4511" s="6" t="s">
        <v>9627</v>
      </c>
      <c r="E4511" s="6" t="s">
        <v>238</v>
      </c>
      <c r="F4511" s="6" t="s">
        <v>159</v>
      </c>
      <c r="G4511" s="7">
        <v>1.28</v>
      </c>
      <c r="H4511" s="6" t="s">
        <v>209</v>
      </c>
      <c r="I4511" s="6" t="s">
        <v>55</v>
      </c>
      <c r="J4511" s="6">
        <v>2025.0</v>
      </c>
      <c r="L4511" s="6">
        <v>1.0</v>
      </c>
      <c r="M4511" s="8">
        <f t="shared" si="5"/>
        <v>1.28</v>
      </c>
      <c r="P4511" s="9"/>
    </row>
    <row r="4512">
      <c r="A4512" s="6" t="s">
        <v>9628</v>
      </c>
      <c r="B4512" s="6" t="s">
        <v>9629</v>
      </c>
      <c r="C4512" s="6" t="s">
        <v>48</v>
      </c>
      <c r="D4512" s="6" t="s">
        <v>9630</v>
      </c>
      <c r="E4512" s="6" t="s">
        <v>112</v>
      </c>
      <c r="F4512" s="6" t="s">
        <v>65</v>
      </c>
      <c r="G4512" s="7">
        <v>0.14</v>
      </c>
      <c r="H4512" s="6" t="s">
        <v>45</v>
      </c>
      <c r="I4512" s="6" t="s">
        <v>20</v>
      </c>
      <c r="J4512" s="6">
        <v>2025.0</v>
      </c>
      <c r="K4512" s="10">
        <v>46085.0</v>
      </c>
      <c r="L4512" s="6">
        <v>1.0</v>
      </c>
      <c r="M4512" s="8">
        <f t="shared" si="5"/>
        <v>0.14</v>
      </c>
      <c r="P4512" s="9"/>
    </row>
    <row r="4513">
      <c r="A4513" s="6" t="s">
        <v>9628</v>
      </c>
      <c r="B4513" s="6" t="s">
        <v>9629</v>
      </c>
      <c r="C4513" s="6" t="s">
        <v>48</v>
      </c>
      <c r="D4513" s="6" t="s">
        <v>9630</v>
      </c>
      <c r="E4513" s="6" t="s">
        <v>112</v>
      </c>
      <c r="F4513" s="6" t="s">
        <v>65</v>
      </c>
      <c r="G4513" s="7">
        <v>0.1</v>
      </c>
      <c r="H4513" s="6" t="s">
        <v>45</v>
      </c>
      <c r="I4513" s="6" t="s">
        <v>55</v>
      </c>
      <c r="J4513" s="6">
        <v>2025.0</v>
      </c>
      <c r="K4513" s="10">
        <v>46085.0</v>
      </c>
      <c r="L4513" s="6">
        <v>1.0</v>
      </c>
      <c r="M4513" s="8">
        <f t="shared" si="5"/>
        <v>0.1</v>
      </c>
      <c r="P4513" s="9"/>
    </row>
    <row r="4514">
      <c r="A4514" s="6" t="s">
        <v>9631</v>
      </c>
      <c r="B4514" s="6" t="s">
        <v>9632</v>
      </c>
      <c r="C4514" s="6" t="s">
        <v>48</v>
      </c>
      <c r="D4514" s="6" t="s">
        <v>9633</v>
      </c>
      <c r="E4514" s="6" t="s">
        <v>2129</v>
      </c>
      <c r="F4514" s="6" t="s">
        <v>65</v>
      </c>
      <c r="G4514" s="7">
        <v>0.04</v>
      </c>
      <c r="H4514" s="6" t="s">
        <v>1675</v>
      </c>
      <c r="I4514" s="6" t="s">
        <v>20</v>
      </c>
      <c r="J4514" s="6">
        <v>2021.0</v>
      </c>
      <c r="K4514" s="10">
        <v>46116.0</v>
      </c>
      <c r="L4514" s="6">
        <v>1.0</v>
      </c>
      <c r="M4514" s="8">
        <f t="shared" si="5"/>
        <v>0.04</v>
      </c>
      <c r="P4514" s="9"/>
    </row>
    <row r="4515">
      <c r="A4515" s="6" t="s">
        <v>9634</v>
      </c>
      <c r="B4515" s="6" t="s">
        <v>9635</v>
      </c>
      <c r="C4515" s="6" t="s">
        <v>48</v>
      </c>
      <c r="D4515" s="6" t="s">
        <v>9636</v>
      </c>
      <c r="E4515" s="6" t="s">
        <v>223</v>
      </c>
      <c r="F4515" s="6" t="s">
        <v>159</v>
      </c>
      <c r="G4515" s="7">
        <v>0.5</v>
      </c>
      <c r="H4515" s="6" t="s">
        <v>31</v>
      </c>
      <c r="I4515" s="6" t="s">
        <v>20</v>
      </c>
      <c r="J4515" s="6">
        <v>2026.0</v>
      </c>
      <c r="K4515" s="10">
        <v>46024.0</v>
      </c>
      <c r="L4515" s="6">
        <v>1.0</v>
      </c>
      <c r="M4515" s="8">
        <f t="shared" si="5"/>
        <v>0.5</v>
      </c>
      <c r="P4515" s="9"/>
    </row>
    <row r="4516">
      <c r="A4516" s="6" t="s">
        <v>9637</v>
      </c>
      <c r="B4516" s="6" t="s">
        <v>4833</v>
      </c>
      <c r="C4516" s="6" t="s">
        <v>23</v>
      </c>
      <c r="D4516" s="6" t="s">
        <v>9638</v>
      </c>
      <c r="E4516" s="6" t="s">
        <v>270</v>
      </c>
      <c r="F4516" s="6" t="s">
        <v>159</v>
      </c>
      <c r="G4516" s="7">
        <v>0.85</v>
      </c>
      <c r="H4516" s="6" t="s">
        <v>3017</v>
      </c>
      <c r="I4516" s="6" t="s">
        <v>20</v>
      </c>
      <c r="J4516" s="6">
        <v>2008.0</v>
      </c>
      <c r="K4516" s="10">
        <v>46082.0</v>
      </c>
      <c r="L4516" s="6">
        <v>2.0</v>
      </c>
      <c r="M4516" s="8">
        <f t="shared" si="5"/>
        <v>1.7</v>
      </c>
      <c r="P4516" s="9"/>
    </row>
    <row r="4517">
      <c r="A4517" s="6" t="s">
        <v>9639</v>
      </c>
      <c r="B4517" s="6" t="s">
        <v>372</v>
      </c>
      <c r="C4517" s="6" t="s">
        <v>23</v>
      </c>
      <c r="D4517" s="6" t="s">
        <v>9640</v>
      </c>
      <c r="E4517" s="6" t="s">
        <v>112</v>
      </c>
      <c r="F4517" s="6" t="s">
        <v>65</v>
      </c>
      <c r="G4517" s="7">
        <v>0.04</v>
      </c>
      <c r="H4517" s="6" t="s">
        <v>875</v>
      </c>
      <c r="I4517" s="6" t="s">
        <v>20</v>
      </c>
      <c r="J4517" s="6">
        <v>2018.0</v>
      </c>
      <c r="L4517" s="6">
        <v>2.0</v>
      </c>
      <c r="M4517" s="8">
        <f t="shared" si="5"/>
        <v>0.08</v>
      </c>
      <c r="P4517" s="9"/>
    </row>
    <row r="4518">
      <c r="A4518" s="6" t="s">
        <v>9641</v>
      </c>
      <c r="B4518" s="6" t="s">
        <v>139</v>
      </c>
      <c r="C4518" s="6" t="s">
        <v>23</v>
      </c>
      <c r="D4518" s="6" t="s">
        <v>9642</v>
      </c>
      <c r="E4518" s="6" t="s">
        <v>112</v>
      </c>
      <c r="F4518" s="6" t="s">
        <v>65</v>
      </c>
      <c r="G4518" s="7">
        <v>0.03</v>
      </c>
      <c r="H4518" s="6" t="s">
        <v>555</v>
      </c>
      <c r="I4518" s="6" t="s">
        <v>20</v>
      </c>
      <c r="J4518" s="6">
        <v>2017.0</v>
      </c>
      <c r="K4518" s="10">
        <v>46055.0</v>
      </c>
      <c r="L4518" s="6">
        <v>1.0</v>
      </c>
      <c r="M4518" s="8">
        <f t="shared" si="5"/>
        <v>0.03</v>
      </c>
      <c r="P4518" s="9"/>
    </row>
    <row r="4519">
      <c r="A4519" s="6" t="s">
        <v>9643</v>
      </c>
      <c r="B4519" s="6" t="s">
        <v>424</v>
      </c>
      <c r="C4519" s="6" t="s">
        <v>48</v>
      </c>
      <c r="D4519" s="6" t="s">
        <v>9644</v>
      </c>
      <c r="F4519" s="6" t="s">
        <v>826</v>
      </c>
      <c r="G4519" s="7">
        <v>0.05</v>
      </c>
      <c r="H4519" s="6" t="s">
        <v>336</v>
      </c>
      <c r="I4519" s="6" t="s">
        <v>20</v>
      </c>
      <c r="J4519" s="6">
        <v>2016.0</v>
      </c>
      <c r="L4519" s="6">
        <v>2.0</v>
      </c>
      <c r="M4519" s="8">
        <f t="shared" si="5"/>
        <v>0.1</v>
      </c>
      <c r="P4519" s="9"/>
    </row>
    <row r="4520">
      <c r="A4520" s="6" t="s">
        <v>9645</v>
      </c>
      <c r="B4520" s="6" t="s">
        <v>2391</v>
      </c>
      <c r="C4520" s="6" t="s">
        <v>23</v>
      </c>
      <c r="D4520" s="6" t="s">
        <v>9646</v>
      </c>
      <c r="E4520" s="6" t="s">
        <v>223</v>
      </c>
      <c r="F4520" s="6" t="s">
        <v>159</v>
      </c>
      <c r="G4520" s="7">
        <v>0.05</v>
      </c>
      <c r="H4520" s="6" t="s">
        <v>1692</v>
      </c>
      <c r="I4520" s="6" t="s">
        <v>20</v>
      </c>
      <c r="J4520" s="6">
        <v>2021.0</v>
      </c>
      <c r="K4520" s="10">
        <v>46023.0</v>
      </c>
      <c r="L4520" s="6">
        <v>5.0</v>
      </c>
      <c r="M4520" s="8">
        <f t="shared" si="5"/>
        <v>0.25</v>
      </c>
      <c r="P4520" s="9"/>
    </row>
    <row r="4521">
      <c r="A4521" s="6" t="s">
        <v>9647</v>
      </c>
      <c r="B4521" s="6" t="s">
        <v>809</v>
      </c>
      <c r="C4521" s="6" t="s">
        <v>23</v>
      </c>
      <c r="D4521" s="6" t="s">
        <v>9648</v>
      </c>
      <c r="E4521" s="6" t="s">
        <v>223</v>
      </c>
      <c r="F4521" s="6" t="s">
        <v>159</v>
      </c>
      <c r="G4521" s="7">
        <v>0.05</v>
      </c>
      <c r="H4521" s="6" t="s">
        <v>701</v>
      </c>
      <c r="I4521" s="6" t="s">
        <v>20</v>
      </c>
      <c r="J4521" s="6">
        <v>2012.0</v>
      </c>
      <c r="K4521" s="10">
        <v>46055.0</v>
      </c>
      <c r="L4521" s="6">
        <v>1.0</v>
      </c>
      <c r="M4521" s="8">
        <f t="shared" si="5"/>
        <v>0.05</v>
      </c>
      <c r="P4521" s="9"/>
    </row>
    <row r="4522">
      <c r="A4522" s="6" t="s">
        <v>9649</v>
      </c>
      <c r="B4522" s="6" t="s">
        <v>62</v>
      </c>
      <c r="C4522" s="6" t="s">
        <v>41</v>
      </c>
      <c r="D4522" s="6" t="s">
        <v>9650</v>
      </c>
      <c r="E4522" s="6" t="s">
        <v>345</v>
      </c>
      <c r="F4522" s="6" t="s">
        <v>18</v>
      </c>
      <c r="G4522" s="7">
        <v>0.09</v>
      </c>
      <c r="H4522" s="6" t="s">
        <v>1665</v>
      </c>
      <c r="I4522" s="6" t="s">
        <v>20</v>
      </c>
      <c r="J4522" s="6">
        <v>2004.0</v>
      </c>
      <c r="L4522" s="6">
        <v>1.0</v>
      </c>
      <c r="M4522" s="8">
        <f t="shared" si="5"/>
        <v>0.09</v>
      </c>
      <c r="P4522" s="9"/>
    </row>
    <row r="4523">
      <c r="A4523" s="6" t="s">
        <v>9651</v>
      </c>
      <c r="B4523" s="6" t="s">
        <v>9652</v>
      </c>
      <c r="C4523" s="6" t="s">
        <v>23</v>
      </c>
      <c r="D4523" s="6" t="s">
        <v>9653</v>
      </c>
      <c r="E4523" s="6" t="s">
        <v>270</v>
      </c>
      <c r="F4523" s="6" t="s">
        <v>159</v>
      </c>
      <c r="G4523" s="7">
        <v>0.03</v>
      </c>
      <c r="H4523" s="6" t="s">
        <v>555</v>
      </c>
      <c r="I4523" s="6" t="s">
        <v>20</v>
      </c>
      <c r="J4523" s="6">
        <v>2017.0</v>
      </c>
      <c r="K4523" s="10">
        <v>46055.0</v>
      </c>
      <c r="L4523" s="6">
        <v>1.0</v>
      </c>
      <c r="M4523" s="8">
        <f t="shared" si="5"/>
        <v>0.03</v>
      </c>
      <c r="P4523" s="9"/>
    </row>
    <row r="4524">
      <c r="A4524" s="6" t="s">
        <v>9654</v>
      </c>
      <c r="B4524" s="6" t="s">
        <v>62</v>
      </c>
      <c r="C4524" s="6" t="s">
        <v>23</v>
      </c>
      <c r="D4524" s="6" t="s">
        <v>9655</v>
      </c>
      <c r="E4524" s="6" t="s">
        <v>196</v>
      </c>
      <c r="F4524" s="6" t="s">
        <v>65</v>
      </c>
      <c r="G4524" s="7">
        <v>0.05</v>
      </c>
      <c r="H4524" s="6" t="s">
        <v>184</v>
      </c>
      <c r="I4524" s="6" t="s">
        <v>20</v>
      </c>
      <c r="J4524" s="6">
        <v>2015.0</v>
      </c>
      <c r="L4524" s="6">
        <v>4.0</v>
      </c>
      <c r="M4524" s="8">
        <f t="shared" si="5"/>
        <v>0.2</v>
      </c>
      <c r="P4524" s="9"/>
    </row>
    <row r="4525">
      <c r="A4525" s="6" t="s">
        <v>9656</v>
      </c>
      <c r="B4525" s="6" t="s">
        <v>62</v>
      </c>
      <c r="C4525" s="6" t="s">
        <v>23</v>
      </c>
      <c r="D4525" s="6" t="s">
        <v>9657</v>
      </c>
      <c r="E4525" s="6" t="s">
        <v>223</v>
      </c>
      <c r="F4525" s="6" t="s">
        <v>159</v>
      </c>
      <c r="G4525" s="7">
        <v>0.05</v>
      </c>
      <c r="H4525" s="6" t="s">
        <v>914</v>
      </c>
      <c r="I4525" s="6" t="s">
        <v>20</v>
      </c>
      <c r="J4525" s="6">
        <v>2011.0</v>
      </c>
      <c r="L4525" s="6">
        <v>1.0</v>
      </c>
      <c r="M4525" s="8">
        <f t="shared" si="5"/>
        <v>0.05</v>
      </c>
      <c r="P4525" s="9"/>
    </row>
    <row r="4526">
      <c r="A4526" s="6" t="s">
        <v>9656</v>
      </c>
      <c r="B4526" s="6" t="s">
        <v>62</v>
      </c>
      <c r="C4526" s="6" t="s">
        <v>23</v>
      </c>
      <c r="D4526" s="6" t="s">
        <v>9657</v>
      </c>
      <c r="E4526" s="6" t="s">
        <v>223</v>
      </c>
      <c r="F4526" s="6" t="s">
        <v>159</v>
      </c>
      <c r="G4526" s="7">
        <v>0.05</v>
      </c>
      <c r="H4526" s="6" t="s">
        <v>184</v>
      </c>
      <c r="I4526" s="6" t="s">
        <v>20</v>
      </c>
      <c r="J4526" s="6">
        <v>2015.0</v>
      </c>
      <c r="L4526" s="6">
        <v>2.0</v>
      </c>
      <c r="M4526" s="8">
        <f t="shared" si="5"/>
        <v>0.1</v>
      </c>
      <c r="P4526" s="9"/>
    </row>
    <row r="4527">
      <c r="A4527" s="6" t="s">
        <v>9658</v>
      </c>
      <c r="B4527" s="6" t="s">
        <v>472</v>
      </c>
      <c r="C4527" s="6" t="s">
        <v>23</v>
      </c>
      <c r="D4527" s="6" t="s">
        <v>9659</v>
      </c>
      <c r="E4527" s="6" t="s">
        <v>1844</v>
      </c>
      <c r="F4527" s="6" t="s">
        <v>98</v>
      </c>
      <c r="G4527" s="7">
        <v>1.0</v>
      </c>
      <c r="H4527" s="6" t="s">
        <v>1784</v>
      </c>
      <c r="I4527" s="6" t="s">
        <v>55</v>
      </c>
      <c r="J4527" s="6">
        <v>2013.0</v>
      </c>
      <c r="K4527" s="10">
        <v>46024.0</v>
      </c>
      <c r="L4527" s="6">
        <v>1.0</v>
      </c>
      <c r="M4527" s="8">
        <f t="shared" si="5"/>
        <v>1</v>
      </c>
      <c r="P4527" s="9"/>
    </row>
    <row r="4528">
      <c r="A4528" s="6" t="s">
        <v>9658</v>
      </c>
      <c r="B4528" s="6" t="s">
        <v>472</v>
      </c>
      <c r="C4528" s="6" t="s">
        <v>23</v>
      </c>
      <c r="D4528" s="6" t="s">
        <v>9659</v>
      </c>
      <c r="E4528" s="6" t="s">
        <v>1844</v>
      </c>
      <c r="F4528" s="6" t="s">
        <v>98</v>
      </c>
      <c r="G4528" s="7">
        <v>0.17</v>
      </c>
      <c r="H4528" s="6" t="s">
        <v>1784</v>
      </c>
      <c r="I4528" s="6" t="s">
        <v>20</v>
      </c>
      <c r="J4528" s="6">
        <v>2013.0</v>
      </c>
      <c r="K4528" s="10">
        <v>46024.0</v>
      </c>
      <c r="L4528" s="6">
        <v>3.0</v>
      </c>
      <c r="M4528" s="8">
        <f t="shared" si="5"/>
        <v>0.51</v>
      </c>
      <c r="P4528" s="9"/>
    </row>
    <row r="4529">
      <c r="A4529" s="6" t="s">
        <v>9660</v>
      </c>
      <c r="B4529" s="6" t="s">
        <v>9661</v>
      </c>
      <c r="C4529" s="6" t="s">
        <v>23</v>
      </c>
      <c r="D4529" s="6" t="s">
        <v>9662</v>
      </c>
      <c r="E4529" s="6" t="s">
        <v>2312</v>
      </c>
      <c r="F4529" s="6" t="s">
        <v>103</v>
      </c>
      <c r="G4529" s="7">
        <v>0.02</v>
      </c>
      <c r="H4529" s="6" t="s">
        <v>406</v>
      </c>
      <c r="I4529" s="6" t="s">
        <v>20</v>
      </c>
      <c r="J4529" s="6">
        <v>2019.0</v>
      </c>
      <c r="K4529" s="10">
        <v>46146.0</v>
      </c>
      <c r="L4529" s="6">
        <v>1.0</v>
      </c>
      <c r="M4529" s="8">
        <f t="shared" si="5"/>
        <v>0.02</v>
      </c>
      <c r="P4529" s="9"/>
    </row>
    <row r="4530">
      <c r="A4530" s="6" t="s">
        <v>9660</v>
      </c>
      <c r="B4530" s="6" t="s">
        <v>9661</v>
      </c>
      <c r="C4530" s="6" t="s">
        <v>23</v>
      </c>
      <c r="D4530" s="6" t="s">
        <v>9662</v>
      </c>
      <c r="E4530" s="6" t="s">
        <v>2312</v>
      </c>
      <c r="F4530" s="6" t="s">
        <v>103</v>
      </c>
      <c r="G4530" s="7">
        <v>0.02</v>
      </c>
      <c r="H4530" s="6" t="s">
        <v>406</v>
      </c>
      <c r="I4530" s="6" t="s">
        <v>20</v>
      </c>
      <c r="J4530" s="6">
        <v>2019.0</v>
      </c>
      <c r="K4530" s="10">
        <v>46146.0</v>
      </c>
      <c r="L4530" s="6">
        <v>1.0</v>
      </c>
      <c r="M4530" s="8">
        <f t="shared" si="5"/>
        <v>0.02</v>
      </c>
      <c r="P4530" s="9"/>
    </row>
    <row r="4531">
      <c r="A4531" s="6" t="s">
        <v>9663</v>
      </c>
      <c r="B4531" s="6" t="s">
        <v>9664</v>
      </c>
      <c r="C4531" s="6" t="s">
        <v>23</v>
      </c>
      <c r="D4531" s="6" t="s">
        <v>9665</v>
      </c>
      <c r="E4531" s="6" t="s">
        <v>238</v>
      </c>
      <c r="F4531" s="6" t="s">
        <v>159</v>
      </c>
      <c r="G4531" s="7">
        <v>0.32</v>
      </c>
      <c r="H4531" s="6" t="s">
        <v>1194</v>
      </c>
      <c r="I4531" s="6" t="s">
        <v>55</v>
      </c>
      <c r="J4531" s="6">
        <v>2023.0</v>
      </c>
      <c r="K4531" s="10">
        <v>46023.0</v>
      </c>
      <c r="L4531" s="6">
        <v>1.0</v>
      </c>
      <c r="M4531" s="8">
        <f t="shared" si="5"/>
        <v>0.32</v>
      </c>
      <c r="P4531" s="9"/>
    </row>
    <row r="4532">
      <c r="A4532" s="6" t="s">
        <v>9666</v>
      </c>
      <c r="B4532" s="6" t="s">
        <v>5904</v>
      </c>
      <c r="C4532" s="6" t="s">
        <v>48</v>
      </c>
      <c r="E4532" s="6" t="s">
        <v>6155</v>
      </c>
      <c r="F4532" s="6" t="s">
        <v>261</v>
      </c>
      <c r="G4532" s="7">
        <v>0.21</v>
      </c>
      <c r="H4532" s="6" t="s">
        <v>197</v>
      </c>
      <c r="I4532" s="6" t="s">
        <v>20</v>
      </c>
      <c r="J4532" s="6">
        <v>1995.0</v>
      </c>
      <c r="K4532" s="10">
        <v>46116.0</v>
      </c>
      <c r="L4532" s="6">
        <v>1.0</v>
      </c>
      <c r="M4532" s="8">
        <f t="shared" si="5"/>
        <v>0.21</v>
      </c>
      <c r="P4532" s="9"/>
    </row>
    <row r="4533">
      <c r="A4533" s="6" t="s">
        <v>9667</v>
      </c>
      <c r="B4533" s="6" t="s">
        <v>424</v>
      </c>
      <c r="C4533" s="6" t="s">
        <v>23</v>
      </c>
      <c r="D4533" s="6" t="s">
        <v>9668</v>
      </c>
      <c r="F4533" s="6" t="s">
        <v>37</v>
      </c>
      <c r="G4533" s="7">
        <v>0.14</v>
      </c>
      <c r="H4533" s="6" t="s">
        <v>1301</v>
      </c>
      <c r="I4533" s="6" t="s">
        <v>20</v>
      </c>
      <c r="J4533" s="6">
        <v>2022.0</v>
      </c>
      <c r="L4533" s="6">
        <v>1.0</v>
      </c>
      <c r="M4533" s="8">
        <f t="shared" si="5"/>
        <v>0.14</v>
      </c>
      <c r="P4533" s="9"/>
    </row>
    <row r="4534">
      <c r="A4534" s="6" t="s">
        <v>9669</v>
      </c>
      <c r="B4534" s="6" t="s">
        <v>291</v>
      </c>
      <c r="C4534" s="6" t="s">
        <v>23</v>
      </c>
      <c r="E4534" s="6" t="s">
        <v>25</v>
      </c>
      <c r="F4534" s="6" t="s">
        <v>18</v>
      </c>
      <c r="G4534" s="7">
        <v>0.03</v>
      </c>
      <c r="H4534" s="6" t="s">
        <v>104</v>
      </c>
      <c r="I4534" s="6" t="s">
        <v>20</v>
      </c>
      <c r="J4534" s="6">
        <v>2018.0</v>
      </c>
      <c r="K4534" s="10">
        <v>46083.0</v>
      </c>
      <c r="L4534" s="6">
        <v>3.0</v>
      </c>
      <c r="M4534" s="8">
        <f t="shared" si="5"/>
        <v>0.09</v>
      </c>
      <c r="P4534" s="9"/>
    </row>
    <row r="4535">
      <c r="A4535" s="6" t="s">
        <v>9670</v>
      </c>
      <c r="B4535" s="6" t="s">
        <v>9671</v>
      </c>
      <c r="C4535" s="6" t="s">
        <v>23</v>
      </c>
      <c r="D4535" s="6" t="s">
        <v>9672</v>
      </c>
      <c r="E4535" s="6" t="s">
        <v>30</v>
      </c>
      <c r="F4535" s="6" t="s">
        <v>18</v>
      </c>
      <c r="G4535" s="7">
        <v>0.1</v>
      </c>
      <c r="H4535" s="6" t="s">
        <v>565</v>
      </c>
      <c r="I4535" s="6" t="s">
        <v>20</v>
      </c>
      <c r="J4535" s="6">
        <v>2021.0</v>
      </c>
      <c r="K4535" s="10">
        <v>46082.0</v>
      </c>
      <c r="L4535" s="6">
        <v>1.0</v>
      </c>
      <c r="M4535" s="8">
        <f t="shared" si="5"/>
        <v>0.1</v>
      </c>
      <c r="N4535" s="6" t="s">
        <v>518</v>
      </c>
      <c r="P4535" s="9"/>
    </row>
    <row r="4536">
      <c r="A4536" s="6" t="s">
        <v>9673</v>
      </c>
      <c r="B4536" s="6" t="s">
        <v>2518</v>
      </c>
      <c r="C4536" s="6" t="s">
        <v>23</v>
      </c>
      <c r="D4536" s="6" t="s">
        <v>9674</v>
      </c>
      <c r="E4536" s="6" t="s">
        <v>9675</v>
      </c>
      <c r="F4536" s="6" t="s">
        <v>18</v>
      </c>
      <c r="G4536" s="7">
        <v>0.1</v>
      </c>
      <c r="H4536" s="6" t="s">
        <v>113</v>
      </c>
      <c r="I4536" s="6" t="s">
        <v>20</v>
      </c>
      <c r="J4536" s="6">
        <v>2024.0</v>
      </c>
      <c r="K4536" s="10">
        <v>46147.0</v>
      </c>
      <c r="L4536" s="6">
        <v>1.0</v>
      </c>
      <c r="M4536" s="8">
        <f t="shared" si="5"/>
        <v>0.1</v>
      </c>
      <c r="P4536" s="9"/>
    </row>
    <row r="4537">
      <c r="A4537" s="6" t="s">
        <v>9676</v>
      </c>
      <c r="B4537" s="6" t="s">
        <v>9677</v>
      </c>
      <c r="C4537" s="6" t="s">
        <v>41</v>
      </c>
      <c r="D4537" s="6" t="s">
        <v>9678</v>
      </c>
      <c r="E4537" s="6" t="s">
        <v>1740</v>
      </c>
      <c r="F4537" s="6" t="s">
        <v>874</v>
      </c>
      <c r="G4537" s="7">
        <v>0.99</v>
      </c>
      <c r="H4537" s="6" t="s">
        <v>1519</v>
      </c>
      <c r="I4537" s="6" t="s">
        <v>20</v>
      </c>
      <c r="J4537" s="6">
        <v>2005.0</v>
      </c>
      <c r="K4537" s="10">
        <v>46115.0</v>
      </c>
      <c r="L4537" s="6">
        <v>1.0</v>
      </c>
      <c r="M4537" s="8">
        <f t="shared" si="5"/>
        <v>0.99</v>
      </c>
      <c r="P4537" s="9"/>
    </row>
    <row r="4538">
      <c r="A4538" s="6" t="s">
        <v>9679</v>
      </c>
      <c r="B4538" s="6" t="s">
        <v>424</v>
      </c>
      <c r="C4538" s="6" t="s">
        <v>48</v>
      </c>
      <c r="D4538" s="6" t="s">
        <v>9680</v>
      </c>
      <c r="F4538" s="6" t="s">
        <v>37</v>
      </c>
      <c r="G4538" s="7">
        <v>0.23</v>
      </c>
      <c r="H4538" s="6" t="s">
        <v>129</v>
      </c>
      <c r="I4538" s="6" t="s">
        <v>20</v>
      </c>
      <c r="J4538" s="6">
        <v>2014.0</v>
      </c>
      <c r="L4538" s="6">
        <v>1.0</v>
      </c>
      <c r="M4538" s="8">
        <f t="shared" si="5"/>
        <v>0.23</v>
      </c>
      <c r="P4538" s="9"/>
    </row>
    <row r="4539">
      <c r="A4539" s="6" t="s">
        <v>9679</v>
      </c>
      <c r="B4539" s="6" t="s">
        <v>424</v>
      </c>
      <c r="C4539" s="6" t="s">
        <v>48</v>
      </c>
      <c r="D4539" s="6" t="s">
        <v>9680</v>
      </c>
      <c r="F4539" s="6" t="s">
        <v>37</v>
      </c>
      <c r="G4539" s="7">
        <v>0.23</v>
      </c>
      <c r="H4539" s="6" t="s">
        <v>129</v>
      </c>
      <c r="I4539" s="6" t="s">
        <v>20</v>
      </c>
      <c r="J4539" s="6">
        <v>2014.0</v>
      </c>
      <c r="L4539" s="6">
        <v>1.0</v>
      </c>
      <c r="M4539" s="8">
        <f t="shared" si="5"/>
        <v>0.23</v>
      </c>
      <c r="P4539" s="9"/>
    </row>
    <row r="4540">
      <c r="A4540" s="6" t="s">
        <v>9681</v>
      </c>
      <c r="B4540" s="6" t="s">
        <v>1063</v>
      </c>
      <c r="C4540" s="6" t="s">
        <v>48</v>
      </c>
      <c r="D4540" s="6" t="s">
        <v>9682</v>
      </c>
      <c r="E4540" s="6" t="s">
        <v>235</v>
      </c>
      <c r="F4540" s="6" t="s">
        <v>103</v>
      </c>
      <c r="G4540" s="7">
        <v>0.21</v>
      </c>
      <c r="H4540" s="6" t="s">
        <v>26</v>
      </c>
      <c r="I4540" s="6" t="s">
        <v>20</v>
      </c>
      <c r="J4540" s="6">
        <v>2026.0</v>
      </c>
      <c r="K4540" s="10">
        <v>46055.0</v>
      </c>
      <c r="L4540" s="6">
        <v>1.0</v>
      </c>
      <c r="M4540" s="8">
        <f t="shared" si="5"/>
        <v>0.21</v>
      </c>
      <c r="P4540" s="9"/>
    </row>
    <row r="4541">
      <c r="A4541" s="6" t="s">
        <v>9683</v>
      </c>
      <c r="B4541" s="6" t="s">
        <v>151</v>
      </c>
      <c r="C4541" s="6" t="s">
        <v>23</v>
      </c>
      <c r="D4541" s="6" t="s">
        <v>9684</v>
      </c>
      <c r="E4541" s="6" t="s">
        <v>30</v>
      </c>
      <c r="F4541" s="6" t="s">
        <v>18</v>
      </c>
      <c r="G4541" s="7">
        <v>0.05</v>
      </c>
      <c r="H4541" s="6" t="s">
        <v>1810</v>
      </c>
      <c r="I4541" s="6" t="s">
        <v>55</v>
      </c>
      <c r="J4541" s="6">
        <v>2020.0</v>
      </c>
      <c r="K4541" s="10">
        <v>46084.0</v>
      </c>
      <c r="L4541" s="6">
        <v>1.0</v>
      </c>
      <c r="M4541" s="8">
        <f t="shared" si="5"/>
        <v>0.05</v>
      </c>
      <c r="P4541" s="9"/>
    </row>
    <row r="4542">
      <c r="A4542" s="6" t="s">
        <v>9685</v>
      </c>
      <c r="B4542" s="6" t="s">
        <v>182</v>
      </c>
      <c r="C4542" s="6" t="s">
        <v>23</v>
      </c>
      <c r="D4542" s="6" t="s">
        <v>9686</v>
      </c>
      <c r="E4542" s="6" t="s">
        <v>112</v>
      </c>
      <c r="F4542" s="6" t="s">
        <v>65</v>
      </c>
      <c r="G4542" s="7">
        <v>0.31</v>
      </c>
      <c r="H4542" s="6" t="s">
        <v>204</v>
      </c>
      <c r="I4542" s="6" t="s">
        <v>55</v>
      </c>
      <c r="J4542" s="6">
        <v>2026.0</v>
      </c>
      <c r="L4542" s="6">
        <v>1.0</v>
      </c>
      <c r="M4542" s="8">
        <f t="shared" si="5"/>
        <v>0.31</v>
      </c>
      <c r="P4542" s="9"/>
    </row>
    <row r="4543">
      <c r="A4543" s="6" t="s">
        <v>9687</v>
      </c>
      <c r="B4543" s="6" t="s">
        <v>2178</v>
      </c>
      <c r="C4543" s="6" t="s">
        <v>23</v>
      </c>
      <c r="D4543" s="6" t="s">
        <v>9688</v>
      </c>
      <c r="E4543" s="6" t="s">
        <v>25</v>
      </c>
      <c r="F4543" s="6" t="s">
        <v>18</v>
      </c>
      <c r="G4543" s="7">
        <v>0.06</v>
      </c>
      <c r="H4543" s="6" t="s">
        <v>141</v>
      </c>
      <c r="I4543" s="6" t="s">
        <v>20</v>
      </c>
      <c r="J4543" s="6">
        <v>2019.0</v>
      </c>
      <c r="K4543" s="10">
        <v>46023.0</v>
      </c>
      <c r="L4543" s="6">
        <v>1.0</v>
      </c>
      <c r="M4543" s="8">
        <f t="shared" si="5"/>
        <v>0.06</v>
      </c>
      <c r="P4543" s="9"/>
    </row>
    <row r="4544">
      <c r="A4544" s="6" t="s">
        <v>9689</v>
      </c>
      <c r="B4544" s="6" t="s">
        <v>9690</v>
      </c>
      <c r="C4544" s="6" t="s">
        <v>15</v>
      </c>
      <c r="D4544" s="6" t="s">
        <v>9691</v>
      </c>
      <c r="E4544" s="6" t="s">
        <v>167</v>
      </c>
      <c r="F4544" s="6" t="s">
        <v>103</v>
      </c>
      <c r="G4544" s="7">
        <v>0.2</v>
      </c>
      <c r="H4544" s="6" t="s">
        <v>209</v>
      </c>
      <c r="I4544" s="6" t="s">
        <v>20</v>
      </c>
      <c r="J4544" s="6">
        <v>2025.0</v>
      </c>
      <c r="K4544" s="10">
        <v>46024.0</v>
      </c>
      <c r="L4544" s="6">
        <v>1.0</v>
      </c>
      <c r="M4544" s="8">
        <f t="shared" si="5"/>
        <v>0.2</v>
      </c>
      <c r="P4544" s="9"/>
    </row>
    <row r="4545">
      <c r="A4545" s="6" t="s">
        <v>9692</v>
      </c>
      <c r="B4545" s="6" t="s">
        <v>83</v>
      </c>
      <c r="C4545" s="6" t="s">
        <v>84</v>
      </c>
      <c r="D4545" s="6" t="s">
        <v>9693</v>
      </c>
      <c r="E4545" s="6" t="s">
        <v>124</v>
      </c>
      <c r="F4545" s="6" t="s">
        <v>103</v>
      </c>
      <c r="G4545" s="7">
        <v>0.8</v>
      </c>
      <c r="H4545" s="6" t="s">
        <v>1293</v>
      </c>
      <c r="I4545" s="6" t="s">
        <v>20</v>
      </c>
      <c r="J4545" s="6">
        <v>2011.0</v>
      </c>
      <c r="K4545" s="10">
        <v>46146.0</v>
      </c>
      <c r="L4545" s="6">
        <v>1.0</v>
      </c>
      <c r="M4545" s="8">
        <f t="shared" si="5"/>
        <v>0.8</v>
      </c>
      <c r="P4545" s="9"/>
    </row>
    <row r="4546">
      <c r="A4546" s="6" t="s">
        <v>9694</v>
      </c>
      <c r="B4546" s="6" t="s">
        <v>131</v>
      </c>
      <c r="C4546" s="6" t="s">
        <v>23</v>
      </c>
      <c r="D4546" s="6" t="s">
        <v>9695</v>
      </c>
      <c r="E4546" s="6" t="s">
        <v>118</v>
      </c>
      <c r="F4546" s="6" t="s">
        <v>51</v>
      </c>
      <c r="G4546" s="7">
        <v>0.04</v>
      </c>
      <c r="H4546" s="6" t="s">
        <v>184</v>
      </c>
      <c r="I4546" s="6" t="s">
        <v>20</v>
      </c>
      <c r="J4546" s="6">
        <v>2015.0</v>
      </c>
      <c r="K4546" s="10">
        <v>46055.0</v>
      </c>
      <c r="L4546" s="6">
        <v>5.0</v>
      </c>
      <c r="M4546" s="8">
        <f t="shared" si="5"/>
        <v>0.2</v>
      </c>
      <c r="P4546" s="9"/>
    </row>
    <row r="4547">
      <c r="A4547" s="6" t="s">
        <v>9696</v>
      </c>
      <c r="B4547" s="6" t="s">
        <v>5483</v>
      </c>
      <c r="C4547" s="6" t="s">
        <v>41</v>
      </c>
      <c r="D4547" s="6" t="s">
        <v>9697</v>
      </c>
      <c r="E4547" s="6" t="s">
        <v>825</v>
      </c>
      <c r="F4547" s="6" t="s">
        <v>826</v>
      </c>
      <c r="G4547" s="7">
        <v>0.99</v>
      </c>
      <c r="H4547" s="6" t="s">
        <v>45</v>
      </c>
      <c r="I4547" s="6" t="s">
        <v>20</v>
      </c>
      <c r="J4547" s="6">
        <v>2025.0</v>
      </c>
      <c r="K4547" s="10">
        <v>46115.0</v>
      </c>
      <c r="L4547" s="6">
        <v>1.0</v>
      </c>
      <c r="M4547" s="8">
        <f t="shared" si="5"/>
        <v>0.99</v>
      </c>
      <c r="P4547" s="9"/>
    </row>
    <row r="4548">
      <c r="A4548" s="6" t="s">
        <v>9698</v>
      </c>
      <c r="B4548" s="6" t="s">
        <v>5483</v>
      </c>
      <c r="C4548" s="6" t="s">
        <v>48</v>
      </c>
      <c r="D4548" s="6" t="s">
        <v>9699</v>
      </c>
      <c r="E4548" s="6" t="s">
        <v>270</v>
      </c>
      <c r="F4548" s="6" t="s">
        <v>159</v>
      </c>
      <c r="G4548" s="7">
        <v>0.2</v>
      </c>
      <c r="H4548" s="6" t="s">
        <v>45</v>
      </c>
      <c r="I4548" s="6" t="s">
        <v>20</v>
      </c>
      <c r="J4548" s="6">
        <v>2025.0</v>
      </c>
      <c r="K4548" s="6" t="s">
        <v>3042</v>
      </c>
      <c r="L4548" s="6">
        <v>2.0</v>
      </c>
      <c r="M4548" s="8">
        <f t="shared" si="5"/>
        <v>0.4</v>
      </c>
      <c r="P4548" s="9"/>
    </row>
    <row r="4549">
      <c r="A4549" s="6" t="s">
        <v>9700</v>
      </c>
      <c r="B4549" s="6" t="s">
        <v>1420</v>
      </c>
      <c r="C4549" s="6" t="s">
        <v>48</v>
      </c>
      <c r="D4549" s="6" t="s">
        <v>9701</v>
      </c>
      <c r="E4549" s="6" t="s">
        <v>270</v>
      </c>
      <c r="F4549" s="6" t="s">
        <v>159</v>
      </c>
      <c r="G4549" s="7">
        <v>0.3</v>
      </c>
      <c r="H4549" s="6" t="s">
        <v>204</v>
      </c>
      <c r="I4549" s="6" t="s">
        <v>20</v>
      </c>
      <c r="J4549" s="6">
        <v>2026.0</v>
      </c>
      <c r="K4549" s="10">
        <v>46054.0</v>
      </c>
      <c r="L4549" s="6">
        <v>2.0</v>
      </c>
      <c r="M4549" s="8">
        <f t="shared" si="5"/>
        <v>0.6</v>
      </c>
      <c r="P4549" s="9"/>
    </row>
    <row r="4550">
      <c r="A4550" s="6" t="s">
        <v>9702</v>
      </c>
      <c r="B4550" s="6" t="s">
        <v>9703</v>
      </c>
      <c r="C4550" s="6" t="s">
        <v>4336</v>
      </c>
      <c r="D4550" s="6" t="s">
        <v>9704</v>
      </c>
      <c r="E4550" s="6" t="s">
        <v>3477</v>
      </c>
      <c r="F4550" s="6" t="s">
        <v>159</v>
      </c>
      <c r="G4550" s="7">
        <v>4.9</v>
      </c>
      <c r="H4550" s="6" t="s">
        <v>978</v>
      </c>
      <c r="I4550" s="6" t="s">
        <v>20</v>
      </c>
      <c r="J4550" s="6">
        <v>2022.0</v>
      </c>
      <c r="K4550" s="10">
        <v>46116.0</v>
      </c>
      <c r="L4550" s="6">
        <v>1.0</v>
      </c>
      <c r="M4550" s="8">
        <f t="shared" si="5"/>
        <v>4.9</v>
      </c>
      <c r="P4550" s="9"/>
    </row>
    <row r="4551">
      <c r="A4551" s="6" t="s">
        <v>9705</v>
      </c>
      <c r="B4551" s="6" t="s">
        <v>62</v>
      </c>
      <c r="C4551" s="6" t="s">
        <v>23</v>
      </c>
      <c r="D4551" s="6" t="s">
        <v>9706</v>
      </c>
      <c r="E4551" s="6" t="s">
        <v>79</v>
      </c>
      <c r="F4551" s="6" t="s">
        <v>51</v>
      </c>
      <c r="G4551" s="7">
        <v>0.02</v>
      </c>
      <c r="H4551" s="6" t="s">
        <v>406</v>
      </c>
      <c r="I4551" s="6" t="s">
        <v>20</v>
      </c>
      <c r="J4551" s="6">
        <v>2019.0</v>
      </c>
      <c r="L4551" s="6">
        <v>2.0</v>
      </c>
      <c r="M4551" s="8">
        <f t="shared" si="5"/>
        <v>0.04</v>
      </c>
      <c r="P4551" s="9"/>
    </row>
    <row r="4552">
      <c r="A4552" s="6" t="s">
        <v>9707</v>
      </c>
      <c r="B4552" s="6" t="s">
        <v>151</v>
      </c>
      <c r="C4552" s="6" t="s">
        <v>48</v>
      </c>
      <c r="D4552" s="6" t="s">
        <v>9708</v>
      </c>
      <c r="E4552" s="6" t="s">
        <v>175</v>
      </c>
      <c r="F4552" s="6" t="s">
        <v>51</v>
      </c>
      <c r="G4552" s="7">
        <v>0.17</v>
      </c>
      <c r="H4552" s="6" t="s">
        <v>93</v>
      </c>
      <c r="I4552" s="6" t="s">
        <v>20</v>
      </c>
      <c r="J4552" s="6">
        <v>2016.0</v>
      </c>
      <c r="K4552" s="10">
        <v>46023.0</v>
      </c>
      <c r="L4552" s="6">
        <v>1.0</v>
      </c>
      <c r="M4552" s="8">
        <f t="shared" si="5"/>
        <v>0.17</v>
      </c>
      <c r="P4552" s="9"/>
    </row>
    <row r="4553">
      <c r="A4553" s="6" t="s">
        <v>9709</v>
      </c>
      <c r="B4553" s="6" t="s">
        <v>413</v>
      </c>
      <c r="C4553" s="6" t="s">
        <v>287</v>
      </c>
      <c r="D4553" s="6" t="s">
        <v>9710</v>
      </c>
      <c r="E4553" s="6" t="s">
        <v>167</v>
      </c>
      <c r="F4553" s="6" t="s">
        <v>103</v>
      </c>
      <c r="G4553" s="7">
        <v>0.08</v>
      </c>
      <c r="H4553" s="6" t="s">
        <v>184</v>
      </c>
      <c r="I4553" s="6" t="s">
        <v>20</v>
      </c>
      <c r="J4553" s="6">
        <v>2015.0</v>
      </c>
      <c r="L4553" s="6">
        <v>3.0</v>
      </c>
      <c r="M4553" s="8">
        <f t="shared" si="5"/>
        <v>0.24</v>
      </c>
      <c r="P4553" s="9"/>
    </row>
    <row r="4554">
      <c r="A4554" s="6" t="s">
        <v>9711</v>
      </c>
      <c r="B4554" s="6" t="s">
        <v>5477</v>
      </c>
      <c r="C4554" s="6" t="s">
        <v>23</v>
      </c>
      <c r="E4554" s="6" t="s">
        <v>533</v>
      </c>
      <c r="F4554" s="6" t="s">
        <v>65</v>
      </c>
      <c r="G4554" s="7">
        <v>0.04</v>
      </c>
      <c r="H4554" s="6" t="s">
        <v>245</v>
      </c>
      <c r="I4554" s="6" t="s">
        <v>20</v>
      </c>
      <c r="J4554" s="6">
        <v>1995.0</v>
      </c>
      <c r="K4554" s="10">
        <v>46084.0</v>
      </c>
      <c r="L4554" s="6">
        <v>2.0</v>
      </c>
      <c r="M4554" s="8">
        <f t="shared" si="5"/>
        <v>0.08</v>
      </c>
      <c r="P4554" s="9"/>
    </row>
    <row r="4555">
      <c r="A4555" s="6" t="s">
        <v>9712</v>
      </c>
      <c r="B4555" s="6" t="s">
        <v>7574</v>
      </c>
      <c r="C4555" s="6" t="s">
        <v>48</v>
      </c>
      <c r="D4555" s="6" t="s">
        <v>9713</v>
      </c>
      <c r="E4555" s="6" t="s">
        <v>9714</v>
      </c>
      <c r="F4555" s="6" t="s">
        <v>426</v>
      </c>
      <c r="G4555" s="7">
        <v>0.21</v>
      </c>
      <c r="H4555" s="6" t="s">
        <v>197</v>
      </c>
      <c r="I4555" s="6" t="s">
        <v>20</v>
      </c>
      <c r="J4555" s="6">
        <v>1995.0</v>
      </c>
      <c r="K4555" s="10">
        <v>46084.0</v>
      </c>
      <c r="L4555" s="6">
        <v>1.0</v>
      </c>
      <c r="M4555" s="8">
        <f t="shared" si="5"/>
        <v>0.21</v>
      </c>
      <c r="P4555" s="9"/>
    </row>
    <row r="4556">
      <c r="A4556" s="6" t="s">
        <v>9715</v>
      </c>
      <c r="B4556" s="6" t="s">
        <v>9716</v>
      </c>
      <c r="C4556" s="6" t="s">
        <v>84</v>
      </c>
      <c r="D4556" s="6" t="s">
        <v>9717</v>
      </c>
      <c r="E4556" s="6" t="s">
        <v>754</v>
      </c>
      <c r="F4556" s="6" t="s">
        <v>103</v>
      </c>
      <c r="G4556" s="7">
        <v>0.39</v>
      </c>
      <c r="H4556" s="6" t="s">
        <v>200</v>
      </c>
      <c r="I4556" s="6" t="s">
        <v>20</v>
      </c>
      <c r="J4556" s="6">
        <v>2018.0</v>
      </c>
      <c r="K4556" s="10">
        <v>46180.0</v>
      </c>
      <c r="L4556" s="6">
        <v>1.0</v>
      </c>
      <c r="M4556" s="8">
        <f t="shared" si="5"/>
        <v>0.39</v>
      </c>
      <c r="P4556" s="9"/>
    </row>
    <row r="4557">
      <c r="A4557" s="6" t="s">
        <v>9718</v>
      </c>
      <c r="B4557" s="6" t="s">
        <v>9719</v>
      </c>
      <c r="C4557" s="6" t="s">
        <v>15</v>
      </c>
      <c r="D4557" s="6" t="s">
        <v>9720</v>
      </c>
      <c r="E4557" s="6" t="s">
        <v>1265</v>
      </c>
      <c r="F4557" s="6" t="s">
        <v>159</v>
      </c>
      <c r="G4557" s="7">
        <v>0.24</v>
      </c>
      <c r="H4557" s="6" t="s">
        <v>209</v>
      </c>
      <c r="I4557" s="6" t="s">
        <v>20</v>
      </c>
      <c r="J4557" s="6">
        <v>2025.0</v>
      </c>
      <c r="K4557" s="10">
        <v>46055.0</v>
      </c>
      <c r="L4557" s="6">
        <v>1.0</v>
      </c>
      <c r="M4557" s="8">
        <f t="shared" si="5"/>
        <v>0.24</v>
      </c>
      <c r="P4557" s="9"/>
    </row>
    <row r="4558">
      <c r="A4558" s="6" t="s">
        <v>9721</v>
      </c>
      <c r="B4558" s="6" t="s">
        <v>800</v>
      </c>
      <c r="C4558" s="6" t="s">
        <v>48</v>
      </c>
      <c r="D4558" s="6" t="s">
        <v>9722</v>
      </c>
      <c r="E4558" s="6" t="s">
        <v>9723</v>
      </c>
      <c r="F4558" s="6" t="s">
        <v>986</v>
      </c>
      <c r="G4558" s="7">
        <v>0.15</v>
      </c>
      <c r="H4558" s="6" t="s">
        <v>136</v>
      </c>
      <c r="I4558" s="6" t="s">
        <v>20</v>
      </c>
      <c r="J4558" s="6">
        <v>2022.0</v>
      </c>
      <c r="K4558" s="10">
        <v>46084.0</v>
      </c>
      <c r="L4558" s="6">
        <v>2.0</v>
      </c>
      <c r="M4558" s="8">
        <f t="shared" si="5"/>
        <v>0.3</v>
      </c>
      <c r="P4558" s="9"/>
    </row>
    <row r="4559">
      <c r="A4559" s="6" t="s">
        <v>9721</v>
      </c>
      <c r="B4559" s="6" t="s">
        <v>800</v>
      </c>
      <c r="C4559" s="6" t="s">
        <v>48</v>
      </c>
      <c r="D4559" s="6" t="s">
        <v>9722</v>
      </c>
      <c r="E4559" s="6" t="s">
        <v>9723</v>
      </c>
      <c r="F4559" s="6" t="s">
        <v>986</v>
      </c>
      <c r="G4559" s="7">
        <v>0.18</v>
      </c>
      <c r="H4559" s="6" t="s">
        <v>136</v>
      </c>
      <c r="I4559" s="6" t="s">
        <v>20</v>
      </c>
      <c r="J4559" s="6">
        <v>2022.0</v>
      </c>
      <c r="K4559" s="10">
        <v>46084.0</v>
      </c>
      <c r="L4559" s="6">
        <v>1.0</v>
      </c>
      <c r="M4559" s="8">
        <f t="shared" si="5"/>
        <v>0.18</v>
      </c>
      <c r="P4559" s="9"/>
    </row>
    <row r="4560">
      <c r="A4560" s="6" t="s">
        <v>9724</v>
      </c>
      <c r="B4560" s="6" t="s">
        <v>182</v>
      </c>
      <c r="C4560" s="6" t="s">
        <v>48</v>
      </c>
      <c r="D4560" s="6" t="s">
        <v>9725</v>
      </c>
      <c r="E4560" s="6" t="s">
        <v>235</v>
      </c>
      <c r="F4560" s="6" t="s">
        <v>103</v>
      </c>
      <c r="G4560" s="7">
        <v>0.09</v>
      </c>
      <c r="H4560" s="6" t="s">
        <v>359</v>
      </c>
      <c r="I4560" s="6" t="s">
        <v>20</v>
      </c>
      <c r="J4560" s="6">
        <v>2014.0</v>
      </c>
      <c r="L4560" s="6">
        <v>1.0</v>
      </c>
      <c r="M4560" s="8">
        <f t="shared" si="5"/>
        <v>0.09</v>
      </c>
      <c r="P4560" s="9"/>
    </row>
    <row r="4561">
      <c r="A4561" s="6" t="s">
        <v>9726</v>
      </c>
      <c r="B4561" s="6" t="s">
        <v>182</v>
      </c>
      <c r="C4561" s="6" t="s">
        <v>23</v>
      </c>
      <c r="D4561" s="6" t="s">
        <v>9727</v>
      </c>
      <c r="E4561" s="6" t="s">
        <v>112</v>
      </c>
      <c r="F4561" s="6" t="s">
        <v>65</v>
      </c>
      <c r="G4561" s="7">
        <v>0.03</v>
      </c>
      <c r="H4561" s="6" t="s">
        <v>104</v>
      </c>
      <c r="I4561" s="6" t="s">
        <v>20</v>
      </c>
      <c r="J4561" s="6">
        <v>2018.0</v>
      </c>
      <c r="L4561" s="6">
        <v>3.0</v>
      </c>
      <c r="M4561" s="8">
        <f t="shared" si="5"/>
        <v>0.09</v>
      </c>
      <c r="P4561" s="9"/>
    </row>
    <row r="4562">
      <c r="A4562" s="6" t="s">
        <v>9726</v>
      </c>
      <c r="B4562" s="6" t="s">
        <v>182</v>
      </c>
      <c r="C4562" s="6" t="s">
        <v>23</v>
      </c>
      <c r="D4562" s="6" t="s">
        <v>9727</v>
      </c>
      <c r="E4562" s="6" t="s">
        <v>112</v>
      </c>
      <c r="F4562" s="6" t="s">
        <v>65</v>
      </c>
      <c r="G4562" s="7">
        <v>0.33</v>
      </c>
      <c r="H4562" s="6" t="s">
        <v>104</v>
      </c>
      <c r="I4562" s="6" t="s">
        <v>55</v>
      </c>
      <c r="J4562" s="6">
        <v>2018.0</v>
      </c>
      <c r="L4562" s="6">
        <v>1.0</v>
      </c>
      <c r="M4562" s="8">
        <f t="shared" si="5"/>
        <v>0.33</v>
      </c>
      <c r="P4562" s="9"/>
    </row>
    <row r="4563">
      <c r="A4563" s="6" t="s">
        <v>9726</v>
      </c>
      <c r="B4563" s="6" t="s">
        <v>182</v>
      </c>
      <c r="C4563" s="6" t="s">
        <v>23</v>
      </c>
      <c r="D4563" s="6" t="s">
        <v>9727</v>
      </c>
      <c r="E4563" s="6" t="s">
        <v>112</v>
      </c>
      <c r="F4563" s="6" t="s">
        <v>65</v>
      </c>
      <c r="G4563" s="7">
        <v>0.05</v>
      </c>
      <c r="H4563" s="6" t="s">
        <v>9728</v>
      </c>
      <c r="I4563" s="6" t="s">
        <v>20</v>
      </c>
      <c r="J4563" s="6">
        <v>2020.0</v>
      </c>
      <c r="L4563" s="6">
        <v>1.0</v>
      </c>
      <c r="M4563" s="8">
        <f t="shared" si="5"/>
        <v>0.05</v>
      </c>
      <c r="P4563" s="9"/>
    </row>
    <row r="4564">
      <c r="A4564" s="6" t="s">
        <v>9729</v>
      </c>
      <c r="B4564" s="6" t="s">
        <v>307</v>
      </c>
      <c r="C4564" s="6" t="s">
        <v>48</v>
      </c>
      <c r="D4564" s="6" t="s">
        <v>9730</v>
      </c>
      <c r="E4564" s="6" t="s">
        <v>145</v>
      </c>
      <c r="F4564" s="6" t="s">
        <v>37</v>
      </c>
      <c r="G4564" s="7">
        <v>6.99</v>
      </c>
      <c r="H4564" s="6" t="s">
        <v>188</v>
      </c>
      <c r="I4564" s="6" t="s">
        <v>20</v>
      </c>
      <c r="J4564" s="6">
        <v>2014.0</v>
      </c>
      <c r="L4564" s="6">
        <v>1.0</v>
      </c>
      <c r="M4564" s="8">
        <f t="shared" si="5"/>
        <v>6.99</v>
      </c>
      <c r="N4564" s="6" t="s">
        <v>172</v>
      </c>
      <c r="P4564" s="9"/>
    </row>
    <row r="4565">
      <c r="A4565" s="6" t="s">
        <v>9731</v>
      </c>
      <c r="B4565" s="6" t="s">
        <v>9732</v>
      </c>
      <c r="C4565" s="6" t="s">
        <v>23</v>
      </c>
      <c r="D4565" s="6" t="s">
        <v>9733</v>
      </c>
      <c r="E4565" s="6" t="s">
        <v>196</v>
      </c>
      <c r="F4565" s="6" t="s">
        <v>65</v>
      </c>
      <c r="G4565" s="7">
        <v>0.05</v>
      </c>
      <c r="H4565" s="6" t="s">
        <v>1519</v>
      </c>
      <c r="I4565" s="6" t="s">
        <v>20</v>
      </c>
      <c r="J4565" s="6">
        <v>2005.0</v>
      </c>
      <c r="K4565" s="10">
        <v>46056.0</v>
      </c>
      <c r="L4565" s="6">
        <v>1.0</v>
      </c>
      <c r="M4565" s="8">
        <f t="shared" si="5"/>
        <v>0.05</v>
      </c>
      <c r="P4565" s="9"/>
    </row>
    <row r="4566">
      <c r="A4566" s="6" t="s">
        <v>9734</v>
      </c>
      <c r="B4566" s="6" t="s">
        <v>372</v>
      </c>
      <c r="C4566" s="6" t="s">
        <v>23</v>
      </c>
      <c r="D4566" s="6" t="s">
        <v>9735</v>
      </c>
      <c r="E4566" s="6" t="s">
        <v>167</v>
      </c>
      <c r="F4566" s="6" t="s">
        <v>103</v>
      </c>
      <c r="G4566" s="7">
        <v>0.06</v>
      </c>
      <c r="H4566" s="6" t="s">
        <v>75</v>
      </c>
      <c r="I4566" s="6" t="s">
        <v>20</v>
      </c>
      <c r="J4566" s="6">
        <v>1995.0</v>
      </c>
      <c r="L4566" s="6">
        <v>2.0</v>
      </c>
      <c r="M4566" s="8">
        <f t="shared" si="5"/>
        <v>0.12</v>
      </c>
      <c r="P4566" s="9"/>
    </row>
    <row r="4567">
      <c r="A4567" s="6" t="s">
        <v>9734</v>
      </c>
      <c r="B4567" s="6" t="s">
        <v>372</v>
      </c>
      <c r="C4567" s="6" t="s">
        <v>23</v>
      </c>
      <c r="D4567" s="6" t="s">
        <v>9735</v>
      </c>
      <c r="E4567" s="6" t="s">
        <v>167</v>
      </c>
      <c r="F4567" s="6" t="s">
        <v>103</v>
      </c>
      <c r="G4567" s="7">
        <v>0.09</v>
      </c>
      <c r="H4567" s="6" t="s">
        <v>75</v>
      </c>
      <c r="I4567" s="6" t="s">
        <v>20</v>
      </c>
      <c r="J4567" s="6">
        <v>1995.0</v>
      </c>
      <c r="L4567" s="6">
        <v>1.0</v>
      </c>
      <c r="M4567" s="8">
        <f t="shared" si="5"/>
        <v>0.09</v>
      </c>
      <c r="P4567" s="9"/>
    </row>
    <row r="4568">
      <c r="A4568" s="6" t="s">
        <v>9734</v>
      </c>
      <c r="B4568" s="6" t="s">
        <v>372</v>
      </c>
      <c r="C4568" s="6" t="s">
        <v>23</v>
      </c>
      <c r="D4568" s="6" t="s">
        <v>9735</v>
      </c>
      <c r="E4568" s="6" t="s">
        <v>167</v>
      </c>
      <c r="F4568" s="6" t="s">
        <v>103</v>
      </c>
      <c r="G4568" s="7">
        <v>0.05</v>
      </c>
      <c r="H4568" s="6" t="s">
        <v>75</v>
      </c>
      <c r="I4568" s="6" t="s">
        <v>20</v>
      </c>
      <c r="J4568" s="6">
        <v>1995.0</v>
      </c>
      <c r="L4568" s="6">
        <v>2.0</v>
      </c>
      <c r="M4568" s="8">
        <f t="shared" si="5"/>
        <v>0.1</v>
      </c>
      <c r="P4568" s="9"/>
    </row>
    <row r="4569">
      <c r="A4569" s="6" t="s">
        <v>9736</v>
      </c>
      <c r="B4569" s="6" t="s">
        <v>4569</v>
      </c>
      <c r="C4569" s="6" t="s">
        <v>48</v>
      </c>
      <c r="D4569" s="6" t="s">
        <v>9737</v>
      </c>
      <c r="E4569" s="6" t="s">
        <v>573</v>
      </c>
      <c r="F4569" s="6" t="s">
        <v>51</v>
      </c>
      <c r="G4569" s="7">
        <v>0.05</v>
      </c>
      <c r="H4569" s="6" t="s">
        <v>184</v>
      </c>
      <c r="I4569" s="6" t="s">
        <v>20</v>
      </c>
      <c r="J4569" s="6">
        <v>2015.0</v>
      </c>
      <c r="K4569" s="10">
        <v>46144.0</v>
      </c>
      <c r="L4569" s="6">
        <v>1.0</v>
      </c>
      <c r="M4569" s="8">
        <f t="shared" si="5"/>
        <v>0.05</v>
      </c>
      <c r="P4569" s="9"/>
    </row>
    <row r="4570">
      <c r="A4570" s="6" t="s">
        <v>9738</v>
      </c>
      <c r="B4570" s="6" t="s">
        <v>543</v>
      </c>
      <c r="C4570" s="6" t="s">
        <v>23</v>
      </c>
      <c r="D4570" s="6" t="s">
        <v>9739</v>
      </c>
      <c r="E4570" s="6" t="s">
        <v>235</v>
      </c>
      <c r="F4570" s="6" t="s">
        <v>103</v>
      </c>
      <c r="G4570" s="7">
        <v>0.05</v>
      </c>
      <c r="H4570" s="6" t="s">
        <v>245</v>
      </c>
      <c r="I4570" s="6" t="s">
        <v>20</v>
      </c>
      <c r="J4570" s="6">
        <v>1995.0</v>
      </c>
      <c r="L4570" s="6">
        <v>1.0</v>
      </c>
      <c r="M4570" s="8">
        <f t="shared" si="5"/>
        <v>0.05</v>
      </c>
      <c r="P4570" s="9"/>
    </row>
    <row r="4571">
      <c r="A4571" s="6" t="s">
        <v>9738</v>
      </c>
      <c r="B4571" s="6" t="s">
        <v>543</v>
      </c>
      <c r="C4571" s="6" t="s">
        <v>23</v>
      </c>
      <c r="D4571" s="6" t="s">
        <v>9739</v>
      </c>
      <c r="E4571" s="6" t="s">
        <v>235</v>
      </c>
      <c r="F4571" s="6" t="s">
        <v>103</v>
      </c>
      <c r="G4571" s="7">
        <v>0.05</v>
      </c>
      <c r="H4571" s="6" t="s">
        <v>245</v>
      </c>
      <c r="I4571" s="6" t="s">
        <v>20</v>
      </c>
      <c r="J4571" s="6">
        <v>1995.0</v>
      </c>
      <c r="L4571" s="6">
        <v>1.0</v>
      </c>
      <c r="M4571" s="8">
        <f t="shared" si="5"/>
        <v>0.05</v>
      </c>
      <c r="P4571" s="9"/>
    </row>
    <row r="4572">
      <c r="A4572" s="6" t="s">
        <v>9740</v>
      </c>
      <c r="B4572" s="6" t="s">
        <v>62</v>
      </c>
      <c r="C4572" s="6" t="s">
        <v>23</v>
      </c>
      <c r="D4572" s="6" t="s">
        <v>9741</v>
      </c>
      <c r="E4572" s="6" t="s">
        <v>167</v>
      </c>
      <c r="F4572" s="6" t="s">
        <v>103</v>
      </c>
      <c r="G4572" s="7">
        <v>0.08</v>
      </c>
      <c r="H4572" s="6" t="s">
        <v>184</v>
      </c>
      <c r="I4572" s="6" t="s">
        <v>20</v>
      </c>
      <c r="J4572" s="6">
        <v>2015.0</v>
      </c>
      <c r="L4572" s="6">
        <v>8.0</v>
      </c>
      <c r="M4572" s="8">
        <f t="shared" si="5"/>
        <v>0.64</v>
      </c>
      <c r="P4572" s="9"/>
    </row>
    <row r="4573">
      <c r="A4573" s="6" t="s">
        <v>9740</v>
      </c>
      <c r="B4573" s="6" t="s">
        <v>62</v>
      </c>
      <c r="C4573" s="6" t="s">
        <v>23</v>
      </c>
      <c r="D4573" s="6" t="s">
        <v>9741</v>
      </c>
      <c r="E4573" s="6" t="s">
        <v>167</v>
      </c>
      <c r="F4573" s="6" t="s">
        <v>103</v>
      </c>
      <c r="G4573" s="7">
        <v>0.08</v>
      </c>
      <c r="H4573" s="6" t="s">
        <v>184</v>
      </c>
      <c r="I4573" s="6" t="s">
        <v>20</v>
      </c>
      <c r="J4573" s="6">
        <v>2015.0</v>
      </c>
      <c r="L4573" s="6">
        <v>1.0</v>
      </c>
      <c r="M4573" s="8">
        <f t="shared" si="5"/>
        <v>0.08</v>
      </c>
      <c r="P4573" s="9"/>
    </row>
    <row r="4574">
      <c r="A4574" s="6" t="s">
        <v>9742</v>
      </c>
      <c r="B4574" s="6" t="s">
        <v>9743</v>
      </c>
      <c r="C4574" s="6" t="s">
        <v>48</v>
      </c>
      <c r="D4574" s="6" t="s">
        <v>9744</v>
      </c>
      <c r="E4574" s="6" t="s">
        <v>223</v>
      </c>
      <c r="F4574" s="6" t="s">
        <v>159</v>
      </c>
      <c r="G4574" s="7">
        <v>0.2</v>
      </c>
      <c r="H4574" s="6" t="s">
        <v>1194</v>
      </c>
      <c r="I4574" s="6" t="s">
        <v>20</v>
      </c>
      <c r="J4574" s="6">
        <v>2023.0</v>
      </c>
      <c r="K4574" s="10">
        <v>46055.0</v>
      </c>
      <c r="L4574" s="6">
        <v>1.0</v>
      </c>
      <c r="M4574" s="8">
        <f t="shared" si="5"/>
        <v>0.2</v>
      </c>
      <c r="P4574" s="9"/>
    </row>
    <row r="4575">
      <c r="A4575" s="6" t="s">
        <v>9745</v>
      </c>
      <c r="B4575" s="6" t="s">
        <v>592</v>
      </c>
      <c r="C4575" s="6" t="s">
        <v>48</v>
      </c>
      <c r="D4575" s="6" t="s">
        <v>9746</v>
      </c>
      <c r="E4575" s="6" t="s">
        <v>1336</v>
      </c>
      <c r="F4575" s="6" t="s">
        <v>103</v>
      </c>
      <c r="G4575" s="7">
        <v>0.3</v>
      </c>
      <c r="H4575" s="6" t="s">
        <v>252</v>
      </c>
      <c r="I4575" s="6" t="s">
        <v>20</v>
      </c>
      <c r="J4575" s="6">
        <v>1994.0</v>
      </c>
      <c r="L4575" s="6">
        <v>1.0</v>
      </c>
      <c r="M4575" s="8">
        <f t="shared" si="5"/>
        <v>0.3</v>
      </c>
      <c r="P4575" s="9"/>
    </row>
    <row r="4576">
      <c r="A4576" s="6" t="s">
        <v>9747</v>
      </c>
      <c r="B4576" s="6" t="s">
        <v>263</v>
      </c>
      <c r="C4576" s="6" t="s">
        <v>23</v>
      </c>
      <c r="D4576" s="6" t="s">
        <v>9748</v>
      </c>
      <c r="E4576" s="6" t="s">
        <v>25</v>
      </c>
      <c r="F4576" s="6" t="s">
        <v>18</v>
      </c>
      <c r="G4576" s="7">
        <v>0.04</v>
      </c>
      <c r="H4576" s="6" t="s">
        <v>271</v>
      </c>
      <c r="I4576" s="6" t="s">
        <v>20</v>
      </c>
      <c r="J4576" s="6">
        <v>2012.0</v>
      </c>
      <c r="K4576" s="10">
        <v>46024.0</v>
      </c>
      <c r="L4576" s="6">
        <v>1.0</v>
      </c>
      <c r="M4576" s="8">
        <f t="shared" si="5"/>
        <v>0.04</v>
      </c>
      <c r="P4576" s="9"/>
    </row>
    <row r="4577">
      <c r="A4577" s="6" t="s">
        <v>9749</v>
      </c>
      <c r="B4577" s="6" t="s">
        <v>151</v>
      </c>
      <c r="C4577" s="6" t="s">
        <v>48</v>
      </c>
      <c r="D4577" s="6" t="s">
        <v>9750</v>
      </c>
      <c r="E4577" s="6" t="s">
        <v>30</v>
      </c>
      <c r="F4577" s="6" t="s">
        <v>18</v>
      </c>
      <c r="G4577" s="7">
        <v>0.25</v>
      </c>
      <c r="H4577" s="6" t="s">
        <v>184</v>
      </c>
      <c r="I4577" s="6" t="s">
        <v>55</v>
      </c>
      <c r="J4577" s="6">
        <v>2015.0</v>
      </c>
      <c r="K4577" s="10">
        <v>46055.0</v>
      </c>
      <c r="L4577" s="6">
        <v>1.0</v>
      </c>
      <c r="M4577" s="8">
        <f t="shared" si="5"/>
        <v>0.25</v>
      </c>
      <c r="P4577" s="9"/>
    </row>
    <row r="4578">
      <c r="A4578" s="6" t="s">
        <v>9751</v>
      </c>
      <c r="B4578" s="6" t="s">
        <v>307</v>
      </c>
      <c r="C4578" s="6" t="s">
        <v>41</v>
      </c>
      <c r="D4578" s="6" t="s">
        <v>9752</v>
      </c>
      <c r="E4578" s="6" t="s">
        <v>625</v>
      </c>
      <c r="F4578" s="6" t="s">
        <v>37</v>
      </c>
      <c r="G4578" s="7">
        <v>0.25</v>
      </c>
      <c r="H4578" s="6" t="s">
        <v>146</v>
      </c>
      <c r="I4578" s="6" t="s">
        <v>20</v>
      </c>
      <c r="J4578" s="6">
        <v>2010.0</v>
      </c>
      <c r="L4578" s="6">
        <v>2.0</v>
      </c>
      <c r="M4578" s="8">
        <f t="shared" si="5"/>
        <v>0.5</v>
      </c>
      <c r="P4578" s="9"/>
    </row>
    <row r="4579">
      <c r="A4579" s="6" t="s">
        <v>9753</v>
      </c>
      <c r="B4579" s="6" t="s">
        <v>2486</v>
      </c>
      <c r="C4579" s="6" t="s">
        <v>34</v>
      </c>
      <c r="D4579" s="6" t="s">
        <v>9754</v>
      </c>
      <c r="E4579" s="6" t="s">
        <v>1265</v>
      </c>
      <c r="F4579" s="6" t="s">
        <v>159</v>
      </c>
      <c r="G4579" s="7">
        <v>0.18</v>
      </c>
      <c r="H4579" s="6" t="s">
        <v>209</v>
      </c>
      <c r="I4579" s="6" t="s">
        <v>20</v>
      </c>
      <c r="J4579" s="6">
        <v>2025.0</v>
      </c>
      <c r="K4579" s="10">
        <v>46023.0</v>
      </c>
      <c r="L4579" s="6">
        <v>8.0</v>
      </c>
      <c r="M4579" s="8">
        <f t="shared" si="5"/>
        <v>1.44</v>
      </c>
      <c r="P4579" s="9"/>
    </row>
    <row r="4580">
      <c r="A4580" s="6" t="s">
        <v>9755</v>
      </c>
      <c r="B4580" s="6" t="s">
        <v>8222</v>
      </c>
      <c r="C4580" s="6" t="s">
        <v>23</v>
      </c>
      <c r="D4580" s="6" t="s">
        <v>9756</v>
      </c>
      <c r="E4580" s="6" t="s">
        <v>223</v>
      </c>
      <c r="F4580" s="6" t="s">
        <v>159</v>
      </c>
      <c r="G4580" s="7">
        <v>0.1</v>
      </c>
      <c r="H4580" s="6" t="s">
        <v>114</v>
      </c>
      <c r="I4580" s="6" t="s">
        <v>20</v>
      </c>
      <c r="J4580" s="6">
        <v>2021.0</v>
      </c>
      <c r="K4580" s="10">
        <v>46023.0</v>
      </c>
      <c r="L4580" s="6">
        <v>1.0</v>
      </c>
      <c r="M4580" s="8">
        <f t="shared" si="5"/>
        <v>0.1</v>
      </c>
      <c r="P4580" s="9"/>
    </row>
    <row r="4581">
      <c r="A4581" s="6" t="s">
        <v>9757</v>
      </c>
      <c r="B4581" s="6" t="s">
        <v>194</v>
      </c>
      <c r="C4581" s="6" t="s">
        <v>23</v>
      </c>
      <c r="D4581" s="6" t="s">
        <v>9758</v>
      </c>
      <c r="E4581" s="6" t="s">
        <v>167</v>
      </c>
      <c r="F4581" s="6" t="s">
        <v>103</v>
      </c>
      <c r="G4581" s="7">
        <v>0.39</v>
      </c>
      <c r="H4581" s="6" t="s">
        <v>346</v>
      </c>
      <c r="I4581" s="6" t="s">
        <v>20</v>
      </c>
      <c r="J4581" s="6">
        <v>2024.0</v>
      </c>
      <c r="L4581" s="6">
        <v>1.0</v>
      </c>
      <c r="M4581" s="8">
        <f t="shared" si="5"/>
        <v>0.39</v>
      </c>
      <c r="P4581" s="9"/>
    </row>
    <row r="4582">
      <c r="A4582" s="6" t="s">
        <v>9759</v>
      </c>
      <c r="B4582" s="6" t="s">
        <v>5981</v>
      </c>
      <c r="C4582" s="6" t="s">
        <v>48</v>
      </c>
      <c r="D4582" s="6" t="s">
        <v>9760</v>
      </c>
      <c r="E4582" s="6" t="s">
        <v>238</v>
      </c>
      <c r="F4582" s="6" t="s">
        <v>159</v>
      </c>
      <c r="G4582" s="7">
        <v>0.05</v>
      </c>
      <c r="H4582" s="6" t="s">
        <v>1810</v>
      </c>
      <c r="I4582" s="6" t="s">
        <v>20</v>
      </c>
      <c r="J4582" s="6">
        <v>2020.0</v>
      </c>
      <c r="K4582" s="10">
        <v>46054.0</v>
      </c>
      <c r="L4582" s="6">
        <v>4.0</v>
      </c>
      <c r="M4582" s="8">
        <f t="shared" si="5"/>
        <v>0.2</v>
      </c>
      <c r="P4582" s="9"/>
    </row>
    <row r="4583">
      <c r="A4583" s="6" t="s">
        <v>9761</v>
      </c>
      <c r="B4583" s="6" t="s">
        <v>2026</v>
      </c>
      <c r="C4583" s="6" t="s">
        <v>15</v>
      </c>
      <c r="D4583" s="6" t="s">
        <v>9762</v>
      </c>
      <c r="E4583" s="6" t="s">
        <v>7681</v>
      </c>
      <c r="F4583" s="6" t="s">
        <v>18</v>
      </c>
      <c r="G4583" s="7">
        <v>0.15</v>
      </c>
      <c r="H4583" s="6" t="s">
        <v>1043</v>
      </c>
      <c r="I4583" s="6" t="s">
        <v>20</v>
      </c>
      <c r="J4583" s="6">
        <v>2025.0</v>
      </c>
      <c r="L4583" s="6">
        <v>2.0</v>
      </c>
      <c r="M4583" s="8">
        <f t="shared" si="5"/>
        <v>0.3</v>
      </c>
      <c r="P4583" s="9"/>
    </row>
    <row r="4584">
      <c r="A4584" s="6" t="s">
        <v>9763</v>
      </c>
      <c r="B4584" s="6" t="s">
        <v>9764</v>
      </c>
      <c r="C4584" s="6" t="s">
        <v>23</v>
      </c>
      <c r="D4584" s="6" t="s">
        <v>9765</v>
      </c>
      <c r="E4584" s="6" t="s">
        <v>175</v>
      </c>
      <c r="F4584" s="6" t="s">
        <v>51</v>
      </c>
      <c r="G4584" s="7">
        <v>0.09</v>
      </c>
      <c r="H4584" s="6" t="s">
        <v>75</v>
      </c>
      <c r="I4584" s="6" t="s">
        <v>20</v>
      </c>
      <c r="J4584" s="6">
        <v>1995.0</v>
      </c>
      <c r="K4584" s="10">
        <v>46023.0</v>
      </c>
      <c r="L4584" s="6">
        <v>4.0</v>
      </c>
      <c r="M4584" s="8">
        <f t="shared" si="5"/>
        <v>0.36</v>
      </c>
      <c r="P4584" s="9"/>
    </row>
    <row r="4585">
      <c r="A4585" s="6" t="s">
        <v>9766</v>
      </c>
      <c r="B4585" s="6" t="s">
        <v>202</v>
      </c>
      <c r="C4585" s="6" t="s">
        <v>48</v>
      </c>
      <c r="D4585" s="6" t="s">
        <v>9767</v>
      </c>
      <c r="E4585" s="6" t="s">
        <v>25</v>
      </c>
      <c r="F4585" s="6" t="s">
        <v>18</v>
      </c>
      <c r="G4585" s="7">
        <v>0.07</v>
      </c>
      <c r="H4585" s="6" t="s">
        <v>93</v>
      </c>
      <c r="I4585" s="6" t="s">
        <v>20</v>
      </c>
      <c r="J4585" s="6">
        <v>2016.0</v>
      </c>
      <c r="L4585" s="6">
        <v>1.0</v>
      </c>
      <c r="M4585" s="8">
        <f t="shared" si="5"/>
        <v>0.07</v>
      </c>
      <c r="P4585" s="9"/>
    </row>
    <row r="4586">
      <c r="A4586" s="6" t="s">
        <v>9768</v>
      </c>
      <c r="B4586" s="6" t="s">
        <v>7351</v>
      </c>
      <c r="C4586" s="6" t="s">
        <v>23</v>
      </c>
      <c r="E4586" s="6" t="s">
        <v>3477</v>
      </c>
      <c r="F4586" s="6" t="s">
        <v>159</v>
      </c>
      <c r="G4586" s="7">
        <v>0.05</v>
      </c>
      <c r="H4586" s="6" t="s">
        <v>2180</v>
      </c>
      <c r="I4586" s="6" t="s">
        <v>20</v>
      </c>
      <c r="J4586" s="6">
        <v>2010.0</v>
      </c>
      <c r="K4586" s="10">
        <v>46084.0</v>
      </c>
      <c r="L4586" s="6">
        <v>1.0</v>
      </c>
      <c r="M4586" s="8">
        <f t="shared" si="5"/>
        <v>0.05</v>
      </c>
      <c r="P4586" s="9"/>
    </row>
    <row r="4587">
      <c r="A4587" s="6" t="s">
        <v>9769</v>
      </c>
      <c r="B4587" s="6" t="s">
        <v>331</v>
      </c>
      <c r="C4587" s="6" t="s">
        <v>23</v>
      </c>
      <c r="D4587" s="6" t="s">
        <v>9770</v>
      </c>
      <c r="E4587" s="6" t="s">
        <v>175</v>
      </c>
      <c r="F4587" s="6" t="s">
        <v>51</v>
      </c>
      <c r="G4587" s="7">
        <v>0.06</v>
      </c>
      <c r="H4587" s="6" t="s">
        <v>271</v>
      </c>
      <c r="I4587" s="6" t="s">
        <v>20</v>
      </c>
      <c r="J4587" s="6">
        <v>2012.0</v>
      </c>
      <c r="K4587" s="10">
        <v>46023.0</v>
      </c>
      <c r="L4587" s="6">
        <v>4.0</v>
      </c>
      <c r="M4587" s="8">
        <f t="shared" si="5"/>
        <v>0.24</v>
      </c>
      <c r="P4587" s="9"/>
    </row>
    <row r="4588">
      <c r="A4588" s="6" t="s">
        <v>9771</v>
      </c>
      <c r="B4588" s="6" t="s">
        <v>202</v>
      </c>
      <c r="C4588" s="6" t="s">
        <v>41</v>
      </c>
      <c r="D4588" s="6" t="s">
        <v>9772</v>
      </c>
      <c r="E4588" s="6" t="s">
        <v>248</v>
      </c>
      <c r="F4588" s="6" t="s">
        <v>18</v>
      </c>
      <c r="G4588" s="7">
        <v>32.95</v>
      </c>
      <c r="H4588" s="6" t="s">
        <v>1418</v>
      </c>
      <c r="I4588" s="6" t="s">
        <v>20</v>
      </c>
      <c r="J4588" s="6">
        <v>2010.0</v>
      </c>
      <c r="L4588" s="6">
        <v>1.0</v>
      </c>
      <c r="M4588" s="8">
        <f t="shared" si="5"/>
        <v>32.95</v>
      </c>
      <c r="P4588" s="9"/>
    </row>
    <row r="4589">
      <c r="A4589" s="6" t="s">
        <v>9773</v>
      </c>
      <c r="B4589" s="6" t="s">
        <v>226</v>
      </c>
      <c r="C4589" s="6" t="s">
        <v>34</v>
      </c>
      <c r="D4589" s="6" t="s">
        <v>9774</v>
      </c>
      <c r="E4589" s="6" t="s">
        <v>243</v>
      </c>
      <c r="F4589" s="6" t="s">
        <v>37</v>
      </c>
      <c r="G4589" s="7">
        <v>0.05</v>
      </c>
      <c r="H4589" s="6" t="s">
        <v>418</v>
      </c>
      <c r="I4589" s="6" t="s">
        <v>20</v>
      </c>
      <c r="J4589" s="6">
        <v>2022.0</v>
      </c>
      <c r="K4589" s="10">
        <v>46085.0</v>
      </c>
      <c r="L4589" s="6">
        <v>2.0</v>
      </c>
      <c r="M4589" s="8">
        <f t="shared" si="5"/>
        <v>0.1</v>
      </c>
      <c r="P4589" s="9"/>
    </row>
    <row r="4590">
      <c r="A4590" s="6" t="s">
        <v>9775</v>
      </c>
      <c r="B4590" s="6" t="s">
        <v>424</v>
      </c>
      <c r="C4590" s="6" t="s">
        <v>23</v>
      </c>
      <c r="D4590" s="6" t="s">
        <v>9776</v>
      </c>
      <c r="F4590" s="6" t="s">
        <v>261</v>
      </c>
      <c r="G4590" s="7">
        <v>0.1</v>
      </c>
      <c r="H4590" s="6" t="s">
        <v>418</v>
      </c>
      <c r="I4590" s="6" t="s">
        <v>20</v>
      </c>
      <c r="J4590" s="6">
        <v>2022.0</v>
      </c>
      <c r="L4590" s="6">
        <v>4.0</v>
      </c>
      <c r="M4590" s="8">
        <f t="shared" si="5"/>
        <v>0.4</v>
      </c>
      <c r="P4590" s="9"/>
    </row>
    <row r="4591">
      <c r="A4591" s="6" t="s">
        <v>9777</v>
      </c>
      <c r="B4591" s="6" t="s">
        <v>761</v>
      </c>
      <c r="C4591" s="6" t="s">
        <v>287</v>
      </c>
      <c r="D4591" s="6" t="s">
        <v>9778</v>
      </c>
      <c r="E4591" s="6" t="s">
        <v>395</v>
      </c>
      <c r="F4591" s="6" t="s">
        <v>51</v>
      </c>
      <c r="G4591" s="7">
        <v>0.14</v>
      </c>
      <c r="H4591" s="6" t="s">
        <v>119</v>
      </c>
      <c r="I4591" s="6" t="s">
        <v>20</v>
      </c>
      <c r="J4591" s="6">
        <v>1995.0</v>
      </c>
      <c r="L4591" s="6">
        <v>2.0</v>
      </c>
      <c r="M4591" s="8">
        <f t="shared" si="5"/>
        <v>0.28</v>
      </c>
      <c r="P4591" s="9"/>
    </row>
    <row r="4592">
      <c r="A4592" s="6" t="s">
        <v>9777</v>
      </c>
      <c r="B4592" s="6" t="s">
        <v>761</v>
      </c>
      <c r="C4592" s="6" t="s">
        <v>287</v>
      </c>
      <c r="D4592" s="6" t="s">
        <v>9778</v>
      </c>
      <c r="E4592" s="6" t="s">
        <v>395</v>
      </c>
      <c r="F4592" s="6" t="s">
        <v>51</v>
      </c>
      <c r="G4592" s="7">
        <v>0.4</v>
      </c>
      <c r="H4592" s="6" t="s">
        <v>120</v>
      </c>
      <c r="I4592" s="6" t="s">
        <v>20</v>
      </c>
      <c r="J4592" s="6">
        <v>1995.0</v>
      </c>
      <c r="L4592" s="6">
        <v>2.0</v>
      </c>
      <c r="M4592" s="8">
        <f t="shared" si="5"/>
        <v>0.8</v>
      </c>
      <c r="P4592" s="9"/>
    </row>
    <row r="4593">
      <c r="A4593" s="6" t="s">
        <v>9779</v>
      </c>
      <c r="B4593" s="6" t="s">
        <v>182</v>
      </c>
      <c r="C4593" s="6" t="s">
        <v>48</v>
      </c>
      <c r="D4593" s="6" t="s">
        <v>9780</v>
      </c>
      <c r="E4593" s="6" t="s">
        <v>102</v>
      </c>
      <c r="F4593" s="6" t="s">
        <v>103</v>
      </c>
      <c r="G4593" s="7">
        <v>0.09</v>
      </c>
      <c r="H4593" s="6" t="s">
        <v>621</v>
      </c>
      <c r="I4593" s="6" t="s">
        <v>20</v>
      </c>
      <c r="J4593" s="6">
        <v>2015.0</v>
      </c>
      <c r="L4593" s="6">
        <v>1.0</v>
      </c>
      <c r="M4593" s="8">
        <f t="shared" si="5"/>
        <v>0.09</v>
      </c>
      <c r="P4593" s="9"/>
    </row>
    <row r="4594">
      <c r="A4594" s="6" t="s">
        <v>9781</v>
      </c>
      <c r="B4594" s="6" t="s">
        <v>9782</v>
      </c>
      <c r="C4594" s="6" t="s">
        <v>23</v>
      </c>
      <c r="D4594" s="6" t="s">
        <v>9783</v>
      </c>
      <c r="E4594" s="6" t="s">
        <v>223</v>
      </c>
      <c r="F4594" s="6" t="s">
        <v>159</v>
      </c>
      <c r="G4594" s="7">
        <v>0.09</v>
      </c>
      <c r="H4594" s="6" t="s">
        <v>1519</v>
      </c>
      <c r="I4594" s="6" t="s">
        <v>20</v>
      </c>
      <c r="J4594" s="6">
        <v>2005.0</v>
      </c>
      <c r="K4594" s="10">
        <v>46055.0</v>
      </c>
      <c r="L4594" s="6">
        <v>1.0</v>
      </c>
      <c r="M4594" s="8">
        <f t="shared" si="5"/>
        <v>0.09</v>
      </c>
      <c r="P4594" s="9"/>
    </row>
    <row r="4595">
      <c r="A4595" s="6" t="s">
        <v>9784</v>
      </c>
      <c r="B4595" s="6" t="s">
        <v>194</v>
      </c>
      <c r="C4595" s="6" t="s">
        <v>23</v>
      </c>
      <c r="D4595" s="6" t="s">
        <v>9785</v>
      </c>
      <c r="E4595" s="6" t="s">
        <v>102</v>
      </c>
      <c r="F4595" s="6" t="s">
        <v>103</v>
      </c>
      <c r="G4595" s="7">
        <v>0.13</v>
      </c>
      <c r="H4595" s="6" t="s">
        <v>821</v>
      </c>
      <c r="I4595" s="6" t="s">
        <v>20</v>
      </c>
      <c r="J4595" s="6">
        <v>1995.0</v>
      </c>
      <c r="L4595" s="6">
        <v>2.0</v>
      </c>
      <c r="M4595" s="8">
        <f t="shared" si="5"/>
        <v>0.26</v>
      </c>
      <c r="P4595" s="9"/>
    </row>
    <row r="4596">
      <c r="A4596" s="6" t="s">
        <v>9786</v>
      </c>
      <c r="B4596" s="6" t="s">
        <v>62</v>
      </c>
      <c r="C4596" s="6" t="s">
        <v>41</v>
      </c>
      <c r="D4596" s="6" t="s">
        <v>9787</v>
      </c>
      <c r="E4596" s="6" t="s">
        <v>9383</v>
      </c>
      <c r="F4596" s="6" t="s">
        <v>5259</v>
      </c>
      <c r="G4596" s="7">
        <v>0.09</v>
      </c>
      <c r="H4596" s="6" t="s">
        <v>129</v>
      </c>
      <c r="I4596" s="6" t="s">
        <v>20</v>
      </c>
      <c r="J4596" s="6">
        <v>2014.0</v>
      </c>
      <c r="L4596" s="6">
        <v>1.0</v>
      </c>
      <c r="M4596" s="8">
        <f t="shared" si="5"/>
        <v>0.09</v>
      </c>
      <c r="P4596" s="9"/>
    </row>
    <row r="4597">
      <c r="A4597" s="6" t="s">
        <v>9788</v>
      </c>
      <c r="B4597" s="6" t="s">
        <v>796</v>
      </c>
      <c r="C4597" s="6" t="s">
        <v>34</v>
      </c>
      <c r="D4597" s="6" t="s">
        <v>9789</v>
      </c>
      <c r="E4597" s="6" t="s">
        <v>9790</v>
      </c>
      <c r="F4597" s="6" t="s">
        <v>18</v>
      </c>
      <c r="G4597" s="7">
        <v>0.06</v>
      </c>
      <c r="H4597" s="6" t="s">
        <v>180</v>
      </c>
      <c r="I4597" s="6" t="s">
        <v>20</v>
      </c>
      <c r="J4597" s="6">
        <v>2014.0</v>
      </c>
      <c r="L4597" s="6">
        <v>2.0</v>
      </c>
      <c r="M4597" s="8">
        <f t="shared" si="5"/>
        <v>0.12</v>
      </c>
      <c r="P4597" s="9"/>
    </row>
    <row r="4598">
      <c r="A4598" s="6" t="s">
        <v>9791</v>
      </c>
      <c r="B4598" s="6" t="s">
        <v>165</v>
      </c>
      <c r="C4598" s="6" t="s">
        <v>15</v>
      </c>
      <c r="D4598" s="6" t="s">
        <v>9792</v>
      </c>
      <c r="E4598" s="6" t="s">
        <v>864</v>
      </c>
      <c r="F4598" s="6" t="s">
        <v>18</v>
      </c>
      <c r="G4598" s="7">
        <v>0.19</v>
      </c>
      <c r="H4598" s="6" t="s">
        <v>209</v>
      </c>
      <c r="I4598" s="6" t="s">
        <v>20</v>
      </c>
      <c r="J4598" s="6">
        <v>2025.0</v>
      </c>
      <c r="L4598" s="6">
        <v>3.0</v>
      </c>
      <c r="M4598" s="8">
        <f t="shared" si="5"/>
        <v>0.57</v>
      </c>
      <c r="P4598" s="9"/>
    </row>
    <row r="4599">
      <c r="A4599" s="6" t="s">
        <v>9791</v>
      </c>
      <c r="B4599" s="6" t="s">
        <v>165</v>
      </c>
      <c r="C4599" s="6" t="s">
        <v>15</v>
      </c>
      <c r="D4599" s="6" t="s">
        <v>9792</v>
      </c>
      <c r="E4599" s="6" t="s">
        <v>864</v>
      </c>
      <c r="F4599" s="6" t="s">
        <v>18</v>
      </c>
      <c r="G4599" s="7">
        <v>0.4</v>
      </c>
      <c r="H4599" s="6" t="s">
        <v>209</v>
      </c>
      <c r="I4599" s="6" t="s">
        <v>55</v>
      </c>
      <c r="J4599" s="6">
        <v>2025.0</v>
      </c>
      <c r="L4599" s="6">
        <v>1.0</v>
      </c>
      <c r="M4599" s="8">
        <f t="shared" si="5"/>
        <v>0.4</v>
      </c>
      <c r="P4599" s="9"/>
    </row>
    <row r="4600">
      <c r="A4600" s="6" t="s">
        <v>9793</v>
      </c>
      <c r="B4600" s="6" t="s">
        <v>366</v>
      </c>
      <c r="C4600" s="6" t="s">
        <v>23</v>
      </c>
      <c r="D4600" s="6" t="s">
        <v>9794</v>
      </c>
      <c r="E4600" s="6" t="s">
        <v>25</v>
      </c>
      <c r="F4600" s="6" t="s">
        <v>18</v>
      </c>
      <c r="G4600" s="7">
        <v>0.1</v>
      </c>
      <c r="H4600" s="6" t="s">
        <v>574</v>
      </c>
      <c r="I4600" s="6" t="s">
        <v>20</v>
      </c>
      <c r="J4600" s="6">
        <v>2000.0</v>
      </c>
      <c r="L4600" s="6">
        <v>1.0</v>
      </c>
      <c r="M4600" s="8">
        <f t="shared" si="5"/>
        <v>0.1</v>
      </c>
      <c r="P4600" s="9"/>
    </row>
    <row r="4601">
      <c r="A4601" s="6" t="s">
        <v>9795</v>
      </c>
      <c r="B4601" s="6" t="s">
        <v>127</v>
      </c>
      <c r="C4601" s="6" t="s">
        <v>23</v>
      </c>
      <c r="D4601" s="6" t="s">
        <v>9796</v>
      </c>
      <c r="E4601" s="6" t="s">
        <v>175</v>
      </c>
      <c r="F4601" s="6" t="s">
        <v>51</v>
      </c>
      <c r="G4601" s="7">
        <v>0.09</v>
      </c>
      <c r="H4601" s="6" t="s">
        <v>114</v>
      </c>
      <c r="I4601" s="6" t="s">
        <v>20</v>
      </c>
      <c r="J4601" s="6">
        <v>2021.0</v>
      </c>
      <c r="K4601" s="10">
        <v>46023.0</v>
      </c>
      <c r="L4601" s="6">
        <v>2.0</v>
      </c>
      <c r="M4601" s="8">
        <f t="shared" si="5"/>
        <v>0.18</v>
      </c>
      <c r="P4601" s="9"/>
    </row>
    <row r="4602">
      <c r="A4602" s="6" t="s">
        <v>9797</v>
      </c>
      <c r="B4602" s="6" t="s">
        <v>2376</v>
      </c>
      <c r="C4602" s="6" t="s">
        <v>23</v>
      </c>
      <c r="E4602" s="6" t="s">
        <v>118</v>
      </c>
      <c r="F4602" s="6" t="s">
        <v>51</v>
      </c>
      <c r="G4602" s="7">
        <v>0.05</v>
      </c>
      <c r="H4602" s="6" t="s">
        <v>626</v>
      </c>
      <c r="I4602" s="6" t="s">
        <v>20</v>
      </c>
      <c r="J4602" s="6">
        <v>2013.0</v>
      </c>
      <c r="K4602" s="10">
        <v>46055.0</v>
      </c>
      <c r="L4602" s="6">
        <v>3.0</v>
      </c>
      <c r="M4602" s="8">
        <f t="shared" si="5"/>
        <v>0.15</v>
      </c>
      <c r="P4602" s="9"/>
    </row>
    <row r="4603">
      <c r="A4603" s="6" t="s">
        <v>9798</v>
      </c>
      <c r="B4603" s="6" t="s">
        <v>182</v>
      </c>
      <c r="C4603" s="6" t="s">
        <v>48</v>
      </c>
      <c r="D4603" s="6" t="s">
        <v>9799</v>
      </c>
      <c r="E4603" s="6" t="s">
        <v>214</v>
      </c>
      <c r="F4603" s="6" t="s">
        <v>215</v>
      </c>
      <c r="G4603" s="7">
        <v>0.06</v>
      </c>
      <c r="H4603" s="6" t="s">
        <v>271</v>
      </c>
      <c r="I4603" s="6" t="s">
        <v>20</v>
      </c>
      <c r="J4603" s="6">
        <v>2012.0</v>
      </c>
      <c r="L4603" s="6">
        <v>1.0</v>
      </c>
      <c r="M4603" s="8">
        <f t="shared" si="5"/>
        <v>0.06</v>
      </c>
      <c r="P4603" s="9"/>
    </row>
    <row r="4604">
      <c r="A4604" s="6" t="s">
        <v>9800</v>
      </c>
      <c r="B4604" s="6" t="s">
        <v>2822</v>
      </c>
      <c r="C4604" s="6" t="s">
        <v>23</v>
      </c>
      <c r="D4604" s="6" t="s">
        <v>9801</v>
      </c>
      <c r="E4604" s="6" t="s">
        <v>64</v>
      </c>
      <c r="F4604" s="6" t="s">
        <v>65</v>
      </c>
      <c r="G4604" s="7">
        <v>0.05</v>
      </c>
      <c r="H4604" s="6" t="s">
        <v>45</v>
      </c>
      <c r="I4604" s="6" t="s">
        <v>20</v>
      </c>
      <c r="J4604" s="6">
        <v>2025.0</v>
      </c>
      <c r="K4604" s="10">
        <v>46024.0</v>
      </c>
      <c r="L4604" s="6">
        <v>2.0</v>
      </c>
      <c r="M4604" s="8">
        <f t="shared" si="5"/>
        <v>0.1</v>
      </c>
      <c r="P4604" s="9"/>
    </row>
    <row r="4605">
      <c r="A4605" s="6" t="s">
        <v>9802</v>
      </c>
      <c r="B4605" s="6" t="s">
        <v>1016</v>
      </c>
      <c r="C4605" s="6" t="s">
        <v>23</v>
      </c>
      <c r="D4605" s="6" t="s">
        <v>9803</v>
      </c>
      <c r="E4605" s="6" t="s">
        <v>50</v>
      </c>
      <c r="F4605" s="6" t="s">
        <v>51</v>
      </c>
      <c r="G4605" s="7">
        <v>0.09</v>
      </c>
      <c r="H4605" s="6" t="s">
        <v>2756</v>
      </c>
      <c r="I4605" s="6" t="s">
        <v>20</v>
      </c>
      <c r="J4605" s="6">
        <v>2000.0</v>
      </c>
      <c r="K4605" s="10">
        <v>46083.0</v>
      </c>
      <c r="L4605" s="6">
        <v>3.0</v>
      </c>
      <c r="M4605" s="8">
        <f t="shared" si="5"/>
        <v>0.27</v>
      </c>
      <c r="P4605" s="9"/>
    </row>
    <row r="4606">
      <c r="A4606" s="6" t="s">
        <v>9804</v>
      </c>
      <c r="B4606" s="6" t="s">
        <v>229</v>
      </c>
      <c r="C4606" s="6" t="s">
        <v>212</v>
      </c>
      <c r="D4606" s="6" t="s">
        <v>9805</v>
      </c>
      <c r="E4606" s="6" t="s">
        <v>231</v>
      </c>
      <c r="F4606" s="6" t="s">
        <v>37</v>
      </c>
      <c r="G4606" s="7">
        <v>0.15</v>
      </c>
      <c r="H4606" s="6" t="s">
        <v>209</v>
      </c>
      <c r="I4606" s="6" t="s">
        <v>20</v>
      </c>
      <c r="J4606" s="6">
        <v>2025.0</v>
      </c>
      <c r="L4606" s="6">
        <v>2.0</v>
      </c>
      <c r="M4606" s="8">
        <f t="shared" si="5"/>
        <v>0.3</v>
      </c>
      <c r="P4606" s="9"/>
    </row>
    <row r="4607">
      <c r="A4607" s="6" t="s">
        <v>9806</v>
      </c>
      <c r="B4607" s="6" t="s">
        <v>543</v>
      </c>
      <c r="C4607" s="6" t="s">
        <v>48</v>
      </c>
      <c r="D4607" s="6" t="s">
        <v>9807</v>
      </c>
      <c r="E4607" s="6" t="s">
        <v>196</v>
      </c>
      <c r="F4607" s="6" t="s">
        <v>65</v>
      </c>
      <c r="G4607" s="7">
        <v>0.23</v>
      </c>
      <c r="H4607" s="6" t="s">
        <v>645</v>
      </c>
      <c r="I4607" s="6" t="s">
        <v>55</v>
      </c>
      <c r="J4607" s="6">
        <v>2024.0</v>
      </c>
      <c r="L4607" s="6">
        <v>1.0</v>
      </c>
      <c r="M4607" s="8">
        <f t="shared" si="5"/>
        <v>0.23</v>
      </c>
      <c r="P4607" s="9"/>
    </row>
    <row r="4608">
      <c r="A4608" s="6" t="s">
        <v>9808</v>
      </c>
      <c r="B4608" s="6" t="s">
        <v>202</v>
      </c>
      <c r="C4608" s="6" t="s">
        <v>48</v>
      </c>
      <c r="D4608" s="6" t="s">
        <v>9809</v>
      </c>
      <c r="E4608" s="6" t="s">
        <v>64</v>
      </c>
      <c r="F4608" s="6" t="s">
        <v>65</v>
      </c>
      <c r="G4608" s="7">
        <v>0.06</v>
      </c>
      <c r="H4608" s="6" t="s">
        <v>562</v>
      </c>
      <c r="I4608" s="6" t="s">
        <v>20</v>
      </c>
      <c r="J4608" s="6">
        <v>2017.0</v>
      </c>
      <c r="L4608" s="6">
        <v>1.0</v>
      </c>
      <c r="M4608" s="8">
        <f t="shared" si="5"/>
        <v>0.06</v>
      </c>
      <c r="P4608" s="9"/>
    </row>
    <row r="4609">
      <c r="A4609" s="6" t="s">
        <v>9810</v>
      </c>
      <c r="B4609" s="6" t="s">
        <v>8031</v>
      </c>
      <c r="C4609" s="6" t="s">
        <v>521</v>
      </c>
      <c r="D4609" s="6" t="s">
        <v>9811</v>
      </c>
      <c r="E4609" s="6" t="s">
        <v>79</v>
      </c>
      <c r="F4609" s="6" t="s">
        <v>904</v>
      </c>
      <c r="G4609" s="7">
        <v>0.2</v>
      </c>
      <c r="H4609" s="6" t="s">
        <v>641</v>
      </c>
      <c r="I4609" s="6" t="s">
        <v>55</v>
      </c>
      <c r="J4609" s="6">
        <v>2026.0</v>
      </c>
      <c r="K4609" s="10">
        <v>46082.0</v>
      </c>
      <c r="L4609" s="6">
        <v>1.0</v>
      </c>
      <c r="M4609" s="8">
        <f t="shared" si="5"/>
        <v>0.2</v>
      </c>
      <c r="P4609" s="9"/>
    </row>
    <row r="4610">
      <c r="A4610" s="6" t="s">
        <v>9812</v>
      </c>
      <c r="B4610" s="6" t="s">
        <v>9813</v>
      </c>
      <c r="C4610" s="6" t="s">
        <v>34</v>
      </c>
      <c r="D4610" s="6" t="s">
        <v>9814</v>
      </c>
      <c r="E4610" s="6" t="s">
        <v>364</v>
      </c>
      <c r="F4610" s="6" t="s">
        <v>51</v>
      </c>
      <c r="G4610" s="7">
        <v>0.2</v>
      </c>
      <c r="H4610" s="6" t="s">
        <v>2326</v>
      </c>
      <c r="I4610" s="6" t="s">
        <v>20</v>
      </c>
      <c r="J4610" s="6">
        <v>2026.0</v>
      </c>
      <c r="K4610" s="10">
        <v>46083.0</v>
      </c>
      <c r="L4610" s="6">
        <v>3.0</v>
      </c>
      <c r="M4610" s="8">
        <f t="shared" si="5"/>
        <v>0.6</v>
      </c>
      <c r="P4610" s="9"/>
    </row>
    <row r="4611">
      <c r="A4611" s="6" t="s">
        <v>9815</v>
      </c>
      <c r="B4611" s="6" t="s">
        <v>543</v>
      </c>
      <c r="C4611" s="6" t="s">
        <v>23</v>
      </c>
      <c r="D4611" s="6" t="s">
        <v>9816</v>
      </c>
      <c r="E4611" s="6" t="s">
        <v>30</v>
      </c>
      <c r="F4611" s="6" t="s">
        <v>18</v>
      </c>
      <c r="G4611" s="7">
        <v>0.09</v>
      </c>
      <c r="H4611" s="6" t="s">
        <v>31</v>
      </c>
      <c r="I4611" s="6" t="s">
        <v>20</v>
      </c>
      <c r="J4611" s="6">
        <v>2026.0</v>
      </c>
      <c r="L4611" s="6">
        <v>1.0</v>
      </c>
      <c r="M4611" s="8">
        <f t="shared" si="5"/>
        <v>0.09</v>
      </c>
      <c r="P4611" s="9"/>
    </row>
    <row r="4612">
      <c r="A4612" s="6" t="s">
        <v>9817</v>
      </c>
      <c r="B4612" s="6" t="s">
        <v>7847</v>
      </c>
      <c r="C4612" s="6" t="s">
        <v>34</v>
      </c>
      <c r="D4612" s="6" t="s">
        <v>9818</v>
      </c>
      <c r="E4612" s="6" t="s">
        <v>1265</v>
      </c>
      <c r="F4612" s="6" t="s">
        <v>159</v>
      </c>
      <c r="G4612" s="7">
        <v>0.08</v>
      </c>
      <c r="H4612" s="6" t="s">
        <v>19</v>
      </c>
      <c r="I4612" s="6" t="s">
        <v>20</v>
      </c>
      <c r="J4612" s="6">
        <v>2023.0</v>
      </c>
      <c r="K4612" s="10">
        <v>46023.0</v>
      </c>
      <c r="L4612" s="6">
        <v>1.0</v>
      </c>
      <c r="M4612" s="8">
        <f t="shared" si="5"/>
        <v>0.08</v>
      </c>
      <c r="P4612" s="9"/>
    </row>
    <row r="4613">
      <c r="A4613" s="6" t="s">
        <v>9819</v>
      </c>
      <c r="B4613" s="6" t="s">
        <v>307</v>
      </c>
      <c r="C4613" s="6" t="s">
        <v>23</v>
      </c>
      <c r="D4613" s="6" t="s">
        <v>9820</v>
      </c>
      <c r="E4613" s="6" t="s">
        <v>36</v>
      </c>
      <c r="F4613" s="6" t="s">
        <v>37</v>
      </c>
      <c r="G4613" s="7">
        <v>0.06</v>
      </c>
      <c r="H4613" s="6" t="s">
        <v>1361</v>
      </c>
      <c r="I4613" s="6" t="s">
        <v>20</v>
      </c>
      <c r="J4613" s="6">
        <v>2008.0</v>
      </c>
      <c r="L4613" s="6">
        <v>1.0</v>
      </c>
      <c r="M4613" s="8">
        <f t="shared" si="5"/>
        <v>0.06</v>
      </c>
      <c r="P4613" s="9"/>
    </row>
    <row r="4614">
      <c r="A4614" s="6" t="s">
        <v>9821</v>
      </c>
      <c r="B4614" s="6" t="s">
        <v>194</v>
      </c>
      <c r="C4614" s="6" t="s">
        <v>23</v>
      </c>
      <c r="D4614" s="6" t="s">
        <v>9822</v>
      </c>
      <c r="E4614" s="6" t="s">
        <v>30</v>
      </c>
      <c r="F4614" s="6" t="s">
        <v>18</v>
      </c>
      <c r="G4614" s="7">
        <v>0.05</v>
      </c>
      <c r="H4614" s="6" t="s">
        <v>324</v>
      </c>
      <c r="I4614" s="6" t="s">
        <v>20</v>
      </c>
      <c r="J4614" s="6">
        <v>2025.0</v>
      </c>
      <c r="L4614" s="6">
        <v>1.0</v>
      </c>
      <c r="M4614" s="8">
        <f t="shared" si="5"/>
        <v>0.05</v>
      </c>
      <c r="P4614" s="9"/>
    </row>
    <row r="4615">
      <c r="A4615" s="6" t="s">
        <v>9823</v>
      </c>
      <c r="B4615" s="6" t="s">
        <v>1041</v>
      </c>
      <c r="C4615" s="6" t="s">
        <v>212</v>
      </c>
      <c r="D4615" s="6" t="s">
        <v>9824</v>
      </c>
      <c r="E4615" s="6" t="s">
        <v>9825</v>
      </c>
      <c r="F4615" s="6" t="s">
        <v>65</v>
      </c>
      <c r="G4615" s="7">
        <v>2.66</v>
      </c>
      <c r="H4615" s="6" t="s">
        <v>209</v>
      </c>
      <c r="I4615" s="6" t="s">
        <v>20</v>
      </c>
      <c r="J4615" s="6">
        <v>2025.0</v>
      </c>
      <c r="L4615" s="6">
        <v>1.0</v>
      </c>
      <c r="M4615" s="8">
        <f t="shared" si="5"/>
        <v>2.66</v>
      </c>
      <c r="P4615" s="9"/>
    </row>
    <row r="4616">
      <c r="A4616" s="6" t="s">
        <v>9826</v>
      </c>
      <c r="B4616" s="6" t="s">
        <v>202</v>
      </c>
      <c r="C4616" s="6" t="s">
        <v>41</v>
      </c>
      <c r="D4616" s="6" t="s">
        <v>9827</v>
      </c>
      <c r="E4616" s="6" t="s">
        <v>153</v>
      </c>
      <c r="F4616" s="6" t="s">
        <v>103</v>
      </c>
      <c r="G4616" s="7">
        <v>0.15</v>
      </c>
      <c r="H4616" s="6" t="s">
        <v>2401</v>
      </c>
      <c r="I4616" s="6" t="s">
        <v>20</v>
      </c>
      <c r="J4616" s="6">
        <v>2018.0</v>
      </c>
      <c r="L4616" s="6">
        <v>1.0</v>
      </c>
      <c r="M4616" s="8">
        <f t="shared" si="5"/>
        <v>0.15</v>
      </c>
      <c r="P4616" s="9"/>
    </row>
    <row r="4617">
      <c r="A4617" s="6" t="s">
        <v>9828</v>
      </c>
      <c r="B4617" s="6" t="s">
        <v>9829</v>
      </c>
      <c r="C4617" s="6" t="s">
        <v>15</v>
      </c>
      <c r="D4617" s="6" t="s">
        <v>9830</v>
      </c>
      <c r="E4617" s="6" t="s">
        <v>2157</v>
      </c>
      <c r="F4617" s="6" t="s">
        <v>18</v>
      </c>
      <c r="G4617" s="7">
        <v>0.05</v>
      </c>
      <c r="H4617" s="6" t="s">
        <v>483</v>
      </c>
      <c r="I4617" s="6" t="s">
        <v>20</v>
      </c>
      <c r="J4617" s="6">
        <v>2014.0</v>
      </c>
      <c r="K4617" s="10">
        <v>46114.0</v>
      </c>
      <c r="L4617" s="6">
        <v>1.0</v>
      </c>
      <c r="M4617" s="8">
        <f t="shared" si="5"/>
        <v>0.05</v>
      </c>
      <c r="P4617" s="9"/>
    </row>
    <row r="4618">
      <c r="A4618" s="6" t="s">
        <v>9831</v>
      </c>
      <c r="B4618" s="6" t="s">
        <v>2354</v>
      </c>
      <c r="C4618" s="6" t="s">
        <v>23</v>
      </c>
      <c r="E4618" s="6" t="s">
        <v>248</v>
      </c>
      <c r="F4618" s="6" t="s">
        <v>18</v>
      </c>
      <c r="G4618" s="7">
        <v>0.03</v>
      </c>
      <c r="H4618" s="6" t="s">
        <v>626</v>
      </c>
      <c r="I4618" s="6" t="s">
        <v>20</v>
      </c>
      <c r="J4618" s="6">
        <v>2013.0</v>
      </c>
      <c r="K4618" s="10">
        <v>46054.0</v>
      </c>
      <c r="L4618" s="6">
        <v>1.0</v>
      </c>
      <c r="M4618" s="8">
        <f t="shared" si="5"/>
        <v>0.03</v>
      </c>
      <c r="P4618" s="9"/>
    </row>
    <row r="4619">
      <c r="A4619" s="6" t="s">
        <v>9832</v>
      </c>
      <c r="B4619" s="6" t="s">
        <v>62</v>
      </c>
      <c r="C4619" s="6" t="s">
        <v>48</v>
      </c>
      <c r="D4619" s="6" t="s">
        <v>9833</v>
      </c>
      <c r="E4619" s="6" t="s">
        <v>248</v>
      </c>
      <c r="F4619" s="6" t="s">
        <v>18</v>
      </c>
      <c r="G4619" s="7">
        <v>0.45</v>
      </c>
      <c r="H4619" s="6" t="s">
        <v>626</v>
      </c>
      <c r="I4619" s="6" t="s">
        <v>55</v>
      </c>
      <c r="J4619" s="6">
        <v>2013.0</v>
      </c>
      <c r="L4619" s="6">
        <v>4.0</v>
      </c>
      <c r="M4619" s="8">
        <f t="shared" si="5"/>
        <v>1.8</v>
      </c>
      <c r="P4619" s="9"/>
    </row>
    <row r="4620">
      <c r="A4620" s="6" t="s">
        <v>9834</v>
      </c>
      <c r="B4620" s="6" t="s">
        <v>301</v>
      </c>
      <c r="C4620" s="6" t="s">
        <v>15</v>
      </c>
      <c r="D4620" s="6" t="s">
        <v>9835</v>
      </c>
      <c r="E4620" s="6" t="s">
        <v>303</v>
      </c>
      <c r="F4620" s="6" t="s">
        <v>37</v>
      </c>
      <c r="G4620" s="7">
        <v>0.25</v>
      </c>
      <c r="H4620" s="6" t="s">
        <v>271</v>
      </c>
      <c r="I4620" s="6" t="s">
        <v>20</v>
      </c>
      <c r="J4620" s="6">
        <v>2012.0</v>
      </c>
      <c r="L4620" s="6">
        <v>3.0</v>
      </c>
      <c r="M4620" s="8">
        <f t="shared" si="5"/>
        <v>0.75</v>
      </c>
      <c r="P4620" s="9"/>
    </row>
    <row r="4621">
      <c r="A4621" s="6" t="s">
        <v>9836</v>
      </c>
      <c r="B4621" s="6" t="s">
        <v>372</v>
      </c>
      <c r="C4621" s="6" t="s">
        <v>23</v>
      </c>
      <c r="D4621" s="6" t="s">
        <v>9837</v>
      </c>
      <c r="E4621" s="6" t="s">
        <v>270</v>
      </c>
      <c r="F4621" s="6" t="s">
        <v>159</v>
      </c>
      <c r="G4621" s="7">
        <v>0.05</v>
      </c>
      <c r="H4621" s="6" t="s">
        <v>914</v>
      </c>
      <c r="I4621" s="6" t="s">
        <v>20</v>
      </c>
      <c r="J4621" s="6">
        <v>2011.0</v>
      </c>
      <c r="L4621" s="6">
        <v>3.0</v>
      </c>
      <c r="M4621" s="8">
        <f t="shared" si="5"/>
        <v>0.15</v>
      </c>
      <c r="P4621" s="9"/>
    </row>
    <row r="4622">
      <c r="A4622" s="6" t="s">
        <v>9838</v>
      </c>
      <c r="B4622" s="6" t="s">
        <v>1633</v>
      </c>
      <c r="C4622" s="6" t="s">
        <v>48</v>
      </c>
      <c r="D4622" s="6" t="s">
        <v>9839</v>
      </c>
      <c r="E4622" s="6" t="s">
        <v>2520</v>
      </c>
      <c r="F4622" s="6" t="s">
        <v>18</v>
      </c>
      <c r="G4622" s="7">
        <v>0.29</v>
      </c>
      <c r="H4622" s="6" t="s">
        <v>163</v>
      </c>
      <c r="I4622" s="6" t="s">
        <v>20</v>
      </c>
      <c r="J4622" s="6">
        <v>2023.0</v>
      </c>
      <c r="K4622" s="10">
        <v>46242.0</v>
      </c>
      <c r="L4622" s="6">
        <v>1.0</v>
      </c>
      <c r="M4622" s="8">
        <f t="shared" si="5"/>
        <v>0.29</v>
      </c>
      <c r="P4622" s="9"/>
    </row>
    <row r="4623">
      <c r="A4623" s="6" t="s">
        <v>9840</v>
      </c>
      <c r="B4623" s="6" t="s">
        <v>9841</v>
      </c>
      <c r="C4623" s="6" t="s">
        <v>15</v>
      </c>
      <c r="D4623" s="6" t="s">
        <v>9842</v>
      </c>
      <c r="E4623" s="6" t="s">
        <v>998</v>
      </c>
      <c r="F4623" s="6" t="s">
        <v>159</v>
      </c>
      <c r="G4623" s="7">
        <v>0.25</v>
      </c>
      <c r="H4623" s="6" t="s">
        <v>19</v>
      </c>
      <c r="I4623" s="6" t="s">
        <v>20</v>
      </c>
      <c r="J4623" s="6">
        <v>2023.0</v>
      </c>
      <c r="K4623" s="10">
        <v>46178.0</v>
      </c>
      <c r="L4623" s="6">
        <v>2.0</v>
      </c>
      <c r="M4623" s="8">
        <f t="shared" si="5"/>
        <v>0.5</v>
      </c>
      <c r="P4623" s="9"/>
    </row>
    <row r="4624">
      <c r="A4624" s="6" t="s">
        <v>9843</v>
      </c>
      <c r="B4624" s="6" t="s">
        <v>62</v>
      </c>
      <c r="C4624" s="6" t="s">
        <v>23</v>
      </c>
      <c r="D4624" s="6" t="s">
        <v>9844</v>
      </c>
      <c r="E4624" s="6" t="s">
        <v>721</v>
      </c>
      <c r="F4624" s="6" t="s">
        <v>51</v>
      </c>
      <c r="G4624" s="7">
        <v>0.05</v>
      </c>
      <c r="H4624" s="6" t="s">
        <v>271</v>
      </c>
      <c r="I4624" s="6" t="s">
        <v>20</v>
      </c>
      <c r="J4624" s="6">
        <v>2012.0</v>
      </c>
      <c r="L4624" s="6">
        <v>1.0</v>
      </c>
      <c r="M4624" s="8">
        <f t="shared" si="5"/>
        <v>0.05</v>
      </c>
      <c r="P4624" s="9"/>
    </row>
    <row r="4625">
      <c r="A4625" s="6" t="s">
        <v>9845</v>
      </c>
      <c r="B4625" s="6" t="s">
        <v>796</v>
      </c>
      <c r="C4625" s="6" t="s">
        <v>15</v>
      </c>
      <c r="D4625" s="6" t="s">
        <v>9846</v>
      </c>
      <c r="E4625" s="6" t="s">
        <v>514</v>
      </c>
      <c r="F4625" s="6" t="s">
        <v>65</v>
      </c>
      <c r="G4625" s="7">
        <v>0.44</v>
      </c>
      <c r="H4625" s="6" t="s">
        <v>38</v>
      </c>
      <c r="I4625" s="6" t="s">
        <v>20</v>
      </c>
      <c r="J4625" s="6">
        <v>2026.0</v>
      </c>
      <c r="L4625" s="6">
        <v>1.0</v>
      </c>
      <c r="M4625" s="8">
        <f t="shared" si="5"/>
        <v>0.44</v>
      </c>
      <c r="P4625" s="9"/>
    </row>
    <row r="4626">
      <c r="A4626" s="6" t="s">
        <v>9847</v>
      </c>
      <c r="B4626" s="6" t="s">
        <v>139</v>
      </c>
      <c r="C4626" s="6" t="s">
        <v>48</v>
      </c>
      <c r="D4626" s="6" t="s">
        <v>9848</v>
      </c>
      <c r="E4626" s="6" t="s">
        <v>9849</v>
      </c>
      <c r="F4626" s="6" t="s">
        <v>986</v>
      </c>
      <c r="G4626" s="7">
        <v>0.05</v>
      </c>
      <c r="H4626" s="6" t="s">
        <v>1084</v>
      </c>
      <c r="I4626" s="6" t="s">
        <v>20</v>
      </c>
      <c r="J4626" s="6">
        <v>2018.0</v>
      </c>
      <c r="K4626" s="10">
        <v>46085.0</v>
      </c>
      <c r="L4626" s="6">
        <v>1.0</v>
      </c>
      <c r="M4626" s="8">
        <f t="shared" si="5"/>
        <v>0.05</v>
      </c>
      <c r="P4626" s="9"/>
    </row>
    <row r="4627">
      <c r="A4627" s="6" t="s">
        <v>9847</v>
      </c>
      <c r="B4627" s="6" t="s">
        <v>139</v>
      </c>
      <c r="C4627" s="6" t="s">
        <v>48</v>
      </c>
      <c r="D4627" s="6" t="s">
        <v>9848</v>
      </c>
      <c r="E4627" s="6" t="s">
        <v>9849</v>
      </c>
      <c r="F4627" s="6" t="s">
        <v>986</v>
      </c>
      <c r="G4627" s="7">
        <v>0.17</v>
      </c>
      <c r="H4627" s="6" t="s">
        <v>786</v>
      </c>
      <c r="I4627" s="6" t="s">
        <v>20</v>
      </c>
      <c r="J4627" s="6">
        <v>2024.0</v>
      </c>
      <c r="K4627" s="10">
        <v>46085.0</v>
      </c>
      <c r="L4627" s="6">
        <v>1.0</v>
      </c>
      <c r="M4627" s="8">
        <f t="shared" si="5"/>
        <v>0.17</v>
      </c>
      <c r="P4627" s="9"/>
    </row>
    <row r="4628">
      <c r="A4628" s="6" t="s">
        <v>9850</v>
      </c>
      <c r="B4628" s="6" t="s">
        <v>62</v>
      </c>
      <c r="C4628" s="6" t="s">
        <v>23</v>
      </c>
      <c r="D4628" s="6" t="s">
        <v>9851</v>
      </c>
      <c r="E4628" s="6" t="s">
        <v>64</v>
      </c>
      <c r="F4628" s="6" t="s">
        <v>65</v>
      </c>
      <c r="G4628" s="7">
        <v>0.03</v>
      </c>
      <c r="H4628" s="6" t="s">
        <v>1514</v>
      </c>
      <c r="I4628" s="6" t="s">
        <v>20</v>
      </c>
      <c r="J4628" s="6">
        <v>2009.0</v>
      </c>
      <c r="L4628" s="6">
        <v>1.0</v>
      </c>
      <c r="M4628" s="8">
        <f t="shared" si="5"/>
        <v>0.03</v>
      </c>
      <c r="P4628" s="9"/>
    </row>
    <row r="4629">
      <c r="A4629" s="6" t="s">
        <v>9852</v>
      </c>
      <c r="B4629" s="6" t="s">
        <v>6249</v>
      </c>
      <c r="C4629" s="6" t="s">
        <v>23</v>
      </c>
      <c r="D4629" s="6" t="s">
        <v>9853</v>
      </c>
      <c r="E4629" s="6" t="s">
        <v>79</v>
      </c>
      <c r="F4629" s="6" t="s">
        <v>51</v>
      </c>
      <c r="G4629" s="7">
        <v>0.03</v>
      </c>
      <c r="H4629" s="6" t="s">
        <v>406</v>
      </c>
      <c r="I4629" s="6" t="s">
        <v>20</v>
      </c>
      <c r="J4629" s="6">
        <v>2019.0</v>
      </c>
      <c r="K4629" s="10">
        <v>46055.0</v>
      </c>
      <c r="L4629" s="6">
        <v>1.0</v>
      </c>
      <c r="M4629" s="8">
        <f t="shared" si="5"/>
        <v>0.03</v>
      </c>
      <c r="P4629" s="9"/>
    </row>
    <row r="4630">
      <c r="A4630" s="6" t="s">
        <v>9854</v>
      </c>
      <c r="B4630" s="6" t="s">
        <v>1052</v>
      </c>
      <c r="C4630" s="6" t="s">
        <v>48</v>
      </c>
      <c r="D4630" s="6" t="s">
        <v>9855</v>
      </c>
      <c r="E4630" s="6" t="s">
        <v>303</v>
      </c>
      <c r="F4630" s="6" t="s">
        <v>37</v>
      </c>
      <c r="G4630" s="7">
        <v>0.1</v>
      </c>
      <c r="H4630" s="6" t="s">
        <v>45</v>
      </c>
      <c r="I4630" s="6" t="s">
        <v>20</v>
      </c>
      <c r="J4630" s="6">
        <v>2025.0</v>
      </c>
      <c r="L4630" s="6">
        <v>1.0</v>
      </c>
      <c r="M4630" s="8">
        <f t="shared" si="5"/>
        <v>0.1</v>
      </c>
      <c r="P4630" s="9"/>
    </row>
    <row r="4631">
      <c r="A4631" s="6" t="s">
        <v>9856</v>
      </c>
      <c r="B4631" s="6" t="s">
        <v>134</v>
      </c>
      <c r="C4631" s="6" t="s">
        <v>23</v>
      </c>
      <c r="D4631" s="6" t="s">
        <v>9857</v>
      </c>
      <c r="E4631" s="6" t="s">
        <v>64</v>
      </c>
      <c r="F4631" s="6" t="s">
        <v>65</v>
      </c>
      <c r="G4631" s="7">
        <v>0.25</v>
      </c>
      <c r="H4631" s="6" t="s">
        <v>224</v>
      </c>
      <c r="I4631" s="6" t="s">
        <v>20</v>
      </c>
      <c r="J4631" s="6">
        <v>2020.0</v>
      </c>
      <c r="K4631" s="6" t="s">
        <v>1035</v>
      </c>
      <c r="L4631" s="6">
        <v>2.0</v>
      </c>
      <c r="M4631" s="8">
        <f t="shared" si="5"/>
        <v>0.5</v>
      </c>
      <c r="P4631" s="9"/>
    </row>
    <row r="4632">
      <c r="A4632" s="6" t="s">
        <v>9858</v>
      </c>
      <c r="B4632" s="6" t="s">
        <v>9859</v>
      </c>
      <c r="C4632" s="6" t="s">
        <v>48</v>
      </c>
      <c r="D4632" s="6" t="s">
        <v>9860</v>
      </c>
      <c r="E4632" s="6" t="s">
        <v>533</v>
      </c>
      <c r="F4632" s="6" t="s">
        <v>65</v>
      </c>
      <c r="G4632" s="7">
        <v>0.2</v>
      </c>
      <c r="H4632" s="6" t="s">
        <v>340</v>
      </c>
      <c r="I4632" s="6" t="s">
        <v>20</v>
      </c>
      <c r="J4632" s="6">
        <v>2010.0</v>
      </c>
      <c r="K4632" s="10">
        <v>46055.0</v>
      </c>
      <c r="L4632" s="6">
        <v>1.0</v>
      </c>
      <c r="M4632" s="8">
        <f t="shared" si="5"/>
        <v>0.2</v>
      </c>
      <c r="P4632" s="9"/>
    </row>
    <row r="4633">
      <c r="A4633" s="6" t="s">
        <v>9861</v>
      </c>
      <c r="B4633" s="6" t="s">
        <v>307</v>
      </c>
      <c r="C4633" s="6" t="s">
        <v>48</v>
      </c>
      <c r="D4633" s="6" t="s">
        <v>9862</v>
      </c>
      <c r="E4633" s="6" t="s">
        <v>243</v>
      </c>
      <c r="F4633" s="6" t="s">
        <v>37</v>
      </c>
      <c r="G4633" s="7">
        <v>0.03</v>
      </c>
      <c r="H4633" s="6" t="s">
        <v>1348</v>
      </c>
      <c r="I4633" s="6" t="s">
        <v>20</v>
      </c>
      <c r="J4633" s="6">
        <v>2015.0</v>
      </c>
      <c r="L4633" s="6">
        <v>1.0</v>
      </c>
      <c r="M4633" s="8">
        <f t="shared" si="5"/>
        <v>0.03</v>
      </c>
      <c r="P4633" s="9"/>
    </row>
    <row r="4634">
      <c r="A4634" s="6" t="s">
        <v>9863</v>
      </c>
      <c r="B4634" s="6" t="s">
        <v>2193</v>
      </c>
      <c r="C4634" s="6" t="s">
        <v>48</v>
      </c>
      <c r="D4634" s="6" t="s">
        <v>9864</v>
      </c>
      <c r="E4634" s="6" t="s">
        <v>235</v>
      </c>
      <c r="F4634" s="6" t="s">
        <v>103</v>
      </c>
      <c r="G4634" s="7">
        <v>0.15</v>
      </c>
      <c r="H4634" s="6" t="s">
        <v>45</v>
      </c>
      <c r="I4634" s="6" t="s">
        <v>20</v>
      </c>
      <c r="J4634" s="6">
        <v>2025.0</v>
      </c>
      <c r="K4634" s="10">
        <v>46116.0</v>
      </c>
      <c r="L4634" s="6">
        <v>1.0</v>
      </c>
      <c r="M4634" s="8">
        <f t="shared" si="5"/>
        <v>0.15</v>
      </c>
      <c r="P4634" s="9"/>
    </row>
    <row r="4635">
      <c r="A4635" s="6" t="s">
        <v>9865</v>
      </c>
      <c r="B4635" s="6" t="s">
        <v>504</v>
      </c>
      <c r="C4635" s="6" t="s">
        <v>521</v>
      </c>
      <c r="D4635" s="6" t="s">
        <v>9866</v>
      </c>
      <c r="E4635" s="6" t="s">
        <v>175</v>
      </c>
      <c r="F4635" s="6" t="s">
        <v>904</v>
      </c>
      <c r="G4635" s="7">
        <v>0.1</v>
      </c>
      <c r="H4635" s="6" t="s">
        <v>119</v>
      </c>
      <c r="I4635" s="6" t="s">
        <v>20</v>
      </c>
      <c r="J4635" s="6">
        <v>1999.0</v>
      </c>
      <c r="K4635" s="10">
        <v>46023.0</v>
      </c>
      <c r="L4635" s="6">
        <v>1.0</v>
      </c>
      <c r="M4635" s="8">
        <f t="shared" si="5"/>
        <v>0.1</v>
      </c>
      <c r="P4635" s="9"/>
    </row>
    <row r="4636">
      <c r="A4636" s="6" t="s">
        <v>9865</v>
      </c>
      <c r="B4636" s="6" t="s">
        <v>504</v>
      </c>
      <c r="C4636" s="6" t="s">
        <v>521</v>
      </c>
      <c r="D4636" s="6" t="s">
        <v>9866</v>
      </c>
      <c r="E4636" s="6" t="s">
        <v>175</v>
      </c>
      <c r="F4636" s="6" t="s">
        <v>904</v>
      </c>
      <c r="G4636" s="7">
        <v>0.28</v>
      </c>
      <c r="H4636" s="6" t="s">
        <v>120</v>
      </c>
      <c r="I4636" s="6" t="s">
        <v>20</v>
      </c>
      <c r="J4636" s="6">
        <v>1995.0</v>
      </c>
      <c r="K4636" s="10">
        <v>46023.0</v>
      </c>
      <c r="L4636" s="6">
        <v>6.0</v>
      </c>
      <c r="M4636" s="8">
        <f t="shared" si="5"/>
        <v>1.68</v>
      </c>
      <c r="P4636" s="9"/>
    </row>
    <row r="4637">
      <c r="A4637" s="6" t="s">
        <v>9867</v>
      </c>
      <c r="B4637" s="6" t="s">
        <v>62</v>
      </c>
      <c r="C4637" s="6" t="s">
        <v>48</v>
      </c>
      <c r="D4637" s="6" t="s">
        <v>9868</v>
      </c>
      <c r="E4637" s="6" t="s">
        <v>196</v>
      </c>
      <c r="F4637" s="6" t="s">
        <v>65</v>
      </c>
      <c r="G4637" s="7">
        <v>0.14</v>
      </c>
      <c r="H4637" s="6" t="s">
        <v>119</v>
      </c>
      <c r="I4637" s="6" t="s">
        <v>20</v>
      </c>
      <c r="J4637" s="6">
        <v>1995.0</v>
      </c>
      <c r="L4637" s="6">
        <v>1.0</v>
      </c>
      <c r="M4637" s="8">
        <f t="shared" si="5"/>
        <v>0.14</v>
      </c>
      <c r="P4637" s="9"/>
    </row>
    <row r="4638">
      <c r="A4638" s="6" t="s">
        <v>9867</v>
      </c>
      <c r="B4638" s="6" t="s">
        <v>62</v>
      </c>
      <c r="C4638" s="6" t="s">
        <v>48</v>
      </c>
      <c r="D4638" s="6" t="s">
        <v>9868</v>
      </c>
      <c r="E4638" s="6" t="s">
        <v>196</v>
      </c>
      <c r="F4638" s="6" t="s">
        <v>65</v>
      </c>
      <c r="G4638" s="7">
        <v>0.44</v>
      </c>
      <c r="H4638" s="6" t="s">
        <v>120</v>
      </c>
      <c r="I4638" s="6" t="s">
        <v>20</v>
      </c>
      <c r="J4638" s="6">
        <v>1995.0</v>
      </c>
      <c r="L4638" s="6">
        <v>1.0</v>
      </c>
      <c r="M4638" s="8">
        <f t="shared" si="5"/>
        <v>0.44</v>
      </c>
      <c r="P4638" s="9"/>
    </row>
    <row r="4639">
      <c r="A4639" s="6" t="s">
        <v>9869</v>
      </c>
      <c r="B4639" s="6" t="s">
        <v>1440</v>
      </c>
      <c r="C4639" s="6" t="s">
        <v>23</v>
      </c>
      <c r="D4639" s="6" t="s">
        <v>9870</v>
      </c>
      <c r="E4639" s="6" t="s">
        <v>102</v>
      </c>
      <c r="F4639" s="6" t="s">
        <v>103</v>
      </c>
      <c r="G4639" s="7">
        <v>0.1</v>
      </c>
      <c r="H4639" s="6" t="s">
        <v>192</v>
      </c>
      <c r="I4639" s="6" t="s">
        <v>20</v>
      </c>
      <c r="J4639" s="6">
        <v>2026.0</v>
      </c>
      <c r="K4639" s="10">
        <v>46055.0</v>
      </c>
      <c r="L4639" s="6">
        <v>1.0</v>
      </c>
      <c r="M4639" s="8">
        <f t="shared" si="5"/>
        <v>0.1</v>
      </c>
      <c r="P4639" s="9"/>
    </row>
    <row r="4640">
      <c r="A4640" s="6" t="s">
        <v>9871</v>
      </c>
      <c r="B4640" s="6" t="s">
        <v>9872</v>
      </c>
      <c r="C4640" s="6" t="s">
        <v>23</v>
      </c>
      <c r="D4640" s="6" t="s">
        <v>9873</v>
      </c>
      <c r="E4640" s="6" t="s">
        <v>25</v>
      </c>
      <c r="F4640" s="6" t="s">
        <v>18</v>
      </c>
      <c r="G4640" s="7">
        <v>0.05</v>
      </c>
      <c r="H4640" s="6" t="s">
        <v>645</v>
      </c>
      <c r="I4640" s="6" t="s">
        <v>20</v>
      </c>
      <c r="J4640" s="6">
        <v>2024.0</v>
      </c>
      <c r="K4640" s="10">
        <v>46055.0</v>
      </c>
      <c r="L4640" s="6">
        <v>1.0</v>
      </c>
      <c r="M4640" s="8">
        <f t="shared" si="5"/>
        <v>0.05</v>
      </c>
      <c r="P4640" s="9"/>
    </row>
    <row r="4641">
      <c r="A4641" s="6" t="s">
        <v>9874</v>
      </c>
      <c r="B4641" s="6" t="s">
        <v>9875</v>
      </c>
      <c r="C4641" s="6" t="s">
        <v>23</v>
      </c>
      <c r="D4641" s="6" t="s">
        <v>9876</v>
      </c>
      <c r="E4641" s="6" t="s">
        <v>223</v>
      </c>
      <c r="F4641" s="6" t="s">
        <v>159</v>
      </c>
      <c r="G4641" s="7">
        <v>0.06</v>
      </c>
      <c r="H4641" s="6" t="s">
        <v>346</v>
      </c>
      <c r="I4641" s="6" t="s">
        <v>20</v>
      </c>
      <c r="J4641" s="6">
        <v>2024.0</v>
      </c>
      <c r="K4641" s="10">
        <v>46023.0</v>
      </c>
      <c r="L4641" s="6">
        <v>1.0</v>
      </c>
      <c r="M4641" s="8">
        <f t="shared" si="5"/>
        <v>0.06</v>
      </c>
      <c r="P4641" s="9"/>
    </row>
    <row r="4642">
      <c r="A4642" s="6" t="s">
        <v>9874</v>
      </c>
      <c r="B4642" s="6" t="s">
        <v>9875</v>
      </c>
      <c r="C4642" s="6" t="s">
        <v>23</v>
      </c>
      <c r="D4642" s="6" t="s">
        <v>9877</v>
      </c>
      <c r="E4642" s="6" t="s">
        <v>223</v>
      </c>
      <c r="F4642" s="6" t="s">
        <v>159</v>
      </c>
      <c r="G4642" s="7">
        <v>0.09</v>
      </c>
      <c r="H4642" s="6" t="s">
        <v>346</v>
      </c>
      <c r="I4642" s="6" t="s">
        <v>20</v>
      </c>
      <c r="J4642" s="6">
        <v>2024.0</v>
      </c>
      <c r="K4642" s="10">
        <v>46023.0</v>
      </c>
      <c r="L4642" s="6">
        <v>1.0</v>
      </c>
      <c r="M4642" s="8">
        <f t="shared" si="5"/>
        <v>0.09</v>
      </c>
      <c r="P4642" s="9"/>
    </row>
    <row r="4643">
      <c r="A4643" s="6" t="s">
        <v>9878</v>
      </c>
      <c r="B4643" s="6" t="s">
        <v>62</v>
      </c>
      <c r="C4643" s="6" t="s">
        <v>23</v>
      </c>
      <c r="D4643" s="6" t="s">
        <v>9879</v>
      </c>
      <c r="E4643" s="6" t="s">
        <v>248</v>
      </c>
      <c r="F4643" s="6" t="s">
        <v>18</v>
      </c>
      <c r="G4643" s="7">
        <v>0.25</v>
      </c>
      <c r="H4643" s="6" t="s">
        <v>146</v>
      </c>
      <c r="I4643" s="6" t="s">
        <v>20</v>
      </c>
      <c r="J4643" s="6">
        <v>2010.0</v>
      </c>
      <c r="L4643" s="6">
        <v>4.0</v>
      </c>
      <c r="M4643" s="8">
        <f t="shared" si="5"/>
        <v>1</v>
      </c>
      <c r="P4643" s="9"/>
    </row>
    <row r="4644">
      <c r="A4644" s="6" t="s">
        <v>9880</v>
      </c>
      <c r="B4644" s="6" t="s">
        <v>194</v>
      </c>
      <c r="C4644" s="6" t="s">
        <v>23</v>
      </c>
      <c r="D4644" s="6" t="s">
        <v>9881</v>
      </c>
      <c r="E4644" s="6" t="s">
        <v>196</v>
      </c>
      <c r="F4644" s="6" t="s">
        <v>65</v>
      </c>
      <c r="G4644" s="7">
        <v>0.1</v>
      </c>
      <c r="H4644" s="6" t="s">
        <v>645</v>
      </c>
      <c r="I4644" s="6" t="s">
        <v>20</v>
      </c>
      <c r="J4644" s="6">
        <v>2024.0</v>
      </c>
      <c r="L4644" s="6">
        <v>1.0</v>
      </c>
      <c r="M4644" s="8">
        <f t="shared" si="5"/>
        <v>0.1</v>
      </c>
      <c r="P4644" s="9"/>
    </row>
    <row r="4645">
      <c r="A4645" s="6" t="s">
        <v>9882</v>
      </c>
      <c r="B4645" s="6" t="s">
        <v>62</v>
      </c>
      <c r="C4645" s="6" t="s">
        <v>48</v>
      </c>
      <c r="D4645" s="6" t="s">
        <v>9883</v>
      </c>
      <c r="E4645" s="6" t="s">
        <v>149</v>
      </c>
      <c r="F4645" s="6" t="s">
        <v>18</v>
      </c>
      <c r="G4645" s="7">
        <v>0.08</v>
      </c>
      <c r="H4645" s="6" t="s">
        <v>184</v>
      </c>
      <c r="I4645" s="6" t="s">
        <v>20</v>
      </c>
      <c r="J4645" s="6">
        <v>2015.0</v>
      </c>
      <c r="L4645" s="6">
        <v>1.0</v>
      </c>
      <c r="M4645" s="8">
        <f t="shared" si="5"/>
        <v>0.08</v>
      </c>
      <c r="P4645" s="9"/>
    </row>
    <row r="4646">
      <c r="A4646" s="6" t="s">
        <v>9884</v>
      </c>
      <c r="B4646" s="6" t="s">
        <v>9885</v>
      </c>
      <c r="C4646" s="6" t="s">
        <v>41</v>
      </c>
      <c r="D4646" s="6" t="s">
        <v>9886</v>
      </c>
      <c r="E4646" s="6" t="s">
        <v>158</v>
      </c>
      <c r="F4646" s="6" t="s">
        <v>159</v>
      </c>
      <c r="G4646" s="7">
        <v>1.99</v>
      </c>
      <c r="H4646" s="6" t="s">
        <v>427</v>
      </c>
      <c r="I4646" s="6" t="s">
        <v>20</v>
      </c>
      <c r="J4646" s="6">
        <v>2009.0</v>
      </c>
      <c r="K4646" s="10">
        <v>46055.0</v>
      </c>
      <c r="L4646" s="6">
        <v>3.0</v>
      </c>
      <c r="M4646" s="8">
        <f t="shared" si="5"/>
        <v>5.97</v>
      </c>
      <c r="P4646" s="9"/>
    </row>
    <row r="4647">
      <c r="A4647" s="6" t="s">
        <v>9887</v>
      </c>
      <c r="B4647" s="6" t="s">
        <v>2193</v>
      </c>
      <c r="C4647" s="6" t="s">
        <v>48</v>
      </c>
      <c r="D4647" s="6" t="s">
        <v>9888</v>
      </c>
      <c r="E4647" s="6" t="s">
        <v>890</v>
      </c>
      <c r="F4647" s="6" t="s">
        <v>37</v>
      </c>
      <c r="G4647" s="7">
        <v>0.13</v>
      </c>
      <c r="H4647" s="6" t="s">
        <v>192</v>
      </c>
      <c r="I4647" s="6" t="s">
        <v>20</v>
      </c>
      <c r="J4647" s="6">
        <v>2026.0</v>
      </c>
      <c r="K4647" s="10">
        <v>46115.0</v>
      </c>
      <c r="L4647" s="6">
        <v>1.0</v>
      </c>
      <c r="M4647" s="8">
        <f t="shared" si="5"/>
        <v>0.13</v>
      </c>
      <c r="P4647" s="9"/>
    </row>
    <row r="4648">
      <c r="A4648" s="6" t="s">
        <v>9889</v>
      </c>
      <c r="B4648" s="6" t="s">
        <v>68</v>
      </c>
      <c r="C4648" s="6" t="s">
        <v>48</v>
      </c>
      <c r="D4648" s="6" t="s">
        <v>9890</v>
      </c>
      <c r="F4648" s="6" t="s">
        <v>37</v>
      </c>
      <c r="G4648" s="7">
        <v>0.1</v>
      </c>
      <c r="H4648" s="6" t="s">
        <v>192</v>
      </c>
      <c r="I4648" s="6" t="s">
        <v>20</v>
      </c>
      <c r="J4648" s="6">
        <v>2026.0</v>
      </c>
      <c r="L4648" s="6">
        <v>1.0</v>
      </c>
      <c r="M4648" s="8">
        <f t="shared" si="5"/>
        <v>0.1</v>
      </c>
      <c r="P4648" s="9"/>
    </row>
    <row r="4649">
      <c r="A4649" s="6" t="s">
        <v>9891</v>
      </c>
      <c r="B4649" s="6" t="s">
        <v>592</v>
      </c>
      <c r="C4649" s="6" t="s">
        <v>41</v>
      </c>
      <c r="D4649" s="6" t="s">
        <v>9892</v>
      </c>
      <c r="E4649" s="6" t="s">
        <v>270</v>
      </c>
      <c r="F4649" s="6" t="s">
        <v>159</v>
      </c>
      <c r="G4649" s="7">
        <v>1.0</v>
      </c>
      <c r="H4649" s="6" t="s">
        <v>192</v>
      </c>
      <c r="I4649" s="6" t="s">
        <v>20</v>
      </c>
      <c r="J4649" s="6">
        <v>2026.0</v>
      </c>
      <c r="L4649" s="6">
        <v>1.0</v>
      </c>
      <c r="M4649" s="8">
        <f t="shared" si="5"/>
        <v>1</v>
      </c>
      <c r="P4649" s="9"/>
    </row>
    <row r="4650">
      <c r="A4650" s="6" t="s">
        <v>9893</v>
      </c>
      <c r="B4650" s="6" t="s">
        <v>165</v>
      </c>
      <c r="C4650" s="6" t="s">
        <v>15</v>
      </c>
      <c r="D4650" s="6" t="s">
        <v>9894</v>
      </c>
      <c r="E4650" s="6" t="s">
        <v>618</v>
      </c>
      <c r="F4650" s="6" t="s">
        <v>159</v>
      </c>
      <c r="G4650" s="7">
        <v>0.69</v>
      </c>
      <c r="H4650" s="6" t="s">
        <v>2326</v>
      </c>
      <c r="I4650" s="6" t="s">
        <v>20</v>
      </c>
      <c r="J4650" s="6">
        <v>2026.0</v>
      </c>
      <c r="L4650" s="6">
        <v>3.0</v>
      </c>
      <c r="M4650" s="8">
        <f t="shared" si="5"/>
        <v>2.07</v>
      </c>
      <c r="P4650" s="9"/>
    </row>
    <row r="4651">
      <c r="A4651" s="6" t="s">
        <v>9895</v>
      </c>
      <c r="B4651" s="6" t="s">
        <v>2193</v>
      </c>
      <c r="C4651" s="6" t="s">
        <v>41</v>
      </c>
      <c r="D4651" s="6" t="s">
        <v>9896</v>
      </c>
      <c r="E4651" s="6" t="s">
        <v>243</v>
      </c>
      <c r="F4651" s="6" t="s">
        <v>37</v>
      </c>
      <c r="G4651" s="7">
        <v>5.75</v>
      </c>
      <c r="H4651" s="6" t="s">
        <v>192</v>
      </c>
      <c r="I4651" s="6" t="s">
        <v>55</v>
      </c>
      <c r="J4651" s="6">
        <v>2026.0</v>
      </c>
      <c r="K4651" s="10">
        <v>46116.0</v>
      </c>
      <c r="L4651" s="6">
        <v>1.0</v>
      </c>
      <c r="M4651" s="8">
        <f t="shared" si="5"/>
        <v>5.75</v>
      </c>
      <c r="P4651" s="9"/>
    </row>
    <row r="4652">
      <c r="A4652" s="6" t="s">
        <v>9897</v>
      </c>
      <c r="B4652" s="6" t="s">
        <v>9898</v>
      </c>
      <c r="C4652" s="6" t="s">
        <v>23</v>
      </c>
      <c r="D4652" s="6" t="s">
        <v>9899</v>
      </c>
      <c r="E4652" s="6" t="s">
        <v>238</v>
      </c>
      <c r="F4652" s="6" t="s">
        <v>159</v>
      </c>
      <c r="G4652" s="7">
        <v>0.04</v>
      </c>
      <c r="H4652" s="6" t="s">
        <v>45</v>
      </c>
      <c r="I4652" s="6" t="s">
        <v>20</v>
      </c>
      <c r="J4652" s="6">
        <v>2025.0</v>
      </c>
      <c r="K4652" s="6" t="s">
        <v>597</v>
      </c>
      <c r="L4652" s="6">
        <v>1.0</v>
      </c>
      <c r="M4652" s="8">
        <f t="shared" si="5"/>
        <v>0.04</v>
      </c>
      <c r="P4652" s="9"/>
    </row>
    <row r="4653">
      <c r="A4653" s="6" t="s">
        <v>9900</v>
      </c>
      <c r="B4653" s="6" t="s">
        <v>2599</v>
      </c>
      <c r="C4653" s="6" t="s">
        <v>48</v>
      </c>
      <c r="D4653" s="6" t="s">
        <v>9901</v>
      </c>
      <c r="E4653" s="6" t="s">
        <v>3595</v>
      </c>
      <c r="F4653" s="6" t="s">
        <v>826</v>
      </c>
      <c r="G4653" s="7">
        <v>0.25</v>
      </c>
      <c r="H4653" s="6" t="s">
        <v>163</v>
      </c>
      <c r="I4653" s="6" t="s">
        <v>20</v>
      </c>
      <c r="J4653" s="6">
        <v>2023.0</v>
      </c>
      <c r="K4653" s="10">
        <v>46055.0</v>
      </c>
      <c r="L4653" s="6">
        <v>1.0</v>
      </c>
      <c r="M4653" s="8">
        <f t="shared" si="5"/>
        <v>0.25</v>
      </c>
      <c r="P4653" s="9"/>
    </row>
    <row r="4654">
      <c r="A4654" s="6" t="s">
        <v>9902</v>
      </c>
      <c r="B4654" s="6" t="s">
        <v>194</v>
      </c>
      <c r="C4654" s="6" t="s">
        <v>521</v>
      </c>
      <c r="D4654" s="6" t="s">
        <v>9903</v>
      </c>
      <c r="E4654" s="6" t="s">
        <v>64</v>
      </c>
      <c r="F4654" s="6" t="s">
        <v>65</v>
      </c>
      <c r="G4654" s="7">
        <v>0.05</v>
      </c>
      <c r="H4654" s="6" t="s">
        <v>641</v>
      </c>
      <c r="I4654" s="6" t="s">
        <v>20</v>
      </c>
      <c r="J4654" s="6">
        <v>2026.0</v>
      </c>
      <c r="L4654" s="6">
        <v>4.0</v>
      </c>
      <c r="M4654" s="8">
        <f t="shared" si="5"/>
        <v>0.2</v>
      </c>
      <c r="P4654" s="9"/>
    </row>
    <row r="4655">
      <c r="A4655" s="6" t="s">
        <v>9904</v>
      </c>
      <c r="B4655" s="6" t="s">
        <v>194</v>
      </c>
      <c r="C4655" s="6" t="s">
        <v>23</v>
      </c>
      <c r="D4655" s="6" t="s">
        <v>9905</v>
      </c>
      <c r="E4655" s="6" t="s">
        <v>293</v>
      </c>
      <c r="F4655" s="6" t="s">
        <v>18</v>
      </c>
      <c r="G4655" s="7">
        <v>0.05</v>
      </c>
      <c r="H4655" s="6" t="s">
        <v>645</v>
      </c>
      <c r="I4655" s="6" t="s">
        <v>20</v>
      </c>
      <c r="J4655" s="6">
        <v>2024.0</v>
      </c>
      <c r="L4655" s="6">
        <v>2.0</v>
      </c>
      <c r="M4655" s="8">
        <f t="shared" si="5"/>
        <v>0.1</v>
      </c>
      <c r="P4655" s="9"/>
    </row>
    <row r="4656">
      <c r="A4656" s="6" t="s">
        <v>9906</v>
      </c>
      <c r="B4656" s="6" t="s">
        <v>9907</v>
      </c>
      <c r="C4656" s="6" t="s">
        <v>23</v>
      </c>
      <c r="D4656" s="6" t="s">
        <v>9908</v>
      </c>
      <c r="E4656" s="6" t="s">
        <v>2312</v>
      </c>
      <c r="F4656" s="6" t="s">
        <v>103</v>
      </c>
      <c r="G4656" s="7">
        <v>0.23</v>
      </c>
      <c r="H4656" s="6" t="s">
        <v>9909</v>
      </c>
      <c r="I4656" s="6" t="s">
        <v>55</v>
      </c>
      <c r="J4656" s="6">
        <v>2014.0</v>
      </c>
      <c r="K4656" s="10">
        <v>46086.0</v>
      </c>
      <c r="L4656" s="6">
        <v>2.0</v>
      </c>
      <c r="M4656" s="8">
        <f t="shared" si="5"/>
        <v>0.46</v>
      </c>
      <c r="P4656" s="9"/>
    </row>
    <row r="4657">
      <c r="A4657" s="6" t="s">
        <v>9906</v>
      </c>
      <c r="B4657" s="6" t="s">
        <v>9907</v>
      </c>
      <c r="C4657" s="6" t="s">
        <v>23</v>
      </c>
      <c r="D4657" s="6" t="s">
        <v>9908</v>
      </c>
      <c r="E4657" s="6" t="s">
        <v>2312</v>
      </c>
      <c r="F4657" s="6" t="s">
        <v>103</v>
      </c>
      <c r="G4657" s="7">
        <v>0.08</v>
      </c>
      <c r="H4657" s="6" t="s">
        <v>2701</v>
      </c>
      <c r="I4657" s="6" t="s">
        <v>20</v>
      </c>
      <c r="J4657" s="6">
        <v>2003.0</v>
      </c>
      <c r="K4657" s="10">
        <v>46086.0</v>
      </c>
      <c r="L4657" s="6">
        <v>1.0</v>
      </c>
      <c r="M4657" s="8">
        <f t="shared" si="5"/>
        <v>0.08</v>
      </c>
      <c r="P4657" s="9"/>
    </row>
    <row r="4658">
      <c r="A4658" s="6" t="s">
        <v>9910</v>
      </c>
      <c r="B4658" s="6" t="s">
        <v>9911</v>
      </c>
      <c r="C4658" s="6" t="s">
        <v>48</v>
      </c>
      <c r="D4658" s="6" t="s">
        <v>9912</v>
      </c>
      <c r="E4658" s="6" t="s">
        <v>64</v>
      </c>
      <c r="F4658" s="6" t="s">
        <v>65</v>
      </c>
      <c r="G4658" s="7">
        <v>0.15</v>
      </c>
      <c r="H4658" s="6" t="s">
        <v>45</v>
      </c>
      <c r="I4658" s="6" t="s">
        <v>20</v>
      </c>
      <c r="J4658" s="6">
        <v>2025.0</v>
      </c>
      <c r="K4658" s="10">
        <v>46056.0</v>
      </c>
      <c r="L4658" s="6">
        <v>1.0</v>
      </c>
      <c r="M4658" s="8">
        <f t="shared" si="5"/>
        <v>0.15</v>
      </c>
      <c r="P4658" s="9"/>
    </row>
    <row r="4659">
      <c r="A4659" s="6" t="s">
        <v>9913</v>
      </c>
      <c r="B4659" s="6" t="s">
        <v>9914</v>
      </c>
      <c r="C4659" s="6" t="s">
        <v>41</v>
      </c>
      <c r="D4659" s="6" t="s">
        <v>9915</v>
      </c>
      <c r="E4659" s="6" t="s">
        <v>25</v>
      </c>
      <c r="F4659" s="6" t="s">
        <v>18</v>
      </c>
      <c r="G4659" s="7">
        <v>1.2</v>
      </c>
      <c r="H4659" s="6" t="s">
        <v>45</v>
      </c>
      <c r="I4659" s="6" t="s">
        <v>20</v>
      </c>
      <c r="J4659" s="6">
        <v>2025.0</v>
      </c>
      <c r="K4659" s="10">
        <v>46024.0</v>
      </c>
      <c r="L4659" s="6">
        <v>1.0</v>
      </c>
      <c r="M4659" s="8">
        <f t="shared" si="5"/>
        <v>1.2</v>
      </c>
      <c r="P4659" s="9"/>
    </row>
    <row r="4660">
      <c r="A4660" s="6" t="s">
        <v>9916</v>
      </c>
      <c r="B4660" s="6" t="s">
        <v>9917</v>
      </c>
      <c r="C4660" s="6" t="s">
        <v>41</v>
      </c>
      <c r="D4660" s="6" t="s">
        <v>9918</v>
      </c>
      <c r="E4660" s="6" t="s">
        <v>1454</v>
      </c>
      <c r="F4660" s="6" t="s">
        <v>426</v>
      </c>
      <c r="G4660" s="7">
        <v>0.15</v>
      </c>
      <c r="H4660" s="6" t="s">
        <v>626</v>
      </c>
      <c r="I4660" s="6" t="s">
        <v>20</v>
      </c>
      <c r="J4660" s="6">
        <v>2013.0</v>
      </c>
      <c r="K4660" s="10">
        <v>46055.0</v>
      </c>
      <c r="L4660" s="6">
        <v>2.0</v>
      </c>
      <c r="M4660" s="8">
        <f t="shared" si="5"/>
        <v>0.3</v>
      </c>
      <c r="P4660" s="9"/>
    </row>
    <row r="4661">
      <c r="A4661" s="6" t="s">
        <v>9919</v>
      </c>
      <c r="B4661" s="6" t="s">
        <v>9920</v>
      </c>
      <c r="C4661" s="6" t="s">
        <v>48</v>
      </c>
      <c r="E4661" s="6" t="s">
        <v>112</v>
      </c>
      <c r="F4661" s="6" t="s">
        <v>65</v>
      </c>
      <c r="G4661" s="7">
        <v>0.4</v>
      </c>
      <c r="H4661" s="6" t="s">
        <v>324</v>
      </c>
      <c r="I4661" s="6" t="s">
        <v>55</v>
      </c>
      <c r="J4661" s="6">
        <v>2025.0</v>
      </c>
      <c r="K4661" s="10">
        <v>46026.0</v>
      </c>
      <c r="L4661" s="6">
        <v>1.0</v>
      </c>
      <c r="M4661" s="8">
        <f t="shared" si="5"/>
        <v>0.4</v>
      </c>
      <c r="P4661" s="9"/>
    </row>
    <row r="4662">
      <c r="A4662" s="6" t="s">
        <v>9921</v>
      </c>
      <c r="B4662" s="6" t="s">
        <v>9922</v>
      </c>
      <c r="C4662" s="6" t="s">
        <v>15</v>
      </c>
      <c r="D4662" s="6" t="s">
        <v>9923</v>
      </c>
      <c r="E4662" s="6" t="s">
        <v>9924</v>
      </c>
      <c r="F4662" s="6" t="s">
        <v>858</v>
      </c>
      <c r="G4662" s="7">
        <v>0.89</v>
      </c>
      <c r="H4662" s="6" t="s">
        <v>38</v>
      </c>
      <c r="I4662" s="6" t="s">
        <v>55</v>
      </c>
      <c r="J4662" s="6">
        <v>2026.0</v>
      </c>
      <c r="K4662" s="10">
        <v>46056.0</v>
      </c>
      <c r="L4662" s="6">
        <v>1.0</v>
      </c>
      <c r="M4662" s="8">
        <f t="shared" si="5"/>
        <v>0.89</v>
      </c>
      <c r="P4662" s="9"/>
    </row>
    <row r="4663">
      <c r="A4663" s="6" t="s">
        <v>9925</v>
      </c>
      <c r="B4663" s="6" t="s">
        <v>4491</v>
      </c>
      <c r="C4663" s="6" t="s">
        <v>15</v>
      </c>
      <c r="D4663" s="6" t="s">
        <v>9926</v>
      </c>
      <c r="E4663" s="6" t="s">
        <v>5206</v>
      </c>
      <c r="F4663" s="6" t="s">
        <v>3467</v>
      </c>
      <c r="G4663" s="7">
        <v>0.2</v>
      </c>
      <c r="H4663" s="6" t="s">
        <v>19</v>
      </c>
      <c r="I4663" s="6" t="s">
        <v>20</v>
      </c>
      <c r="J4663" s="6">
        <v>2023.0</v>
      </c>
      <c r="K4663" s="10">
        <v>46084.0</v>
      </c>
      <c r="L4663" s="6">
        <v>4.0</v>
      </c>
      <c r="M4663" s="8">
        <f t="shared" si="5"/>
        <v>0.8</v>
      </c>
      <c r="P4663" s="9"/>
    </row>
    <row r="4664">
      <c r="A4664" s="6" t="s">
        <v>9927</v>
      </c>
      <c r="B4664" s="6" t="s">
        <v>9928</v>
      </c>
      <c r="C4664" s="6" t="s">
        <v>1956</v>
      </c>
      <c r="D4664" s="6" t="s">
        <v>9929</v>
      </c>
      <c r="E4664" s="6" t="s">
        <v>451</v>
      </c>
      <c r="F4664" s="6" t="s">
        <v>37</v>
      </c>
      <c r="G4664" s="7">
        <v>84.9</v>
      </c>
      <c r="H4664" s="6" t="s">
        <v>621</v>
      </c>
      <c r="I4664" s="6" t="s">
        <v>20</v>
      </c>
      <c r="J4664" s="6">
        <v>2015.0</v>
      </c>
      <c r="K4664" s="10">
        <v>46305.0</v>
      </c>
      <c r="L4664" s="6">
        <v>1.0</v>
      </c>
      <c r="M4664" s="8">
        <f t="shared" si="5"/>
        <v>84.9</v>
      </c>
      <c r="N4664" s="6" t="s">
        <v>172</v>
      </c>
      <c r="P4664" s="9"/>
    </row>
    <row r="4665">
      <c r="A4665" s="6" t="s">
        <v>9930</v>
      </c>
      <c r="B4665" s="6" t="s">
        <v>3118</v>
      </c>
      <c r="C4665" s="6" t="s">
        <v>23</v>
      </c>
      <c r="D4665" s="6" t="s">
        <v>9931</v>
      </c>
      <c r="E4665" s="6" t="s">
        <v>458</v>
      </c>
      <c r="F4665" s="6" t="s">
        <v>37</v>
      </c>
      <c r="G4665" s="7">
        <v>0.9</v>
      </c>
      <c r="H4665" s="6" t="s">
        <v>430</v>
      </c>
      <c r="I4665" s="6" t="s">
        <v>20</v>
      </c>
      <c r="J4665" s="6">
        <v>2018.0</v>
      </c>
      <c r="K4665" s="10">
        <v>46242.0</v>
      </c>
      <c r="L4665" s="6">
        <v>1.0</v>
      </c>
      <c r="M4665" s="8">
        <f t="shared" si="5"/>
        <v>0.9</v>
      </c>
      <c r="P4665" s="9"/>
    </row>
    <row r="4666">
      <c r="A4666" s="6" t="s">
        <v>9932</v>
      </c>
      <c r="B4666" s="6" t="s">
        <v>9933</v>
      </c>
      <c r="C4666" s="6" t="s">
        <v>212</v>
      </c>
      <c r="D4666" s="6" t="s">
        <v>9934</v>
      </c>
      <c r="E4666" s="6">
        <v>5.0</v>
      </c>
      <c r="F4666" s="6" t="s">
        <v>37</v>
      </c>
      <c r="G4666" s="7">
        <v>4.34</v>
      </c>
      <c r="H4666" s="6" t="s">
        <v>209</v>
      </c>
      <c r="I4666" s="6" t="s">
        <v>20</v>
      </c>
      <c r="J4666" s="6">
        <v>2025.0</v>
      </c>
      <c r="K4666" s="10">
        <v>46116.0</v>
      </c>
      <c r="L4666" s="6">
        <v>1.0</v>
      </c>
      <c r="M4666" s="8">
        <f t="shared" si="5"/>
        <v>4.34</v>
      </c>
      <c r="P4666" s="9"/>
    </row>
    <row r="4667">
      <c r="A4667" s="6" t="s">
        <v>9935</v>
      </c>
      <c r="B4667" s="6" t="s">
        <v>9936</v>
      </c>
      <c r="C4667" s="6" t="s">
        <v>15</v>
      </c>
      <c r="D4667" s="6" t="s">
        <v>9937</v>
      </c>
      <c r="E4667" s="6" t="s">
        <v>9938</v>
      </c>
      <c r="F4667" s="6" t="s">
        <v>9939</v>
      </c>
      <c r="G4667" s="7">
        <v>0.26</v>
      </c>
      <c r="H4667" s="6" t="s">
        <v>209</v>
      </c>
      <c r="I4667" s="6" t="s">
        <v>20</v>
      </c>
      <c r="J4667" s="6">
        <v>2025.0</v>
      </c>
      <c r="K4667" s="10">
        <v>46146.0</v>
      </c>
      <c r="L4667" s="6">
        <v>2.0</v>
      </c>
      <c r="M4667" s="8">
        <f t="shared" si="5"/>
        <v>0.52</v>
      </c>
      <c r="P4667" s="9"/>
    </row>
    <row r="4668">
      <c r="A4668" s="6" t="s">
        <v>9940</v>
      </c>
      <c r="B4668" s="6" t="s">
        <v>22</v>
      </c>
      <c r="C4668" s="6" t="s">
        <v>23</v>
      </c>
      <c r="D4668" s="6" t="s">
        <v>9941</v>
      </c>
      <c r="E4668" s="6" t="s">
        <v>243</v>
      </c>
      <c r="F4668" s="6" t="s">
        <v>37</v>
      </c>
      <c r="G4668" s="7">
        <v>0.12</v>
      </c>
      <c r="H4668" s="6" t="s">
        <v>31</v>
      </c>
      <c r="I4668" s="6" t="s">
        <v>20</v>
      </c>
      <c r="J4668" s="6">
        <v>2026.0</v>
      </c>
      <c r="K4668" s="10">
        <v>46083.0</v>
      </c>
      <c r="L4668" s="6">
        <v>1.0</v>
      </c>
      <c r="M4668" s="8">
        <f t="shared" si="5"/>
        <v>0.12</v>
      </c>
      <c r="P4668" s="9"/>
    </row>
    <row r="4669">
      <c r="A4669" s="6" t="s">
        <v>9942</v>
      </c>
      <c r="B4669" s="6" t="s">
        <v>9943</v>
      </c>
      <c r="C4669" s="6" t="s">
        <v>15</v>
      </c>
      <c r="D4669" s="6" t="s">
        <v>9944</v>
      </c>
      <c r="E4669" s="6" t="s">
        <v>852</v>
      </c>
      <c r="F4669" s="6" t="s">
        <v>18</v>
      </c>
      <c r="G4669" s="7">
        <v>0.05</v>
      </c>
      <c r="H4669" s="6" t="s">
        <v>209</v>
      </c>
      <c r="I4669" s="6" t="s">
        <v>20</v>
      </c>
      <c r="J4669" s="6">
        <v>2025.0</v>
      </c>
      <c r="K4669" s="10">
        <v>46024.0</v>
      </c>
      <c r="L4669" s="6">
        <v>2.0</v>
      </c>
      <c r="M4669" s="8">
        <f t="shared" si="5"/>
        <v>0.1</v>
      </c>
      <c r="P4669" s="9"/>
    </row>
    <row r="4670">
      <c r="A4670" s="6" t="s">
        <v>9945</v>
      </c>
      <c r="B4670" s="6" t="s">
        <v>9946</v>
      </c>
      <c r="C4670" s="6" t="s">
        <v>23</v>
      </c>
      <c r="D4670" s="6" t="s">
        <v>1402</v>
      </c>
      <c r="E4670" s="6" t="s">
        <v>149</v>
      </c>
      <c r="F4670" s="6" t="s">
        <v>18</v>
      </c>
      <c r="G4670" s="7">
        <v>0.03</v>
      </c>
      <c r="H4670" s="6" t="s">
        <v>336</v>
      </c>
      <c r="I4670" s="6" t="s">
        <v>20</v>
      </c>
      <c r="J4670" s="6">
        <v>2016.0</v>
      </c>
      <c r="K4670" s="10">
        <v>46024.0</v>
      </c>
      <c r="L4670" s="6">
        <v>2.0</v>
      </c>
      <c r="M4670" s="8">
        <f t="shared" si="5"/>
        <v>0.06</v>
      </c>
      <c r="P4670" s="9"/>
    </row>
    <row r="4671">
      <c r="A4671" s="6" t="s">
        <v>9947</v>
      </c>
      <c r="B4671" s="6" t="s">
        <v>366</v>
      </c>
      <c r="C4671" s="6" t="s">
        <v>23</v>
      </c>
      <c r="D4671" s="6" t="s">
        <v>9948</v>
      </c>
      <c r="E4671" s="6" t="s">
        <v>248</v>
      </c>
      <c r="F4671" s="6" t="s">
        <v>18</v>
      </c>
      <c r="G4671" s="7">
        <v>0.49</v>
      </c>
      <c r="H4671" s="6" t="s">
        <v>645</v>
      </c>
      <c r="I4671" s="6" t="s">
        <v>20</v>
      </c>
      <c r="J4671" s="6">
        <v>2024.0</v>
      </c>
      <c r="L4671" s="6">
        <v>3.0</v>
      </c>
      <c r="M4671" s="8">
        <f t="shared" si="5"/>
        <v>1.47</v>
      </c>
      <c r="P4671" s="9"/>
    </row>
    <row r="4672">
      <c r="A4672" s="6" t="s">
        <v>9949</v>
      </c>
      <c r="B4672" s="6" t="s">
        <v>194</v>
      </c>
      <c r="C4672" s="6" t="s">
        <v>571</v>
      </c>
      <c r="D4672" s="6" t="s">
        <v>9950</v>
      </c>
      <c r="E4672" s="6" t="s">
        <v>102</v>
      </c>
      <c r="F4672" s="6" t="s">
        <v>103</v>
      </c>
      <c r="G4672" s="7">
        <v>0.05</v>
      </c>
      <c r="H4672" s="6" t="s">
        <v>641</v>
      </c>
      <c r="I4672" s="6" t="s">
        <v>20</v>
      </c>
      <c r="J4672" s="6">
        <v>2026.0</v>
      </c>
      <c r="L4672" s="6">
        <v>1.0</v>
      </c>
      <c r="M4672" s="8">
        <f t="shared" si="5"/>
        <v>0.05</v>
      </c>
      <c r="P4672" s="9"/>
    </row>
    <row r="4673">
      <c r="A4673" s="6" t="s">
        <v>9951</v>
      </c>
      <c r="B4673" s="6" t="s">
        <v>424</v>
      </c>
      <c r="C4673" s="6" t="s">
        <v>23</v>
      </c>
      <c r="D4673" s="6" t="s">
        <v>9952</v>
      </c>
      <c r="F4673" s="6" t="s">
        <v>37</v>
      </c>
      <c r="G4673" s="7">
        <v>0.1</v>
      </c>
      <c r="H4673" s="6" t="s">
        <v>418</v>
      </c>
      <c r="I4673" s="6" t="s">
        <v>20</v>
      </c>
      <c r="J4673" s="6">
        <v>2022.0</v>
      </c>
      <c r="L4673" s="6">
        <v>1.0</v>
      </c>
      <c r="M4673" s="8">
        <f t="shared" si="5"/>
        <v>0.1</v>
      </c>
      <c r="P4673" s="9"/>
    </row>
    <row r="4674">
      <c r="A4674" s="6" t="s">
        <v>9953</v>
      </c>
      <c r="B4674" s="6" t="s">
        <v>194</v>
      </c>
      <c r="C4674" s="6" t="s">
        <v>23</v>
      </c>
      <c r="D4674" s="6" t="s">
        <v>9954</v>
      </c>
      <c r="E4674" s="6" t="s">
        <v>30</v>
      </c>
      <c r="F4674" s="6" t="s">
        <v>18</v>
      </c>
      <c r="G4674" s="7">
        <v>0.05</v>
      </c>
      <c r="H4674" s="6" t="s">
        <v>113</v>
      </c>
      <c r="I4674" s="6" t="s">
        <v>20</v>
      </c>
      <c r="J4674" s="6">
        <v>2024.0</v>
      </c>
      <c r="L4674" s="6">
        <v>3.0</v>
      </c>
      <c r="M4674" s="8">
        <f t="shared" si="5"/>
        <v>0.15</v>
      </c>
      <c r="P4674" s="9"/>
    </row>
    <row r="4675">
      <c r="A4675" s="6" t="s">
        <v>9955</v>
      </c>
      <c r="B4675" s="6" t="s">
        <v>4619</v>
      </c>
      <c r="C4675" s="6" t="s">
        <v>48</v>
      </c>
      <c r="D4675" s="6" t="s">
        <v>9956</v>
      </c>
      <c r="E4675" s="6" t="s">
        <v>9445</v>
      </c>
      <c r="F4675" s="6" t="s">
        <v>103</v>
      </c>
      <c r="G4675" s="7">
        <v>0.3</v>
      </c>
      <c r="H4675" s="6" t="s">
        <v>109</v>
      </c>
      <c r="I4675" s="6" t="s">
        <v>20</v>
      </c>
      <c r="J4675" s="6">
        <v>1995.0</v>
      </c>
      <c r="K4675" s="10">
        <v>46082.0</v>
      </c>
      <c r="L4675" s="6">
        <v>1.0</v>
      </c>
      <c r="M4675" s="8">
        <f t="shared" si="5"/>
        <v>0.3</v>
      </c>
      <c r="P4675" s="9"/>
    </row>
    <row r="4676">
      <c r="A4676" s="6" t="s">
        <v>9957</v>
      </c>
      <c r="B4676" s="6" t="s">
        <v>182</v>
      </c>
      <c r="C4676" s="6" t="s">
        <v>48</v>
      </c>
      <c r="D4676" s="6" t="s">
        <v>9958</v>
      </c>
      <c r="E4676" s="6" t="s">
        <v>79</v>
      </c>
      <c r="F4676" s="6" t="s">
        <v>51</v>
      </c>
      <c r="G4676" s="7">
        <v>0.04</v>
      </c>
      <c r="H4676" s="6" t="s">
        <v>265</v>
      </c>
      <c r="I4676" s="6" t="s">
        <v>20</v>
      </c>
      <c r="J4676" s="6">
        <v>2017.0</v>
      </c>
      <c r="L4676" s="6">
        <v>1.0</v>
      </c>
      <c r="M4676" s="8">
        <f t="shared" si="5"/>
        <v>0.04</v>
      </c>
      <c r="P4676" s="9"/>
    </row>
    <row r="4677">
      <c r="A4677" s="6" t="s">
        <v>9959</v>
      </c>
      <c r="B4677" s="6" t="s">
        <v>6093</v>
      </c>
      <c r="C4677" s="6" t="s">
        <v>23</v>
      </c>
      <c r="E4677" s="6" t="s">
        <v>235</v>
      </c>
      <c r="F4677" s="6" t="s">
        <v>103</v>
      </c>
      <c r="G4677" s="7">
        <v>0.06</v>
      </c>
      <c r="H4677" s="6" t="s">
        <v>154</v>
      </c>
      <c r="I4677" s="6" t="s">
        <v>20</v>
      </c>
      <c r="J4677" s="6">
        <v>2013.0</v>
      </c>
      <c r="K4677" s="10">
        <v>46083.0</v>
      </c>
      <c r="L4677" s="6">
        <v>2.0</v>
      </c>
      <c r="M4677" s="8">
        <f t="shared" si="5"/>
        <v>0.12</v>
      </c>
      <c r="P4677" s="9"/>
    </row>
    <row r="4678">
      <c r="A4678" s="6" t="s">
        <v>9960</v>
      </c>
      <c r="B4678" s="6" t="s">
        <v>2898</v>
      </c>
      <c r="C4678" s="6" t="s">
        <v>23</v>
      </c>
      <c r="D4678" s="6" t="s">
        <v>9961</v>
      </c>
      <c r="E4678" s="6" t="s">
        <v>153</v>
      </c>
      <c r="F4678" s="6" t="s">
        <v>103</v>
      </c>
      <c r="G4678" s="7">
        <v>0.06</v>
      </c>
      <c r="H4678" s="6" t="s">
        <v>184</v>
      </c>
      <c r="I4678" s="6" t="s">
        <v>20</v>
      </c>
      <c r="J4678" s="6">
        <v>2015.0</v>
      </c>
      <c r="K4678" s="10">
        <v>46056.0</v>
      </c>
      <c r="L4678" s="6">
        <v>4.0</v>
      </c>
      <c r="M4678" s="8">
        <f t="shared" si="5"/>
        <v>0.24</v>
      </c>
      <c r="P4678" s="9"/>
    </row>
    <row r="4679">
      <c r="A4679" s="6" t="s">
        <v>9960</v>
      </c>
      <c r="B4679" s="6" t="s">
        <v>2898</v>
      </c>
      <c r="C4679" s="6" t="s">
        <v>23</v>
      </c>
      <c r="D4679" s="6" t="s">
        <v>9961</v>
      </c>
      <c r="E4679" s="6" t="s">
        <v>153</v>
      </c>
      <c r="F4679" s="6" t="s">
        <v>103</v>
      </c>
      <c r="G4679" s="7">
        <v>0.06</v>
      </c>
      <c r="H4679" s="6" t="s">
        <v>184</v>
      </c>
      <c r="I4679" s="6" t="s">
        <v>20</v>
      </c>
      <c r="J4679" s="6">
        <v>2015.0</v>
      </c>
      <c r="K4679" s="10">
        <v>46056.0</v>
      </c>
      <c r="L4679" s="6">
        <v>3.0</v>
      </c>
      <c r="M4679" s="8">
        <f t="shared" si="5"/>
        <v>0.18</v>
      </c>
      <c r="P4679" s="9"/>
    </row>
    <row r="4680">
      <c r="A4680" s="6" t="s">
        <v>9962</v>
      </c>
      <c r="B4680" s="6" t="s">
        <v>9963</v>
      </c>
      <c r="C4680" s="6" t="s">
        <v>34</v>
      </c>
      <c r="D4680" s="6" t="s">
        <v>9964</v>
      </c>
      <c r="E4680" s="6" t="s">
        <v>2621</v>
      </c>
      <c r="F4680" s="6" t="s">
        <v>103</v>
      </c>
      <c r="G4680" s="7">
        <v>0.05</v>
      </c>
      <c r="H4680" s="6" t="s">
        <v>209</v>
      </c>
      <c r="I4680" s="6" t="s">
        <v>20</v>
      </c>
      <c r="J4680" s="6">
        <v>2025.0</v>
      </c>
      <c r="K4680" s="10">
        <v>46055.0</v>
      </c>
      <c r="L4680" s="6">
        <v>16.0</v>
      </c>
      <c r="M4680" s="8">
        <f t="shared" si="5"/>
        <v>0.8</v>
      </c>
      <c r="P4680" s="9"/>
    </row>
    <row r="4681">
      <c r="A4681" s="6" t="s">
        <v>9965</v>
      </c>
      <c r="B4681" s="6" t="s">
        <v>1192</v>
      </c>
      <c r="C4681" s="6" t="s">
        <v>23</v>
      </c>
      <c r="D4681" s="6" t="s">
        <v>9966</v>
      </c>
      <c r="E4681" s="6" t="s">
        <v>153</v>
      </c>
      <c r="F4681" s="6" t="s">
        <v>103</v>
      </c>
      <c r="G4681" s="7">
        <v>0.03</v>
      </c>
      <c r="H4681" s="6" t="s">
        <v>185</v>
      </c>
      <c r="I4681" s="6" t="s">
        <v>20</v>
      </c>
      <c r="J4681" s="6">
        <v>2019.0</v>
      </c>
      <c r="K4681" s="10">
        <v>46084.0</v>
      </c>
      <c r="L4681" s="6">
        <v>1.0</v>
      </c>
      <c r="M4681" s="8">
        <f t="shared" si="5"/>
        <v>0.03</v>
      </c>
      <c r="P4681" s="9"/>
    </row>
    <row r="4682">
      <c r="A4682" s="6" t="s">
        <v>9967</v>
      </c>
      <c r="B4682" s="6" t="s">
        <v>3660</v>
      </c>
      <c r="C4682" s="6" t="s">
        <v>48</v>
      </c>
      <c r="D4682" s="6" t="s">
        <v>9968</v>
      </c>
      <c r="E4682" s="6" t="s">
        <v>223</v>
      </c>
      <c r="F4682" s="6" t="s">
        <v>159</v>
      </c>
      <c r="G4682" s="7">
        <v>0.06</v>
      </c>
      <c r="H4682" s="6" t="s">
        <v>184</v>
      </c>
      <c r="I4682" s="6" t="s">
        <v>20</v>
      </c>
      <c r="J4682" s="6">
        <v>2015.0</v>
      </c>
      <c r="K4682" s="10">
        <v>46055.0</v>
      </c>
      <c r="L4682" s="6">
        <v>1.0</v>
      </c>
      <c r="M4682" s="8">
        <f t="shared" si="5"/>
        <v>0.06</v>
      </c>
      <c r="P4682" s="9"/>
    </row>
    <row r="4683">
      <c r="A4683" s="6" t="s">
        <v>9969</v>
      </c>
      <c r="B4683" s="6" t="s">
        <v>62</v>
      </c>
      <c r="C4683" s="6" t="s">
        <v>23</v>
      </c>
      <c r="D4683" s="6" t="s">
        <v>9970</v>
      </c>
      <c r="E4683" s="6" t="s">
        <v>235</v>
      </c>
      <c r="F4683" s="6" t="s">
        <v>103</v>
      </c>
      <c r="G4683" s="7">
        <v>0.04</v>
      </c>
      <c r="H4683" s="6" t="s">
        <v>185</v>
      </c>
      <c r="I4683" s="6" t="s">
        <v>20</v>
      </c>
      <c r="J4683" s="6">
        <v>2019.0</v>
      </c>
      <c r="L4683" s="6">
        <v>1.0</v>
      </c>
      <c r="M4683" s="8">
        <f t="shared" si="5"/>
        <v>0.04</v>
      </c>
      <c r="P4683" s="9"/>
    </row>
    <row r="4684">
      <c r="A4684" s="6" t="s">
        <v>9971</v>
      </c>
      <c r="B4684" s="6" t="s">
        <v>194</v>
      </c>
      <c r="C4684" s="6" t="s">
        <v>23</v>
      </c>
      <c r="D4684" s="6" t="s">
        <v>9972</v>
      </c>
      <c r="E4684" s="6" t="s">
        <v>238</v>
      </c>
      <c r="F4684" s="6" t="s">
        <v>159</v>
      </c>
      <c r="G4684" s="7">
        <v>0.08</v>
      </c>
      <c r="H4684" s="6" t="s">
        <v>289</v>
      </c>
      <c r="I4684" s="6" t="s">
        <v>20</v>
      </c>
      <c r="J4684" s="6">
        <v>1996.0</v>
      </c>
      <c r="L4684" s="6">
        <v>1.0</v>
      </c>
      <c r="M4684" s="8">
        <f t="shared" si="5"/>
        <v>0.08</v>
      </c>
      <c r="P4684" s="9"/>
    </row>
    <row r="4685">
      <c r="A4685" s="6" t="s">
        <v>9973</v>
      </c>
      <c r="B4685" s="6" t="s">
        <v>6694</v>
      </c>
      <c r="C4685" s="6" t="s">
        <v>23</v>
      </c>
      <c r="D4685" s="6" t="s">
        <v>9974</v>
      </c>
      <c r="E4685" s="6" t="s">
        <v>235</v>
      </c>
      <c r="F4685" s="6" t="s">
        <v>103</v>
      </c>
      <c r="G4685" s="7">
        <v>0.03</v>
      </c>
      <c r="H4685" s="6" t="s">
        <v>526</v>
      </c>
      <c r="I4685" s="6" t="s">
        <v>20</v>
      </c>
      <c r="J4685" s="6">
        <v>2020.0</v>
      </c>
      <c r="K4685" s="10">
        <v>46084.0</v>
      </c>
      <c r="L4685" s="6">
        <v>3.0</v>
      </c>
      <c r="M4685" s="8">
        <f t="shared" si="5"/>
        <v>0.09</v>
      </c>
      <c r="P4685" s="9"/>
    </row>
    <row r="4686">
      <c r="A4686" s="6" t="s">
        <v>9975</v>
      </c>
      <c r="B4686" s="6" t="s">
        <v>9976</v>
      </c>
      <c r="C4686" s="6" t="s">
        <v>48</v>
      </c>
      <c r="D4686" s="6" t="s">
        <v>9977</v>
      </c>
      <c r="E4686" s="6" t="s">
        <v>1844</v>
      </c>
      <c r="F4686" s="6" t="s">
        <v>98</v>
      </c>
      <c r="G4686" s="7">
        <v>0.05</v>
      </c>
      <c r="H4686" s="6" t="s">
        <v>359</v>
      </c>
      <c r="I4686" s="6" t="s">
        <v>20</v>
      </c>
      <c r="J4686" s="6">
        <v>2014.0</v>
      </c>
      <c r="K4686" s="10">
        <v>46055.0</v>
      </c>
      <c r="L4686" s="6">
        <v>1.0</v>
      </c>
      <c r="M4686" s="8">
        <f t="shared" si="5"/>
        <v>0.05</v>
      </c>
      <c r="P4686" s="9"/>
    </row>
    <row r="4687">
      <c r="A4687" s="6" t="s">
        <v>9978</v>
      </c>
      <c r="B4687" s="6" t="s">
        <v>1309</v>
      </c>
      <c r="C4687" s="6" t="s">
        <v>23</v>
      </c>
      <c r="D4687" s="6" t="s">
        <v>9979</v>
      </c>
      <c r="E4687" s="6" t="s">
        <v>112</v>
      </c>
      <c r="F4687" s="6" t="s">
        <v>65</v>
      </c>
      <c r="G4687" s="7">
        <v>0.06</v>
      </c>
      <c r="H4687" s="6" t="s">
        <v>526</v>
      </c>
      <c r="I4687" s="6" t="s">
        <v>20</v>
      </c>
      <c r="J4687" s="6">
        <v>2020.0</v>
      </c>
      <c r="K4687" s="10">
        <v>46025.0</v>
      </c>
      <c r="L4687" s="6">
        <v>2.0</v>
      </c>
      <c r="M4687" s="8">
        <f t="shared" si="5"/>
        <v>0.12</v>
      </c>
      <c r="P4687" s="9"/>
    </row>
    <row r="4688">
      <c r="A4688" s="6" t="s">
        <v>9980</v>
      </c>
      <c r="B4688" s="6" t="s">
        <v>366</v>
      </c>
      <c r="C4688" s="6" t="s">
        <v>23</v>
      </c>
      <c r="D4688" s="6" t="s">
        <v>9981</v>
      </c>
      <c r="E4688" s="6" t="s">
        <v>118</v>
      </c>
      <c r="F4688" s="6" t="s">
        <v>51</v>
      </c>
      <c r="G4688" s="7">
        <v>0.1</v>
      </c>
      <c r="H4688" s="6" t="s">
        <v>192</v>
      </c>
      <c r="I4688" s="6" t="s">
        <v>20</v>
      </c>
      <c r="J4688" s="6">
        <v>2026.0</v>
      </c>
      <c r="L4688" s="6">
        <v>1.0</v>
      </c>
      <c r="M4688" s="8">
        <f t="shared" si="5"/>
        <v>0.1</v>
      </c>
      <c r="P4688" s="9"/>
    </row>
    <row r="4689">
      <c r="A4689" s="6" t="s">
        <v>9980</v>
      </c>
      <c r="B4689" s="6" t="s">
        <v>366</v>
      </c>
      <c r="C4689" s="6" t="s">
        <v>23</v>
      </c>
      <c r="D4689" s="6" t="s">
        <v>9981</v>
      </c>
      <c r="E4689" s="6" t="s">
        <v>118</v>
      </c>
      <c r="F4689" s="6" t="s">
        <v>51</v>
      </c>
      <c r="G4689" s="7">
        <v>0.23</v>
      </c>
      <c r="H4689" s="6" t="s">
        <v>192</v>
      </c>
      <c r="I4689" s="6" t="s">
        <v>55</v>
      </c>
      <c r="J4689" s="6">
        <v>2026.0</v>
      </c>
      <c r="L4689" s="6">
        <v>1.0</v>
      </c>
      <c r="M4689" s="8">
        <f t="shared" si="5"/>
        <v>0.23</v>
      </c>
      <c r="P4689" s="9"/>
    </row>
    <row r="4690">
      <c r="A4690" s="6" t="s">
        <v>9980</v>
      </c>
      <c r="B4690" s="6" t="s">
        <v>366</v>
      </c>
      <c r="C4690" s="6" t="s">
        <v>23</v>
      </c>
      <c r="D4690" s="6" t="s">
        <v>9981</v>
      </c>
      <c r="E4690" s="6" t="s">
        <v>118</v>
      </c>
      <c r="F4690" s="6" t="s">
        <v>51</v>
      </c>
      <c r="G4690" s="7">
        <v>0.1</v>
      </c>
      <c r="H4690" s="6" t="s">
        <v>192</v>
      </c>
      <c r="I4690" s="6" t="s">
        <v>20</v>
      </c>
      <c r="J4690" s="6">
        <v>2026.0</v>
      </c>
      <c r="L4690" s="6">
        <v>2.0</v>
      </c>
      <c r="M4690" s="8">
        <f t="shared" si="5"/>
        <v>0.2</v>
      </c>
      <c r="P4690" s="9"/>
    </row>
    <row r="4691">
      <c r="A4691" s="6" t="s">
        <v>9982</v>
      </c>
      <c r="B4691" s="6" t="s">
        <v>9983</v>
      </c>
      <c r="C4691" s="6" t="s">
        <v>1956</v>
      </c>
      <c r="D4691" s="6" t="s">
        <v>9984</v>
      </c>
      <c r="E4691" s="6" t="s">
        <v>345</v>
      </c>
      <c r="F4691" s="6" t="s">
        <v>18</v>
      </c>
      <c r="G4691" s="7">
        <v>0.5</v>
      </c>
      <c r="H4691" s="6" t="s">
        <v>265</v>
      </c>
      <c r="I4691" s="6" t="s">
        <v>20</v>
      </c>
      <c r="J4691" s="6">
        <v>2017.0</v>
      </c>
      <c r="K4691" s="10">
        <v>46116.0</v>
      </c>
      <c r="L4691" s="6">
        <v>1.0</v>
      </c>
      <c r="M4691" s="8">
        <f t="shared" si="5"/>
        <v>0.5</v>
      </c>
      <c r="N4691" s="6" t="s">
        <v>172</v>
      </c>
      <c r="P4691" s="9"/>
    </row>
    <row r="4692">
      <c r="A4692" s="6" t="s">
        <v>9985</v>
      </c>
      <c r="B4692" s="6" t="s">
        <v>165</v>
      </c>
      <c r="C4692" s="6" t="s">
        <v>15</v>
      </c>
      <c r="D4692" s="6" t="s">
        <v>9986</v>
      </c>
      <c r="E4692" s="6" t="s">
        <v>179</v>
      </c>
      <c r="F4692" s="6" t="s">
        <v>65</v>
      </c>
      <c r="G4692" s="7">
        <v>0.15</v>
      </c>
      <c r="H4692" s="6" t="s">
        <v>209</v>
      </c>
      <c r="I4692" s="6" t="s">
        <v>20</v>
      </c>
      <c r="J4692" s="6">
        <v>2025.0</v>
      </c>
      <c r="L4692" s="6">
        <v>2.0</v>
      </c>
      <c r="M4692" s="8">
        <f t="shared" si="5"/>
        <v>0.3</v>
      </c>
      <c r="P4692" s="9"/>
    </row>
    <row r="4693">
      <c r="A4693" s="6" t="s">
        <v>9985</v>
      </c>
      <c r="B4693" s="6" t="s">
        <v>165</v>
      </c>
      <c r="C4693" s="6" t="s">
        <v>15</v>
      </c>
      <c r="D4693" s="6" t="s">
        <v>9986</v>
      </c>
      <c r="E4693" s="6" t="s">
        <v>179</v>
      </c>
      <c r="F4693" s="6" t="s">
        <v>65</v>
      </c>
      <c r="G4693" s="7">
        <v>0.25</v>
      </c>
      <c r="H4693" s="6" t="s">
        <v>209</v>
      </c>
      <c r="I4693" s="6" t="s">
        <v>55</v>
      </c>
      <c r="J4693" s="6">
        <v>2025.0</v>
      </c>
      <c r="L4693" s="6">
        <v>1.0</v>
      </c>
      <c r="M4693" s="8">
        <f t="shared" si="5"/>
        <v>0.25</v>
      </c>
      <c r="P4693" s="9"/>
    </row>
    <row r="4694">
      <c r="A4694" s="6" t="s">
        <v>9987</v>
      </c>
      <c r="B4694" s="6" t="s">
        <v>372</v>
      </c>
      <c r="C4694" s="6" t="s">
        <v>48</v>
      </c>
      <c r="D4694" s="6" t="s">
        <v>9988</v>
      </c>
      <c r="E4694" s="6" t="s">
        <v>873</v>
      </c>
      <c r="F4694" s="6" t="s">
        <v>874</v>
      </c>
      <c r="G4694" s="7">
        <v>0.09</v>
      </c>
      <c r="H4694" s="6" t="s">
        <v>4243</v>
      </c>
      <c r="I4694" s="6" t="s">
        <v>20</v>
      </c>
      <c r="J4694" s="6">
        <v>2017.0</v>
      </c>
      <c r="L4694" s="6">
        <v>1.0</v>
      </c>
      <c r="M4694" s="8">
        <f t="shared" si="5"/>
        <v>0.09</v>
      </c>
      <c r="P4694" s="9"/>
    </row>
    <row r="4695">
      <c r="A4695" s="6" t="s">
        <v>9989</v>
      </c>
      <c r="B4695" s="6" t="s">
        <v>194</v>
      </c>
      <c r="C4695" s="6" t="s">
        <v>23</v>
      </c>
      <c r="D4695" s="6" t="s">
        <v>9990</v>
      </c>
      <c r="E4695" s="6" t="s">
        <v>270</v>
      </c>
      <c r="F4695" s="6" t="s">
        <v>159</v>
      </c>
      <c r="G4695" s="7">
        <v>0.1</v>
      </c>
      <c r="H4695" s="6" t="s">
        <v>641</v>
      </c>
      <c r="I4695" s="6" t="s">
        <v>20</v>
      </c>
      <c r="J4695" s="6">
        <v>2026.0</v>
      </c>
      <c r="L4695" s="6">
        <v>1.0</v>
      </c>
      <c r="M4695" s="8">
        <f t="shared" si="5"/>
        <v>0.1</v>
      </c>
      <c r="P4695" s="9"/>
    </row>
    <row r="4696">
      <c r="A4696" s="6" t="s">
        <v>9991</v>
      </c>
      <c r="B4696" s="6" t="s">
        <v>62</v>
      </c>
      <c r="C4696" s="6" t="s">
        <v>41</v>
      </c>
      <c r="D4696" s="6" t="s">
        <v>9992</v>
      </c>
      <c r="E4696" s="6" t="s">
        <v>196</v>
      </c>
      <c r="F4696" s="6" t="s">
        <v>65</v>
      </c>
      <c r="G4696" s="7">
        <v>1.24</v>
      </c>
      <c r="H4696" s="6" t="s">
        <v>9993</v>
      </c>
      <c r="I4696" s="6" t="s">
        <v>20</v>
      </c>
      <c r="J4696" s="6">
        <v>2023.0</v>
      </c>
      <c r="L4696" s="6">
        <v>4.0</v>
      </c>
      <c r="M4696" s="8">
        <f t="shared" si="5"/>
        <v>4.96</v>
      </c>
      <c r="P4696" s="9"/>
    </row>
    <row r="4697">
      <c r="A4697" s="6" t="s">
        <v>9994</v>
      </c>
      <c r="B4697" s="6" t="s">
        <v>62</v>
      </c>
      <c r="C4697" s="6" t="s">
        <v>23</v>
      </c>
      <c r="D4697" s="6" t="s">
        <v>9995</v>
      </c>
      <c r="E4697" s="6" t="s">
        <v>108</v>
      </c>
      <c r="F4697" s="6" t="s">
        <v>103</v>
      </c>
      <c r="G4697" s="7">
        <v>0.06</v>
      </c>
      <c r="H4697" s="6" t="s">
        <v>184</v>
      </c>
      <c r="I4697" s="6" t="s">
        <v>20</v>
      </c>
      <c r="J4697" s="6">
        <v>2015.0</v>
      </c>
      <c r="L4697" s="6">
        <v>8.0</v>
      </c>
      <c r="M4697" s="8">
        <f t="shared" si="5"/>
        <v>0.48</v>
      </c>
      <c r="P4697" s="9"/>
    </row>
    <row r="4698">
      <c r="A4698" s="6" t="s">
        <v>9994</v>
      </c>
      <c r="B4698" s="6" t="s">
        <v>62</v>
      </c>
      <c r="C4698" s="6" t="s">
        <v>23</v>
      </c>
      <c r="D4698" s="6" t="s">
        <v>9995</v>
      </c>
      <c r="E4698" s="6" t="s">
        <v>108</v>
      </c>
      <c r="F4698" s="6" t="s">
        <v>103</v>
      </c>
      <c r="G4698" s="7">
        <v>0.06</v>
      </c>
      <c r="H4698" s="6" t="s">
        <v>184</v>
      </c>
      <c r="I4698" s="6" t="s">
        <v>20</v>
      </c>
      <c r="J4698" s="6">
        <v>2015.0</v>
      </c>
      <c r="L4698" s="6">
        <v>1.0</v>
      </c>
      <c r="M4698" s="8">
        <f t="shared" si="5"/>
        <v>0.06</v>
      </c>
      <c r="P4698" s="9"/>
    </row>
    <row r="4699">
      <c r="A4699" s="6" t="s">
        <v>9996</v>
      </c>
      <c r="B4699" s="6" t="s">
        <v>609</v>
      </c>
      <c r="C4699" s="6" t="s">
        <v>23</v>
      </c>
      <c r="D4699" s="6" t="s">
        <v>9997</v>
      </c>
      <c r="E4699" s="6" t="s">
        <v>175</v>
      </c>
      <c r="F4699" s="6" t="s">
        <v>51</v>
      </c>
      <c r="G4699" s="7">
        <v>0.05</v>
      </c>
      <c r="H4699" s="6" t="s">
        <v>114</v>
      </c>
      <c r="I4699" s="6" t="s">
        <v>20</v>
      </c>
      <c r="J4699" s="6">
        <v>2021.0</v>
      </c>
      <c r="K4699" s="10">
        <v>46054.0</v>
      </c>
      <c r="L4699" s="6">
        <v>2.0</v>
      </c>
      <c r="M4699" s="8">
        <f t="shared" si="5"/>
        <v>0.1</v>
      </c>
      <c r="P4699" s="9"/>
    </row>
    <row r="4700">
      <c r="A4700" s="6" t="s">
        <v>9998</v>
      </c>
      <c r="B4700" s="6" t="s">
        <v>3620</v>
      </c>
      <c r="C4700" s="6" t="s">
        <v>34</v>
      </c>
      <c r="D4700" s="6" t="s">
        <v>9999</v>
      </c>
      <c r="E4700" s="6" t="s">
        <v>167</v>
      </c>
      <c r="F4700" s="6" t="s">
        <v>103</v>
      </c>
      <c r="G4700" s="7">
        <v>0.09</v>
      </c>
      <c r="H4700" s="6" t="s">
        <v>3167</v>
      </c>
      <c r="I4700" s="6" t="s">
        <v>20</v>
      </c>
      <c r="J4700" s="6">
        <v>1997.0</v>
      </c>
      <c r="L4700" s="6">
        <v>1.0</v>
      </c>
      <c r="M4700" s="8">
        <f t="shared" si="5"/>
        <v>0.09</v>
      </c>
      <c r="P4700" s="9"/>
    </row>
    <row r="4701">
      <c r="A4701" s="6" t="s">
        <v>9998</v>
      </c>
      <c r="B4701" s="6" t="s">
        <v>372</v>
      </c>
      <c r="C4701" s="6" t="s">
        <v>23</v>
      </c>
      <c r="D4701" s="6" t="s">
        <v>10000</v>
      </c>
      <c r="E4701" s="6" t="s">
        <v>167</v>
      </c>
      <c r="F4701" s="6" t="s">
        <v>103</v>
      </c>
      <c r="G4701" s="7">
        <v>0.09</v>
      </c>
      <c r="H4701" s="6" t="s">
        <v>119</v>
      </c>
      <c r="I4701" s="6" t="s">
        <v>20</v>
      </c>
      <c r="J4701" s="6">
        <v>1995.0</v>
      </c>
      <c r="L4701" s="6">
        <v>1.0</v>
      </c>
      <c r="M4701" s="8">
        <f t="shared" si="5"/>
        <v>0.09</v>
      </c>
      <c r="P4701" s="9"/>
    </row>
    <row r="4702">
      <c r="A4702" s="6" t="s">
        <v>9998</v>
      </c>
      <c r="B4702" s="6" t="s">
        <v>372</v>
      </c>
      <c r="C4702" s="6" t="s">
        <v>23</v>
      </c>
      <c r="D4702" s="6" t="s">
        <v>10000</v>
      </c>
      <c r="E4702" s="6" t="s">
        <v>167</v>
      </c>
      <c r="F4702" s="6" t="s">
        <v>103</v>
      </c>
      <c r="G4702" s="7">
        <v>0.09</v>
      </c>
      <c r="H4702" s="6" t="s">
        <v>109</v>
      </c>
      <c r="I4702" s="6" t="s">
        <v>20</v>
      </c>
      <c r="J4702" s="6">
        <v>1995.0</v>
      </c>
      <c r="L4702" s="6">
        <v>5.0</v>
      </c>
      <c r="M4702" s="8">
        <f t="shared" si="5"/>
        <v>0.45</v>
      </c>
      <c r="P4702" s="9"/>
    </row>
    <row r="4703">
      <c r="A4703" s="6" t="s">
        <v>9998</v>
      </c>
      <c r="B4703" s="6" t="s">
        <v>372</v>
      </c>
      <c r="C4703" s="6" t="s">
        <v>23</v>
      </c>
      <c r="D4703" s="6" t="s">
        <v>10000</v>
      </c>
      <c r="E4703" s="6" t="s">
        <v>167</v>
      </c>
      <c r="F4703" s="6" t="s">
        <v>103</v>
      </c>
      <c r="G4703" s="7">
        <v>0.2</v>
      </c>
      <c r="H4703" s="6" t="s">
        <v>1382</v>
      </c>
      <c r="I4703" s="6" t="s">
        <v>20</v>
      </c>
      <c r="J4703" s="6">
        <v>1995.0</v>
      </c>
      <c r="L4703" s="6">
        <v>4.0</v>
      </c>
      <c r="M4703" s="8">
        <f t="shared" si="5"/>
        <v>0.8</v>
      </c>
      <c r="P4703" s="9"/>
    </row>
    <row r="4704">
      <c r="A4704" s="6" t="s">
        <v>9998</v>
      </c>
      <c r="B4704" s="6" t="s">
        <v>372</v>
      </c>
      <c r="C4704" s="6" t="s">
        <v>23</v>
      </c>
      <c r="D4704" s="6" t="s">
        <v>10000</v>
      </c>
      <c r="E4704" s="6" t="s">
        <v>167</v>
      </c>
      <c r="F4704" s="6" t="s">
        <v>103</v>
      </c>
      <c r="G4704" s="7">
        <v>0.68</v>
      </c>
      <c r="H4704" s="6" t="s">
        <v>607</v>
      </c>
      <c r="I4704" s="6" t="s">
        <v>20</v>
      </c>
      <c r="J4704" s="6">
        <v>1994.0</v>
      </c>
      <c r="L4704" s="6">
        <v>1.0</v>
      </c>
      <c r="M4704" s="8">
        <f t="shared" si="5"/>
        <v>0.68</v>
      </c>
      <c r="P4704" s="9"/>
    </row>
    <row r="4705">
      <c r="A4705" s="6" t="s">
        <v>9998</v>
      </c>
      <c r="B4705" s="6" t="s">
        <v>372</v>
      </c>
      <c r="C4705" s="6" t="s">
        <v>23</v>
      </c>
      <c r="D4705" s="6" t="s">
        <v>10000</v>
      </c>
      <c r="E4705" s="6" t="s">
        <v>167</v>
      </c>
      <c r="F4705" s="6" t="s">
        <v>103</v>
      </c>
      <c r="G4705" s="7">
        <v>0.05</v>
      </c>
      <c r="H4705" s="6" t="s">
        <v>546</v>
      </c>
      <c r="I4705" s="6" t="s">
        <v>20</v>
      </c>
      <c r="J4705" s="6">
        <v>2001.0</v>
      </c>
      <c r="L4705" s="6">
        <v>1.0</v>
      </c>
      <c r="M4705" s="8">
        <f t="shared" si="5"/>
        <v>0.05</v>
      </c>
      <c r="P4705" s="9"/>
    </row>
    <row r="4706">
      <c r="A4706" s="6" t="s">
        <v>10001</v>
      </c>
      <c r="B4706" s="6" t="s">
        <v>10002</v>
      </c>
      <c r="C4706" s="6" t="s">
        <v>287</v>
      </c>
      <c r="D4706" s="6" t="s">
        <v>1901</v>
      </c>
      <c r="E4706" s="6" t="s">
        <v>79</v>
      </c>
      <c r="F4706" s="6" t="s">
        <v>51</v>
      </c>
      <c r="G4706" s="7">
        <v>0.07</v>
      </c>
      <c r="H4706" s="6" t="s">
        <v>119</v>
      </c>
      <c r="I4706" s="6" t="s">
        <v>20</v>
      </c>
      <c r="J4706" s="6">
        <v>1995.0</v>
      </c>
      <c r="K4706" s="10">
        <v>46055.0</v>
      </c>
      <c r="L4706" s="6">
        <v>4.0</v>
      </c>
      <c r="M4706" s="8">
        <f t="shared" si="5"/>
        <v>0.28</v>
      </c>
      <c r="P4706" s="9"/>
    </row>
    <row r="4707">
      <c r="A4707" s="6" t="s">
        <v>10001</v>
      </c>
      <c r="B4707" s="6" t="s">
        <v>10002</v>
      </c>
      <c r="C4707" s="6" t="s">
        <v>287</v>
      </c>
      <c r="D4707" s="6" t="s">
        <v>1901</v>
      </c>
      <c r="E4707" s="6" t="s">
        <v>79</v>
      </c>
      <c r="F4707" s="6" t="s">
        <v>51</v>
      </c>
      <c r="G4707" s="7">
        <v>0.17</v>
      </c>
      <c r="H4707" s="6" t="s">
        <v>120</v>
      </c>
      <c r="I4707" s="6" t="s">
        <v>20</v>
      </c>
      <c r="J4707" s="6">
        <v>1995.0</v>
      </c>
      <c r="K4707" s="10">
        <v>46055.0</v>
      </c>
      <c r="L4707" s="6">
        <v>3.0</v>
      </c>
      <c r="M4707" s="8">
        <f t="shared" si="5"/>
        <v>0.51</v>
      </c>
      <c r="P4707" s="9"/>
    </row>
    <row r="4708">
      <c r="A4708" s="6" t="s">
        <v>10003</v>
      </c>
      <c r="B4708" s="6" t="s">
        <v>151</v>
      </c>
      <c r="C4708" s="6" t="s">
        <v>48</v>
      </c>
      <c r="D4708" s="6" t="s">
        <v>10004</v>
      </c>
      <c r="E4708" s="6" t="s">
        <v>25</v>
      </c>
      <c r="F4708" s="6" t="s">
        <v>18</v>
      </c>
      <c r="G4708" s="7">
        <v>0.05</v>
      </c>
      <c r="H4708" s="6" t="s">
        <v>93</v>
      </c>
      <c r="I4708" s="6" t="s">
        <v>20</v>
      </c>
      <c r="J4708" s="6">
        <v>2016.0</v>
      </c>
      <c r="K4708" s="10">
        <v>46055.0</v>
      </c>
      <c r="L4708" s="6">
        <v>2.0</v>
      </c>
      <c r="M4708" s="8">
        <f t="shared" si="5"/>
        <v>0.1</v>
      </c>
      <c r="P4708" s="9"/>
    </row>
    <row r="4709">
      <c r="A4709" s="6" t="s">
        <v>10005</v>
      </c>
      <c r="B4709" s="6" t="s">
        <v>62</v>
      </c>
      <c r="C4709" s="6" t="s">
        <v>48</v>
      </c>
      <c r="D4709" s="6" t="s">
        <v>10006</v>
      </c>
      <c r="E4709" s="6" t="s">
        <v>30</v>
      </c>
      <c r="F4709" s="6" t="s">
        <v>18</v>
      </c>
      <c r="G4709" s="7">
        <v>0.06</v>
      </c>
      <c r="H4709" s="6" t="s">
        <v>336</v>
      </c>
      <c r="I4709" s="6" t="s">
        <v>20</v>
      </c>
      <c r="J4709" s="6">
        <v>2016.0</v>
      </c>
      <c r="L4709" s="6">
        <v>1.0</v>
      </c>
      <c r="M4709" s="8">
        <f t="shared" si="5"/>
        <v>0.06</v>
      </c>
      <c r="P4709" s="9"/>
    </row>
    <row r="4710">
      <c r="A4710" s="6" t="s">
        <v>10007</v>
      </c>
      <c r="B4710" s="6" t="s">
        <v>307</v>
      </c>
      <c r="C4710" s="6" t="s">
        <v>23</v>
      </c>
      <c r="D4710" s="6" t="s">
        <v>10008</v>
      </c>
      <c r="E4710" s="6" t="s">
        <v>303</v>
      </c>
      <c r="F4710" s="6" t="s">
        <v>37</v>
      </c>
      <c r="G4710" s="7">
        <v>0.03</v>
      </c>
      <c r="H4710" s="6" t="s">
        <v>299</v>
      </c>
      <c r="I4710" s="6" t="s">
        <v>20</v>
      </c>
      <c r="J4710" s="6">
        <v>2017.0</v>
      </c>
      <c r="L4710" s="6">
        <v>1.0</v>
      </c>
      <c r="M4710" s="8">
        <f t="shared" si="5"/>
        <v>0.03</v>
      </c>
      <c r="N4710" s="6" t="s">
        <v>518</v>
      </c>
      <c r="P4710" s="9"/>
    </row>
    <row r="4711">
      <c r="A4711" s="6" t="s">
        <v>10007</v>
      </c>
      <c r="B4711" s="6" t="s">
        <v>307</v>
      </c>
      <c r="C4711" s="6" t="s">
        <v>23</v>
      </c>
      <c r="D4711" s="6" t="s">
        <v>10009</v>
      </c>
      <c r="E4711" s="6" t="s">
        <v>303</v>
      </c>
      <c r="F4711" s="6" t="s">
        <v>37</v>
      </c>
      <c r="G4711" s="7">
        <v>0.05</v>
      </c>
      <c r="H4711" s="6" t="s">
        <v>845</v>
      </c>
      <c r="I4711" s="6" t="s">
        <v>20</v>
      </c>
      <c r="J4711" s="6">
        <v>2022.0</v>
      </c>
      <c r="L4711" s="6">
        <v>1.0</v>
      </c>
      <c r="M4711" s="8">
        <f t="shared" si="5"/>
        <v>0.05</v>
      </c>
      <c r="P4711" s="9"/>
    </row>
    <row r="4712">
      <c r="A4712" s="6" t="s">
        <v>10010</v>
      </c>
      <c r="B4712" s="6" t="s">
        <v>190</v>
      </c>
      <c r="C4712" s="6" t="s">
        <v>48</v>
      </c>
      <c r="D4712" s="6" t="s">
        <v>10011</v>
      </c>
      <c r="E4712" s="6" t="s">
        <v>223</v>
      </c>
      <c r="F4712" s="6" t="s">
        <v>159</v>
      </c>
      <c r="G4712" s="7">
        <v>0.24</v>
      </c>
      <c r="H4712" s="6" t="s">
        <v>45</v>
      </c>
      <c r="I4712" s="6" t="s">
        <v>20</v>
      </c>
      <c r="J4712" s="6">
        <v>2025.0</v>
      </c>
      <c r="K4712" s="10">
        <v>46055.0</v>
      </c>
      <c r="L4712" s="6">
        <v>1.0</v>
      </c>
      <c r="M4712" s="8">
        <f t="shared" si="5"/>
        <v>0.24</v>
      </c>
      <c r="P4712" s="9"/>
    </row>
    <row r="4713">
      <c r="A4713" s="6" t="s">
        <v>10012</v>
      </c>
      <c r="B4713" s="6" t="s">
        <v>62</v>
      </c>
      <c r="C4713" s="6" t="s">
        <v>23</v>
      </c>
      <c r="D4713" s="6" t="s">
        <v>10013</v>
      </c>
      <c r="E4713" s="6" t="s">
        <v>7725</v>
      </c>
      <c r="F4713" s="6" t="s">
        <v>98</v>
      </c>
      <c r="G4713" s="7">
        <v>1.0</v>
      </c>
      <c r="H4713" s="6" t="s">
        <v>3017</v>
      </c>
      <c r="I4713" s="6" t="s">
        <v>20</v>
      </c>
      <c r="J4713" s="6">
        <v>2008.0</v>
      </c>
      <c r="L4713" s="6">
        <v>3.0</v>
      </c>
      <c r="M4713" s="8">
        <f t="shared" si="5"/>
        <v>3</v>
      </c>
      <c r="P4713" s="9"/>
    </row>
    <row r="4714">
      <c r="A4714" s="6" t="s">
        <v>10014</v>
      </c>
      <c r="B4714" s="6" t="s">
        <v>182</v>
      </c>
      <c r="C4714" s="6" t="s">
        <v>48</v>
      </c>
      <c r="D4714" s="6" t="s">
        <v>10015</v>
      </c>
      <c r="E4714" s="6" t="s">
        <v>1159</v>
      </c>
      <c r="F4714" s="6" t="s">
        <v>826</v>
      </c>
      <c r="G4714" s="7">
        <v>0.18</v>
      </c>
      <c r="H4714" s="6" t="s">
        <v>1692</v>
      </c>
      <c r="I4714" s="6" t="s">
        <v>20</v>
      </c>
      <c r="J4714" s="6">
        <v>2021.0</v>
      </c>
      <c r="L4714" s="6">
        <v>1.0</v>
      </c>
      <c r="M4714" s="8">
        <f t="shared" si="5"/>
        <v>0.18</v>
      </c>
      <c r="P4714" s="9"/>
    </row>
    <row r="4715">
      <c r="A4715" s="6" t="s">
        <v>10016</v>
      </c>
      <c r="B4715" s="6" t="s">
        <v>2898</v>
      </c>
      <c r="C4715" s="6" t="s">
        <v>48</v>
      </c>
      <c r="D4715" s="6" t="s">
        <v>10017</v>
      </c>
      <c r="E4715" s="6" t="s">
        <v>3063</v>
      </c>
      <c r="F4715" s="6" t="s">
        <v>98</v>
      </c>
      <c r="G4715" s="7">
        <v>0.09</v>
      </c>
      <c r="H4715" s="6" t="s">
        <v>265</v>
      </c>
      <c r="I4715" s="6" t="s">
        <v>20</v>
      </c>
      <c r="J4715" s="6">
        <v>2017.0</v>
      </c>
      <c r="K4715" s="10">
        <v>46083.0</v>
      </c>
      <c r="L4715" s="6">
        <v>1.0</v>
      </c>
      <c r="M4715" s="8">
        <f t="shared" si="5"/>
        <v>0.09</v>
      </c>
      <c r="P4715" s="9"/>
    </row>
    <row r="4716">
      <c r="A4716" s="6" t="s">
        <v>10018</v>
      </c>
      <c r="B4716" s="6" t="s">
        <v>2505</v>
      </c>
      <c r="C4716" s="6" t="s">
        <v>48</v>
      </c>
      <c r="D4716" s="6" t="s">
        <v>10019</v>
      </c>
      <c r="E4716" s="6" t="s">
        <v>235</v>
      </c>
      <c r="F4716" s="6" t="s">
        <v>103</v>
      </c>
      <c r="G4716" s="7">
        <v>0.1</v>
      </c>
      <c r="H4716" s="6" t="s">
        <v>216</v>
      </c>
      <c r="I4716" s="6" t="s">
        <v>20</v>
      </c>
      <c r="J4716" s="6">
        <v>2024.0</v>
      </c>
      <c r="K4716" s="10">
        <v>46056.0</v>
      </c>
      <c r="L4716" s="6">
        <v>1.0</v>
      </c>
      <c r="M4716" s="8">
        <f t="shared" si="5"/>
        <v>0.1</v>
      </c>
      <c r="P4716" s="9"/>
    </row>
    <row r="4717">
      <c r="A4717" s="6" t="s">
        <v>10020</v>
      </c>
      <c r="B4717" s="6" t="s">
        <v>1882</v>
      </c>
      <c r="C4717" s="6" t="s">
        <v>23</v>
      </c>
      <c r="D4717" s="6" t="s">
        <v>10021</v>
      </c>
      <c r="E4717" s="6" t="s">
        <v>50</v>
      </c>
      <c r="F4717" s="6" t="s">
        <v>51</v>
      </c>
      <c r="G4717" s="7">
        <v>0.04</v>
      </c>
      <c r="H4717" s="6" t="s">
        <v>645</v>
      </c>
      <c r="I4717" s="6" t="s">
        <v>20</v>
      </c>
      <c r="J4717" s="6">
        <v>2024.0</v>
      </c>
      <c r="K4717" s="10">
        <v>46055.0</v>
      </c>
      <c r="L4717" s="6">
        <v>1.0</v>
      </c>
      <c r="M4717" s="8">
        <f t="shared" si="5"/>
        <v>0.04</v>
      </c>
      <c r="P4717" s="9"/>
    </row>
    <row r="4718">
      <c r="A4718" s="6" t="s">
        <v>10022</v>
      </c>
      <c r="B4718" s="6" t="s">
        <v>307</v>
      </c>
      <c r="C4718" s="6" t="s">
        <v>48</v>
      </c>
      <c r="D4718" s="6" t="s">
        <v>10023</v>
      </c>
      <c r="E4718" s="6" t="s">
        <v>112</v>
      </c>
      <c r="F4718" s="6" t="s">
        <v>65</v>
      </c>
      <c r="G4718" s="7">
        <v>0.17</v>
      </c>
      <c r="H4718" s="6" t="s">
        <v>509</v>
      </c>
      <c r="I4718" s="6" t="s">
        <v>20</v>
      </c>
      <c r="J4718" s="6">
        <v>2024.0</v>
      </c>
      <c r="L4718" s="6">
        <v>1.0</v>
      </c>
      <c r="M4718" s="8">
        <f t="shared" si="5"/>
        <v>0.17</v>
      </c>
      <c r="P4718" s="9"/>
    </row>
    <row r="4719">
      <c r="A4719" s="6" t="s">
        <v>10024</v>
      </c>
      <c r="B4719" s="6" t="s">
        <v>307</v>
      </c>
      <c r="C4719" s="6" t="s">
        <v>23</v>
      </c>
      <c r="D4719" s="6" t="s">
        <v>10025</v>
      </c>
      <c r="E4719" s="6" t="s">
        <v>243</v>
      </c>
      <c r="F4719" s="6" t="s">
        <v>37</v>
      </c>
      <c r="G4719" s="7">
        <v>0.19</v>
      </c>
      <c r="H4719" s="6" t="s">
        <v>163</v>
      </c>
      <c r="I4719" s="6" t="s">
        <v>20</v>
      </c>
      <c r="J4719" s="6">
        <v>2023.0</v>
      </c>
      <c r="L4719" s="6">
        <v>1.0</v>
      </c>
      <c r="M4719" s="8">
        <f t="shared" si="5"/>
        <v>0.19</v>
      </c>
      <c r="P4719" s="9"/>
    </row>
    <row r="4720">
      <c r="A4720" s="6" t="s">
        <v>10026</v>
      </c>
      <c r="B4720" s="6" t="s">
        <v>10027</v>
      </c>
      <c r="C4720" s="6" t="s">
        <v>23</v>
      </c>
      <c r="D4720" s="6" t="s">
        <v>10028</v>
      </c>
      <c r="E4720" s="6" t="s">
        <v>64</v>
      </c>
      <c r="F4720" s="6" t="s">
        <v>65</v>
      </c>
      <c r="G4720" s="7">
        <v>0.05</v>
      </c>
      <c r="H4720" s="6" t="s">
        <v>418</v>
      </c>
      <c r="I4720" s="6" t="s">
        <v>20</v>
      </c>
      <c r="J4720" s="6">
        <v>2022.0</v>
      </c>
      <c r="K4720" s="10">
        <v>46026.0</v>
      </c>
      <c r="L4720" s="6">
        <v>1.0</v>
      </c>
      <c r="M4720" s="8">
        <f t="shared" si="5"/>
        <v>0.05</v>
      </c>
      <c r="P4720" s="9"/>
    </row>
    <row r="4721">
      <c r="A4721" s="6" t="s">
        <v>10029</v>
      </c>
      <c r="B4721" s="6" t="s">
        <v>62</v>
      </c>
      <c r="C4721" s="6" t="s">
        <v>48</v>
      </c>
      <c r="D4721" s="6" t="s">
        <v>10030</v>
      </c>
      <c r="E4721" s="6" t="s">
        <v>149</v>
      </c>
      <c r="F4721" s="6" t="s">
        <v>18</v>
      </c>
      <c r="G4721" s="7">
        <v>0.23</v>
      </c>
      <c r="H4721" s="6" t="s">
        <v>66</v>
      </c>
      <c r="I4721" s="6" t="s">
        <v>20</v>
      </c>
      <c r="J4721" s="6">
        <v>2016.0</v>
      </c>
      <c r="L4721" s="6">
        <v>1.0</v>
      </c>
      <c r="M4721" s="8">
        <f t="shared" si="5"/>
        <v>0.23</v>
      </c>
      <c r="P4721" s="9"/>
    </row>
    <row r="4722">
      <c r="A4722" s="6" t="s">
        <v>10031</v>
      </c>
      <c r="B4722" s="6" t="s">
        <v>1990</v>
      </c>
      <c r="C4722" s="6" t="s">
        <v>23</v>
      </c>
      <c r="D4722" s="6" t="s">
        <v>10032</v>
      </c>
      <c r="E4722" s="6" t="s">
        <v>64</v>
      </c>
      <c r="F4722" s="6" t="s">
        <v>65</v>
      </c>
      <c r="G4722" s="7">
        <v>0.06</v>
      </c>
      <c r="H4722" s="6" t="s">
        <v>204</v>
      </c>
      <c r="I4722" s="6" t="s">
        <v>20</v>
      </c>
      <c r="J4722" s="6">
        <v>2026.0</v>
      </c>
      <c r="L4722" s="6">
        <v>1.0</v>
      </c>
      <c r="M4722" s="8">
        <f t="shared" si="5"/>
        <v>0.06</v>
      </c>
      <c r="P4722" s="9"/>
    </row>
    <row r="4723">
      <c r="A4723" s="6" t="s">
        <v>10033</v>
      </c>
      <c r="B4723" s="6" t="s">
        <v>62</v>
      </c>
      <c r="C4723" s="6" t="s">
        <v>23</v>
      </c>
      <c r="D4723" s="6" t="s">
        <v>10034</v>
      </c>
      <c r="E4723" s="6" t="s">
        <v>248</v>
      </c>
      <c r="F4723" s="6" t="s">
        <v>18</v>
      </c>
      <c r="G4723" s="7">
        <v>0.05</v>
      </c>
      <c r="H4723" s="6" t="s">
        <v>265</v>
      </c>
      <c r="I4723" s="6" t="s">
        <v>20</v>
      </c>
      <c r="J4723" s="6">
        <v>2017.0</v>
      </c>
      <c r="L4723" s="6">
        <v>2.0</v>
      </c>
      <c r="M4723" s="8">
        <f t="shared" si="5"/>
        <v>0.1</v>
      </c>
      <c r="P4723" s="9"/>
    </row>
    <row r="4724">
      <c r="A4724" s="6" t="s">
        <v>10033</v>
      </c>
      <c r="B4724" s="6" t="s">
        <v>62</v>
      </c>
      <c r="C4724" s="6" t="s">
        <v>23</v>
      </c>
      <c r="D4724" s="6" t="s">
        <v>10034</v>
      </c>
      <c r="E4724" s="6" t="s">
        <v>248</v>
      </c>
      <c r="F4724" s="6" t="s">
        <v>18</v>
      </c>
      <c r="G4724" s="7">
        <v>0.04</v>
      </c>
      <c r="H4724" s="6" t="s">
        <v>265</v>
      </c>
      <c r="I4724" s="6" t="s">
        <v>20</v>
      </c>
      <c r="J4724" s="6">
        <v>2017.0</v>
      </c>
      <c r="L4724" s="6">
        <v>3.0</v>
      </c>
      <c r="M4724" s="8">
        <f t="shared" si="5"/>
        <v>0.12</v>
      </c>
      <c r="P4724" s="9"/>
    </row>
    <row r="4725">
      <c r="A4725" s="6" t="s">
        <v>10035</v>
      </c>
      <c r="B4725" s="6" t="s">
        <v>1013</v>
      </c>
      <c r="C4725" s="6" t="s">
        <v>48</v>
      </c>
      <c r="D4725" s="6" t="s">
        <v>10036</v>
      </c>
      <c r="E4725" s="6" t="s">
        <v>625</v>
      </c>
      <c r="F4725" s="6" t="s">
        <v>37</v>
      </c>
      <c r="G4725" s="7">
        <v>0.09</v>
      </c>
      <c r="H4725" s="6" t="s">
        <v>299</v>
      </c>
      <c r="I4725" s="6" t="s">
        <v>20</v>
      </c>
      <c r="J4725" s="6">
        <v>2017.0</v>
      </c>
      <c r="K4725" s="10">
        <v>46116.0</v>
      </c>
      <c r="L4725" s="6">
        <v>1.0</v>
      </c>
      <c r="M4725" s="8">
        <f t="shared" si="5"/>
        <v>0.09</v>
      </c>
      <c r="P4725" s="9"/>
    </row>
    <row r="4726">
      <c r="A4726" s="6" t="s">
        <v>10037</v>
      </c>
      <c r="B4726" s="6" t="s">
        <v>3080</v>
      </c>
      <c r="C4726" s="6" t="s">
        <v>571</v>
      </c>
      <c r="D4726" s="6" t="s">
        <v>10038</v>
      </c>
      <c r="E4726" s="6" t="s">
        <v>149</v>
      </c>
      <c r="F4726" s="6" t="s">
        <v>18</v>
      </c>
      <c r="G4726" s="7">
        <v>0.09</v>
      </c>
      <c r="H4726" s="6" t="s">
        <v>641</v>
      </c>
      <c r="I4726" s="6" t="s">
        <v>20</v>
      </c>
      <c r="J4726" s="6">
        <v>2026.0</v>
      </c>
      <c r="K4726" s="10">
        <v>46024.0</v>
      </c>
      <c r="L4726" s="6">
        <v>2.0</v>
      </c>
      <c r="M4726" s="8">
        <f t="shared" si="5"/>
        <v>0.18</v>
      </c>
      <c r="P4726" s="9"/>
    </row>
    <row r="4727">
      <c r="A4727" s="6" t="s">
        <v>10039</v>
      </c>
      <c r="B4727" s="6" t="s">
        <v>1196</v>
      </c>
      <c r="C4727" s="6" t="s">
        <v>23</v>
      </c>
      <c r="D4727" s="6" t="s">
        <v>10040</v>
      </c>
      <c r="E4727" s="6" t="s">
        <v>153</v>
      </c>
      <c r="F4727" s="6" t="s">
        <v>103</v>
      </c>
      <c r="G4727" s="7">
        <v>0.05</v>
      </c>
      <c r="H4727" s="6" t="s">
        <v>129</v>
      </c>
      <c r="I4727" s="6" t="s">
        <v>20</v>
      </c>
      <c r="J4727" s="6">
        <v>2014.0</v>
      </c>
      <c r="K4727" s="10">
        <v>46084.0</v>
      </c>
      <c r="L4727" s="6">
        <v>1.0</v>
      </c>
      <c r="M4727" s="8">
        <f t="shared" si="5"/>
        <v>0.05</v>
      </c>
      <c r="P4727" s="9"/>
    </row>
    <row r="4728">
      <c r="A4728" s="6" t="s">
        <v>10041</v>
      </c>
      <c r="B4728" s="6" t="s">
        <v>326</v>
      </c>
      <c r="C4728" s="6" t="s">
        <v>23</v>
      </c>
      <c r="D4728" s="6" t="s">
        <v>974</v>
      </c>
      <c r="E4728" s="6" t="s">
        <v>25</v>
      </c>
      <c r="F4728" s="6" t="s">
        <v>18</v>
      </c>
      <c r="G4728" s="7">
        <v>0.05</v>
      </c>
      <c r="H4728" s="6" t="s">
        <v>559</v>
      </c>
      <c r="I4728" s="6" t="s">
        <v>20</v>
      </c>
      <c r="J4728" s="6">
        <v>2015.0</v>
      </c>
      <c r="K4728" s="10">
        <v>46113.0</v>
      </c>
      <c r="L4728" s="6">
        <v>2.0</v>
      </c>
      <c r="M4728" s="8">
        <f t="shared" si="5"/>
        <v>0.1</v>
      </c>
      <c r="P4728" s="9"/>
    </row>
    <row r="4729">
      <c r="A4729" s="6" t="s">
        <v>10042</v>
      </c>
      <c r="B4729" s="6" t="s">
        <v>5400</v>
      </c>
      <c r="C4729" s="6" t="s">
        <v>23</v>
      </c>
      <c r="D4729" s="6" t="s">
        <v>10043</v>
      </c>
      <c r="E4729" s="6" t="s">
        <v>298</v>
      </c>
      <c r="F4729" s="6" t="s">
        <v>159</v>
      </c>
      <c r="G4729" s="7">
        <v>0.07</v>
      </c>
      <c r="H4729" s="6" t="s">
        <v>2009</v>
      </c>
      <c r="I4729" s="6" t="s">
        <v>20</v>
      </c>
      <c r="J4729" s="6">
        <v>2005.0</v>
      </c>
      <c r="L4729" s="6">
        <v>1.0</v>
      </c>
      <c r="M4729" s="8">
        <f t="shared" si="5"/>
        <v>0.07</v>
      </c>
      <c r="P4729" s="9"/>
    </row>
    <row r="4730">
      <c r="A4730" s="6" t="s">
        <v>10044</v>
      </c>
      <c r="B4730" s="6" t="s">
        <v>10045</v>
      </c>
      <c r="C4730" s="6" t="s">
        <v>48</v>
      </c>
      <c r="D4730" s="6" t="s">
        <v>10046</v>
      </c>
      <c r="E4730" s="6" t="s">
        <v>533</v>
      </c>
      <c r="F4730" s="6" t="s">
        <v>65</v>
      </c>
      <c r="G4730" s="7">
        <v>0.07</v>
      </c>
      <c r="H4730" s="6" t="s">
        <v>1050</v>
      </c>
      <c r="I4730" s="6" t="s">
        <v>55</v>
      </c>
      <c r="J4730" s="6">
        <v>2023.0</v>
      </c>
      <c r="K4730" s="10">
        <v>46057.0</v>
      </c>
      <c r="L4730" s="6">
        <v>1.0</v>
      </c>
      <c r="M4730" s="8">
        <f t="shared" si="5"/>
        <v>0.07</v>
      </c>
      <c r="P4730" s="9"/>
    </row>
    <row r="4731">
      <c r="A4731" s="6" t="s">
        <v>10047</v>
      </c>
      <c r="B4731" s="6" t="s">
        <v>372</v>
      </c>
      <c r="C4731" s="6" t="s">
        <v>23</v>
      </c>
      <c r="D4731" s="6" t="s">
        <v>10048</v>
      </c>
      <c r="E4731" s="6" t="s">
        <v>238</v>
      </c>
      <c r="F4731" s="6" t="s">
        <v>159</v>
      </c>
      <c r="G4731" s="7">
        <v>0.05</v>
      </c>
      <c r="H4731" s="6" t="s">
        <v>271</v>
      </c>
      <c r="I4731" s="6" t="s">
        <v>20</v>
      </c>
      <c r="J4731" s="6">
        <v>2012.0</v>
      </c>
      <c r="L4731" s="6">
        <v>3.0</v>
      </c>
      <c r="M4731" s="8">
        <f t="shared" si="5"/>
        <v>0.15</v>
      </c>
      <c r="P4731" s="9"/>
    </row>
    <row r="4732">
      <c r="A4732" s="6" t="s">
        <v>10049</v>
      </c>
      <c r="B4732" s="6" t="s">
        <v>372</v>
      </c>
      <c r="C4732" s="6" t="s">
        <v>23</v>
      </c>
      <c r="D4732" s="6" t="s">
        <v>10050</v>
      </c>
      <c r="E4732" s="6" t="s">
        <v>223</v>
      </c>
      <c r="F4732" s="6" t="s">
        <v>159</v>
      </c>
      <c r="G4732" s="7">
        <v>0.03</v>
      </c>
      <c r="H4732" s="6" t="s">
        <v>1084</v>
      </c>
      <c r="I4732" s="6" t="s">
        <v>20</v>
      </c>
      <c r="J4732" s="6">
        <v>2018.0</v>
      </c>
      <c r="L4732" s="6">
        <v>1.0</v>
      </c>
      <c r="M4732" s="8">
        <f t="shared" si="5"/>
        <v>0.03</v>
      </c>
      <c r="N4732" s="6" t="s">
        <v>518</v>
      </c>
      <c r="P4732" s="9"/>
    </row>
    <row r="4733">
      <c r="A4733" s="6" t="s">
        <v>10051</v>
      </c>
      <c r="B4733" s="6" t="s">
        <v>301</v>
      </c>
      <c r="C4733" s="6" t="s">
        <v>34</v>
      </c>
      <c r="D4733" s="6" t="s">
        <v>10052</v>
      </c>
      <c r="E4733" s="6" t="s">
        <v>303</v>
      </c>
      <c r="F4733" s="6" t="s">
        <v>37</v>
      </c>
      <c r="G4733" s="7">
        <v>0.27</v>
      </c>
      <c r="H4733" s="6" t="s">
        <v>848</v>
      </c>
      <c r="I4733" s="6" t="s">
        <v>55</v>
      </c>
      <c r="J4733" s="6">
        <v>2023.0</v>
      </c>
      <c r="L4733" s="6">
        <v>1.0</v>
      </c>
      <c r="M4733" s="8">
        <f t="shared" si="5"/>
        <v>0.27</v>
      </c>
      <c r="P4733" s="9"/>
    </row>
    <row r="4734">
      <c r="A4734" s="6" t="s">
        <v>10053</v>
      </c>
      <c r="B4734" s="6" t="s">
        <v>7008</v>
      </c>
      <c r="C4734" s="6" t="s">
        <v>41</v>
      </c>
      <c r="D4734" s="6" t="s">
        <v>10054</v>
      </c>
      <c r="E4734" s="6" t="s">
        <v>260</v>
      </c>
      <c r="F4734" s="6" t="s">
        <v>261</v>
      </c>
      <c r="G4734" s="7">
        <v>1.78</v>
      </c>
      <c r="H4734" s="6" t="s">
        <v>1301</v>
      </c>
      <c r="I4734" s="6" t="s">
        <v>20</v>
      </c>
      <c r="J4734" s="6">
        <v>2022.0</v>
      </c>
      <c r="K4734" s="10">
        <v>46083.0</v>
      </c>
      <c r="L4734" s="6">
        <v>1.0</v>
      </c>
      <c r="M4734" s="8">
        <f t="shared" si="5"/>
        <v>1.78</v>
      </c>
      <c r="P4734" s="9"/>
    </row>
    <row r="4735">
      <c r="A4735" s="6" t="s">
        <v>10055</v>
      </c>
      <c r="B4735" s="6" t="s">
        <v>10056</v>
      </c>
      <c r="C4735" s="6" t="s">
        <v>41</v>
      </c>
      <c r="D4735" s="6" t="s">
        <v>10057</v>
      </c>
      <c r="E4735" s="6" t="s">
        <v>696</v>
      </c>
      <c r="F4735" s="6" t="s">
        <v>37</v>
      </c>
      <c r="G4735" s="7">
        <v>1.6</v>
      </c>
      <c r="H4735" s="6" t="s">
        <v>120</v>
      </c>
      <c r="I4735" s="6" t="s">
        <v>20</v>
      </c>
      <c r="J4735" s="6">
        <v>1995.0</v>
      </c>
      <c r="K4735" s="10">
        <v>46116.0</v>
      </c>
      <c r="L4735" s="6">
        <v>1.0</v>
      </c>
      <c r="M4735" s="8">
        <f t="shared" si="5"/>
        <v>1.6</v>
      </c>
      <c r="N4735" s="6" t="s">
        <v>172</v>
      </c>
      <c r="P4735" s="9"/>
    </row>
    <row r="4736">
      <c r="A4736" s="6" t="s">
        <v>10058</v>
      </c>
      <c r="B4736" s="6" t="s">
        <v>10059</v>
      </c>
      <c r="C4736" s="6" t="s">
        <v>23</v>
      </c>
      <c r="D4736" s="6" t="s">
        <v>10060</v>
      </c>
      <c r="E4736" s="6" t="s">
        <v>5474</v>
      </c>
      <c r="F4736" s="6" t="s">
        <v>37</v>
      </c>
      <c r="G4736" s="7">
        <v>3.0</v>
      </c>
      <c r="H4736" s="6" t="s">
        <v>821</v>
      </c>
      <c r="I4736" s="6" t="s">
        <v>20</v>
      </c>
      <c r="J4736" s="6">
        <v>1995.0</v>
      </c>
      <c r="L4736" s="6">
        <v>1.0</v>
      </c>
      <c r="M4736" s="8">
        <f t="shared" si="5"/>
        <v>3</v>
      </c>
      <c r="P4736" s="9"/>
    </row>
    <row r="4737">
      <c r="A4737" s="6" t="s">
        <v>10061</v>
      </c>
      <c r="B4737" s="6" t="s">
        <v>3660</v>
      </c>
      <c r="C4737" s="6" t="s">
        <v>48</v>
      </c>
      <c r="D4737" s="6" t="s">
        <v>10062</v>
      </c>
      <c r="E4737" s="6" t="s">
        <v>64</v>
      </c>
      <c r="F4737" s="6" t="s">
        <v>65</v>
      </c>
      <c r="G4737" s="7">
        <v>0.2</v>
      </c>
      <c r="H4737" s="6" t="s">
        <v>606</v>
      </c>
      <c r="I4737" s="6" t="s">
        <v>20</v>
      </c>
      <c r="J4737" s="6">
        <v>1995.0</v>
      </c>
      <c r="K4737" s="10">
        <v>46055.0</v>
      </c>
      <c r="L4737" s="6">
        <v>2.0</v>
      </c>
      <c r="M4737" s="8">
        <f t="shared" si="5"/>
        <v>0.4</v>
      </c>
      <c r="P4737" s="9"/>
    </row>
    <row r="4738">
      <c r="A4738" s="6" t="s">
        <v>10061</v>
      </c>
      <c r="B4738" s="6" t="s">
        <v>3660</v>
      </c>
      <c r="C4738" s="6" t="s">
        <v>48</v>
      </c>
      <c r="D4738" s="6" t="s">
        <v>10062</v>
      </c>
      <c r="E4738" s="6" t="s">
        <v>64</v>
      </c>
      <c r="F4738" s="6" t="s">
        <v>65</v>
      </c>
      <c r="G4738" s="7">
        <v>0.48</v>
      </c>
      <c r="H4738" s="6" t="s">
        <v>120</v>
      </c>
      <c r="I4738" s="6" t="s">
        <v>20</v>
      </c>
      <c r="J4738" s="6">
        <v>1995.0</v>
      </c>
      <c r="K4738" s="10">
        <v>46055.0</v>
      </c>
      <c r="L4738" s="6">
        <v>1.0</v>
      </c>
      <c r="M4738" s="8">
        <f t="shared" si="5"/>
        <v>0.48</v>
      </c>
      <c r="P4738" s="9"/>
    </row>
    <row r="4739">
      <c r="A4739" s="6" t="s">
        <v>10063</v>
      </c>
      <c r="B4739" s="6" t="s">
        <v>372</v>
      </c>
      <c r="C4739" s="6" t="s">
        <v>23</v>
      </c>
      <c r="D4739" s="6" t="s">
        <v>10064</v>
      </c>
      <c r="E4739" s="6" t="s">
        <v>223</v>
      </c>
      <c r="F4739" s="6" t="s">
        <v>159</v>
      </c>
      <c r="G4739" s="7">
        <v>0.13</v>
      </c>
      <c r="H4739" s="6" t="s">
        <v>565</v>
      </c>
      <c r="I4739" s="6" t="s">
        <v>20</v>
      </c>
      <c r="J4739" s="6">
        <v>2021.0</v>
      </c>
      <c r="L4739" s="6">
        <v>1.0</v>
      </c>
      <c r="M4739" s="8">
        <f t="shared" si="5"/>
        <v>0.13</v>
      </c>
      <c r="N4739" s="6" t="s">
        <v>518</v>
      </c>
      <c r="P4739" s="9"/>
    </row>
    <row r="4740">
      <c r="A4740" s="6" t="s">
        <v>10065</v>
      </c>
      <c r="B4740" s="6" t="s">
        <v>10066</v>
      </c>
      <c r="C4740" s="6" t="s">
        <v>23</v>
      </c>
      <c r="D4740" s="6" t="s">
        <v>10067</v>
      </c>
      <c r="E4740" s="6" t="s">
        <v>25</v>
      </c>
      <c r="F4740" s="6" t="s">
        <v>18</v>
      </c>
      <c r="G4740" s="7">
        <v>0.05</v>
      </c>
      <c r="H4740" s="6" t="s">
        <v>192</v>
      </c>
      <c r="I4740" s="6" t="s">
        <v>20</v>
      </c>
      <c r="J4740" s="6">
        <v>2026.0</v>
      </c>
      <c r="K4740" s="10">
        <v>46055.0</v>
      </c>
      <c r="L4740" s="6">
        <v>4.0</v>
      </c>
      <c r="M4740" s="8">
        <f t="shared" si="5"/>
        <v>0.2</v>
      </c>
      <c r="P4740" s="9"/>
    </row>
    <row r="4741">
      <c r="A4741" s="6" t="s">
        <v>10068</v>
      </c>
      <c r="B4741" s="6" t="s">
        <v>372</v>
      </c>
      <c r="C4741" s="6" t="s">
        <v>23</v>
      </c>
      <c r="D4741" s="6" t="s">
        <v>10069</v>
      </c>
      <c r="E4741" s="6" t="s">
        <v>149</v>
      </c>
      <c r="F4741" s="6" t="s">
        <v>18</v>
      </c>
      <c r="G4741" s="7">
        <v>0.09</v>
      </c>
      <c r="H4741" s="6" t="s">
        <v>509</v>
      </c>
      <c r="I4741" s="6" t="s">
        <v>20</v>
      </c>
      <c r="J4741" s="6">
        <v>2024.0</v>
      </c>
      <c r="L4741" s="6">
        <v>1.0</v>
      </c>
      <c r="M4741" s="8">
        <f t="shared" si="5"/>
        <v>0.09</v>
      </c>
      <c r="P4741" s="9"/>
    </row>
    <row r="4742">
      <c r="A4742" s="6" t="s">
        <v>10070</v>
      </c>
      <c r="B4742" s="6" t="s">
        <v>10071</v>
      </c>
      <c r="C4742" s="6" t="s">
        <v>15</v>
      </c>
      <c r="D4742" s="6" t="s">
        <v>10072</v>
      </c>
      <c r="E4742" s="6" t="s">
        <v>10073</v>
      </c>
      <c r="F4742" s="6" t="s">
        <v>215</v>
      </c>
      <c r="G4742" s="7">
        <v>0.09</v>
      </c>
      <c r="H4742" s="6" t="s">
        <v>136</v>
      </c>
      <c r="I4742" s="6" t="s">
        <v>20</v>
      </c>
      <c r="J4742" s="6">
        <v>2022.0</v>
      </c>
      <c r="K4742" s="6" t="s">
        <v>10074</v>
      </c>
      <c r="L4742" s="6">
        <v>2.0</v>
      </c>
      <c r="M4742" s="8">
        <f t="shared" si="5"/>
        <v>0.18</v>
      </c>
      <c r="P4742" s="9"/>
    </row>
    <row r="4743">
      <c r="A4743" s="6" t="s">
        <v>10075</v>
      </c>
      <c r="B4743" s="6" t="s">
        <v>326</v>
      </c>
      <c r="C4743" s="6" t="s">
        <v>23</v>
      </c>
      <c r="D4743" s="6" t="s">
        <v>10076</v>
      </c>
      <c r="E4743" s="6" t="s">
        <v>64</v>
      </c>
      <c r="F4743" s="6" t="s">
        <v>65</v>
      </c>
      <c r="G4743" s="7">
        <v>0.06</v>
      </c>
      <c r="H4743" s="6" t="s">
        <v>621</v>
      </c>
      <c r="I4743" s="6" t="s">
        <v>20</v>
      </c>
      <c r="J4743" s="6">
        <v>2015.0</v>
      </c>
      <c r="K4743" s="10">
        <v>46055.0</v>
      </c>
      <c r="L4743" s="6">
        <v>1.0</v>
      </c>
      <c r="M4743" s="8">
        <f t="shared" si="5"/>
        <v>0.06</v>
      </c>
      <c r="P4743" s="9"/>
    </row>
    <row r="4744">
      <c r="A4744" s="6" t="s">
        <v>10077</v>
      </c>
      <c r="B4744" s="6" t="s">
        <v>2391</v>
      </c>
      <c r="C4744" s="6" t="s">
        <v>23</v>
      </c>
      <c r="D4744" s="6" t="s">
        <v>10078</v>
      </c>
      <c r="E4744" s="6" t="s">
        <v>3869</v>
      </c>
      <c r="F4744" s="6" t="s">
        <v>874</v>
      </c>
      <c r="G4744" s="7">
        <v>0.06</v>
      </c>
      <c r="H4744" s="6" t="s">
        <v>3438</v>
      </c>
      <c r="I4744" s="6" t="s">
        <v>20</v>
      </c>
      <c r="J4744" s="6">
        <v>2009.0</v>
      </c>
      <c r="K4744" s="10">
        <v>46055.0</v>
      </c>
      <c r="L4744" s="6">
        <v>2.0</v>
      </c>
      <c r="M4744" s="8">
        <f t="shared" si="5"/>
        <v>0.12</v>
      </c>
      <c r="P4744" s="9"/>
    </row>
    <row r="4745">
      <c r="A4745" s="6" t="s">
        <v>10079</v>
      </c>
      <c r="B4745" s="6" t="s">
        <v>80</v>
      </c>
      <c r="C4745" s="6" t="s">
        <v>48</v>
      </c>
      <c r="D4745" s="6" t="s">
        <v>10080</v>
      </c>
      <c r="E4745" s="6" t="s">
        <v>167</v>
      </c>
      <c r="F4745" s="6" t="s">
        <v>103</v>
      </c>
      <c r="G4745" s="7">
        <v>0.1</v>
      </c>
      <c r="H4745" s="6" t="s">
        <v>645</v>
      </c>
      <c r="I4745" s="6" t="s">
        <v>20</v>
      </c>
      <c r="J4745" s="6">
        <v>2024.0</v>
      </c>
      <c r="K4745" s="10">
        <v>46023.0</v>
      </c>
      <c r="L4745" s="6">
        <v>1.0</v>
      </c>
      <c r="M4745" s="8">
        <f t="shared" si="5"/>
        <v>0.1</v>
      </c>
      <c r="P4745" s="9"/>
    </row>
    <row r="4746">
      <c r="A4746" s="6" t="s">
        <v>10081</v>
      </c>
      <c r="B4746" s="6" t="s">
        <v>139</v>
      </c>
      <c r="C4746" s="6" t="s">
        <v>41</v>
      </c>
      <c r="D4746" s="6" t="s">
        <v>10082</v>
      </c>
      <c r="E4746" s="6" t="s">
        <v>50</v>
      </c>
      <c r="F4746" s="6" t="s">
        <v>51</v>
      </c>
      <c r="G4746" s="7">
        <v>0.64</v>
      </c>
      <c r="H4746" s="6" t="s">
        <v>104</v>
      </c>
      <c r="I4746" s="6" t="s">
        <v>20</v>
      </c>
      <c r="J4746" s="6">
        <v>2018.0</v>
      </c>
      <c r="K4746" s="10">
        <v>46115.0</v>
      </c>
      <c r="L4746" s="6">
        <v>1.0</v>
      </c>
      <c r="M4746" s="8">
        <f t="shared" si="5"/>
        <v>0.64</v>
      </c>
      <c r="P4746" s="9"/>
    </row>
    <row r="4747">
      <c r="A4747" s="6" t="s">
        <v>10083</v>
      </c>
      <c r="B4747" s="6" t="s">
        <v>7886</v>
      </c>
      <c r="C4747" s="6" t="s">
        <v>15</v>
      </c>
      <c r="D4747" s="6" t="s">
        <v>10084</v>
      </c>
      <c r="E4747" s="6" t="s">
        <v>864</v>
      </c>
      <c r="F4747" s="6" t="s">
        <v>18</v>
      </c>
      <c r="G4747" s="7">
        <v>0.21</v>
      </c>
      <c r="H4747" s="6" t="s">
        <v>209</v>
      </c>
      <c r="I4747" s="6" t="s">
        <v>20</v>
      </c>
      <c r="J4747" s="6">
        <v>2025.0</v>
      </c>
      <c r="K4747" s="10">
        <v>46117.0</v>
      </c>
      <c r="L4747" s="6">
        <v>3.0</v>
      </c>
      <c r="M4747" s="8">
        <f t="shared" si="5"/>
        <v>0.63</v>
      </c>
      <c r="P4747" s="9"/>
    </row>
    <row r="4748">
      <c r="A4748" s="6" t="s">
        <v>10085</v>
      </c>
      <c r="B4748" s="6" t="s">
        <v>10086</v>
      </c>
      <c r="C4748" s="6" t="s">
        <v>23</v>
      </c>
      <c r="D4748" s="6" t="s">
        <v>10087</v>
      </c>
      <c r="E4748" s="6" t="s">
        <v>573</v>
      </c>
      <c r="F4748" s="6" t="s">
        <v>51</v>
      </c>
      <c r="G4748" s="7">
        <v>1.28</v>
      </c>
      <c r="H4748" s="6" t="s">
        <v>26</v>
      </c>
      <c r="I4748" s="6" t="s">
        <v>20</v>
      </c>
      <c r="J4748" s="6">
        <v>2026.0</v>
      </c>
      <c r="K4748" s="10">
        <v>46115.0</v>
      </c>
      <c r="L4748" s="6">
        <v>1.0</v>
      </c>
      <c r="M4748" s="8">
        <f t="shared" si="5"/>
        <v>1.28</v>
      </c>
      <c r="P4748" s="9"/>
    </row>
    <row r="4749">
      <c r="A4749" s="6" t="s">
        <v>10088</v>
      </c>
      <c r="B4749" s="6" t="s">
        <v>1094</v>
      </c>
      <c r="C4749" s="6" t="s">
        <v>23</v>
      </c>
      <c r="D4749" s="6" t="s">
        <v>10089</v>
      </c>
      <c r="E4749" s="6" t="s">
        <v>167</v>
      </c>
      <c r="F4749" s="6" t="s">
        <v>103</v>
      </c>
      <c r="G4749" s="7">
        <v>0.05</v>
      </c>
      <c r="H4749" s="6" t="s">
        <v>109</v>
      </c>
      <c r="I4749" s="6" t="s">
        <v>20</v>
      </c>
      <c r="J4749" s="6">
        <v>1995.0</v>
      </c>
      <c r="K4749" s="6" t="s">
        <v>422</v>
      </c>
      <c r="L4749" s="6">
        <v>3.0</v>
      </c>
      <c r="M4749" s="8">
        <f t="shared" si="5"/>
        <v>0.15</v>
      </c>
      <c r="P4749" s="9"/>
    </row>
    <row r="4750">
      <c r="A4750" s="6" t="s">
        <v>10088</v>
      </c>
      <c r="B4750" s="6" t="s">
        <v>1094</v>
      </c>
      <c r="C4750" s="6" t="s">
        <v>23</v>
      </c>
      <c r="D4750" s="6" t="s">
        <v>10089</v>
      </c>
      <c r="E4750" s="6" t="s">
        <v>167</v>
      </c>
      <c r="F4750" s="6" t="s">
        <v>103</v>
      </c>
      <c r="G4750" s="7">
        <v>0.2</v>
      </c>
      <c r="H4750" s="6" t="s">
        <v>1382</v>
      </c>
      <c r="I4750" s="6" t="s">
        <v>20</v>
      </c>
      <c r="J4750" s="6">
        <v>1995.0</v>
      </c>
      <c r="K4750" s="6" t="s">
        <v>422</v>
      </c>
      <c r="L4750" s="6">
        <v>5.0</v>
      </c>
      <c r="M4750" s="8">
        <f t="shared" si="5"/>
        <v>1</v>
      </c>
      <c r="P4750" s="9"/>
    </row>
    <row r="4751">
      <c r="A4751" s="6" t="s">
        <v>10090</v>
      </c>
      <c r="B4751" s="6" t="s">
        <v>10091</v>
      </c>
      <c r="C4751" s="6" t="s">
        <v>23</v>
      </c>
      <c r="D4751" s="6" t="s">
        <v>10092</v>
      </c>
      <c r="E4751" s="6" t="s">
        <v>235</v>
      </c>
      <c r="F4751" s="6" t="s">
        <v>103</v>
      </c>
      <c r="G4751" s="7">
        <v>0.13</v>
      </c>
      <c r="H4751" s="6" t="s">
        <v>6889</v>
      </c>
      <c r="I4751" s="6" t="s">
        <v>20</v>
      </c>
      <c r="J4751" s="6">
        <v>1998.0</v>
      </c>
      <c r="K4751" s="10">
        <v>46055.0</v>
      </c>
      <c r="L4751" s="6">
        <v>2.0</v>
      </c>
      <c r="M4751" s="8">
        <f t="shared" si="5"/>
        <v>0.26</v>
      </c>
      <c r="P4751" s="9"/>
    </row>
    <row r="4752">
      <c r="A4752" s="6" t="s">
        <v>10093</v>
      </c>
      <c r="B4752" s="6" t="s">
        <v>6770</v>
      </c>
      <c r="C4752" s="6" t="s">
        <v>48</v>
      </c>
      <c r="D4752" s="6" t="s">
        <v>10094</v>
      </c>
      <c r="E4752" s="6" t="s">
        <v>1336</v>
      </c>
      <c r="F4752" s="6" t="s">
        <v>103</v>
      </c>
      <c r="G4752" s="7">
        <v>0.9</v>
      </c>
      <c r="H4752" s="6" t="s">
        <v>113</v>
      </c>
      <c r="I4752" s="6" t="s">
        <v>55</v>
      </c>
      <c r="J4752" s="6">
        <v>2024.0</v>
      </c>
      <c r="K4752" s="10">
        <v>46083.0</v>
      </c>
      <c r="L4752" s="6">
        <v>1.0</v>
      </c>
      <c r="M4752" s="8">
        <f t="shared" si="5"/>
        <v>0.9</v>
      </c>
      <c r="P4752" s="9"/>
    </row>
    <row r="4753">
      <c r="A4753" s="6" t="s">
        <v>10095</v>
      </c>
      <c r="B4753" s="6" t="s">
        <v>472</v>
      </c>
      <c r="C4753" s="6" t="s">
        <v>23</v>
      </c>
      <c r="D4753" s="6" t="s">
        <v>10096</v>
      </c>
      <c r="E4753" s="6" t="s">
        <v>102</v>
      </c>
      <c r="F4753" s="6" t="s">
        <v>103</v>
      </c>
      <c r="G4753" s="7">
        <v>0.03</v>
      </c>
      <c r="H4753" s="6" t="s">
        <v>406</v>
      </c>
      <c r="I4753" s="6" t="s">
        <v>20</v>
      </c>
      <c r="J4753" s="6">
        <v>2019.0</v>
      </c>
      <c r="K4753" s="10">
        <v>46024.0</v>
      </c>
      <c r="L4753" s="6">
        <v>1.0</v>
      </c>
      <c r="M4753" s="8">
        <f t="shared" si="5"/>
        <v>0.03</v>
      </c>
      <c r="P4753" s="9"/>
    </row>
    <row r="4754">
      <c r="A4754" s="6" t="s">
        <v>10097</v>
      </c>
      <c r="B4754" s="6" t="s">
        <v>10098</v>
      </c>
      <c r="C4754" s="6" t="s">
        <v>23</v>
      </c>
      <c r="D4754" s="6" t="s">
        <v>974</v>
      </c>
      <c r="E4754" s="6" t="s">
        <v>153</v>
      </c>
      <c r="F4754" s="6" t="s">
        <v>103</v>
      </c>
      <c r="G4754" s="7">
        <v>0.03</v>
      </c>
      <c r="H4754" s="6" t="s">
        <v>875</v>
      </c>
      <c r="I4754" s="6" t="s">
        <v>20</v>
      </c>
      <c r="J4754" s="6">
        <v>2018.0</v>
      </c>
      <c r="K4754" s="10">
        <v>46025.0</v>
      </c>
      <c r="L4754" s="6">
        <v>1.0</v>
      </c>
      <c r="M4754" s="8">
        <f t="shared" si="5"/>
        <v>0.03</v>
      </c>
      <c r="P4754" s="9"/>
    </row>
    <row r="4755">
      <c r="A4755" s="6" t="s">
        <v>10099</v>
      </c>
      <c r="B4755" s="6" t="s">
        <v>131</v>
      </c>
      <c r="C4755" s="6" t="s">
        <v>23</v>
      </c>
      <c r="D4755" s="6" t="s">
        <v>10100</v>
      </c>
      <c r="E4755" s="6" t="s">
        <v>118</v>
      </c>
      <c r="F4755" s="6" t="s">
        <v>51</v>
      </c>
      <c r="G4755" s="7">
        <v>0.09</v>
      </c>
      <c r="H4755" s="6" t="s">
        <v>114</v>
      </c>
      <c r="I4755" s="6" t="s">
        <v>20</v>
      </c>
      <c r="J4755" s="6">
        <v>2021.0</v>
      </c>
      <c r="K4755" s="10">
        <v>46055.0</v>
      </c>
      <c r="L4755" s="6">
        <v>1.0</v>
      </c>
      <c r="M4755" s="8">
        <f t="shared" si="5"/>
        <v>0.09</v>
      </c>
      <c r="P4755" s="9"/>
    </row>
    <row r="4756">
      <c r="A4756" s="6" t="s">
        <v>10101</v>
      </c>
      <c r="B4756" s="6" t="s">
        <v>10102</v>
      </c>
      <c r="C4756" s="6" t="s">
        <v>48</v>
      </c>
      <c r="D4756" s="6" t="s">
        <v>10103</v>
      </c>
      <c r="E4756" s="6" t="s">
        <v>108</v>
      </c>
      <c r="F4756" s="6" t="s">
        <v>103</v>
      </c>
      <c r="G4756" s="7">
        <v>0.24</v>
      </c>
      <c r="H4756" s="6" t="s">
        <v>104</v>
      </c>
      <c r="I4756" s="6" t="s">
        <v>20</v>
      </c>
      <c r="J4756" s="6">
        <v>2018.0</v>
      </c>
      <c r="K4756" s="10">
        <v>46115.0</v>
      </c>
      <c r="L4756" s="6">
        <v>1.0</v>
      </c>
      <c r="M4756" s="8">
        <f t="shared" si="5"/>
        <v>0.24</v>
      </c>
      <c r="P4756" s="9"/>
    </row>
    <row r="4757">
      <c r="A4757" s="6" t="s">
        <v>10104</v>
      </c>
      <c r="B4757" s="6" t="s">
        <v>1408</v>
      </c>
      <c r="C4757" s="6" t="s">
        <v>48</v>
      </c>
      <c r="D4757" s="6" t="s">
        <v>10105</v>
      </c>
      <c r="E4757" s="6" t="s">
        <v>611</v>
      </c>
      <c r="F4757" s="6" t="s">
        <v>103</v>
      </c>
      <c r="G4757" s="7">
        <v>0.09</v>
      </c>
      <c r="H4757" s="6" t="s">
        <v>154</v>
      </c>
      <c r="I4757" s="6" t="s">
        <v>20</v>
      </c>
      <c r="J4757" s="6">
        <v>2013.0</v>
      </c>
      <c r="K4757" s="10">
        <v>46057.0</v>
      </c>
      <c r="L4757" s="6">
        <v>2.0</v>
      </c>
      <c r="M4757" s="8">
        <f t="shared" si="5"/>
        <v>0.18</v>
      </c>
      <c r="P4757" s="9"/>
    </row>
    <row r="4758">
      <c r="A4758" s="6" t="s">
        <v>10106</v>
      </c>
      <c r="B4758" s="6" t="s">
        <v>10107</v>
      </c>
      <c r="C4758" s="6" t="s">
        <v>34</v>
      </c>
      <c r="D4758" s="6" t="s">
        <v>10108</v>
      </c>
      <c r="E4758" s="6" t="s">
        <v>167</v>
      </c>
      <c r="F4758" s="6" t="s">
        <v>103</v>
      </c>
      <c r="G4758" s="7">
        <v>0.45</v>
      </c>
      <c r="H4758" s="6" t="s">
        <v>10109</v>
      </c>
      <c r="I4758" s="6" t="s">
        <v>20</v>
      </c>
      <c r="J4758" s="6">
        <v>2010.0</v>
      </c>
      <c r="K4758" s="10">
        <v>46023.0</v>
      </c>
      <c r="L4758" s="6">
        <v>3.0</v>
      </c>
      <c r="M4758" s="8">
        <f t="shared" si="5"/>
        <v>1.35</v>
      </c>
      <c r="P4758" s="9"/>
    </row>
    <row r="4759">
      <c r="A4759" s="6" t="s">
        <v>10110</v>
      </c>
      <c r="B4759" s="6" t="s">
        <v>10111</v>
      </c>
      <c r="C4759" s="6" t="s">
        <v>287</v>
      </c>
      <c r="D4759" s="6" t="s">
        <v>10112</v>
      </c>
      <c r="E4759" s="6" t="s">
        <v>167</v>
      </c>
      <c r="F4759" s="6" t="s">
        <v>103</v>
      </c>
      <c r="G4759" s="7">
        <v>0.49</v>
      </c>
      <c r="H4759" s="6" t="s">
        <v>340</v>
      </c>
      <c r="I4759" s="6" t="s">
        <v>20</v>
      </c>
      <c r="J4759" s="6">
        <v>2010.0</v>
      </c>
      <c r="K4759" s="10">
        <v>46023.0</v>
      </c>
      <c r="L4759" s="6">
        <v>1.0</v>
      </c>
      <c r="M4759" s="8">
        <f t="shared" si="5"/>
        <v>0.49</v>
      </c>
      <c r="P4759" s="9"/>
    </row>
    <row r="4760">
      <c r="A4760" s="6" t="s">
        <v>10113</v>
      </c>
      <c r="B4760" s="6" t="s">
        <v>10114</v>
      </c>
      <c r="C4760" s="6" t="s">
        <v>72</v>
      </c>
      <c r="D4760" s="6" t="s">
        <v>10115</v>
      </c>
      <c r="E4760" s="6" t="s">
        <v>108</v>
      </c>
      <c r="F4760" s="6" t="s">
        <v>103</v>
      </c>
      <c r="G4760" s="7">
        <v>0.19</v>
      </c>
      <c r="H4760" s="6" t="s">
        <v>184</v>
      </c>
      <c r="I4760" s="6" t="s">
        <v>20</v>
      </c>
      <c r="J4760" s="6">
        <v>2015.0</v>
      </c>
      <c r="K4760" s="10">
        <v>46116.0</v>
      </c>
      <c r="L4760" s="6">
        <v>3.0</v>
      </c>
      <c r="M4760" s="8">
        <f t="shared" si="5"/>
        <v>0.57</v>
      </c>
      <c r="P4760" s="9"/>
    </row>
    <row r="4761">
      <c r="A4761" s="6" t="s">
        <v>10113</v>
      </c>
      <c r="B4761" s="6" t="s">
        <v>10114</v>
      </c>
      <c r="C4761" s="6" t="s">
        <v>72</v>
      </c>
      <c r="D4761" s="6" t="s">
        <v>10115</v>
      </c>
      <c r="E4761" s="6" t="s">
        <v>108</v>
      </c>
      <c r="F4761" s="6" t="s">
        <v>103</v>
      </c>
      <c r="G4761" s="7">
        <v>0.1</v>
      </c>
      <c r="H4761" s="6" t="s">
        <v>10116</v>
      </c>
      <c r="I4761" s="6" t="s">
        <v>20</v>
      </c>
      <c r="J4761" s="6">
        <v>2011.0</v>
      </c>
      <c r="K4761" s="10">
        <v>46116.0</v>
      </c>
      <c r="L4761" s="6">
        <v>1.0</v>
      </c>
      <c r="M4761" s="8">
        <f t="shared" si="5"/>
        <v>0.1</v>
      </c>
      <c r="P4761" s="9"/>
    </row>
    <row r="4762">
      <c r="A4762" s="6" t="s">
        <v>10117</v>
      </c>
      <c r="B4762" s="6" t="s">
        <v>10118</v>
      </c>
      <c r="C4762" s="6" t="s">
        <v>23</v>
      </c>
      <c r="D4762" s="6" t="s">
        <v>10119</v>
      </c>
      <c r="E4762" s="6" t="s">
        <v>50</v>
      </c>
      <c r="F4762" s="6" t="s">
        <v>51</v>
      </c>
      <c r="G4762" s="7">
        <v>0.08</v>
      </c>
      <c r="H4762" s="6" t="s">
        <v>113</v>
      </c>
      <c r="I4762" s="6" t="s">
        <v>20</v>
      </c>
      <c r="J4762" s="6">
        <v>2024.0</v>
      </c>
      <c r="K4762" s="10">
        <v>46084.0</v>
      </c>
      <c r="L4762" s="6">
        <v>1.0</v>
      </c>
      <c r="M4762" s="8">
        <f t="shared" si="5"/>
        <v>0.08</v>
      </c>
      <c r="P4762" s="9"/>
    </row>
    <row r="4763">
      <c r="A4763" s="6" t="s">
        <v>10117</v>
      </c>
      <c r="B4763" s="6" t="s">
        <v>10118</v>
      </c>
      <c r="C4763" s="6" t="s">
        <v>23</v>
      </c>
      <c r="D4763" s="6" t="s">
        <v>10119</v>
      </c>
      <c r="E4763" s="6" t="s">
        <v>50</v>
      </c>
      <c r="F4763" s="6" t="s">
        <v>51</v>
      </c>
      <c r="G4763" s="7">
        <v>0.08</v>
      </c>
      <c r="H4763" s="6" t="s">
        <v>113</v>
      </c>
      <c r="I4763" s="6" t="s">
        <v>20</v>
      </c>
      <c r="J4763" s="6">
        <v>2024.0</v>
      </c>
      <c r="K4763" s="10">
        <v>46084.0</v>
      </c>
      <c r="L4763" s="6">
        <v>1.0</v>
      </c>
      <c r="M4763" s="8">
        <f t="shared" si="5"/>
        <v>0.08</v>
      </c>
      <c r="P4763" s="9"/>
    </row>
    <row r="4764">
      <c r="A4764" s="6" t="s">
        <v>10120</v>
      </c>
      <c r="B4764" s="6" t="s">
        <v>10121</v>
      </c>
      <c r="C4764" s="6" t="s">
        <v>34</v>
      </c>
      <c r="D4764" s="6" t="s">
        <v>10122</v>
      </c>
      <c r="E4764" s="6" t="s">
        <v>2621</v>
      </c>
      <c r="F4764" s="6" t="s">
        <v>103</v>
      </c>
      <c r="G4764" s="7">
        <v>0.09</v>
      </c>
      <c r="H4764" s="6" t="s">
        <v>19</v>
      </c>
      <c r="I4764" s="6" t="s">
        <v>20</v>
      </c>
      <c r="J4764" s="6">
        <v>2023.0</v>
      </c>
      <c r="K4764" s="10">
        <v>46024.0</v>
      </c>
      <c r="L4764" s="6">
        <v>1.0</v>
      </c>
      <c r="M4764" s="8">
        <f t="shared" si="5"/>
        <v>0.09</v>
      </c>
      <c r="P4764" s="9"/>
    </row>
    <row r="4765">
      <c r="A4765" s="6" t="s">
        <v>10123</v>
      </c>
      <c r="B4765" s="6" t="s">
        <v>10124</v>
      </c>
      <c r="C4765" s="6" t="s">
        <v>15</v>
      </c>
      <c r="D4765" s="6" t="s">
        <v>10125</v>
      </c>
      <c r="E4765" s="6" t="s">
        <v>3920</v>
      </c>
      <c r="F4765" s="6" t="s">
        <v>159</v>
      </c>
      <c r="G4765" s="7">
        <v>0.14</v>
      </c>
      <c r="H4765" s="6" t="s">
        <v>209</v>
      </c>
      <c r="I4765" s="6" t="s">
        <v>20</v>
      </c>
      <c r="J4765" s="6">
        <v>2025.0</v>
      </c>
      <c r="K4765" s="10">
        <v>46056.0</v>
      </c>
      <c r="L4765" s="6">
        <v>1.0</v>
      </c>
      <c r="M4765" s="8">
        <f t="shared" si="5"/>
        <v>0.14</v>
      </c>
      <c r="P4765" s="9"/>
    </row>
    <row r="4766">
      <c r="A4766" s="6" t="s">
        <v>10126</v>
      </c>
      <c r="B4766" s="6" t="s">
        <v>194</v>
      </c>
      <c r="C4766" s="6" t="s">
        <v>23</v>
      </c>
      <c r="D4766" s="6" t="s">
        <v>10127</v>
      </c>
      <c r="E4766" s="6" t="s">
        <v>30</v>
      </c>
      <c r="F4766" s="6" t="s">
        <v>18</v>
      </c>
      <c r="G4766" s="7">
        <v>0.05</v>
      </c>
      <c r="H4766" s="6" t="s">
        <v>645</v>
      </c>
      <c r="I4766" s="6" t="s">
        <v>20</v>
      </c>
      <c r="J4766" s="6">
        <v>2024.0</v>
      </c>
      <c r="L4766" s="6">
        <v>1.0</v>
      </c>
      <c r="M4766" s="8">
        <f t="shared" si="5"/>
        <v>0.05</v>
      </c>
      <c r="P4766" s="9"/>
    </row>
    <row r="4767">
      <c r="A4767" s="6" t="s">
        <v>10128</v>
      </c>
      <c r="B4767" s="6" t="s">
        <v>1161</v>
      </c>
      <c r="C4767" s="6" t="s">
        <v>23</v>
      </c>
      <c r="D4767" s="6" t="s">
        <v>10129</v>
      </c>
      <c r="E4767" s="6" t="s">
        <v>533</v>
      </c>
      <c r="F4767" s="6" t="s">
        <v>65</v>
      </c>
      <c r="G4767" s="7">
        <v>0.09</v>
      </c>
      <c r="H4767" s="6" t="s">
        <v>289</v>
      </c>
      <c r="I4767" s="6" t="s">
        <v>20</v>
      </c>
      <c r="J4767" s="6">
        <v>1996.0</v>
      </c>
      <c r="K4767" s="10">
        <v>46056.0</v>
      </c>
      <c r="L4767" s="6">
        <v>1.0</v>
      </c>
      <c r="M4767" s="8">
        <f t="shared" si="5"/>
        <v>0.09</v>
      </c>
      <c r="P4767" s="9"/>
    </row>
    <row r="4768">
      <c r="A4768" s="6" t="s">
        <v>10130</v>
      </c>
      <c r="B4768" s="6" t="s">
        <v>2413</v>
      </c>
      <c r="C4768" s="6" t="s">
        <v>23</v>
      </c>
      <c r="E4768" s="6" t="s">
        <v>1685</v>
      </c>
      <c r="F4768" s="6" t="s">
        <v>159</v>
      </c>
      <c r="G4768" s="7">
        <v>0.05</v>
      </c>
      <c r="H4768" s="6" t="s">
        <v>701</v>
      </c>
      <c r="I4768" s="6" t="s">
        <v>20</v>
      </c>
      <c r="J4768" s="6">
        <v>2012.0</v>
      </c>
      <c r="K4768" s="10">
        <v>46178.0</v>
      </c>
      <c r="L4768" s="6">
        <v>3.0</v>
      </c>
      <c r="M4768" s="8">
        <f t="shared" si="5"/>
        <v>0.15</v>
      </c>
      <c r="P4768" s="9"/>
    </row>
    <row r="4769">
      <c r="A4769" s="6" t="s">
        <v>10131</v>
      </c>
      <c r="B4769" s="6" t="s">
        <v>372</v>
      </c>
      <c r="C4769" s="6" t="s">
        <v>23</v>
      </c>
      <c r="D4769" s="6" t="s">
        <v>10132</v>
      </c>
      <c r="E4769" s="6" t="s">
        <v>602</v>
      </c>
      <c r="F4769" s="6" t="s">
        <v>159</v>
      </c>
      <c r="G4769" s="7">
        <v>0.06</v>
      </c>
      <c r="H4769" s="6" t="s">
        <v>340</v>
      </c>
      <c r="I4769" s="6" t="s">
        <v>20</v>
      </c>
      <c r="J4769" s="6">
        <v>2010.0</v>
      </c>
      <c r="L4769" s="6">
        <v>1.0</v>
      </c>
      <c r="M4769" s="8">
        <f t="shared" si="5"/>
        <v>0.06</v>
      </c>
      <c r="P4769" s="9"/>
    </row>
    <row r="4770">
      <c r="A4770" s="6" t="s">
        <v>10131</v>
      </c>
      <c r="B4770" s="6" t="s">
        <v>372</v>
      </c>
      <c r="C4770" s="6" t="s">
        <v>23</v>
      </c>
      <c r="D4770" s="6" t="s">
        <v>10132</v>
      </c>
      <c r="E4770" s="6" t="s">
        <v>602</v>
      </c>
      <c r="F4770" s="6" t="s">
        <v>159</v>
      </c>
      <c r="G4770" s="7">
        <v>0.06</v>
      </c>
      <c r="H4770" s="6" t="s">
        <v>340</v>
      </c>
      <c r="I4770" s="6" t="s">
        <v>20</v>
      </c>
      <c r="J4770" s="6">
        <v>2010.0</v>
      </c>
      <c r="L4770" s="6">
        <v>1.0</v>
      </c>
      <c r="M4770" s="8">
        <f t="shared" si="5"/>
        <v>0.06</v>
      </c>
      <c r="P4770" s="9"/>
    </row>
    <row r="4771">
      <c r="A4771" s="6" t="s">
        <v>10133</v>
      </c>
      <c r="B4771" s="6" t="s">
        <v>307</v>
      </c>
      <c r="C4771" s="6" t="s">
        <v>48</v>
      </c>
      <c r="D4771" s="6" t="s">
        <v>10134</v>
      </c>
      <c r="E4771" s="6" t="s">
        <v>167</v>
      </c>
      <c r="F4771" s="6" t="s">
        <v>103</v>
      </c>
      <c r="G4771" s="7">
        <v>0.5</v>
      </c>
      <c r="H4771" s="6" t="s">
        <v>1050</v>
      </c>
      <c r="I4771" s="6" t="s">
        <v>20</v>
      </c>
      <c r="J4771" s="6">
        <v>2023.0</v>
      </c>
      <c r="L4771" s="6">
        <v>1.0</v>
      </c>
      <c r="M4771" s="8">
        <f t="shared" si="5"/>
        <v>0.5</v>
      </c>
      <c r="P4771" s="9"/>
    </row>
    <row r="4772">
      <c r="A4772" s="6" t="s">
        <v>10135</v>
      </c>
      <c r="B4772" s="6" t="s">
        <v>877</v>
      </c>
      <c r="C4772" s="6" t="s">
        <v>23</v>
      </c>
      <c r="D4772" s="6" t="s">
        <v>10136</v>
      </c>
      <c r="E4772" s="6" t="s">
        <v>112</v>
      </c>
      <c r="F4772" s="6" t="s">
        <v>65</v>
      </c>
      <c r="G4772" s="7">
        <v>0.06</v>
      </c>
      <c r="H4772" s="6" t="s">
        <v>881</v>
      </c>
      <c r="I4772" s="6" t="s">
        <v>20</v>
      </c>
      <c r="J4772" s="6">
        <v>2021.0</v>
      </c>
      <c r="K4772" s="10">
        <v>46082.0</v>
      </c>
      <c r="L4772" s="6">
        <v>1.0</v>
      </c>
      <c r="M4772" s="8">
        <f t="shared" si="5"/>
        <v>0.06</v>
      </c>
      <c r="P4772" s="9"/>
    </row>
    <row r="4773">
      <c r="A4773" s="6" t="s">
        <v>10137</v>
      </c>
      <c r="B4773" s="6" t="s">
        <v>796</v>
      </c>
      <c r="C4773" s="6" t="s">
        <v>34</v>
      </c>
      <c r="D4773" s="6" t="s">
        <v>10138</v>
      </c>
      <c r="E4773" s="6" t="s">
        <v>2621</v>
      </c>
      <c r="F4773" s="6" t="s">
        <v>103</v>
      </c>
      <c r="G4773" s="7">
        <v>0.1</v>
      </c>
      <c r="H4773" s="6" t="s">
        <v>209</v>
      </c>
      <c r="I4773" s="6" t="s">
        <v>20</v>
      </c>
      <c r="J4773" s="6">
        <v>2025.0</v>
      </c>
      <c r="L4773" s="6">
        <v>10.0</v>
      </c>
      <c r="M4773" s="8">
        <f t="shared" si="5"/>
        <v>1</v>
      </c>
      <c r="P4773" s="9"/>
    </row>
    <row r="4774">
      <c r="A4774" s="6" t="s">
        <v>10137</v>
      </c>
      <c r="B4774" s="6" t="s">
        <v>796</v>
      </c>
      <c r="C4774" s="6" t="s">
        <v>34</v>
      </c>
      <c r="D4774" s="6" t="s">
        <v>10138</v>
      </c>
      <c r="E4774" s="6" t="s">
        <v>2621</v>
      </c>
      <c r="F4774" s="6" t="s">
        <v>103</v>
      </c>
      <c r="G4774" s="7">
        <v>0.3</v>
      </c>
      <c r="H4774" s="6" t="s">
        <v>209</v>
      </c>
      <c r="I4774" s="6" t="s">
        <v>55</v>
      </c>
      <c r="J4774" s="6">
        <v>2025.0</v>
      </c>
      <c r="L4774" s="6">
        <v>1.0</v>
      </c>
      <c r="M4774" s="8">
        <f t="shared" si="5"/>
        <v>0.3</v>
      </c>
      <c r="P4774" s="9"/>
    </row>
    <row r="4775">
      <c r="A4775" s="6" t="s">
        <v>10139</v>
      </c>
      <c r="B4775" s="6" t="s">
        <v>10140</v>
      </c>
      <c r="C4775" s="6" t="s">
        <v>23</v>
      </c>
      <c r="D4775" s="6" t="s">
        <v>10141</v>
      </c>
      <c r="E4775" s="6" t="s">
        <v>86</v>
      </c>
      <c r="F4775" s="6" t="s">
        <v>717</v>
      </c>
      <c r="G4775" s="7">
        <v>0.09</v>
      </c>
      <c r="H4775" s="6" t="s">
        <v>3438</v>
      </c>
      <c r="I4775" s="6" t="s">
        <v>20</v>
      </c>
      <c r="J4775" s="6">
        <v>2009.0</v>
      </c>
      <c r="K4775" s="10">
        <v>46085.0</v>
      </c>
      <c r="L4775" s="6">
        <v>2.0</v>
      </c>
      <c r="M4775" s="8">
        <f t="shared" si="5"/>
        <v>0.18</v>
      </c>
      <c r="P4775" s="9"/>
    </row>
    <row r="4776">
      <c r="A4776" s="6" t="s">
        <v>10142</v>
      </c>
      <c r="B4776" s="6" t="s">
        <v>229</v>
      </c>
      <c r="C4776" s="6" t="s">
        <v>212</v>
      </c>
      <c r="D4776" s="6" t="s">
        <v>10143</v>
      </c>
      <c r="E4776" s="6" t="s">
        <v>231</v>
      </c>
      <c r="F4776" s="6" t="s">
        <v>37</v>
      </c>
      <c r="G4776" s="7">
        <v>0.15</v>
      </c>
      <c r="H4776" s="6" t="s">
        <v>209</v>
      </c>
      <c r="I4776" s="6" t="s">
        <v>20</v>
      </c>
      <c r="J4776" s="6">
        <v>2025.0</v>
      </c>
      <c r="L4776" s="6">
        <v>2.0</v>
      </c>
      <c r="M4776" s="8">
        <f t="shared" si="5"/>
        <v>0.3</v>
      </c>
      <c r="P4776" s="9"/>
    </row>
    <row r="4777">
      <c r="A4777" s="6" t="s">
        <v>10144</v>
      </c>
      <c r="B4777" s="6" t="s">
        <v>4693</v>
      </c>
      <c r="C4777" s="6" t="s">
        <v>23</v>
      </c>
      <c r="D4777" s="6" t="s">
        <v>10145</v>
      </c>
      <c r="E4777" s="6" t="s">
        <v>149</v>
      </c>
      <c r="F4777" s="6" t="s">
        <v>18</v>
      </c>
      <c r="G4777" s="7">
        <v>0.03</v>
      </c>
      <c r="H4777" s="6" t="s">
        <v>1084</v>
      </c>
      <c r="I4777" s="6" t="s">
        <v>20</v>
      </c>
      <c r="J4777" s="6">
        <v>2018.0</v>
      </c>
      <c r="K4777" s="10">
        <v>46024.0</v>
      </c>
      <c r="L4777" s="6">
        <v>2.0</v>
      </c>
      <c r="M4777" s="8">
        <f t="shared" si="5"/>
        <v>0.06</v>
      </c>
      <c r="P4777" s="9"/>
    </row>
    <row r="4778">
      <c r="A4778" s="6" t="s">
        <v>10144</v>
      </c>
      <c r="B4778" s="6" t="s">
        <v>4693</v>
      </c>
      <c r="C4778" s="6" t="s">
        <v>23</v>
      </c>
      <c r="D4778" s="6" t="s">
        <v>10145</v>
      </c>
      <c r="E4778" s="6" t="s">
        <v>149</v>
      </c>
      <c r="F4778" s="6" t="s">
        <v>18</v>
      </c>
      <c r="G4778" s="7">
        <v>0.1</v>
      </c>
      <c r="H4778" s="6" t="s">
        <v>786</v>
      </c>
      <c r="I4778" s="6" t="s">
        <v>20</v>
      </c>
      <c r="J4778" s="6">
        <v>2024.0</v>
      </c>
      <c r="K4778" s="10">
        <v>46024.0</v>
      </c>
      <c r="L4778" s="6">
        <v>1.0</v>
      </c>
      <c r="M4778" s="8">
        <f t="shared" si="5"/>
        <v>0.1</v>
      </c>
      <c r="P4778" s="9"/>
    </row>
    <row r="4779">
      <c r="A4779" s="6" t="s">
        <v>10146</v>
      </c>
      <c r="B4779" s="6" t="s">
        <v>2898</v>
      </c>
      <c r="C4779" s="6" t="s">
        <v>48</v>
      </c>
      <c r="D4779" s="6" t="s">
        <v>10147</v>
      </c>
      <c r="E4779" s="6" t="s">
        <v>611</v>
      </c>
      <c r="F4779" s="6" t="s">
        <v>103</v>
      </c>
      <c r="G4779" s="7">
        <v>0.06</v>
      </c>
      <c r="H4779" s="6" t="s">
        <v>701</v>
      </c>
      <c r="I4779" s="6" t="s">
        <v>20</v>
      </c>
      <c r="J4779" s="6">
        <v>2012.0</v>
      </c>
      <c r="K4779" s="10">
        <v>46026.0</v>
      </c>
      <c r="L4779" s="6">
        <v>1.0</v>
      </c>
      <c r="M4779" s="8">
        <f t="shared" si="5"/>
        <v>0.06</v>
      </c>
      <c r="P4779" s="9"/>
    </row>
    <row r="4780">
      <c r="A4780" s="6" t="s">
        <v>10148</v>
      </c>
      <c r="B4780" s="6" t="s">
        <v>10149</v>
      </c>
      <c r="C4780" s="6" t="s">
        <v>212</v>
      </c>
      <c r="D4780" s="6" t="s">
        <v>10150</v>
      </c>
      <c r="E4780" s="6" t="s">
        <v>10151</v>
      </c>
      <c r="F4780" s="6" t="s">
        <v>51</v>
      </c>
      <c r="G4780" s="7">
        <v>4.0</v>
      </c>
      <c r="H4780" s="6" t="s">
        <v>209</v>
      </c>
      <c r="I4780" s="6" t="s">
        <v>20</v>
      </c>
      <c r="J4780" s="6">
        <v>2025.0</v>
      </c>
      <c r="K4780" s="10">
        <v>46084.0</v>
      </c>
      <c r="L4780" s="6">
        <v>1.0</v>
      </c>
      <c r="M4780" s="8">
        <f t="shared" si="5"/>
        <v>4</v>
      </c>
      <c r="P4780" s="9"/>
    </row>
    <row r="4781">
      <c r="A4781" s="6" t="s">
        <v>10152</v>
      </c>
      <c r="B4781" s="6" t="s">
        <v>291</v>
      </c>
      <c r="C4781" s="6" t="s">
        <v>23</v>
      </c>
      <c r="D4781" s="6" t="s">
        <v>10153</v>
      </c>
      <c r="E4781" s="6" t="s">
        <v>25</v>
      </c>
      <c r="F4781" s="6" t="s">
        <v>18</v>
      </c>
      <c r="G4781" s="7">
        <v>0.04</v>
      </c>
      <c r="H4781" s="6" t="s">
        <v>1418</v>
      </c>
      <c r="I4781" s="6" t="s">
        <v>20</v>
      </c>
      <c r="J4781" s="6">
        <v>2010.0</v>
      </c>
      <c r="K4781" s="10">
        <v>46055.0</v>
      </c>
      <c r="L4781" s="6">
        <v>1.0</v>
      </c>
      <c r="M4781" s="8">
        <f t="shared" si="5"/>
        <v>0.04</v>
      </c>
      <c r="P4781" s="9"/>
    </row>
    <row r="4782">
      <c r="A4782" s="6" t="s">
        <v>10154</v>
      </c>
      <c r="B4782" s="6" t="s">
        <v>1828</v>
      </c>
      <c r="C4782" s="6" t="s">
        <v>48</v>
      </c>
      <c r="D4782" s="6" t="s">
        <v>10155</v>
      </c>
      <c r="E4782" s="6" t="s">
        <v>112</v>
      </c>
      <c r="F4782" s="6" t="s">
        <v>65</v>
      </c>
      <c r="G4782" s="7">
        <v>0.1</v>
      </c>
      <c r="H4782" s="6" t="s">
        <v>346</v>
      </c>
      <c r="I4782" s="6" t="s">
        <v>20</v>
      </c>
      <c r="J4782" s="6">
        <v>2024.0</v>
      </c>
      <c r="K4782" s="10">
        <v>46055.0</v>
      </c>
      <c r="L4782" s="6">
        <v>2.0</v>
      </c>
      <c r="M4782" s="8">
        <f t="shared" si="5"/>
        <v>0.2</v>
      </c>
      <c r="P4782" s="9"/>
    </row>
    <row r="4783">
      <c r="A4783" s="6" t="s">
        <v>10156</v>
      </c>
      <c r="B4783" s="6" t="s">
        <v>10157</v>
      </c>
      <c r="C4783" s="6" t="s">
        <v>48</v>
      </c>
      <c r="D4783" s="6" t="s">
        <v>10158</v>
      </c>
      <c r="E4783" s="6" t="s">
        <v>937</v>
      </c>
      <c r="F4783" s="6" t="s">
        <v>159</v>
      </c>
      <c r="G4783" s="7">
        <v>0.15</v>
      </c>
      <c r="H4783" s="6" t="s">
        <v>1050</v>
      </c>
      <c r="I4783" s="6" t="s">
        <v>20</v>
      </c>
      <c r="J4783" s="6">
        <v>2023.0</v>
      </c>
      <c r="K4783" s="10">
        <v>46116.0</v>
      </c>
      <c r="L4783" s="6">
        <v>2.0</v>
      </c>
      <c r="M4783" s="8">
        <f t="shared" si="5"/>
        <v>0.3</v>
      </c>
      <c r="P4783" s="9"/>
    </row>
    <row r="4784">
      <c r="A4784" s="6" t="s">
        <v>10159</v>
      </c>
      <c r="B4784" s="6" t="s">
        <v>10160</v>
      </c>
      <c r="C4784" s="6" t="s">
        <v>23</v>
      </c>
      <c r="D4784" s="6" t="s">
        <v>10161</v>
      </c>
      <c r="E4784" s="6" t="s">
        <v>153</v>
      </c>
      <c r="F4784" s="6" t="s">
        <v>103</v>
      </c>
      <c r="G4784" s="7">
        <v>0.03</v>
      </c>
      <c r="H4784" s="6" t="s">
        <v>526</v>
      </c>
      <c r="I4784" s="6" t="s">
        <v>20</v>
      </c>
      <c r="J4784" s="6">
        <v>2020.0</v>
      </c>
      <c r="K4784" s="10">
        <v>46084.0</v>
      </c>
      <c r="L4784" s="6">
        <v>4.0</v>
      </c>
      <c r="M4784" s="8">
        <f t="shared" si="5"/>
        <v>0.12</v>
      </c>
      <c r="P4784" s="9"/>
    </row>
    <row r="4785">
      <c r="A4785" s="6" t="s">
        <v>10162</v>
      </c>
      <c r="B4785" s="6" t="s">
        <v>10163</v>
      </c>
      <c r="C4785" s="6" t="s">
        <v>48</v>
      </c>
      <c r="D4785" s="6" t="s">
        <v>10164</v>
      </c>
      <c r="E4785" s="6" t="s">
        <v>602</v>
      </c>
      <c r="F4785" s="6" t="s">
        <v>159</v>
      </c>
      <c r="G4785" s="7">
        <v>0.14</v>
      </c>
      <c r="H4785" s="6" t="s">
        <v>192</v>
      </c>
      <c r="I4785" s="6" t="s">
        <v>20</v>
      </c>
      <c r="J4785" s="6">
        <v>2026.0</v>
      </c>
      <c r="K4785" s="10">
        <v>46147.0</v>
      </c>
      <c r="L4785" s="6">
        <v>1.0</v>
      </c>
      <c r="M4785" s="8">
        <f t="shared" si="5"/>
        <v>0.14</v>
      </c>
      <c r="P4785" s="9"/>
    </row>
    <row r="4786">
      <c r="A4786" s="6" t="s">
        <v>10165</v>
      </c>
      <c r="B4786" s="6" t="s">
        <v>372</v>
      </c>
      <c r="C4786" s="6" t="s">
        <v>23</v>
      </c>
      <c r="D4786" s="6" t="s">
        <v>10166</v>
      </c>
      <c r="E4786" s="6" t="s">
        <v>270</v>
      </c>
      <c r="F4786" s="6" t="s">
        <v>159</v>
      </c>
      <c r="G4786" s="7">
        <v>0.08</v>
      </c>
      <c r="H4786" s="6" t="s">
        <v>188</v>
      </c>
      <c r="I4786" s="6" t="s">
        <v>20</v>
      </c>
      <c r="J4786" s="6">
        <v>2014.0</v>
      </c>
      <c r="L4786" s="6">
        <v>1.0</v>
      </c>
      <c r="M4786" s="8">
        <f t="shared" si="5"/>
        <v>0.08</v>
      </c>
      <c r="P4786" s="9"/>
    </row>
    <row r="4787">
      <c r="A4787" s="6" t="s">
        <v>10167</v>
      </c>
      <c r="B4787" s="6" t="s">
        <v>6657</v>
      </c>
      <c r="C4787" s="6" t="s">
        <v>48</v>
      </c>
      <c r="D4787" s="6" t="s">
        <v>10168</v>
      </c>
      <c r="E4787" s="6" t="s">
        <v>1570</v>
      </c>
      <c r="F4787" s="6" t="s">
        <v>159</v>
      </c>
      <c r="G4787" s="7">
        <v>0.68</v>
      </c>
      <c r="H4787" s="6" t="s">
        <v>163</v>
      </c>
      <c r="I4787" s="6" t="s">
        <v>20</v>
      </c>
      <c r="J4787" s="6">
        <v>2023.0</v>
      </c>
      <c r="K4787" s="10">
        <v>46207.0</v>
      </c>
      <c r="L4787" s="6">
        <v>1.0</v>
      </c>
      <c r="M4787" s="8">
        <f t="shared" si="5"/>
        <v>0.68</v>
      </c>
      <c r="P4787" s="9"/>
    </row>
    <row r="4788">
      <c r="A4788" s="6" t="s">
        <v>10169</v>
      </c>
      <c r="B4788" s="6" t="s">
        <v>194</v>
      </c>
      <c r="C4788" s="6" t="s">
        <v>48</v>
      </c>
      <c r="D4788" s="6" t="s">
        <v>10170</v>
      </c>
      <c r="E4788" s="6" t="s">
        <v>196</v>
      </c>
      <c r="F4788" s="6" t="s">
        <v>65</v>
      </c>
      <c r="G4788" s="7">
        <v>0.18</v>
      </c>
      <c r="H4788" s="6" t="s">
        <v>245</v>
      </c>
      <c r="I4788" s="6" t="s">
        <v>20</v>
      </c>
      <c r="J4788" s="6">
        <v>1995.0</v>
      </c>
      <c r="L4788" s="6">
        <v>1.0</v>
      </c>
      <c r="M4788" s="8">
        <f t="shared" si="5"/>
        <v>0.18</v>
      </c>
      <c r="P4788" s="9"/>
    </row>
    <row r="4789">
      <c r="A4789" s="6" t="s">
        <v>10171</v>
      </c>
      <c r="B4789" s="6" t="s">
        <v>1882</v>
      </c>
      <c r="C4789" s="6" t="s">
        <v>41</v>
      </c>
      <c r="D4789" s="6" t="s">
        <v>10172</v>
      </c>
      <c r="E4789" s="6" t="s">
        <v>1771</v>
      </c>
      <c r="F4789" s="6" t="s">
        <v>51</v>
      </c>
      <c r="G4789" s="7">
        <v>2.0</v>
      </c>
      <c r="H4789" s="6" t="s">
        <v>607</v>
      </c>
      <c r="I4789" s="6" t="s">
        <v>20</v>
      </c>
      <c r="J4789" s="6">
        <v>1994.0</v>
      </c>
      <c r="K4789" s="10">
        <v>46144.0</v>
      </c>
      <c r="L4789" s="6">
        <v>1.0</v>
      </c>
      <c r="M4789" s="8">
        <f t="shared" si="5"/>
        <v>2</v>
      </c>
      <c r="N4789" s="6" t="s">
        <v>172</v>
      </c>
      <c r="P4789" s="9"/>
    </row>
    <row r="4790">
      <c r="A4790" s="6" t="s">
        <v>10173</v>
      </c>
      <c r="B4790" s="6" t="s">
        <v>8469</v>
      </c>
      <c r="C4790" s="6" t="s">
        <v>48</v>
      </c>
      <c r="D4790" s="6" t="s">
        <v>10174</v>
      </c>
      <c r="E4790" s="6" t="s">
        <v>175</v>
      </c>
      <c r="F4790" s="6" t="s">
        <v>51</v>
      </c>
      <c r="G4790" s="7">
        <v>0.15</v>
      </c>
      <c r="H4790" s="6" t="s">
        <v>645</v>
      </c>
      <c r="I4790" s="6" t="s">
        <v>20</v>
      </c>
      <c r="J4790" s="6">
        <v>2024.0</v>
      </c>
      <c r="K4790" s="10">
        <v>46024.0</v>
      </c>
      <c r="L4790" s="6">
        <v>1.0</v>
      </c>
      <c r="M4790" s="8">
        <f t="shared" si="5"/>
        <v>0.15</v>
      </c>
      <c r="P4790" s="9"/>
    </row>
    <row r="4791">
      <c r="A4791" s="6" t="s">
        <v>10175</v>
      </c>
      <c r="B4791" s="6" t="s">
        <v>250</v>
      </c>
      <c r="C4791" s="6" t="s">
        <v>449</v>
      </c>
      <c r="D4791" s="6" t="s">
        <v>10176</v>
      </c>
      <c r="E4791" s="6" t="s">
        <v>625</v>
      </c>
      <c r="F4791" s="6" t="s">
        <v>37</v>
      </c>
      <c r="G4791" s="7">
        <v>0.48</v>
      </c>
      <c r="H4791" s="6" t="s">
        <v>125</v>
      </c>
      <c r="I4791" s="6" t="s">
        <v>20</v>
      </c>
      <c r="J4791" s="6">
        <v>1996.0</v>
      </c>
      <c r="L4791" s="6">
        <v>1.0</v>
      </c>
      <c r="M4791" s="8">
        <f t="shared" si="5"/>
        <v>0.48</v>
      </c>
      <c r="P4791" s="9"/>
    </row>
    <row r="4792">
      <c r="A4792" s="6" t="s">
        <v>10175</v>
      </c>
      <c r="B4792" s="6" t="s">
        <v>250</v>
      </c>
      <c r="C4792" s="6" t="s">
        <v>449</v>
      </c>
      <c r="D4792" s="6" t="s">
        <v>10177</v>
      </c>
      <c r="E4792" s="6" t="s">
        <v>243</v>
      </c>
      <c r="F4792" s="6" t="s">
        <v>37</v>
      </c>
      <c r="G4792" s="7">
        <v>0.09</v>
      </c>
      <c r="H4792" s="6" t="s">
        <v>10178</v>
      </c>
      <c r="I4792" s="6" t="s">
        <v>20</v>
      </c>
      <c r="J4792" s="6">
        <v>2000.0</v>
      </c>
      <c r="L4792" s="6">
        <v>1.0</v>
      </c>
      <c r="M4792" s="8">
        <f t="shared" si="5"/>
        <v>0.09</v>
      </c>
      <c r="P4792" s="9"/>
    </row>
    <row r="4793">
      <c r="A4793" s="6" t="s">
        <v>10179</v>
      </c>
      <c r="B4793" s="6" t="s">
        <v>3121</v>
      </c>
      <c r="C4793" s="6" t="s">
        <v>48</v>
      </c>
      <c r="D4793" s="6" t="s">
        <v>10180</v>
      </c>
      <c r="E4793" s="6" t="s">
        <v>458</v>
      </c>
      <c r="F4793" s="6" t="s">
        <v>18</v>
      </c>
      <c r="G4793" s="7">
        <v>0.06</v>
      </c>
      <c r="H4793" s="6" t="s">
        <v>66</v>
      </c>
      <c r="I4793" s="6" t="s">
        <v>20</v>
      </c>
      <c r="J4793" s="6">
        <v>2016.0</v>
      </c>
      <c r="K4793" s="10">
        <v>46146.0</v>
      </c>
      <c r="L4793" s="6">
        <v>3.0</v>
      </c>
      <c r="M4793" s="8">
        <f t="shared" si="5"/>
        <v>0.18</v>
      </c>
      <c r="P4793" s="9"/>
    </row>
    <row r="4794">
      <c r="A4794" s="6" t="s">
        <v>10181</v>
      </c>
      <c r="B4794" s="6" t="s">
        <v>10182</v>
      </c>
      <c r="C4794" s="6" t="s">
        <v>23</v>
      </c>
      <c r="D4794" s="6" t="s">
        <v>10183</v>
      </c>
      <c r="E4794" s="6" t="s">
        <v>196</v>
      </c>
      <c r="F4794" s="6" t="s">
        <v>65</v>
      </c>
      <c r="G4794" s="7">
        <v>0.04</v>
      </c>
      <c r="H4794" s="6" t="s">
        <v>136</v>
      </c>
      <c r="I4794" s="6" t="s">
        <v>20</v>
      </c>
      <c r="J4794" s="6">
        <v>2022.0</v>
      </c>
      <c r="K4794" s="10">
        <v>46023.0</v>
      </c>
      <c r="L4794" s="6">
        <v>1.0</v>
      </c>
      <c r="M4794" s="8">
        <f t="shared" si="5"/>
        <v>0.04</v>
      </c>
      <c r="P4794" s="9"/>
    </row>
    <row r="4795">
      <c r="A4795" s="6" t="s">
        <v>10184</v>
      </c>
      <c r="B4795" s="6" t="s">
        <v>10185</v>
      </c>
      <c r="C4795" s="6" t="s">
        <v>23</v>
      </c>
      <c r="D4795" s="6" t="s">
        <v>10186</v>
      </c>
      <c r="E4795" s="6" t="s">
        <v>1005</v>
      </c>
      <c r="F4795" s="6" t="s">
        <v>65</v>
      </c>
      <c r="G4795" s="7">
        <v>0.09</v>
      </c>
      <c r="H4795" s="6" t="s">
        <v>1519</v>
      </c>
      <c r="I4795" s="6" t="s">
        <v>20</v>
      </c>
      <c r="J4795" s="6">
        <v>2005.0</v>
      </c>
      <c r="K4795" s="10">
        <v>46084.0</v>
      </c>
      <c r="L4795" s="6">
        <v>1.0</v>
      </c>
      <c r="M4795" s="8">
        <f t="shared" si="5"/>
        <v>0.09</v>
      </c>
      <c r="P4795" s="9"/>
    </row>
    <row r="4796">
      <c r="A4796" s="6" t="s">
        <v>10187</v>
      </c>
      <c r="B4796" s="6" t="s">
        <v>2594</v>
      </c>
      <c r="C4796" s="6" t="s">
        <v>23</v>
      </c>
      <c r="D4796" s="6" t="s">
        <v>10188</v>
      </c>
      <c r="E4796" s="6" t="s">
        <v>64</v>
      </c>
      <c r="F4796" s="6" t="s">
        <v>65</v>
      </c>
      <c r="G4796" s="7">
        <v>0.06</v>
      </c>
      <c r="H4796" s="6" t="s">
        <v>271</v>
      </c>
      <c r="I4796" s="6" t="s">
        <v>20</v>
      </c>
      <c r="J4796" s="6">
        <v>2012.0</v>
      </c>
      <c r="K4796" s="10">
        <v>46024.0</v>
      </c>
      <c r="L4796" s="6">
        <v>1.0</v>
      </c>
      <c r="M4796" s="8">
        <f t="shared" si="5"/>
        <v>0.06</v>
      </c>
      <c r="P4796" s="9"/>
    </row>
    <row r="4797">
      <c r="A4797" s="6" t="s">
        <v>10189</v>
      </c>
      <c r="B4797" s="6" t="s">
        <v>1052</v>
      </c>
      <c r="C4797" s="6" t="s">
        <v>23</v>
      </c>
      <c r="D4797" s="6" t="s">
        <v>10190</v>
      </c>
      <c r="E4797" s="6" t="s">
        <v>303</v>
      </c>
      <c r="F4797" s="6" t="s">
        <v>37</v>
      </c>
      <c r="G4797" s="7">
        <v>0.12</v>
      </c>
      <c r="H4797" s="6" t="s">
        <v>31</v>
      </c>
      <c r="I4797" s="6" t="s">
        <v>20</v>
      </c>
      <c r="J4797" s="6">
        <v>2026.0</v>
      </c>
      <c r="L4797" s="6">
        <v>1.0</v>
      </c>
      <c r="M4797" s="8">
        <f t="shared" si="5"/>
        <v>0.12</v>
      </c>
      <c r="P4797" s="9"/>
    </row>
    <row r="4798">
      <c r="A4798" s="6" t="s">
        <v>10191</v>
      </c>
      <c r="B4798" s="6" t="s">
        <v>2257</v>
      </c>
      <c r="C4798" s="6" t="s">
        <v>34</v>
      </c>
      <c r="D4798" s="6" t="s">
        <v>10192</v>
      </c>
      <c r="E4798" s="6" t="s">
        <v>1901</v>
      </c>
      <c r="F4798" s="6" t="s">
        <v>37</v>
      </c>
      <c r="G4798" s="7">
        <v>1.86</v>
      </c>
      <c r="H4798" s="6" t="s">
        <v>10193</v>
      </c>
      <c r="I4798" s="6" t="s">
        <v>55</v>
      </c>
      <c r="J4798" s="6">
        <v>2026.0</v>
      </c>
      <c r="L4798" s="6">
        <v>2.0</v>
      </c>
      <c r="M4798" s="8">
        <f t="shared" si="5"/>
        <v>3.72</v>
      </c>
      <c r="P4798" s="9"/>
    </row>
    <row r="4799">
      <c r="A4799" s="6" t="s">
        <v>10194</v>
      </c>
      <c r="B4799" s="6" t="s">
        <v>10195</v>
      </c>
      <c r="C4799" s="6" t="s">
        <v>23</v>
      </c>
      <c r="D4799" s="6" t="s">
        <v>10196</v>
      </c>
      <c r="E4799" s="6" t="s">
        <v>64</v>
      </c>
      <c r="F4799" s="6" t="s">
        <v>65</v>
      </c>
      <c r="G4799" s="7">
        <v>0.05</v>
      </c>
      <c r="H4799" s="6" t="s">
        <v>645</v>
      </c>
      <c r="I4799" s="6" t="s">
        <v>20</v>
      </c>
      <c r="J4799" s="6">
        <v>2024.0</v>
      </c>
      <c r="K4799" s="10">
        <v>46083.0</v>
      </c>
      <c r="L4799" s="6">
        <v>1.0</v>
      </c>
      <c r="M4799" s="8">
        <f t="shared" si="5"/>
        <v>0.05</v>
      </c>
      <c r="P4799" s="9"/>
    </row>
    <row r="4800">
      <c r="A4800" s="6" t="s">
        <v>10197</v>
      </c>
      <c r="B4800" s="6" t="s">
        <v>182</v>
      </c>
      <c r="C4800" s="6" t="s">
        <v>23</v>
      </c>
      <c r="D4800" s="6" t="s">
        <v>10198</v>
      </c>
      <c r="E4800" s="6" t="s">
        <v>1092</v>
      </c>
      <c r="F4800" s="6" t="s">
        <v>103</v>
      </c>
      <c r="G4800" s="7">
        <v>0.1</v>
      </c>
      <c r="H4800" s="6" t="s">
        <v>10199</v>
      </c>
      <c r="I4800" s="6" t="s">
        <v>20</v>
      </c>
      <c r="J4800" s="6">
        <v>2000.0</v>
      </c>
      <c r="L4800" s="6">
        <v>1.0</v>
      </c>
      <c r="M4800" s="8">
        <f t="shared" si="5"/>
        <v>0.1</v>
      </c>
      <c r="P4800" s="9"/>
    </row>
    <row r="4801">
      <c r="A4801" s="6" t="s">
        <v>10200</v>
      </c>
      <c r="B4801" s="6" t="s">
        <v>194</v>
      </c>
      <c r="C4801" s="6" t="s">
        <v>521</v>
      </c>
      <c r="D4801" s="6" t="s">
        <v>10201</v>
      </c>
      <c r="E4801" s="6" t="s">
        <v>1092</v>
      </c>
      <c r="F4801" s="6" t="s">
        <v>2954</v>
      </c>
      <c r="G4801" s="7">
        <v>0.47</v>
      </c>
      <c r="H4801" s="6" t="s">
        <v>10202</v>
      </c>
      <c r="I4801" s="6" t="s">
        <v>20</v>
      </c>
      <c r="J4801" s="6">
        <v>2016.0</v>
      </c>
      <c r="L4801" s="6">
        <v>2.0</v>
      </c>
      <c r="M4801" s="8">
        <f t="shared" si="5"/>
        <v>0.94</v>
      </c>
      <c r="P4801" s="9"/>
    </row>
    <row r="4802">
      <c r="A4802" s="6" t="s">
        <v>10203</v>
      </c>
      <c r="B4802" s="6" t="s">
        <v>10204</v>
      </c>
      <c r="C4802" s="6" t="s">
        <v>48</v>
      </c>
      <c r="D4802" s="6" t="s">
        <v>10205</v>
      </c>
      <c r="E4802" s="6" t="s">
        <v>890</v>
      </c>
      <c r="F4802" s="6" t="s">
        <v>37</v>
      </c>
      <c r="G4802" s="7">
        <v>2.35</v>
      </c>
      <c r="H4802" s="6" t="s">
        <v>26</v>
      </c>
      <c r="I4802" s="6" t="s">
        <v>20</v>
      </c>
      <c r="J4802" s="6">
        <v>2026.0</v>
      </c>
      <c r="K4802" s="10">
        <v>46116.0</v>
      </c>
      <c r="L4802" s="6">
        <v>1.0</v>
      </c>
      <c r="M4802" s="8">
        <f t="shared" si="5"/>
        <v>2.35</v>
      </c>
      <c r="P4802" s="9"/>
    </row>
    <row r="4803">
      <c r="A4803" s="6" t="s">
        <v>10206</v>
      </c>
      <c r="B4803" s="6" t="s">
        <v>10207</v>
      </c>
      <c r="C4803" s="6" t="s">
        <v>287</v>
      </c>
      <c r="D4803" s="6" t="s">
        <v>10208</v>
      </c>
      <c r="E4803" s="6" t="s">
        <v>167</v>
      </c>
      <c r="F4803" s="6" t="s">
        <v>103</v>
      </c>
      <c r="G4803" s="7">
        <v>0.15</v>
      </c>
      <c r="H4803" s="6" t="s">
        <v>316</v>
      </c>
      <c r="I4803" s="6" t="s">
        <v>20</v>
      </c>
      <c r="J4803" s="6">
        <v>2016.0</v>
      </c>
      <c r="K4803" s="10">
        <v>46023.0</v>
      </c>
      <c r="L4803" s="6">
        <v>4.0</v>
      </c>
      <c r="M4803" s="8">
        <f t="shared" si="5"/>
        <v>0.6</v>
      </c>
      <c r="P4803" s="9"/>
    </row>
    <row r="4804">
      <c r="A4804" s="6" t="s">
        <v>10209</v>
      </c>
      <c r="B4804" s="6" t="s">
        <v>156</v>
      </c>
      <c r="C4804" s="6" t="s">
        <v>48</v>
      </c>
      <c r="D4804" s="6" t="s">
        <v>10210</v>
      </c>
      <c r="E4804" s="6" t="s">
        <v>650</v>
      </c>
      <c r="F4804" s="6" t="s">
        <v>284</v>
      </c>
      <c r="G4804" s="7">
        <v>0.09</v>
      </c>
      <c r="H4804" s="6" t="s">
        <v>114</v>
      </c>
      <c r="I4804" s="6" t="s">
        <v>20</v>
      </c>
      <c r="J4804" s="6">
        <v>2021.0</v>
      </c>
      <c r="K4804" s="10">
        <v>46083.0</v>
      </c>
      <c r="L4804" s="6">
        <v>1.0</v>
      </c>
      <c r="M4804" s="8">
        <f t="shared" si="5"/>
        <v>0.09</v>
      </c>
      <c r="P4804" s="9"/>
    </row>
    <row r="4805">
      <c r="A4805" s="6" t="s">
        <v>10211</v>
      </c>
      <c r="B4805" s="6" t="s">
        <v>4619</v>
      </c>
      <c r="C4805" s="6" t="s">
        <v>48</v>
      </c>
      <c r="D4805" s="6" t="s">
        <v>10212</v>
      </c>
      <c r="E4805" s="6" t="s">
        <v>235</v>
      </c>
      <c r="F4805" s="6" t="s">
        <v>103</v>
      </c>
      <c r="G4805" s="7">
        <v>0.06</v>
      </c>
      <c r="H4805" s="6" t="s">
        <v>491</v>
      </c>
      <c r="I4805" s="6" t="s">
        <v>20</v>
      </c>
      <c r="J4805" s="6">
        <v>2011.0</v>
      </c>
      <c r="K4805" s="10">
        <v>46055.0</v>
      </c>
      <c r="L4805" s="6">
        <v>2.0</v>
      </c>
      <c r="M4805" s="8">
        <f t="shared" si="5"/>
        <v>0.12</v>
      </c>
      <c r="P4805" s="9"/>
    </row>
    <row r="4806">
      <c r="A4806" s="6" t="s">
        <v>10213</v>
      </c>
      <c r="B4806" s="6" t="s">
        <v>10214</v>
      </c>
      <c r="C4806" s="6" t="s">
        <v>48</v>
      </c>
      <c r="D4806" s="6" t="s">
        <v>10215</v>
      </c>
      <c r="E4806" s="6" t="s">
        <v>196</v>
      </c>
      <c r="F4806" s="6" t="s">
        <v>65</v>
      </c>
      <c r="G4806" s="7">
        <v>0.2</v>
      </c>
      <c r="H4806" s="6" t="s">
        <v>93</v>
      </c>
      <c r="I4806" s="6" t="s">
        <v>20</v>
      </c>
      <c r="J4806" s="6">
        <v>2016.0</v>
      </c>
      <c r="K4806" s="10">
        <v>46023.0</v>
      </c>
      <c r="L4806" s="6">
        <v>1.0</v>
      </c>
      <c r="M4806" s="8">
        <f t="shared" si="5"/>
        <v>0.2</v>
      </c>
      <c r="P4806" s="9"/>
    </row>
    <row r="4807">
      <c r="A4807" s="6" t="s">
        <v>10216</v>
      </c>
      <c r="B4807" s="6" t="s">
        <v>194</v>
      </c>
      <c r="C4807" s="6" t="s">
        <v>521</v>
      </c>
      <c r="D4807" s="6" t="s">
        <v>10217</v>
      </c>
      <c r="E4807" s="6" t="s">
        <v>167</v>
      </c>
      <c r="F4807" s="6" t="s">
        <v>2954</v>
      </c>
      <c r="G4807" s="7">
        <v>4.0</v>
      </c>
      <c r="H4807" s="6" t="s">
        <v>380</v>
      </c>
      <c r="I4807" s="6" t="s">
        <v>55</v>
      </c>
      <c r="J4807" s="6">
        <v>2025.0</v>
      </c>
      <c r="L4807" s="6">
        <v>1.0</v>
      </c>
      <c r="M4807" s="8">
        <f t="shared" si="5"/>
        <v>4</v>
      </c>
      <c r="P4807" s="9"/>
    </row>
    <row r="4808">
      <c r="A4808" s="6" t="s">
        <v>10218</v>
      </c>
      <c r="B4808" s="6" t="s">
        <v>10214</v>
      </c>
      <c r="C4808" s="6" t="s">
        <v>23</v>
      </c>
      <c r="D4808" s="6" t="s">
        <v>10219</v>
      </c>
      <c r="E4808" s="6" t="s">
        <v>270</v>
      </c>
      <c r="F4808" s="6" t="s">
        <v>159</v>
      </c>
      <c r="G4808" s="7">
        <v>0.08</v>
      </c>
      <c r="H4808" s="7" t="s">
        <v>491</v>
      </c>
      <c r="I4808" s="6" t="s">
        <v>20</v>
      </c>
      <c r="J4808" s="6">
        <v>2011.0</v>
      </c>
      <c r="K4808" s="10">
        <v>46083.0</v>
      </c>
      <c r="L4808" s="6">
        <v>1.0</v>
      </c>
      <c r="M4808" s="8">
        <f t="shared" si="5"/>
        <v>0.08</v>
      </c>
      <c r="P4808" s="9"/>
    </row>
    <row r="4809">
      <c r="A4809" s="6" t="s">
        <v>10220</v>
      </c>
      <c r="B4809" s="6" t="s">
        <v>10221</v>
      </c>
      <c r="C4809" s="6" t="s">
        <v>23</v>
      </c>
      <c r="D4809" s="6" t="s">
        <v>10222</v>
      </c>
      <c r="E4809" s="6" t="s">
        <v>270</v>
      </c>
      <c r="F4809" s="6" t="s">
        <v>159</v>
      </c>
      <c r="G4809" s="7">
        <v>0.08</v>
      </c>
      <c r="H4809" s="6" t="s">
        <v>491</v>
      </c>
      <c r="I4809" s="6" t="s">
        <v>20</v>
      </c>
      <c r="J4809" s="6">
        <v>2011.0</v>
      </c>
      <c r="K4809" s="10">
        <v>46083.0</v>
      </c>
      <c r="L4809" s="6">
        <v>1.0</v>
      </c>
      <c r="M4809" s="8">
        <f t="shared" si="5"/>
        <v>0.08</v>
      </c>
      <c r="P4809" s="9"/>
    </row>
    <row r="4810">
      <c r="A4810" s="6" t="s">
        <v>10223</v>
      </c>
      <c r="B4810" s="6" t="s">
        <v>1900</v>
      </c>
      <c r="C4810" s="6" t="s">
        <v>1900</v>
      </c>
      <c r="D4810" s="6" t="s">
        <v>1900</v>
      </c>
      <c r="E4810" s="6" t="s">
        <v>1901</v>
      </c>
      <c r="F4810" s="6" t="s">
        <v>1901</v>
      </c>
      <c r="G4810" s="7">
        <v>0.5</v>
      </c>
      <c r="H4810" s="6" t="s">
        <v>7850</v>
      </c>
      <c r="I4810" s="6" t="s">
        <v>20</v>
      </c>
      <c r="J4810" s="6">
        <v>2026.0</v>
      </c>
      <c r="K4810" s="10">
        <v>46024.0</v>
      </c>
      <c r="L4810" s="6">
        <v>2.0</v>
      </c>
      <c r="M4810" s="8">
        <f t="shared" si="5"/>
        <v>1</v>
      </c>
      <c r="P4810" s="9"/>
    </row>
    <row r="4811">
      <c r="A4811" s="6" t="s">
        <v>10224</v>
      </c>
      <c r="B4811" s="6" t="s">
        <v>68</v>
      </c>
      <c r="C4811" s="6" t="s">
        <v>48</v>
      </c>
      <c r="D4811" s="6" t="s">
        <v>10225</v>
      </c>
      <c r="F4811" s="6" t="s">
        <v>37</v>
      </c>
      <c r="G4811" s="7">
        <v>0.6</v>
      </c>
      <c r="H4811" s="6" t="s">
        <v>31</v>
      </c>
      <c r="I4811" s="6" t="s">
        <v>20</v>
      </c>
      <c r="J4811" s="6">
        <v>2026.0</v>
      </c>
      <c r="L4811" s="6">
        <v>1.0</v>
      </c>
      <c r="M4811" s="8">
        <f t="shared" si="5"/>
        <v>0.6</v>
      </c>
      <c r="P4811" s="9"/>
    </row>
    <row r="4812">
      <c r="A4812" s="6" t="s">
        <v>10226</v>
      </c>
      <c r="B4812" s="6" t="s">
        <v>10227</v>
      </c>
      <c r="C4812" s="6" t="s">
        <v>212</v>
      </c>
      <c r="D4812" s="6" t="s">
        <v>10228</v>
      </c>
      <c r="E4812" s="6" t="s">
        <v>8832</v>
      </c>
      <c r="F4812" s="6" t="s">
        <v>103</v>
      </c>
      <c r="G4812" s="7">
        <v>8.39</v>
      </c>
      <c r="H4812" s="6" t="s">
        <v>209</v>
      </c>
      <c r="I4812" s="6" t="s">
        <v>20</v>
      </c>
      <c r="J4812" s="6">
        <v>2025.0</v>
      </c>
      <c r="K4812" s="10">
        <v>46055.0</v>
      </c>
      <c r="L4812" s="6">
        <v>1.0</v>
      </c>
      <c r="M4812" s="8">
        <f t="shared" si="5"/>
        <v>8.39</v>
      </c>
      <c r="P4812" s="9"/>
    </row>
    <row r="4813">
      <c r="A4813" s="6" t="s">
        <v>10229</v>
      </c>
      <c r="B4813" s="6" t="s">
        <v>796</v>
      </c>
      <c r="C4813" s="6" t="s">
        <v>34</v>
      </c>
      <c r="D4813" s="6" t="s">
        <v>10230</v>
      </c>
      <c r="E4813" s="6" t="s">
        <v>2621</v>
      </c>
      <c r="F4813" s="6" t="s">
        <v>103</v>
      </c>
      <c r="G4813" s="7">
        <v>0.15</v>
      </c>
      <c r="H4813" s="6" t="s">
        <v>209</v>
      </c>
      <c r="I4813" s="6" t="s">
        <v>20</v>
      </c>
      <c r="J4813" s="6">
        <v>2025.0</v>
      </c>
      <c r="L4813" s="6">
        <v>15.0</v>
      </c>
      <c r="M4813" s="8">
        <f t="shared" si="5"/>
        <v>2.25</v>
      </c>
      <c r="P4813" s="9"/>
    </row>
    <row r="4814">
      <c r="A4814" s="6" t="s">
        <v>10231</v>
      </c>
      <c r="B4814" s="6" t="s">
        <v>10232</v>
      </c>
      <c r="C4814" s="6" t="s">
        <v>15</v>
      </c>
      <c r="D4814" s="6" t="s">
        <v>10233</v>
      </c>
      <c r="E4814" s="6" t="s">
        <v>2028</v>
      </c>
      <c r="F4814" s="6" t="s">
        <v>103</v>
      </c>
      <c r="G4814" s="7">
        <v>0.25</v>
      </c>
      <c r="H4814" s="6" t="s">
        <v>515</v>
      </c>
      <c r="I4814" s="6" t="s">
        <v>20</v>
      </c>
      <c r="J4814" s="6">
        <v>2019.0</v>
      </c>
      <c r="K4814" s="10">
        <v>46083.0</v>
      </c>
      <c r="L4814" s="6">
        <v>1.0</v>
      </c>
      <c r="M4814" s="8">
        <f t="shared" si="5"/>
        <v>0.25</v>
      </c>
      <c r="P4814" s="9"/>
    </row>
    <row r="4815">
      <c r="A4815" s="6" t="s">
        <v>10234</v>
      </c>
      <c r="B4815" s="6" t="s">
        <v>729</v>
      </c>
      <c r="C4815" s="6" t="s">
        <v>23</v>
      </c>
      <c r="D4815" s="6" t="s">
        <v>10235</v>
      </c>
      <c r="E4815" s="6" t="s">
        <v>1965</v>
      </c>
      <c r="F4815" s="6" t="s">
        <v>426</v>
      </c>
      <c r="G4815" s="7">
        <v>0.05</v>
      </c>
      <c r="H4815" s="6" t="s">
        <v>45</v>
      </c>
      <c r="I4815" s="6" t="s">
        <v>20</v>
      </c>
      <c r="J4815" s="6">
        <v>2025.0</v>
      </c>
      <c r="K4815" s="10">
        <v>46083.0</v>
      </c>
      <c r="L4815" s="6">
        <v>5.0</v>
      </c>
      <c r="M4815" s="8">
        <f t="shared" si="5"/>
        <v>0.25</v>
      </c>
      <c r="P4815" s="9"/>
    </row>
    <row r="4816">
      <c r="A4816" s="6" t="s">
        <v>10236</v>
      </c>
      <c r="B4816" s="6" t="s">
        <v>62</v>
      </c>
      <c r="C4816" s="6" t="s">
        <v>23</v>
      </c>
      <c r="D4816" s="6" t="s">
        <v>10237</v>
      </c>
      <c r="E4816" s="6" t="s">
        <v>270</v>
      </c>
      <c r="F4816" s="6" t="s">
        <v>159</v>
      </c>
      <c r="G4816" s="7">
        <v>0.06</v>
      </c>
      <c r="H4816" s="6" t="s">
        <v>184</v>
      </c>
      <c r="I4816" s="6" t="s">
        <v>20</v>
      </c>
      <c r="J4816" s="6">
        <v>2015.0</v>
      </c>
      <c r="L4816" s="6">
        <v>2.0</v>
      </c>
      <c r="M4816" s="8">
        <f t="shared" si="5"/>
        <v>0.12</v>
      </c>
      <c r="P4816" s="9"/>
    </row>
    <row r="4817">
      <c r="A4817" s="6" t="s">
        <v>10238</v>
      </c>
      <c r="B4817" s="6" t="s">
        <v>10239</v>
      </c>
      <c r="C4817" s="6" t="s">
        <v>571</v>
      </c>
      <c r="D4817" s="6" t="s">
        <v>10240</v>
      </c>
      <c r="E4817" s="6" t="s">
        <v>214</v>
      </c>
      <c r="F4817" s="6" t="s">
        <v>7428</v>
      </c>
      <c r="G4817" s="7">
        <v>0.24</v>
      </c>
      <c r="H4817" s="6" t="s">
        <v>994</v>
      </c>
      <c r="I4817" s="6" t="s">
        <v>20</v>
      </c>
      <c r="J4817" s="6">
        <v>2024.0</v>
      </c>
      <c r="K4817" s="10">
        <v>46056.0</v>
      </c>
      <c r="L4817" s="6">
        <v>1.0</v>
      </c>
      <c r="M4817" s="8">
        <f t="shared" si="5"/>
        <v>0.24</v>
      </c>
      <c r="P4817" s="9"/>
    </row>
    <row r="4818">
      <c r="A4818" s="6" t="s">
        <v>10241</v>
      </c>
      <c r="B4818" s="6" t="s">
        <v>372</v>
      </c>
      <c r="C4818" s="6" t="s">
        <v>23</v>
      </c>
      <c r="D4818" s="6" t="s">
        <v>10242</v>
      </c>
      <c r="E4818" s="6" t="s">
        <v>167</v>
      </c>
      <c r="F4818" s="6" t="s">
        <v>103</v>
      </c>
      <c r="G4818" s="7">
        <v>0.05</v>
      </c>
      <c r="H4818" s="6" t="s">
        <v>626</v>
      </c>
      <c r="I4818" s="6" t="s">
        <v>20</v>
      </c>
      <c r="J4818" s="6">
        <v>2013.0</v>
      </c>
      <c r="L4818" s="6">
        <v>6.0</v>
      </c>
      <c r="M4818" s="8">
        <f t="shared" si="5"/>
        <v>0.3</v>
      </c>
      <c r="P4818" s="9"/>
    </row>
    <row r="4819">
      <c r="A4819" s="6" t="s">
        <v>10243</v>
      </c>
      <c r="B4819" s="6" t="s">
        <v>143</v>
      </c>
      <c r="C4819" s="6" t="s">
        <v>23</v>
      </c>
      <c r="D4819" s="6" t="s">
        <v>10244</v>
      </c>
      <c r="E4819" s="6" t="s">
        <v>303</v>
      </c>
      <c r="F4819" s="6" t="s">
        <v>37</v>
      </c>
      <c r="G4819" s="7">
        <v>1.79</v>
      </c>
      <c r="H4819" s="6" t="s">
        <v>305</v>
      </c>
      <c r="I4819" s="6" t="s">
        <v>20</v>
      </c>
      <c r="J4819" s="6">
        <v>2003.0</v>
      </c>
      <c r="L4819" s="6">
        <v>1.0</v>
      </c>
      <c r="M4819" s="8">
        <f t="shared" si="5"/>
        <v>1.79</v>
      </c>
      <c r="N4819" s="6" t="s">
        <v>172</v>
      </c>
      <c r="P4819" s="9"/>
    </row>
    <row r="4820">
      <c r="A4820" s="6" t="s">
        <v>10243</v>
      </c>
      <c r="B4820" s="6" t="s">
        <v>143</v>
      </c>
      <c r="C4820" s="6" t="s">
        <v>23</v>
      </c>
      <c r="D4820" s="6" t="s">
        <v>10244</v>
      </c>
      <c r="E4820" s="6" t="s">
        <v>303</v>
      </c>
      <c r="F4820" s="6" t="s">
        <v>37</v>
      </c>
      <c r="G4820" s="7">
        <v>1.79</v>
      </c>
      <c r="H4820" s="6" t="s">
        <v>305</v>
      </c>
      <c r="I4820" s="6" t="s">
        <v>20</v>
      </c>
      <c r="J4820" s="6">
        <v>2003.0</v>
      </c>
      <c r="L4820" s="6">
        <v>1.0</v>
      </c>
      <c r="M4820" s="8">
        <f t="shared" si="5"/>
        <v>1.79</v>
      </c>
      <c r="N4820" s="6" t="s">
        <v>172</v>
      </c>
      <c r="P4820" s="9"/>
    </row>
    <row r="4821">
      <c r="A4821" s="6" t="s">
        <v>10245</v>
      </c>
      <c r="B4821" s="6" t="s">
        <v>202</v>
      </c>
      <c r="C4821" s="6" t="s">
        <v>48</v>
      </c>
      <c r="D4821" s="6" t="s">
        <v>10246</v>
      </c>
      <c r="E4821" s="6" t="s">
        <v>3477</v>
      </c>
      <c r="F4821" s="6" t="s">
        <v>159</v>
      </c>
      <c r="G4821" s="7">
        <v>3.8</v>
      </c>
      <c r="H4821" s="6" t="s">
        <v>146</v>
      </c>
      <c r="I4821" s="6" t="s">
        <v>20</v>
      </c>
      <c r="J4821" s="6">
        <v>2010.0</v>
      </c>
      <c r="L4821" s="6">
        <v>2.0</v>
      </c>
      <c r="M4821" s="8">
        <f t="shared" si="5"/>
        <v>7.6</v>
      </c>
      <c r="N4821" s="6" t="s">
        <v>172</v>
      </c>
      <c r="P4821" s="9"/>
    </row>
    <row r="4822">
      <c r="A4822" s="6" t="s">
        <v>10247</v>
      </c>
      <c r="B4822" s="6" t="s">
        <v>10248</v>
      </c>
      <c r="C4822" s="6" t="s">
        <v>10249</v>
      </c>
      <c r="D4822" s="6" t="s">
        <v>10250</v>
      </c>
      <c r="E4822" s="6" t="s">
        <v>238</v>
      </c>
      <c r="F4822" s="6" t="s">
        <v>159</v>
      </c>
      <c r="G4822" s="7">
        <v>0.5</v>
      </c>
      <c r="H4822" s="6" t="s">
        <v>10251</v>
      </c>
      <c r="I4822" s="6" t="s">
        <v>55</v>
      </c>
      <c r="J4822" s="6">
        <v>2026.0</v>
      </c>
      <c r="K4822" s="10">
        <v>46023.0</v>
      </c>
      <c r="L4822" s="6">
        <v>1.0</v>
      </c>
      <c r="M4822" s="8">
        <f t="shared" si="5"/>
        <v>0.5</v>
      </c>
      <c r="P4822" s="9"/>
    </row>
    <row r="4823">
      <c r="A4823" s="6" t="s">
        <v>10252</v>
      </c>
      <c r="B4823" s="6" t="s">
        <v>165</v>
      </c>
      <c r="C4823" s="6" t="s">
        <v>34</v>
      </c>
      <c r="D4823" s="6" t="s">
        <v>10253</v>
      </c>
      <c r="E4823" s="6" t="s">
        <v>238</v>
      </c>
      <c r="F4823" s="6" t="s">
        <v>159</v>
      </c>
      <c r="G4823" s="7">
        <v>1.7</v>
      </c>
      <c r="H4823" s="6" t="s">
        <v>19</v>
      </c>
      <c r="I4823" s="6" t="s">
        <v>55</v>
      </c>
      <c r="J4823" s="6">
        <v>2023.0</v>
      </c>
      <c r="L4823" s="6">
        <v>4.0</v>
      </c>
      <c r="M4823" s="8">
        <f t="shared" si="5"/>
        <v>6.8</v>
      </c>
      <c r="P4823" s="9"/>
    </row>
    <row r="4824">
      <c r="A4824" s="6" t="s">
        <v>10254</v>
      </c>
      <c r="B4824" s="6" t="s">
        <v>151</v>
      </c>
      <c r="C4824" s="6" t="s">
        <v>23</v>
      </c>
      <c r="D4824" s="6" t="s">
        <v>10255</v>
      </c>
      <c r="E4824" s="6" t="s">
        <v>611</v>
      </c>
      <c r="F4824" s="6" t="s">
        <v>103</v>
      </c>
      <c r="G4824" s="7">
        <v>0.02</v>
      </c>
      <c r="H4824" s="6" t="s">
        <v>1246</v>
      </c>
      <c r="I4824" s="6" t="s">
        <v>20</v>
      </c>
      <c r="J4824" s="6">
        <v>2006.0</v>
      </c>
      <c r="K4824" s="10">
        <v>46085.0</v>
      </c>
      <c r="L4824" s="6">
        <v>1.0</v>
      </c>
      <c r="M4824" s="8">
        <f t="shared" si="5"/>
        <v>0.02</v>
      </c>
      <c r="P4824" s="9"/>
    </row>
    <row r="4825">
      <c r="A4825" s="6" t="s">
        <v>10256</v>
      </c>
      <c r="B4825" s="6" t="s">
        <v>543</v>
      </c>
      <c r="C4825" s="6" t="s">
        <v>23</v>
      </c>
      <c r="D4825" s="6" t="s">
        <v>10257</v>
      </c>
      <c r="E4825" s="6" t="s">
        <v>10258</v>
      </c>
      <c r="F4825" s="6" t="s">
        <v>60</v>
      </c>
      <c r="G4825" s="7">
        <v>0.1</v>
      </c>
      <c r="H4825" s="6" t="s">
        <v>99</v>
      </c>
      <c r="I4825" s="6" t="s">
        <v>20</v>
      </c>
      <c r="J4825" s="6">
        <v>2026.0</v>
      </c>
      <c r="L4825" s="6">
        <v>1.0</v>
      </c>
      <c r="M4825" s="8">
        <f t="shared" si="5"/>
        <v>0.1</v>
      </c>
      <c r="P4825" s="9"/>
    </row>
    <row r="4826">
      <c r="A4826" s="6" t="s">
        <v>10259</v>
      </c>
      <c r="B4826" s="6" t="s">
        <v>543</v>
      </c>
      <c r="C4826" s="6" t="s">
        <v>48</v>
      </c>
      <c r="D4826" s="6" t="s">
        <v>10260</v>
      </c>
      <c r="E4826" s="6" t="s">
        <v>175</v>
      </c>
      <c r="F4826" s="6" t="s">
        <v>51</v>
      </c>
      <c r="G4826" s="7">
        <v>0.18</v>
      </c>
      <c r="H4826" s="6" t="s">
        <v>119</v>
      </c>
      <c r="I4826" s="6" t="s">
        <v>20</v>
      </c>
      <c r="J4826" s="6">
        <v>1995.0</v>
      </c>
      <c r="L4826" s="6">
        <v>2.0</v>
      </c>
      <c r="M4826" s="8">
        <f t="shared" si="5"/>
        <v>0.36</v>
      </c>
      <c r="P4826" s="9"/>
    </row>
    <row r="4827">
      <c r="A4827" s="6" t="s">
        <v>10261</v>
      </c>
      <c r="B4827" s="6" t="s">
        <v>372</v>
      </c>
      <c r="C4827" s="6" t="s">
        <v>48</v>
      </c>
      <c r="D4827" s="6" t="s">
        <v>10262</v>
      </c>
      <c r="E4827" s="6" t="s">
        <v>102</v>
      </c>
      <c r="F4827" s="6" t="s">
        <v>103</v>
      </c>
      <c r="G4827" s="7">
        <v>0.14</v>
      </c>
      <c r="H4827" s="6" t="s">
        <v>336</v>
      </c>
      <c r="I4827" s="6" t="s">
        <v>20</v>
      </c>
      <c r="J4827" s="6">
        <v>2016.0</v>
      </c>
      <c r="L4827" s="6">
        <v>1.0</v>
      </c>
      <c r="M4827" s="8">
        <f t="shared" si="5"/>
        <v>0.14</v>
      </c>
      <c r="P4827" s="9"/>
    </row>
    <row r="4828">
      <c r="A4828" s="6" t="s">
        <v>10263</v>
      </c>
      <c r="B4828" s="6" t="s">
        <v>194</v>
      </c>
      <c r="C4828" s="6" t="s">
        <v>23</v>
      </c>
      <c r="D4828" s="6" t="s">
        <v>10264</v>
      </c>
      <c r="E4828" s="6" t="s">
        <v>235</v>
      </c>
      <c r="F4828" s="6" t="s">
        <v>103</v>
      </c>
      <c r="G4828" s="7">
        <v>0.05</v>
      </c>
      <c r="H4828" s="6" t="s">
        <v>31</v>
      </c>
      <c r="I4828" s="6" t="s">
        <v>20</v>
      </c>
      <c r="J4828" s="6">
        <v>2026.0</v>
      </c>
      <c r="L4828" s="6">
        <v>1.0</v>
      </c>
      <c r="M4828" s="8">
        <f t="shared" si="5"/>
        <v>0.05</v>
      </c>
      <c r="P4828" s="9"/>
    </row>
    <row r="4829">
      <c r="A4829" s="6" t="s">
        <v>10265</v>
      </c>
      <c r="B4829" s="6" t="s">
        <v>796</v>
      </c>
      <c r="C4829" s="6" t="s">
        <v>34</v>
      </c>
      <c r="D4829" s="6" t="s">
        <v>10266</v>
      </c>
      <c r="E4829" s="6" t="s">
        <v>377</v>
      </c>
      <c r="F4829" s="6" t="s">
        <v>103</v>
      </c>
      <c r="G4829" s="7">
        <v>0.24</v>
      </c>
      <c r="H4829" s="6" t="s">
        <v>38</v>
      </c>
      <c r="I4829" s="6" t="s">
        <v>20</v>
      </c>
      <c r="J4829" s="6">
        <v>2026.0</v>
      </c>
      <c r="L4829" s="6">
        <v>2.0</v>
      </c>
      <c r="M4829" s="8">
        <f t="shared" si="5"/>
        <v>0.48</v>
      </c>
      <c r="P4829" s="9"/>
    </row>
    <row r="4830">
      <c r="A4830" s="6" t="s">
        <v>10267</v>
      </c>
      <c r="B4830" s="6" t="s">
        <v>6520</v>
      </c>
      <c r="C4830" s="6" t="s">
        <v>23</v>
      </c>
      <c r="D4830" s="6" t="s">
        <v>10268</v>
      </c>
      <c r="E4830" s="6" t="s">
        <v>153</v>
      </c>
      <c r="F4830" s="6" t="s">
        <v>103</v>
      </c>
      <c r="G4830" s="7">
        <v>0.25</v>
      </c>
      <c r="H4830" s="6" t="s">
        <v>769</v>
      </c>
      <c r="I4830" s="6" t="s">
        <v>55</v>
      </c>
      <c r="J4830" s="6">
        <v>2023.0</v>
      </c>
      <c r="K4830" s="10">
        <v>46084.0</v>
      </c>
      <c r="L4830" s="6">
        <v>1.0</v>
      </c>
      <c r="M4830" s="8">
        <f t="shared" si="5"/>
        <v>0.25</v>
      </c>
      <c r="P4830" s="9"/>
    </row>
    <row r="4831">
      <c r="A4831" s="6" t="s">
        <v>10269</v>
      </c>
      <c r="B4831" s="6" t="s">
        <v>301</v>
      </c>
      <c r="C4831" s="6" t="s">
        <v>212</v>
      </c>
      <c r="D4831" s="6" t="s">
        <v>10270</v>
      </c>
      <c r="E4831" s="6" t="s">
        <v>36</v>
      </c>
      <c r="F4831" s="6" t="s">
        <v>37</v>
      </c>
      <c r="G4831" s="7">
        <v>0.23</v>
      </c>
      <c r="H4831" s="6" t="s">
        <v>185</v>
      </c>
      <c r="I4831" s="6" t="s">
        <v>20</v>
      </c>
      <c r="J4831" s="6">
        <v>2019.0</v>
      </c>
      <c r="L4831" s="6">
        <v>1.0</v>
      </c>
      <c r="M4831" s="8">
        <f t="shared" si="5"/>
        <v>0.23</v>
      </c>
      <c r="P4831" s="9"/>
    </row>
    <row r="4832">
      <c r="A4832" s="6" t="s">
        <v>10271</v>
      </c>
      <c r="B4832" s="6" t="s">
        <v>10272</v>
      </c>
      <c r="C4832" s="6" t="s">
        <v>15</v>
      </c>
      <c r="D4832" s="6" t="s">
        <v>10273</v>
      </c>
      <c r="E4832" s="6" t="s">
        <v>243</v>
      </c>
      <c r="F4832" s="6" t="s">
        <v>37</v>
      </c>
      <c r="G4832" s="7">
        <v>0.44</v>
      </c>
      <c r="H4832" s="6" t="s">
        <v>38</v>
      </c>
      <c r="I4832" s="6" t="s">
        <v>20</v>
      </c>
      <c r="J4832" s="6">
        <v>2026.0</v>
      </c>
      <c r="K4832" s="10">
        <v>46055.0</v>
      </c>
      <c r="L4832" s="6">
        <v>1.0</v>
      </c>
      <c r="M4832" s="8">
        <f t="shared" si="5"/>
        <v>0.44</v>
      </c>
      <c r="P4832" s="9"/>
    </row>
    <row r="4833">
      <c r="A4833" s="6" t="s">
        <v>10274</v>
      </c>
      <c r="B4833" s="6" t="s">
        <v>424</v>
      </c>
      <c r="C4833" s="6" t="s">
        <v>48</v>
      </c>
      <c r="D4833" s="6" t="s">
        <v>10275</v>
      </c>
      <c r="F4833" s="6" t="s">
        <v>159</v>
      </c>
      <c r="G4833" s="7">
        <v>0.29</v>
      </c>
      <c r="H4833" s="6" t="s">
        <v>396</v>
      </c>
      <c r="I4833" s="6" t="s">
        <v>20</v>
      </c>
      <c r="J4833" s="6">
        <v>2007.0</v>
      </c>
      <c r="L4833" s="6">
        <v>1.0</v>
      </c>
      <c r="M4833" s="8">
        <f t="shared" si="5"/>
        <v>0.29</v>
      </c>
      <c r="P4833" s="9"/>
    </row>
    <row r="4834">
      <c r="A4834" s="6" t="s">
        <v>10276</v>
      </c>
      <c r="B4834" s="6" t="s">
        <v>10277</v>
      </c>
      <c r="C4834" s="6" t="s">
        <v>23</v>
      </c>
      <c r="D4834" s="6" t="s">
        <v>10278</v>
      </c>
      <c r="E4834" s="6" t="s">
        <v>270</v>
      </c>
      <c r="F4834" s="6" t="s">
        <v>159</v>
      </c>
      <c r="G4834" s="7">
        <v>0.06</v>
      </c>
      <c r="H4834" s="6" t="s">
        <v>406</v>
      </c>
      <c r="I4834" s="6" t="s">
        <v>20</v>
      </c>
      <c r="J4834" s="6">
        <v>2019.0</v>
      </c>
      <c r="K4834" s="10">
        <v>46083.0</v>
      </c>
      <c r="L4834" s="6">
        <v>4.0</v>
      </c>
      <c r="M4834" s="8">
        <f t="shared" si="5"/>
        <v>0.24</v>
      </c>
      <c r="P4834" s="9"/>
    </row>
    <row r="4835">
      <c r="A4835" s="6" t="s">
        <v>10279</v>
      </c>
      <c r="B4835" s="6" t="s">
        <v>127</v>
      </c>
      <c r="C4835" s="6" t="s">
        <v>48</v>
      </c>
      <c r="D4835" s="6" t="s">
        <v>10280</v>
      </c>
      <c r="E4835" s="6" t="s">
        <v>25</v>
      </c>
      <c r="F4835" s="6" t="s">
        <v>18</v>
      </c>
      <c r="G4835" s="7">
        <v>0.13</v>
      </c>
      <c r="H4835" s="6" t="s">
        <v>562</v>
      </c>
      <c r="I4835" s="6" t="s">
        <v>20</v>
      </c>
      <c r="J4835" s="6">
        <v>2017.0</v>
      </c>
      <c r="K4835" s="10">
        <v>46082.0</v>
      </c>
      <c r="L4835" s="6">
        <v>1.0</v>
      </c>
      <c r="M4835" s="8">
        <f t="shared" si="5"/>
        <v>0.13</v>
      </c>
      <c r="P4835" s="9"/>
    </row>
    <row r="4836">
      <c r="A4836" s="6" t="s">
        <v>10279</v>
      </c>
      <c r="B4836" s="6" t="s">
        <v>127</v>
      </c>
      <c r="C4836" s="6" t="s">
        <v>23</v>
      </c>
      <c r="D4836" s="6" t="s">
        <v>10280</v>
      </c>
      <c r="E4836" s="6" t="s">
        <v>25</v>
      </c>
      <c r="F4836" s="6" t="s">
        <v>18</v>
      </c>
      <c r="G4836" s="7">
        <v>0.19</v>
      </c>
      <c r="H4836" s="6" t="s">
        <v>163</v>
      </c>
      <c r="I4836" s="6" t="s">
        <v>20</v>
      </c>
      <c r="J4836" s="6">
        <v>2023.0</v>
      </c>
      <c r="K4836" s="10">
        <v>46082.0</v>
      </c>
      <c r="L4836" s="6">
        <v>1.0</v>
      </c>
      <c r="M4836" s="8">
        <f t="shared" si="5"/>
        <v>0.19</v>
      </c>
      <c r="P4836" s="9"/>
    </row>
    <row r="4837">
      <c r="A4837" s="6" t="s">
        <v>10281</v>
      </c>
      <c r="B4837" s="6" t="s">
        <v>472</v>
      </c>
      <c r="C4837" s="6" t="s">
        <v>23</v>
      </c>
      <c r="D4837" s="6" t="s">
        <v>9078</v>
      </c>
      <c r="E4837" s="6" t="s">
        <v>3951</v>
      </c>
      <c r="F4837" s="6" t="s">
        <v>98</v>
      </c>
      <c r="G4837" s="7">
        <v>0.05</v>
      </c>
      <c r="H4837" s="6" t="s">
        <v>185</v>
      </c>
      <c r="I4837" s="6" t="s">
        <v>20</v>
      </c>
      <c r="J4837" s="6">
        <v>2019.0</v>
      </c>
      <c r="K4837" s="10">
        <v>46025.0</v>
      </c>
      <c r="L4837" s="6">
        <v>2.0</v>
      </c>
      <c r="M4837" s="8">
        <f t="shared" si="5"/>
        <v>0.1</v>
      </c>
      <c r="P4837" s="9"/>
    </row>
    <row r="4838">
      <c r="A4838" s="6" t="s">
        <v>10281</v>
      </c>
      <c r="B4838" s="6" t="s">
        <v>472</v>
      </c>
      <c r="C4838" s="6" t="s">
        <v>23</v>
      </c>
      <c r="D4838" s="6" t="s">
        <v>9078</v>
      </c>
      <c r="E4838" s="6" t="s">
        <v>3951</v>
      </c>
      <c r="F4838" s="6" t="s">
        <v>98</v>
      </c>
      <c r="G4838" s="7">
        <v>0.05</v>
      </c>
      <c r="H4838" s="6" t="s">
        <v>185</v>
      </c>
      <c r="I4838" s="6" t="s">
        <v>20</v>
      </c>
      <c r="J4838" s="6">
        <v>2019.0</v>
      </c>
      <c r="K4838" s="10">
        <v>46025.0</v>
      </c>
      <c r="L4838" s="6">
        <v>2.0</v>
      </c>
      <c r="M4838" s="8">
        <f t="shared" si="5"/>
        <v>0.1</v>
      </c>
      <c r="P4838" s="9"/>
    </row>
    <row r="4839">
      <c r="A4839" s="6" t="s">
        <v>10282</v>
      </c>
      <c r="B4839" s="6" t="s">
        <v>10283</v>
      </c>
      <c r="C4839" s="6" t="s">
        <v>41</v>
      </c>
      <c r="E4839" s="6" t="s">
        <v>9675</v>
      </c>
      <c r="F4839" s="6" t="s">
        <v>18</v>
      </c>
      <c r="G4839" s="7">
        <v>0.14</v>
      </c>
      <c r="H4839" s="6" t="s">
        <v>546</v>
      </c>
      <c r="I4839" s="6" t="s">
        <v>55</v>
      </c>
      <c r="J4839" s="6">
        <v>2001.0</v>
      </c>
      <c r="K4839" s="10">
        <v>46179.0</v>
      </c>
      <c r="L4839" s="6">
        <v>1.0</v>
      </c>
      <c r="M4839" s="8">
        <f t="shared" si="5"/>
        <v>0.14</v>
      </c>
      <c r="P4839" s="9"/>
    </row>
    <row r="4840">
      <c r="A4840" s="6" t="s">
        <v>10284</v>
      </c>
      <c r="B4840" s="6" t="s">
        <v>2354</v>
      </c>
      <c r="C4840" s="6" t="s">
        <v>23</v>
      </c>
      <c r="D4840" s="6" t="s">
        <v>10285</v>
      </c>
      <c r="E4840" s="6" t="s">
        <v>25</v>
      </c>
      <c r="F4840" s="6" t="s">
        <v>18</v>
      </c>
      <c r="G4840" s="7">
        <v>0.04</v>
      </c>
      <c r="H4840" s="6" t="s">
        <v>136</v>
      </c>
      <c r="I4840" s="6" t="s">
        <v>20</v>
      </c>
      <c r="J4840" s="6">
        <v>2022.0</v>
      </c>
      <c r="K4840" s="10">
        <v>46056.0</v>
      </c>
      <c r="L4840" s="6">
        <v>1.0</v>
      </c>
      <c r="M4840" s="8">
        <f t="shared" si="5"/>
        <v>0.04</v>
      </c>
      <c r="P4840" s="9"/>
    </row>
    <row r="4841">
      <c r="A4841" s="6" t="s">
        <v>10286</v>
      </c>
      <c r="B4841" s="6" t="s">
        <v>10287</v>
      </c>
      <c r="C4841" s="6" t="s">
        <v>48</v>
      </c>
      <c r="D4841" s="6" t="s">
        <v>10288</v>
      </c>
      <c r="E4841" s="6" t="s">
        <v>2909</v>
      </c>
      <c r="F4841" s="6" t="s">
        <v>87</v>
      </c>
      <c r="G4841" s="7">
        <v>0.19</v>
      </c>
      <c r="H4841" s="6" t="s">
        <v>136</v>
      </c>
      <c r="I4841" s="6" t="s">
        <v>20</v>
      </c>
      <c r="J4841" s="6">
        <v>2022.0</v>
      </c>
      <c r="K4841" s="10">
        <v>46054.0</v>
      </c>
      <c r="L4841" s="6">
        <v>1.0</v>
      </c>
      <c r="M4841" s="8">
        <f t="shared" si="5"/>
        <v>0.19</v>
      </c>
      <c r="P4841" s="9"/>
    </row>
    <row r="4842">
      <c r="A4842" s="6" t="s">
        <v>10289</v>
      </c>
      <c r="B4842" s="6" t="s">
        <v>10290</v>
      </c>
      <c r="C4842" s="6" t="s">
        <v>48</v>
      </c>
      <c r="D4842" s="6" t="s">
        <v>10291</v>
      </c>
      <c r="E4842" s="6" t="s">
        <v>2909</v>
      </c>
      <c r="F4842" s="6" t="s">
        <v>717</v>
      </c>
      <c r="G4842" s="7">
        <v>0.15</v>
      </c>
      <c r="H4842" s="6" t="s">
        <v>136</v>
      </c>
      <c r="I4842" s="6" t="s">
        <v>20</v>
      </c>
      <c r="J4842" s="6">
        <v>2022.0</v>
      </c>
      <c r="K4842" s="10">
        <v>46054.0</v>
      </c>
      <c r="L4842" s="6">
        <v>1.0</v>
      </c>
      <c r="M4842" s="8">
        <f t="shared" si="5"/>
        <v>0.15</v>
      </c>
      <c r="P4842" s="9"/>
    </row>
    <row r="4843">
      <c r="A4843" s="6" t="s">
        <v>10292</v>
      </c>
      <c r="B4843" s="6" t="s">
        <v>6561</v>
      </c>
      <c r="C4843" s="6" t="s">
        <v>48</v>
      </c>
      <c r="D4843" s="6" t="s">
        <v>10293</v>
      </c>
      <c r="E4843" s="6" t="s">
        <v>270</v>
      </c>
      <c r="F4843" s="6" t="s">
        <v>159</v>
      </c>
      <c r="G4843" s="7">
        <v>0.06</v>
      </c>
      <c r="H4843" s="6" t="s">
        <v>621</v>
      </c>
      <c r="I4843" s="6" t="s">
        <v>20</v>
      </c>
      <c r="J4843" s="6">
        <v>2015.0</v>
      </c>
      <c r="K4843" s="10">
        <v>46083.0</v>
      </c>
      <c r="L4843" s="6">
        <v>1.0</v>
      </c>
      <c r="M4843" s="8">
        <f t="shared" si="5"/>
        <v>0.06</v>
      </c>
      <c r="P4843" s="9"/>
    </row>
    <row r="4844">
      <c r="A4844" s="6" t="s">
        <v>10294</v>
      </c>
      <c r="B4844" s="6" t="s">
        <v>291</v>
      </c>
      <c r="C4844" s="6" t="s">
        <v>23</v>
      </c>
      <c r="D4844" s="6" t="s">
        <v>10295</v>
      </c>
      <c r="E4844" s="6" t="s">
        <v>558</v>
      </c>
      <c r="F4844" s="6" t="s">
        <v>18</v>
      </c>
      <c r="G4844" s="7">
        <v>0.06</v>
      </c>
      <c r="H4844" s="6" t="s">
        <v>271</v>
      </c>
      <c r="I4844" s="6" t="s">
        <v>20</v>
      </c>
      <c r="J4844" s="6">
        <v>2012.0</v>
      </c>
      <c r="K4844" s="10">
        <v>46113.0</v>
      </c>
      <c r="L4844" s="6">
        <v>1.0</v>
      </c>
      <c r="M4844" s="8">
        <f t="shared" si="5"/>
        <v>0.06</v>
      </c>
      <c r="P4844" s="9"/>
    </row>
    <row r="4845">
      <c r="A4845" s="6" t="s">
        <v>10296</v>
      </c>
      <c r="B4845" s="6" t="s">
        <v>326</v>
      </c>
      <c r="C4845" s="6" t="s">
        <v>23</v>
      </c>
      <c r="D4845" s="6" t="s">
        <v>10297</v>
      </c>
      <c r="E4845" s="6" t="s">
        <v>1950</v>
      </c>
      <c r="F4845" s="6" t="s">
        <v>65</v>
      </c>
      <c r="G4845" s="7">
        <v>0.06</v>
      </c>
      <c r="H4845" s="6" t="s">
        <v>184</v>
      </c>
      <c r="I4845" s="6" t="s">
        <v>20</v>
      </c>
      <c r="J4845" s="6">
        <v>2015.0</v>
      </c>
      <c r="K4845" s="10">
        <v>46118.0</v>
      </c>
      <c r="L4845" s="6">
        <v>12.0</v>
      </c>
      <c r="M4845" s="8">
        <f t="shared" si="5"/>
        <v>0.72</v>
      </c>
      <c r="P4845" s="9"/>
    </row>
    <row r="4846">
      <c r="A4846" s="6" t="s">
        <v>10298</v>
      </c>
      <c r="B4846" s="6" t="s">
        <v>10299</v>
      </c>
      <c r="C4846" s="6" t="s">
        <v>34</v>
      </c>
      <c r="D4846" s="6" t="s">
        <v>10300</v>
      </c>
      <c r="E4846" s="6" t="s">
        <v>1475</v>
      </c>
      <c r="F4846" s="6" t="s">
        <v>65</v>
      </c>
      <c r="G4846" s="7">
        <v>0.13</v>
      </c>
      <c r="H4846" s="6" t="s">
        <v>38</v>
      </c>
      <c r="I4846" s="6" t="s">
        <v>20</v>
      </c>
      <c r="J4846" s="6">
        <v>2026.0</v>
      </c>
      <c r="K4846" s="10">
        <v>46056.0</v>
      </c>
      <c r="L4846" s="6">
        <v>1.0</v>
      </c>
      <c r="M4846" s="8">
        <f t="shared" si="5"/>
        <v>0.13</v>
      </c>
      <c r="P4846" s="9"/>
    </row>
    <row r="4847">
      <c r="A4847" s="6" t="s">
        <v>10301</v>
      </c>
      <c r="B4847" s="6" t="s">
        <v>1408</v>
      </c>
      <c r="C4847" s="6" t="s">
        <v>23</v>
      </c>
      <c r="D4847" s="6" t="s">
        <v>10302</v>
      </c>
      <c r="E4847" s="6" t="s">
        <v>533</v>
      </c>
      <c r="F4847" s="6" t="s">
        <v>65</v>
      </c>
      <c r="G4847" s="7">
        <v>0.1</v>
      </c>
      <c r="H4847" s="6" t="s">
        <v>93</v>
      </c>
      <c r="I4847" s="6" t="s">
        <v>20</v>
      </c>
      <c r="J4847" s="6">
        <v>2016.0</v>
      </c>
      <c r="K4847" s="10">
        <v>46056.0</v>
      </c>
      <c r="L4847" s="6">
        <v>1.0</v>
      </c>
      <c r="M4847" s="8">
        <f t="shared" si="5"/>
        <v>0.1</v>
      </c>
      <c r="P4847" s="9"/>
    </row>
    <row r="4848">
      <c r="A4848" s="6" t="s">
        <v>10303</v>
      </c>
      <c r="B4848" s="6" t="s">
        <v>472</v>
      </c>
      <c r="C4848" s="6" t="s">
        <v>23</v>
      </c>
      <c r="D4848" s="6" t="s">
        <v>10304</v>
      </c>
      <c r="E4848" s="6" t="s">
        <v>196</v>
      </c>
      <c r="F4848" s="6" t="s">
        <v>65</v>
      </c>
      <c r="G4848" s="7">
        <v>2.23</v>
      </c>
      <c r="H4848" s="6" t="s">
        <v>114</v>
      </c>
      <c r="I4848" s="6" t="s">
        <v>20</v>
      </c>
      <c r="J4848" s="6">
        <v>2021.0</v>
      </c>
      <c r="K4848" s="10">
        <v>46023.0</v>
      </c>
      <c r="L4848" s="6">
        <v>1.0</v>
      </c>
      <c r="M4848" s="8">
        <f t="shared" si="5"/>
        <v>2.23</v>
      </c>
      <c r="N4848" s="6" t="s">
        <v>172</v>
      </c>
      <c r="P4848" s="9"/>
    </row>
    <row r="4849">
      <c r="A4849" s="6" t="s">
        <v>10305</v>
      </c>
      <c r="B4849" s="6" t="s">
        <v>1408</v>
      </c>
      <c r="C4849" s="6" t="s">
        <v>23</v>
      </c>
      <c r="D4849" s="6" t="s">
        <v>10306</v>
      </c>
      <c r="E4849" s="6" t="s">
        <v>196</v>
      </c>
      <c r="F4849" s="6" t="s">
        <v>65</v>
      </c>
      <c r="G4849" s="7">
        <v>0.09</v>
      </c>
      <c r="H4849" s="6" t="s">
        <v>1692</v>
      </c>
      <c r="I4849" s="6" t="s">
        <v>20</v>
      </c>
      <c r="J4849" s="6">
        <v>2021.0</v>
      </c>
      <c r="K4849" s="10">
        <v>46023.0</v>
      </c>
      <c r="L4849" s="6">
        <v>2.0</v>
      </c>
      <c r="M4849" s="8">
        <f t="shared" si="5"/>
        <v>0.18</v>
      </c>
      <c r="P4849" s="9"/>
    </row>
    <row r="4850">
      <c r="A4850" s="6" t="s">
        <v>10307</v>
      </c>
      <c r="B4850" s="6" t="s">
        <v>1449</v>
      </c>
      <c r="C4850" s="6" t="s">
        <v>48</v>
      </c>
      <c r="D4850" s="6" t="s">
        <v>10308</v>
      </c>
      <c r="E4850" s="6" t="s">
        <v>533</v>
      </c>
      <c r="F4850" s="6" t="s">
        <v>65</v>
      </c>
      <c r="G4850" s="7">
        <v>0.15</v>
      </c>
      <c r="H4850" s="6" t="s">
        <v>104</v>
      </c>
      <c r="I4850" s="6" t="s">
        <v>20</v>
      </c>
      <c r="J4850" s="6">
        <v>2018.0</v>
      </c>
      <c r="K4850" s="10">
        <v>46057.0</v>
      </c>
      <c r="L4850" s="6">
        <v>1.0</v>
      </c>
      <c r="M4850" s="8">
        <f t="shared" si="5"/>
        <v>0.15</v>
      </c>
      <c r="P4850" s="9"/>
    </row>
    <row r="4851">
      <c r="A4851" s="6" t="s">
        <v>10309</v>
      </c>
      <c r="B4851" s="6" t="s">
        <v>10310</v>
      </c>
      <c r="C4851" s="6" t="s">
        <v>449</v>
      </c>
      <c r="D4851" s="6" t="s">
        <v>10311</v>
      </c>
      <c r="E4851" s="6" t="s">
        <v>167</v>
      </c>
      <c r="F4851" s="6" t="s">
        <v>103</v>
      </c>
      <c r="G4851" s="7">
        <v>1.25</v>
      </c>
      <c r="H4851" s="6" t="s">
        <v>2680</v>
      </c>
      <c r="I4851" s="6" t="s">
        <v>20</v>
      </c>
      <c r="J4851" s="6">
        <v>1998.0</v>
      </c>
      <c r="L4851" s="6">
        <v>1.0</v>
      </c>
      <c r="M4851" s="8">
        <f t="shared" si="5"/>
        <v>1.25</v>
      </c>
      <c r="P4851" s="9"/>
    </row>
    <row r="4852">
      <c r="A4852" s="6" t="s">
        <v>10312</v>
      </c>
      <c r="B4852" s="6" t="s">
        <v>2744</v>
      </c>
      <c r="C4852" s="6" t="s">
        <v>23</v>
      </c>
      <c r="D4852" s="6" t="s">
        <v>10313</v>
      </c>
      <c r="E4852" s="6" t="s">
        <v>149</v>
      </c>
      <c r="F4852" s="6" t="s">
        <v>18</v>
      </c>
      <c r="G4852" s="7">
        <v>0.06</v>
      </c>
      <c r="H4852" s="6" t="s">
        <v>136</v>
      </c>
      <c r="I4852" s="6" t="s">
        <v>20</v>
      </c>
      <c r="J4852" s="6">
        <v>2022.0</v>
      </c>
      <c r="K4852" s="10">
        <v>46082.0</v>
      </c>
      <c r="L4852" s="6">
        <v>1.0</v>
      </c>
      <c r="M4852" s="8">
        <f t="shared" si="5"/>
        <v>0.06</v>
      </c>
      <c r="P4852" s="9"/>
    </row>
    <row r="4853">
      <c r="A4853" s="6" t="s">
        <v>10314</v>
      </c>
      <c r="B4853" s="6" t="s">
        <v>62</v>
      </c>
      <c r="C4853" s="6" t="s">
        <v>23</v>
      </c>
      <c r="D4853" s="6" t="s">
        <v>10315</v>
      </c>
      <c r="E4853" s="6" t="s">
        <v>196</v>
      </c>
      <c r="F4853" s="6" t="s">
        <v>65</v>
      </c>
      <c r="G4853" s="7">
        <v>0.08</v>
      </c>
      <c r="H4853" s="6" t="s">
        <v>418</v>
      </c>
      <c r="I4853" s="6" t="s">
        <v>20</v>
      </c>
      <c r="J4853" s="6">
        <v>2022.0</v>
      </c>
      <c r="L4853" s="6">
        <v>1.0</v>
      </c>
      <c r="M4853" s="8">
        <f t="shared" si="5"/>
        <v>0.08</v>
      </c>
      <c r="P4853" s="9"/>
    </row>
    <row r="4854">
      <c r="A4854" s="6" t="s">
        <v>10316</v>
      </c>
      <c r="B4854" s="6" t="s">
        <v>2026</v>
      </c>
      <c r="C4854" s="6" t="s">
        <v>34</v>
      </c>
      <c r="D4854" s="6" t="s">
        <v>10317</v>
      </c>
      <c r="E4854" s="6" t="s">
        <v>1304</v>
      </c>
      <c r="F4854" s="6" t="s">
        <v>1732</v>
      </c>
      <c r="G4854" s="7">
        <v>0.03</v>
      </c>
      <c r="H4854" s="6" t="s">
        <v>483</v>
      </c>
      <c r="I4854" s="6" t="s">
        <v>20</v>
      </c>
      <c r="J4854" s="6">
        <v>2014.0</v>
      </c>
      <c r="L4854" s="6">
        <v>3.0</v>
      </c>
      <c r="M4854" s="8">
        <f t="shared" si="5"/>
        <v>0.09</v>
      </c>
      <c r="P4854" s="9"/>
    </row>
    <row r="4855">
      <c r="A4855" s="6" t="s">
        <v>10318</v>
      </c>
      <c r="B4855" s="6" t="s">
        <v>2545</v>
      </c>
      <c r="C4855" s="6" t="s">
        <v>41</v>
      </c>
      <c r="D4855" s="6" t="s">
        <v>10319</v>
      </c>
      <c r="E4855" s="6" t="s">
        <v>2129</v>
      </c>
      <c r="F4855" s="6" t="s">
        <v>65</v>
      </c>
      <c r="G4855" s="7">
        <v>1.5</v>
      </c>
      <c r="H4855" s="6" t="s">
        <v>1514</v>
      </c>
      <c r="I4855" s="6" t="s">
        <v>20</v>
      </c>
      <c r="J4855" s="6">
        <v>2009.0</v>
      </c>
      <c r="K4855" s="10">
        <v>46116.0</v>
      </c>
      <c r="L4855" s="6">
        <v>2.0</v>
      </c>
      <c r="M4855" s="8">
        <f t="shared" si="5"/>
        <v>3</v>
      </c>
      <c r="P4855" s="9"/>
    </row>
    <row r="4856">
      <c r="A4856" s="6" t="s">
        <v>10320</v>
      </c>
      <c r="B4856" s="6" t="s">
        <v>3080</v>
      </c>
      <c r="C4856" s="6" t="s">
        <v>48</v>
      </c>
      <c r="D4856" s="6" t="s">
        <v>10321</v>
      </c>
      <c r="E4856" s="6" t="s">
        <v>10322</v>
      </c>
      <c r="F4856" s="6" t="s">
        <v>717</v>
      </c>
      <c r="G4856" s="7">
        <v>0.2</v>
      </c>
      <c r="H4856" s="6" t="s">
        <v>641</v>
      </c>
      <c r="I4856" s="6" t="s">
        <v>20</v>
      </c>
      <c r="J4856" s="6">
        <v>2026.0</v>
      </c>
      <c r="K4856" s="10">
        <v>46083.0</v>
      </c>
      <c r="L4856" s="6">
        <v>1.0</v>
      </c>
      <c r="M4856" s="8">
        <f t="shared" si="5"/>
        <v>0.2</v>
      </c>
      <c r="P4856" s="9"/>
    </row>
    <row r="4857">
      <c r="A4857" s="6" t="s">
        <v>10323</v>
      </c>
      <c r="B4857" s="6" t="s">
        <v>10324</v>
      </c>
      <c r="C4857" s="6" t="s">
        <v>23</v>
      </c>
      <c r="D4857" s="6" t="s">
        <v>10325</v>
      </c>
      <c r="E4857" s="6" t="s">
        <v>937</v>
      </c>
      <c r="F4857" s="6" t="s">
        <v>159</v>
      </c>
      <c r="G4857" s="7">
        <v>0.03</v>
      </c>
      <c r="H4857" s="6" t="s">
        <v>526</v>
      </c>
      <c r="I4857" s="6" t="s">
        <v>20</v>
      </c>
      <c r="J4857" s="6">
        <v>2020.0</v>
      </c>
      <c r="K4857" s="10">
        <v>46116.0</v>
      </c>
      <c r="L4857" s="6">
        <v>1.0</v>
      </c>
      <c r="M4857" s="8">
        <f t="shared" si="5"/>
        <v>0.03</v>
      </c>
      <c r="P4857" s="9"/>
    </row>
    <row r="4858">
      <c r="A4858" s="6" t="s">
        <v>10326</v>
      </c>
      <c r="B4858" s="6" t="s">
        <v>6520</v>
      </c>
      <c r="C4858" s="6" t="s">
        <v>23</v>
      </c>
      <c r="D4858" s="6" t="s">
        <v>10327</v>
      </c>
      <c r="E4858" s="6" t="s">
        <v>235</v>
      </c>
      <c r="F4858" s="6" t="s">
        <v>103</v>
      </c>
      <c r="G4858" s="7">
        <v>0.03</v>
      </c>
      <c r="H4858" s="6" t="s">
        <v>875</v>
      </c>
      <c r="I4858" s="6" t="s">
        <v>20</v>
      </c>
      <c r="J4858" s="6">
        <v>2018.0</v>
      </c>
      <c r="K4858" s="10">
        <v>46055.0</v>
      </c>
      <c r="L4858" s="6">
        <v>2.0</v>
      </c>
      <c r="M4858" s="8">
        <f t="shared" si="5"/>
        <v>0.06</v>
      </c>
      <c r="P4858" s="9"/>
    </row>
    <row r="4859">
      <c r="A4859" s="6" t="s">
        <v>10328</v>
      </c>
      <c r="B4859" s="6" t="s">
        <v>10329</v>
      </c>
      <c r="C4859" s="6" t="s">
        <v>287</v>
      </c>
      <c r="D4859" s="6" t="s">
        <v>10330</v>
      </c>
      <c r="E4859" s="6" t="s">
        <v>724</v>
      </c>
      <c r="F4859" s="6" t="s">
        <v>159</v>
      </c>
      <c r="G4859" s="7">
        <v>0.07</v>
      </c>
      <c r="H4859" s="6" t="s">
        <v>3017</v>
      </c>
      <c r="I4859" s="6" t="s">
        <v>20</v>
      </c>
      <c r="J4859" s="6">
        <v>2008.0</v>
      </c>
      <c r="K4859" s="10">
        <v>46210.0</v>
      </c>
      <c r="L4859" s="6">
        <v>1.0</v>
      </c>
      <c r="M4859" s="8">
        <f t="shared" si="5"/>
        <v>0.07</v>
      </c>
      <c r="P4859" s="9"/>
    </row>
    <row r="4860">
      <c r="A4860" s="6" t="s">
        <v>10328</v>
      </c>
      <c r="B4860" s="6" t="s">
        <v>10329</v>
      </c>
      <c r="C4860" s="6" t="s">
        <v>287</v>
      </c>
      <c r="D4860" s="6" t="s">
        <v>10330</v>
      </c>
      <c r="E4860" s="6" t="s">
        <v>724</v>
      </c>
      <c r="F4860" s="6" t="s">
        <v>10331</v>
      </c>
      <c r="G4860" s="7">
        <v>0.07</v>
      </c>
      <c r="H4860" s="6" t="s">
        <v>3017</v>
      </c>
      <c r="I4860" s="6" t="s">
        <v>20</v>
      </c>
      <c r="J4860" s="6">
        <v>2008.0</v>
      </c>
      <c r="K4860" s="10">
        <v>46210.0</v>
      </c>
      <c r="L4860" s="6">
        <v>1.0</v>
      </c>
      <c r="M4860" s="8">
        <f t="shared" si="5"/>
        <v>0.07</v>
      </c>
      <c r="P4860" s="9"/>
    </row>
    <row r="4861">
      <c r="A4861" s="6" t="s">
        <v>10332</v>
      </c>
      <c r="B4861" s="6" t="s">
        <v>10333</v>
      </c>
      <c r="C4861" s="6" t="s">
        <v>23</v>
      </c>
      <c r="E4861" s="6" t="s">
        <v>1570</v>
      </c>
      <c r="F4861" s="6" t="s">
        <v>159</v>
      </c>
      <c r="G4861" s="7">
        <v>0.03</v>
      </c>
      <c r="H4861" s="6" t="s">
        <v>541</v>
      </c>
      <c r="I4861" s="6" t="s">
        <v>20</v>
      </c>
      <c r="J4861" s="6">
        <v>2019.0</v>
      </c>
      <c r="K4861" s="10">
        <v>46210.0</v>
      </c>
      <c r="L4861" s="6">
        <v>4.0</v>
      </c>
      <c r="M4861" s="8">
        <f t="shared" si="5"/>
        <v>0.12</v>
      </c>
      <c r="P4861" s="9"/>
    </row>
    <row r="4862">
      <c r="A4862" s="6" t="s">
        <v>10334</v>
      </c>
      <c r="B4862" s="6" t="s">
        <v>165</v>
      </c>
      <c r="C4862" s="6" t="s">
        <v>15</v>
      </c>
      <c r="D4862" s="6" t="s">
        <v>10335</v>
      </c>
      <c r="E4862" s="6" t="s">
        <v>2028</v>
      </c>
      <c r="F4862" s="6" t="s">
        <v>103</v>
      </c>
      <c r="G4862" s="7">
        <v>0.09</v>
      </c>
      <c r="H4862" s="6" t="s">
        <v>1043</v>
      </c>
      <c r="I4862" s="6" t="s">
        <v>20</v>
      </c>
      <c r="J4862" s="6">
        <v>2025.0</v>
      </c>
      <c r="L4862" s="6">
        <v>1.0</v>
      </c>
      <c r="M4862" s="8">
        <f t="shared" si="5"/>
        <v>0.09</v>
      </c>
      <c r="P4862" s="9"/>
    </row>
    <row r="4863">
      <c r="A4863" s="6" t="s">
        <v>10336</v>
      </c>
      <c r="B4863" s="6" t="s">
        <v>62</v>
      </c>
      <c r="C4863" s="6" t="s">
        <v>23</v>
      </c>
      <c r="D4863" s="6" t="s">
        <v>10337</v>
      </c>
      <c r="E4863" s="6" t="s">
        <v>149</v>
      </c>
      <c r="F4863" s="6" t="s">
        <v>18</v>
      </c>
      <c r="G4863" s="7">
        <v>0.04</v>
      </c>
      <c r="H4863" s="6" t="s">
        <v>626</v>
      </c>
      <c r="I4863" s="6" t="s">
        <v>20</v>
      </c>
      <c r="J4863" s="6">
        <v>2013.0</v>
      </c>
      <c r="L4863" s="6">
        <v>4.0</v>
      </c>
      <c r="M4863" s="8">
        <f t="shared" si="5"/>
        <v>0.16</v>
      </c>
      <c r="P4863" s="9"/>
    </row>
    <row r="4864">
      <c r="A4864" s="6" t="s">
        <v>10338</v>
      </c>
      <c r="B4864" s="6" t="s">
        <v>10339</v>
      </c>
      <c r="C4864" s="6" t="s">
        <v>23</v>
      </c>
      <c r="D4864" s="6" t="s">
        <v>10340</v>
      </c>
      <c r="E4864" s="6" t="s">
        <v>235</v>
      </c>
      <c r="F4864" s="6" t="s">
        <v>103</v>
      </c>
      <c r="G4864" s="7">
        <v>0.05</v>
      </c>
      <c r="H4864" s="6" t="s">
        <v>406</v>
      </c>
      <c r="I4864" s="6" t="s">
        <v>20</v>
      </c>
      <c r="J4864" s="6">
        <v>2019.0</v>
      </c>
      <c r="K4864" s="10">
        <v>46056.0</v>
      </c>
      <c r="L4864" s="6">
        <v>1.0</v>
      </c>
      <c r="M4864" s="8">
        <f t="shared" si="5"/>
        <v>0.05</v>
      </c>
      <c r="P4864" s="9"/>
    </row>
    <row r="4865">
      <c r="A4865" s="6" t="s">
        <v>10341</v>
      </c>
      <c r="B4865" s="6" t="s">
        <v>6249</v>
      </c>
      <c r="C4865" s="6" t="s">
        <v>41</v>
      </c>
      <c r="D4865" s="6" t="s">
        <v>10342</v>
      </c>
      <c r="E4865" s="6" t="s">
        <v>79</v>
      </c>
      <c r="F4865" s="6" t="s">
        <v>51</v>
      </c>
      <c r="G4865" s="7">
        <v>0.28</v>
      </c>
      <c r="H4865" s="6" t="s">
        <v>184</v>
      </c>
      <c r="I4865" s="6" t="s">
        <v>20</v>
      </c>
      <c r="J4865" s="6">
        <v>2015.0</v>
      </c>
      <c r="K4865" s="10">
        <v>46024.0</v>
      </c>
      <c r="L4865" s="6">
        <v>1.0</v>
      </c>
      <c r="M4865" s="8">
        <f t="shared" si="5"/>
        <v>0.28</v>
      </c>
      <c r="P4865" s="9"/>
    </row>
    <row r="4866">
      <c r="A4866" s="6" t="s">
        <v>10343</v>
      </c>
      <c r="B4866" s="6" t="s">
        <v>2842</v>
      </c>
      <c r="C4866" s="6" t="s">
        <v>23</v>
      </c>
      <c r="D4866" s="6" t="s">
        <v>1976</v>
      </c>
      <c r="E4866" s="6" t="s">
        <v>1570</v>
      </c>
      <c r="F4866" s="6" t="s">
        <v>159</v>
      </c>
      <c r="G4866" s="7">
        <v>0.05</v>
      </c>
      <c r="H4866" s="6" t="s">
        <v>626</v>
      </c>
      <c r="I4866" s="6" t="s">
        <v>20</v>
      </c>
      <c r="J4866" s="6">
        <v>2013.0</v>
      </c>
      <c r="K4866" s="10">
        <v>46148.0</v>
      </c>
      <c r="L4866" s="6">
        <v>1.0</v>
      </c>
      <c r="M4866" s="8">
        <f t="shared" si="5"/>
        <v>0.05</v>
      </c>
      <c r="P4866" s="9"/>
    </row>
    <row r="4867">
      <c r="A4867" s="6" t="s">
        <v>10344</v>
      </c>
      <c r="B4867" s="6" t="s">
        <v>10345</v>
      </c>
      <c r="C4867" s="6" t="s">
        <v>23</v>
      </c>
      <c r="D4867" s="6" t="s">
        <v>10346</v>
      </c>
      <c r="E4867" s="6" t="s">
        <v>243</v>
      </c>
      <c r="F4867" s="6" t="s">
        <v>37</v>
      </c>
      <c r="G4867" s="7">
        <v>0.05</v>
      </c>
      <c r="H4867" s="6" t="s">
        <v>146</v>
      </c>
      <c r="I4867" s="6" t="s">
        <v>20</v>
      </c>
      <c r="J4867" s="6">
        <v>2010.0</v>
      </c>
      <c r="K4867" s="10">
        <v>46025.0</v>
      </c>
      <c r="L4867" s="6">
        <v>1.0</v>
      </c>
      <c r="M4867" s="8">
        <f t="shared" si="5"/>
        <v>0.05</v>
      </c>
      <c r="P4867" s="9"/>
    </row>
    <row r="4868">
      <c r="A4868" s="6" t="s">
        <v>10347</v>
      </c>
      <c r="B4868" s="6" t="s">
        <v>10348</v>
      </c>
      <c r="C4868" s="6" t="s">
        <v>23</v>
      </c>
      <c r="D4868" s="6" t="s">
        <v>10349</v>
      </c>
      <c r="E4868" s="6" t="s">
        <v>153</v>
      </c>
      <c r="F4868" s="6" t="s">
        <v>103</v>
      </c>
      <c r="G4868" s="7">
        <v>0.03</v>
      </c>
      <c r="H4868" s="6" t="s">
        <v>559</v>
      </c>
      <c r="I4868" s="6" t="s">
        <v>20</v>
      </c>
      <c r="J4868" s="6">
        <v>2015.0</v>
      </c>
      <c r="K4868" s="10">
        <v>46083.0</v>
      </c>
      <c r="L4868" s="6">
        <v>1.0</v>
      </c>
      <c r="M4868" s="8">
        <f t="shared" si="5"/>
        <v>0.03</v>
      </c>
      <c r="P4868" s="9"/>
    </row>
    <row r="4869">
      <c r="A4869" s="6" t="s">
        <v>10350</v>
      </c>
      <c r="B4869" s="6" t="s">
        <v>2898</v>
      </c>
      <c r="C4869" s="6" t="s">
        <v>23</v>
      </c>
      <c r="D4869" s="6" t="s">
        <v>10351</v>
      </c>
      <c r="E4869" s="6" t="s">
        <v>102</v>
      </c>
      <c r="F4869" s="6" t="s">
        <v>103</v>
      </c>
      <c r="G4869" s="7">
        <v>0.25</v>
      </c>
      <c r="H4869" s="6" t="s">
        <v>66</v>
      </c>
      <c r="I4869" s="6" t="s">
        <v>55</v>
      </c>
      <c r="J4869" s="6">
        <v>2016.0</v>
      </c>
      <c r="K4869" s="10">
        <v>46082.0</v>
      </c>
      <c r="L4869" s="6">
        <v>1.0</v>
      </c>
      <c r="M4869" s="8">
        <f t="shared" si="5"/>
        <v>0.25</v>
      </c>
      <c r="P4869" s="9"/>
    </row>
    <row r="4870">
      <c r="A4870" s="6" t="s">
        <v>10352</v>
      </c>
      <c r="B4870" s="6" t="s">
        <v>10353</v>
      </c>
      <c r="C4870" s="6" t="s">
        <v>34</v>
      </c>
      <c r="D4870" s="6" t="s">
        <v>10354</v>
      </c>
      <c r="E4870" s="6" t="s">
        <v>7287</v>
      </c>
      <c r="F4870" s="6" t="s">
        <v>159</v>
      </c>
      <c r="G4870" s="7">
        <v>0.13</v>
      </c>
      <c r="H4870" s="6" t="s">
        <v>38</v>
      </c>
      <c r="I4870" s="6" t="s">
        <v>20</v>
      </c>
      <c r="J4870" s="6">
        <v>2026.0</v>
      </c>
      <c r="K4870" s="10">
        <v>46116.0</v>
      </c>
      <c r="L4870" s="6">
        <v>1.0</v>
      </c>
      <c r="M4870" s="8">
        <f t="shared" si="5"/>
        <v>0.13</v>
      </c>
      <c r="P4870" s="9"/>
    </row>
    <row r="4871">
      <c r="A4871" s="6" t="s">
        <v>10355</v>
      </c>
      <c r="B4871" s="6" t="s">
        <v>10356</v>
      </c>
      <c r="C4871" s="6" t="s">
        <v>23</v>
      </c>
      <c r="D4871" s="6" t="s">
        <v>10357</v>
      </c>
      <c r="E4871" s="6" t="s">
        <v>36</v>
      </c>
      <c r="F4871" s="6" t="s">
        <v>37</v>
      </c>
      <c r="G4871" s="7">
        <v>2.24</v>
      </c>
      <c r="H4871" s="6" t="s">
        <v>340</v>
      </c>
      <c r="I4871" s="6" t="s">
        <v>20</v>
      </c>
      <c r="J4871" s="6">
        <v>2010.0</v>
      </c>
      <c r="K4871" s="10">
        <v>46023.0</v>
      </c>
      <c r="L4871" s="6">
        <v>3.0</v>
      </c>
      <c r="M4871" s="8">
        <f t="shared" si="5"/>
        <v>6.72</v>
      </c>
      <c r="N4871" s="6" t="s">
        <v>172</v>
      </c>
      <c r="P4871" s="9"/>
    </row>
    <row r="4872">
      <c r="A4872" s="6" t="s">
        <v>10358</v>
      </c>
      <c r="B4872" s="6" t="s">
        <v>2898</v>
      </c>
      <c r="C4872" s="6" t="s">
        <v>23</v>
      </c>
      <c r="E4872" s="6" t="s">
        <v>102</v>
      </c>
      <c r="F4872" s="6" t="s">
        <v>103</v>
      </c>
      <c r="G4872" s="7">
        <v>0.06</v>
      </c>
      <c r="H4872" s="6" t="s">
        <v>491</v>
      </c>
      <c r="I4872" s="6" t="s">
        <v>20</v>
      </c>
      <c r="J4872" s="6">
        <v>2011.0</v>
      </c>
      <c r="K4872" s="10">
        <v>46055.0</v>
      </c>
      <c r="L4872" s="6">
        <v>1.0</v>
      </c>
      <c r="M4872" s="8">
        <f t="shared" si="5"/>
        <v>0.06</v>
      </c>
      <c r="P4872" s="9"/>
    </row>
    <row r="4873">
      <c r="A4873" s="6" t="s">
        <v>10359</v>
      </c>
      <c r="B4873" s="6" t="s">
        <v>10360</v>
      </c>
      <c r="C4873" s="6" t="s">
        <v>23</v>
      </c>
      <c r="D4873" s="6" t="s">
        <v>10361</v>
      </c>
      <c r="E4873" s="6" t="s">
        <v>36</v>
      </c>
      <c r="F4873" s="6" t="s">
        <v>37</v>
      </c>
      <c r="G4873" s="7">
        <v>0.1</v>
      </c>
      <c r="H4873" s="6" t="s">
        <v>324</v>
      </c>
      <c r="I4873" s="6" t="s">
        <v>20</v>
      </c>
      <c r="J4873" s="6">
        <v>2025.0</v>
      </c>
      <c r="K4873" s="10">
        <v>46024.0</v>
      </c>
      <c r="L4873" s="6">
        <v>1.0</v>
      </c>
      <c r="M4873" s="8">
        <f t="shared" si="5"/>
        <v>0.1</v>
      </c>
      <c r="P4873" s="9"/>
    </row>
    <row r="4874">
      <c r="A4874" s="6" t="s">
        <v>10362</v>
      </c>
      <c r="B4874" s="6" t="s">
        <v>3786</v>
      </c>
      <c r="C4874" s="6" t="s">
        <v>48</v>
      </c>
      <c r="D4874" s="6" t="s">
        <v>10363</v>
      </c>
      <c r="E4874" s="6" t="s">
        <v>625</v>
      </c>
      <c r="F4874" s="6" t="s">
        <v>37</v>
      </c>
      <c r="G4874" s="7">
        <v>0.2</v>
      </c>
      <c r="H4874" s="6" t="s">
        <v>245</v>
      </c>
      <c r="I4874" s="6" t="s">
        <v>20</v>
      </c>
      <c r="J4874" s="6">
        <v>1995.0</v>
      </c>
      <c r="K4874" s="6" t="s">
        <v>5875</v>
      </c>
      <c r="L4874" s="6">
        <v>1.0</v>
      </c>
      <c r="M4874" s="8">
        <f t="shared" si="5"/>
        <v>0.2</v>
      </c>
      <c r="P4874" s="9"/>
    </row>
    <row r="4875">
      <c r="A4875" s="6" t="s">
        <v>10364</v>
      </c>
      <c r="B4875" s="6" t="s">
        <v>10365</v>
      </c>
      <c r="C4875" s="6" t="s">
        <v>48</v>
      </c>
      <c r="D4875" s="6" t="s">
        <v>10366</v>
      </c>
      <c r="E4875" s="6" t="s">
        <v>625</v>
      </c>
      <c r="F4875" s="6" t="s">
        <v>37</v>
      </c>
      <c r="G4875" s="7">
        <v>0.2</v>
      </c>
      <c r="H4875" s="6" t="s">
        <v>245</v>
      </c>
      <c r="I4875" s="6" t="s">
        <v>20</v>
      </c>
      <c r="J4875" s="6">
        <v>1995.0</v>
      </c>
      <c r="K4875" s="6" t="s">
        <v>5875</v>
      </c>
      <c r="L4875" s="6">
        <v>1.0</v>
      </c>
      <c r="M4875" s="8">
        <f t="shared" si="5"/>
        <v>0.2</v>
      </c>
      <c r="P4875" s="9"/>
    </row>
    <row r="4876">
      <c r="A4876" s="6" t="s">
        <v>10367</v>
      </c>
      <c r="B4876" s="6" t="s">
        <v>1106</v>
      </c>
      <c r="C4876" s="6" t="s">
        <v>15</v>
      </c>
      <c r="D4876" s="6" t="s">
        <v>10368</v>
      </c>
      <c r="E4876" s="6" t="s">
        <v>625</v>
      </c>
      <c r="F4876" s="6" t="s">
        <v>37</v>
      </c>
      <c r="G4876" s="7">
        <v>0.2</v>
      </c>
      <c r="H4876" s="6" t="s">
        <v>245</v>
      </c>
      <c r="I4876" s="6" t="s">
        <v>20</v>
      </c>
      <c r="J4876" s="6">
        <v>1995.0</v>
      </c>
      <c r="K4876" s="6" t="s">
        <v>5875</v>
      </c>
      <c r="L4876" s="6">
        <v>1.0</v>
      </c>
      <c r="M4876" s="8">
        <f t="shared" si="5"/>
        <v>0.2</v>
      </c>
      <c r="P4876" s="9"/>
    </row>
    <row r="4877">
      <c r="A4877" s="6" t="s">
        <v>10369</v>
      </c>
      <c r="B4877" s="6" t="s">
        <v>1082</v>
      </c>
      <c r="C4877" s="6" t="s">
        <v>48</v>
      </c>
      <c r="D4877" s="6" t="s">
        <v>10370</v>
      </c>
      <c r="E4877" s="6" t="s">
        <v>235</v>
      </c>
      <c r="F4877" s="6" t="s">
        <v>103</v>
      </c>
      <c r="G4877" s="7">
        <v>0.09</v>
      </c>
      <c r="H4877" s="6" t="s">
        <v>109</v>
      </c>
      <c r="I4877" s="6" t="s">
        <v>20</v>
      </c>
      <c r="J4877" s="6">
        <v>1995.0</v>
      </c>
      <c r="K4877" s="10">
        <v>46113.0</v>
      </c>
      <c r="L4877" s="6">
        <v>2.0</v>
      </c>
      <c r="M4877" s="8">
        <f t="shared" si="5"/>
        <v>0.18</v>
      </c>
      <c r="P4877" s="9"/>
    </row>
    <row r="4878">
      <c r="A4878" s="6" t="s">
        <v>10371</v>
      </c>
      <c r="B4878" s="6" t="s">
        <v>134</v>
      </c>
      <c r="C4878" s="6" t="s">
        <v>48</v>
      </c>
      <c r="D4878" s="6" t="s">
        <v>10372</v>
      </c>
      <c r="E4878" s="6" t="s">
        <v>149</v>
      </c>
      <c r="F4878" s="6" t="s">
        <v>18</v>
      </c>
      <c r="G4878" s="7">
        <v>0.15</v>
      </c>
      <c r="H4878" s="6" t="s">
        <v>1538</v>
      </c>
      <c r="I4878" s="6" t="s">
        <v>20</v>
      </c>
      <c r="J4878" s="6">
        <v>2014.0</v>
      </c>
      <c r="K4878" s="6" t="s">
        <v>137</v>
      </c>
      <c r="L4878" s="6">
        <v>1.0</v>
      </c>
      <c r="M4878" s="8">
        <f t="shared" si="5"/>
        <v>0.15</v>
      </c>
      <c r="P4878" s="9"/>
    </row>
    <row r="4879">
      <c r="A4879" s="6" t="s">
        <v>10373</v>
      </c>
      <c r="B4879" s="6" t="s">
        <v>134</v>
      </c>
      <c r="C4879" s="6" t="s">
        <v>48</v>
      </c>
      <c r="D4879" s="6" t="s">
        <v>10374</v>
      </c>
      <c r="E4879" s="6" t="s">
        <v>2039</v>
      </c>
      <c r="F4879" s="6" t="s">
        <v>261</v>
      </c>
      <c r="G4879" s="7">
        <v>0.59</v>
      </c>
      <c r="H4879" s="6" t="s">
        <v>4243</v>
      </c>
      <c r="I4879" s="6" t="s">
        <v>20</v>
      </c>
      <c r="J4879" s="6">
        <v>2017.0</v>
      </c>
      <c r="K4879" s="6" t="s">
        <v>10375</v>
      </c>
      <c r="L4879" s="6">
        <v>2.0</v>
      </c>
      <c r="M4879" s="8">
        <f t="shared" si="5"/>
        <v>1.18</v>
      </c>
      <c r="P4879" s="9"/>
    </row>
    <row r="4880">
      <c r="A4880" s="6" t="s">
        <v>10376</v>
      </c>
      <c r="B4880" s="6" t="s">
        <v>1897</v>
      </c>
      <c r="C4880" s="6" t="s">
        <v>48</v>
      </c>
      <c r="D4880" s="6" t="s">
        <v>10377</v>
      </c>
      <c r="E4880" s="6" t="s">
        <v>64</v>
      </c>
      <c r="F4880" s="6" t="s">
        <v>65</v>
      </c>
      <c r="G4880" s="7">
        <v>0.1</v>
      </c>
      <c r="H4880" s="6" t="s">
        <v>606</v>
      </c>
      <c r="I4880" s="6" t="s">
        <v>20</v>
      </c>
      <c r="J4880" s="6">
        <v>1995.0</v>
      </c>
      <c r="K4880" s="10">
        <v>46113.0</v>
      </c>
      <c r="L4880" s="6">
        <v>1.0</v>
      </c>
      <c r="M4880" s="8">
        <f t="shared" si="5"/>
        <v>0.1</v>
      </c>
      <c r="P4880" s="9"/>
    </row>
    <row r="4881">
      <c r="A4881" s="6" t="s">
        <v>10378</v>
      </c>
      <c r="B4881" s="6" t="s">
        <v>134</v>
      </c>
      <c r="C4881" s="6" t="s">
        <v>48</v>
      </c>
      <c r="D4881" s="6" t="s">
        <v>10379</v>
      </c>
      <c r="E4881" s="6" t="s">
        <v>1001</v>
      </c>
      <c r="F4881" s="6" t="s">
        <v>65</v>
      </c>
      <c r="G4881" s="7">
        <v>0.1</v>
      </c>
      <c r="H4881" s="6" t="s">
        <v>606</v>
      </c>
      <c r="I4881" s="6" t="s">
        <v>20</v>
      </c>
      <c r="J4881" s="6">
        <v>1995.0</v>
      </c>
      <c r="K4881" s="6" t="s">
        <v>137</v>
      </c>
      <c r="L4881" s="6">
        <v>1.0</v>
      </c>
      <c r="M4881" s="8">
        <f t="shared" si="5"/>
        <v>0.1</v>
      </c>
      <c r="P4881" s="9"/>
    </row>
    <row r="4882">
      <c r="A4882" s="6" t="s">
        <v>10378</v>
      </c>
      <c r="B4882" s="6" t="s">
        <v>134</v>
      </c>
      <c r="C4882" s="6" t="s">
        <v>48</v>
      </c>
      <c r="D4882" s="6" t="s">
        <v>10379</v>
      </c>
      <c r="E4882" s="6" t="s">
        <v>1001</v>
      </c>
      <c r="F4882" s="6" t="s">
        <v>65</v>
      </c>
      <c r="G4882" s="7">
        <v>0.05</v>
      </c>
      <c r="H4882" s="6" t="s">
        <v>3110</v>
      </c>
      <c r="I4882" s="6" t="s">
        <v>20</v>
      </c>
      <c r="J4882" s="6">
        <v>2007.0</v>
      </c>
      <c r="K4882" s="6" t="s">
        <v>137</v>
      </c>
      <c r="L4882" s="6">
        <v>2.0</v>
      </c>
      <c r="M4882" s="8">
        <f t="shared" si="5"/>
        <v>0.1</v>
      </c>
      <c r="P4882" s="9"/>
    </row>
    <row r="4883">
      <c r="A4883" s="6" t="s">
        <v>10380</v>
      </c>
      <c r="B4883" s="6" t="s">
        <v>1897</v>
      </c>
      <c r="C4883" s="6" t="s">
        <v>23</v>
      </c>
      <c r="D4883" s="6" t="s">
        <v>10381</v>
      </c>
      <c r="E4883" s="6" t="s">
        <v>64</v>
      </c>
      <c r="F4883" s="6" t="s">
        <v>65</v>
      </c>
      <c r="G4883" s="7">
        <v>0.09</v>
      </c>
      <c r="H4883" s="6" t="s">
        <v>197</v>
      </c>
      <c r="I4883" s="6" t="s">
        <v>20</v>
      </c>
      <c r="J4883" s="6">
        <v>1995.0</v>
      </c>
      <c r="K4883" s="10">
        <v>46175.0</v>
      </c>
      <c r="L4883" s="6">
        <v>2.0</v>
      </c>
      <c r="M4883" s="8">
        <f t="shared" si="5"/>
        <v>0.18</v>
      </c>
      <c r="P4883" s="9"/>
    </row>
    <row r="4884">
      <c r="A4884" s="6" t="s">
        <v>10382</v>
      </c>
      <c r="B4884" s="6" t="s">
        <v>1897</v>
      </c>
      <c r="C4884" s="6" t="s">
        <v>48</v>
      </c>
      <c r="D4884" s="6" t="s">
        <v>10383</v>
      </c>
      <c r="E4884" s="6" t="s">
        <v>1001</v>
      </c>
      <c r="F4884" s="6" t="s">
        <v>65</v>
      </c>
      <c r="G4884" s="7">
        <v>0.18</v>
      </c>
      <c r="H4884" s="6" t="s">
        <v>245</v>
      </c>
      <c r="I4884" s="6" t="s">
        <v>20</v>
      </c>
      <c r="J4884" s="6">
        <v>1995.0</v>
      </c>
      <c r="K4884" s="10">
        <v>46082.0</v>
      </c>
      <c r="L4884" s="6">
        <v>1.0</v>
      </c>
      <c r="M4884" s="8">
        <f t="shared" si="5"/>
        <v>0.18</v>
      </c>
      <c r="P4884" s="9"/>
    </row>
    <row r="4885">
      <c r="A4885" s="6" t="s">
        <v>10384</v>
      </c>
      <c r="B4885" s="6" t="s">
        <v>134</v>
      </c>
      <c r="C4885" s="6" t="s">
        <v>48</v>
      </c>
      <c r="D4885" s="6" t="s">
        <v>10385</v>
      </c>
      <c r="E4885" s="6" t="s">
        <v>149</v>
      </c>
      <c r="F4885" s="6" t="s">
        <v>18</v>
      </c>
      <c r="G4885" s="7">
        <v>0.13</v>
      </c>
      <c r="H4885" s="6" t="s">
        <v>185</v>
      </c>
      <c r="I4885" s="6" t="s">
        <v>20</v>
      </c>
      <c r="J4885" s="6">
        <v>2019.0</v>
      </c>
      <c r="K4885" s="6" t="s">
        <v>597</v>
      </c>
      <c r="L4885" s="6">
        <v>1.0</v>
      </c>
      <c r="M4885" s="8">
        <f t="shared" si="5"/>
        <v>0.13</v>
      </c>
      <c r="P4885" s="9"/>
    </row>
    <row r="4886">
      <c r="A4886" s="6" t="s">
        <v>10386</v>
      </c>
      <c r="B4886" s="6" t="s">
        <v>1897</v>
      </c>
      <c r="C4886" s="6" t="s">
        <v>41</v>
      </c>
      <c r="D4886" s="6" t="s">
        <v>10387</v>
      </c>
      <c r="E4886" s="6" t="s">
        <v>2129</v>
      </c>
      <c r="F4886" s="6" t="s">
        <v>65</v>
      </c>
      <c r="G4886" s="7">
        <v>0.21</v>
      </c>
      <c r="H4886" s="6" t="s">
        <v>197</v>
      </c>
      <c r="I4886" s="6" t="s">
        <v>20</v>
      </c>
      <c r="J4886" s="6">
        <v>1995.0</v>
      </c>
      <c r="K4886" s="6" t="s">
        <v>5875</v>
      </c>
      <c r="L4886" s="6">
        <v>1.0</v>
      </c>
      <c r="M4886" s="8">
        <f t="shared" si="5"/>
        <v>0.21</v>
      </c>
      <c r="P4886" s="9"/>
    </row>
    <row r="4887">
      <c r="A4887" s="6" t="s">
        <v>10388</v>
      </c>
      <c r="B4887" s="6" t="s">
        <v>1897</v>
      </c>
      <c r="C4887" s="6" t="s">
        <v>23</v>
      </c>
      <c r="D4887" s="6" t="s">
        <v>10389</v>
      </c>
      <c r="E4887" s="6" t="s">
        <v>118</v>
      </c>
      <c r="F4887" s="6" t="s">
        <v>51</v>
      </c>
      <c r="G4887" s="7">
        <v>0.03</v>
      </c>
      <c r="H4887" s="6" t="s">
        <v>370</v>
      </c>
      <c r="I4887" s="6" t="s">
        <v>20</v>
      </c>
      <c r="J4887" s="6">
        <v>1996.0</v>
      </c>
      <c r="K4887" s="6" t="s">
        <v>1035</v>
      </c>
      <c r="L4887" s="6">
        <v>1.0</v>
      </c>
      <c r="M4887" s="8">
        <f t="shared" si="5"/>
        <v>0.03</v>
      </c>
      <c r="P4887" s="9"/>
    </row>
    <row r="4888">
      <c r="A4888" s="6" t="s">
        <v>10390</v>
      </c>
      <c r="B4888" s="6" t="s">
        <v>1897</v>
      </c>
      <c r="C4888" s="6" t="s">
        <v>23</v>
      </c>
      <c r="D4888" s="6" t="s">
        <v>10391</v>
      </c>
      <c r="E4888" s="6" t="s">
        <v>1336</v>
      </c>
      <c r="F4888" s="6" t="s">
        <v>103</v>
      </c>
      <c r="G4888" s="7">
        <v>0.15</v>
      </c>
      <c r="H4888" s="6" t="s">
        <v>4753</v>
      </c>
      <c r="I4888" s="6" t="s">
        <v>20</v>
      </c>
      <c r="J4888" s="6">
        <v>1995.0</v>
      </c>
      <c r="K4888" s="6" t="s">
        <v>422</v>
      </c>
      <c r="L4888" s="6">
        <v>2.0</v>
      </c>
      <c r="M4888" s="8">
        <f t="shared" si="5"/>
        <v>0.3</v>
      </c>
      <c r="P4888" s="9"/>
    </row>
    <row r="4889">
      <c r="A4889" s="6" t="s">
        <v>10392</v>
      </c>
      <c r="B4889" s="6" t="s">
        <v>3459</v>
      </c>
      <c r="C4889" s="6" t="s">
        <v>48</v>
      </c>
      <c r="D4889" s="6" t="s">
        <v>10393</v>
      </c>
      <c r="E4889" s="6" t="s">
        <v>243</v>
      </c>
      <c r="F4889" s="6" t="s">
        <v>37</v>
      </c>
      <c r="G4889" s="7">
        <v>0.09</v>
      </c>
      <c r="H4889" s="6" t="s">
        <v>119</v>
      </c>
      <c r="I4889" s="6" t="s">
        <v>20</v>
      </c>
      <c r="J4889" s="6">
        <v>1995.0</v>
      </c>
      <c r="K4889" s="10">
        <v>46083.0</v>
      </c>
      <c r="L4889" s="6">
        <v>5.0</v>
      </c>
      <c r="M4889" s="8">
        <f t="shared" si="5"/>
        <v>0.45</v>
      </c>
      <c r="P4889" s="9"/>
    </row>
    <row r="4890">
      <c r="A4890" s="6" t="s">
        <v>10392</v>
      </c>
      <c r="B4890" s="6" t="s">
        <v>3459</v>
      </c>
      <c r="C4890" s="6" t="s">
        <v>48</v>
      </c>
      <c r="D4890" s="6" t="s">
        <v>10393</v>
      </c>
      <c r="E4890" s="6" t="s">
        <v>243</v>
      </c>
      <c r="F4890" s="6" t="s">
        <v>37</v>
      </c>
      <c r="G4890" s="7">
        <v>0.15</v>
      </c>
      <c r="H4890" s="6" t="s">
        <v>120</v>
      </c>
      <c r="I4890" s="6" t="s">
        <v>20</v>
      </c>
      <c r="J4890" s="6">
        <v>1995.0</v>
      </c>
      <c r="K4890" s="10">
        <v>46083.0</v>
      </c>
      <c r="L4890" s="6">
        <v>4.0</v>
      </c>
      <c r="M4890" s="8">
        <f t="shared" si="5"/>
        <v>0.6</v>
      </c>
      <c r="P4890" s="9"/>
    </row>
    <row r="4891">
      <c r="A4891" s="6" t="s">
        <v>10394</v>
      </c>
      <c r="B4891" s="6" t="s">
        <v>134</v>
      </c>
      <c r="C4891" s="6" t="s">
        <v>48</v>
      </c>
      <c r="D4891" s="6" t="s">
        <v>10395</v>
      </c>
      <c r="E4891" s="6" t="s">
        <v>1001</v>
      </c>
      <c r="F4891" s="6" t="s">
        <v>65</v>
      </c>
      <c r="G4891" s="7">
        <v>0.09</v>
      </c>
      <c r="H4891" s="6" t="s">
        <v>606</v>
      </c>
      <c r="I4891" s="6" t="s">
        <v>20</v>
      </c>
      <c r="J4891" s="6">
        <v>1995.0</v>
      </c>
      <c r="K4891" s="6" t="s">
        <v>10375</v>
      </c>
      <c r="L4891" s="6">
        <v>1.0</v>
      </c>
      <c r="M4891" s="8">
        <f t="shared" si="5"/>
        <v>0.09</v>
      </c>
      <c r="P4891" s="9"/>
    </row>
    <row r="4892">
      <c r="A4892" s="6" t="s">
        <v>10396</v>
      </c>
      <c r="B4892" s="6" t="s">
        <v>3459</v>
      </c>
      <c r="C4892" s="6" t="s">
        <v>23</v>
      </c>
      <c r="D4892" s="6" t="s">
        <v>10397</v>
      </c>
      <c r="E4892" s="6" t="s">
        <v>36</v>
      </c>
      <c r="F4892" s="6" t="s">
        <v>159</v>
      </c>
      <c r="G4892" s="7">
        <v>0.19</v>
      </c>
      <c r="H4892" s="6" t="s">
        <v>146</v>
      </c>
      <c r="I4892" s="6" t="s">
        <v>20</v>
      </c>
      <c r="J4892" s="6">
        <v>2010.0</v>
      </c>
      <c r="K4892" s="6" t="s">
        <v>5875</v>
      </c>
      <c r="L4892" s="6">
        <v>1.0</v>
      </c>
      <c r="M4892" s="8">
        <f t="shared" si="5"/>
        <v>0.19</v>
      </c>
      <c r="P4892" s="9"/>
    </row>
    <row r="4893">
      <c r="A4893" s="6" t="s">
        <v>10398</v>
      </c>
      <c r="B4893" s="6" t="s">
        <v>3192</v>
      </c>
      <c r="C4893" s="6" t="s">
        <v>23</v>
      </c>
      <c r="D4893" s="6" t="s">
        <v>10399</v>
      </c>
      <c r="E4893" s="6" t="s">
        <v>270</v>
      </c>
      <c r="F4893" s="6" t="s">
        <v>159</v>
      </c>
      <c r="G4893" s="7">
        <v>0.04</v>
      </c>
      <c r="H4893" s="6" t="s">
        <v>45</v>
      </c>
      <c r="I4893" s="6" t="s">
        <v>20</v>
      </c>
      <c r="J4893" s="6">
        <v>2025.0</v>
      </c>
      <c r="K4893" s="10">
        <v>46083.0</v>
      </c>
      <c r="L4893" s="6">
        <v>3.0</v>
      </c>
      <c r="M4893" s="8">
        <f t="shared" si="5"/>
        <v>0.12</v>
      </c>
      <c r="P4893" s="9"/>
    </row>
    <row r="4894">
      <c r="A4894" s="6" t="s">
        <v>10400</v>
      </c>
      <c r="B4894" s="6" t="s">
        <v>1990</v>
      </c>
      <c r="C4894" s="6" t="s">
        <v>23</v>
      </c>
      <c r="D4894" s="6" t="s">
        <v>3764</v>
      </c>
      <c r="E4894" s="6" t="s">
        <v>153</v>
      </c>
      <c r="F4894" s="6" t="s">
        <v>103</v>
      </c>
      <c r="G4894" s="7">
        <v>0.09</v>
      </c>
      <c r="H4894" s="6" t="s">
        <v>204</v>
      </c>
      <c r="I4894" s="6" t="s">
        <v>20</v>
      </c>
      <c r="J4894" s="6">
        <v>2026.0</v>
      </c>
      <c r="L4894" s="6">
        <v>2.0</v>
      </c>
      <c r="M4894" s="8">
        <f t="shared" si="5"/>
        <v>0.18</v>
      </c>
      <c r="P4894" s="9"/>
    </row>
    <row r="4895">
      <c r="A4895" s="6" t="s">
        <v>10401</v>
      </c>
      <c r="B4895" s="6" t="s">
        <v>10402</v>
      </c>
      <c r="C4895" s="6" t="s">
        <v>521</v>
      </c>
      <c r="D4895" s="6" t="s">
        <v>10403</v>
      </c>
      <c r="E4895" s="6" t="s">
        <v>118</v>
      </c>
      <c r="F4895" s="6" t="s">
        <v>904</v>
      </c>
      <c r="G4895" s="7">
        <v>0.09</v>
      </c>
      <c r="H4895" s="6" t="s">
        <v>641</v>
      </c>
      <c r="I4895" s="6" t="s">
        <v>20</v>
      </c>
      <c r="J4895" s="6">
        <v>2026.0</v>
      </c>
      <c r="K4895" s="10">
        <v>46055.0</v>
      </c>
      <c r="L4895" s="6">
        <v>2.0</v>
      </c>
      <c r="M4895" s="8">
        <f t="shared" si="5"/>
        <v>0.18</v>
      </c>
      <c r="P4895" s="9"/>
    </row>
    <row r="4896">
      <c r="A4896" s="6" t="s">
        <v>10404</v>
      </c>
      <c r="B4896" s="6" t="s">
        <v>2354</v>
      </c>
      <c r="C4896" s="6" t="s">
        <v>23</v>
      </c>
      <c r="D4896" s="6" t="s">
        <v>10405</v>
      </c>
      <c r="E4896" s="6" t="s">
        <v>10406</v>
      </c>
      <c r="F4896" s="6" t="s">
        <v>717</v>
      </c>
      <c r="G4896" s="7">
        <v>0.05</v>
      </c>
      <c r="H4896" s="6" t="s">
        <v>1361</v>
      </c>
      <c r="I4896" s="6" t="s">
        <v>20</v>
      </c>
      <c r="J4896" s="6">
        <v>2008.0</v>
      </c>
      <c r="K4896" s="10">
        <v>46084.0</v>
      </c>
      <c r="L4896" s="6">
        <v>1.0</v>
      </c>
      <c r="M4896" s="8">
        <f t="shared" si="5"/>
        <v>0.05</v>
      </c>
      <c r="P4896" s="9"/>
    </row>
    <row r="4897">
      <c r="A4897" s="6" t="s">
        <v>10407</v>
      </c>
      <c r="B4897" s="6" t="s">
        <v>62</v>
      </c>
      <c r="C4897" s="6" t="s">
        <v>23</v>
      </c>
      <c r="D4897" s="6" t="s">
        <v>10408</v>
      </c>
      <c r="E4897" s="6" t="s">
        <v>118</v>
      </c>
      <c r="F4897" s="6" t="s">
        <v>51</v>
      </c>
      <c r="G4897" s="7">
        <v>0.1</v>
      </c>
      <c r="H4897" s="6" t="s">
        <v>418</v>
      </c>
      <c r="I4897" s="6" t="s">
        <v>20</v>
      </c>
      <c r="J4897" s="6">
        <v>2022.0</v>
      </c>
      <c r="L4897" s="6">
        <v>1.0</v>
      </c>
      <c r="M4897" s="8">
        <f t="shared" si="5"/>
        <v>0.1</v>
      </c>
      <c r="P4897" s="9"/>
    </row>
    <row r="4898">
      <c r="A4898" s="6" t="s">
        <v>10409</v>
      </c>
      <c r="B4898" s="6" t="s">
        <v>3294</v>
      </c>
      <c r="C4898" s="6" t="s">
        <v>48</v>
      </c>
      <c r="D4898" s="6" t="s">
        <v>10410</v>
      </c>
      <c r="E4898" s="6" t="s">
        <v>118</v>
      </c>
      <c r="F4898" s="6" t="s">
        <v>51</v>
      </c>
      <c r="G4898" s="7">
        <v>0.07</v>
      </c>
      <c r="H4898" s="6" t="s">
        <v>705</v>
      </c>
      <c r="I4898" s="6" t="s">
        <v>20</v>
      </c>
      <c r="J4898" s="6">
        <v>2015.0</v>
      </c>
      <c r="K4898" s="10">
        <v>46025.0</v>
      </c>
      <c r="L4898" s="6">
        <v>1.0</v>
      </c>
      <c r="M4898" s="8">
        <f t="shared" si="5"/>
        <v>0.07</v>
      </c>
      <c r="P4898" s="9"/>
    </row>
    <row r="4899">
      <c r="A4899" s="6" t="s">
        <v>10411</v>
      </c>
      <c r="B4899" s="6" t="s">
        <v>3151</v>
      </c>
      <c r="C4899" s="6" t="s">
        <v>48</v>
      </c>
      <c r="D4899" s="6" t="s">
        <v>10412</v>
      </c>
      <c r="E4899" s="6" t="s">
        <v>1250</v>
      </c>
      <c r="F4899" s="6" t="s">
        <v>60</v>
      </c>
      <c r="G4899" s="7">
        <v>0.1</v>
      </c>
      <c r="H4899" s="6" t="s">
        <v>114</v>
      </c>
      <c r="I4899" s="6" t="s">
        <v>20</v>
      </c>
      <c r="J4899" s="6">
        <v>2021.0</v>
      </c>
      <c r="K4899" s="10">
        <v>46024.0</v>
      </c>
      <c r="L4899" s="6">
        <v>1.0</v>
      </c>
      <c r="M4899" s="8">
        <f t="shared" si="5"/>
        <v>0.1</v>
      </c>
      <c r="P4899" s="9"/>
    </row>
    <row r="4900">
      <c r="A4900" s="6" t="s">
        <v>10413</v>
      </c>
      <c r="B4900" s="6" t="s">
        <v>10414</v>
      </c>
      <c r="C4900" s="6" t="s">
        <v>23</v>
      </c>
      <c r="D4900" s="6" t="s">
        <v>10415</v>
      </c>
      <c r="E4900" s="6" t="s">
        <v>10416</v>
      </c>
      <c r="F4900" s="6" t="s">
        <v>986</v>
      </c>
      <c r="G4900" s="7">
        <v>0.06</v>
      </c>
      <c r="H4900" s="6" t="s">
        <v>45</v>
      </c>
      <c r="I4900" s="6" t="s">
        <v>20</v>
      </c>
      <c r="J4900" s="6">
        <v>2025.0</v>
      </c>
      <c r="K4900" s="10">
        <v>46144.0</v>
      </c>
      <c r="L4900" s="6">
        <v>1.0</v>
      </c>
      <c r="M4900" s="8">
        <f t="shared" si="5"/>
        <v>0.06</v>
      </c>
      <c r="P4900" s="9"/>
    </row>
    <row r="4901">
      <c r="A4901" s="6" t="s">
        <v>10417</v>
      </c>
      <c r="B4901" s="6" t="s">
        <v>151</v>
      </c>
      <c r="C4901" s="6" t="s">
        <v>23</v>
      </c>
      <c r="D4901" s="6" t="s">
        <v>10418</v>
      </c>
      <c r="E4901" s="6" t="s">
        <v>25</v>
      </c>
      <c r="F4901" s="6" t="s">
        <v>18</v>
      </c>
      <c r="G4901" s="7">
        <v>0.06</v>
      </c>
      <c r="H4901" s="6" t="s">
        <v>114</v>
      </c>
      <c r="I4901" s="6" t="s">
        <v>20</v>
      </c>
      <c r="J4901" s="6">
        <v>2021.0</v>
      </c>
      <c r="K4901" s="10">
        <v>46083.0</v>
      </c>
      <c r="L4901" s="6">
        <v>1.0</v>
      </c>
      <c r="M4901" s="8">
        <f t="shared" si="5"/>
        <v>0.06</v>
      </c>
      <c r="P4901" s="9"/>
    </row>
    <row r="4902">
      <c r="A4902" s="6" t="s">
        <v>10419</v>
      </c>
      <c r="B4902" s="6" t="s">
        <v>2193</v>
      </c>
      <c r="C4902" s="6" t="s">
        <v>48</v>
      </c>
      <c r="D4902" s="6" t="s">
        <v>10420</v>
      </c>
      <c r="E4902" s="6" t="s">
        <v>64</v>
      </c>
      <c r="F4902" s="6" t="s">
        <v>65</v>
      </c>
      <c r="G4902" s="7">
        <v>0.1</v>
      </c>
      <c r="H4902" s="6" t="s">
        <v>45</v>
      </c>
      <c r="I4902" s="6" t="s">
        <v>20</v>
      </c>
      <c r="J4902" s="6">
        <v>2025.0</v>
      </c>
      <c r="K4902" s="10">
        <v>46085.0</v>
      </c>
      <c r="L4902" s="6">
        <v>1.0</v>
      </c>
      <c r="M4902" s="8">
        <f t="shared" si="5"/>
        <v>0.1</v>
      </c>
      <c r="P4902" s="9"/>
    </row>
    <row r="4903">
      <c r="A4903" s="6" t="s">
        <v>10421</v>
      </c>
      <c r="B4903" s="6" t="s">
        <v>241</v>
      </c>
      <c r="C4903" s="6" t="s">
        <v>287</v>
      </c>
      <c r="D4903" s="6" t="s">
        <v>10422</v>
      </c>
      <c r="E4903" s="6" t="s">
        <v>243</v>
      </c>
      <c r="F4903" s="6" t="s">
        <v>244</v>
      </c>
      <c r="G4903" s="7">
        <v>0.17</v>
      </c>
      <c r="H4903" s="6" t="s">
        <v>245</v>
      </c>
      <c r="I4903" s="6" t="s">
        <v>20</v>
      </c>
      <c r="J4903" s="6">
        <v>1995.0</v>
      </c>
      <c r="L4903" s="6">
        <v>1.0</v>
      </c>
      <c r="M4903" s="8">
        <f t="shared" si="5"/>
        <v>0.17</v>
      </c>
      <c r="P4903" s="9"/>
    </row>
    <row r="4904">
      <c r="A4904" s="6" t="s">
        <v>10423</v>
      </c>
      <c r="B4904" s="6" t="s">
        <v>10424</v>
      </c>
      <c r="C4904" s="6" t="s">
        <v>521</v>
      </c>
      <c r="D4904" s="6" t="s">
        <v>10425</v>
      </c>
      <c r="E4904" s="6" t="s">
        <v>50</v>
      </c>
      <c r="F4904" s="6" t="s">
        <v>904</v>
      </c>
      <c r="G4904" s="7">
        <v>0.07</v>
      </c>
      <c r="H4904" s="6" t="s">
        <v>459</v>
      </c>
      <c r="I4904" s="6" t="s">
        <v>20</v>
      </c>
      <c r="J4904" s="6">
        <v>1995.0</v>
      </c>
      <c r="K4904" s="10">
        <v>46055.0</v>
      </c>
      <c r="L4904" s="6">
        <v>5.0</v>
      </c>
      <c r="M4904" s="8">
        <f t="shared" si="5"/>
        <v>0.35</v>
      </c>
      <c r="P4904" s="9"/>
    </row>
    <row r="4905">
      <c r="A4905" s="6" t="s">
        <v>10426</v>
      </c>
      <c r="B4905" s="6" t="s">
        <v>10204</v>
      </c>
      <c r="C4905" s="6" t="s">
        <v>48</v>
      </c>
      <c r="D4905" s="6" t="s">
        <v>10427</v>
      </c>
      <c r="E4905" s="6" t="s">
        <v>1855</v>
      </c>
      <c r="F4905" s="6" t="s">
        <v>261</v>
      </c>
      <c r="G4905" s="7">
        <v>7.6</v>
      </c>
      <c r="H4905" s="6" t="s">
        <v>26</v>
      </c>
      <c r="I4905" s="6" t="s">
        <v>20</v>
      </c>
      <c r="J4905" s="6">
        <v>2026.0</v>
      </c>
      <c r="K4905" s="10">
        <v>46056.0</v>
      </c>
      <c r="L4905" s="6">
        <v>1.0</v>
      </c>
      <c r="M4905" s="8">
        <f t="shared" si="5"/>
        <v>7.6</v>
      </c>
      <c r="P4905" s="9"/>
    </row>
    <row r="4906">
      <c r="A4906" s="6" t="s">
        <v>10428</v>
      </c>
      <c r="B4906" s="6" t="s">
        <v>10429</v>
      </c>
      <c r="C4906" s="6" t="s">
        <v>15</v>
      </c>
      <c r="D4906" s="6" t="s">
        <v>10430</v>
      </c>
      <c r="E4906" s="6" t="s">
        <v>10431</v>
      </c>
      <c r="F4906" s="6" t="s">
        <v>858</v>
      </c>
      <c r="G4906" s="7">
        <v>0.44</v>
      </c>
      <c r="H4906" s="6" t="s">
        <v>38</v>
      </c>
      <c r="I4906" s="6" t="s">
        <v>20</v>
      </c>
      <c r="J4906" s="6">
        <v>2026.0</v>
      </c>
      <c r="K4906" s="10">
        <v>46082.0</v>
      </c>
      <c r="L4906" s="6">
        <v>1.0</v>
      </c>
      <c r="M4906" s="8">
        <f t="shared" si="5"/>
        <v>0.44</v>
      </c>
      <c r="P4906" s="9"/>
    </row>
    <row r="4907">
      <c r="A4907" s="6" t="s">
        <v>10432</v>
      </c>
      <c r="B4907" s="6" t="s">
        <v>10433</v>
      </c>
      <c r="C4907" s="6" t="s">
        <v>23</v>
      </c>
      <c r="D4907" s="6" t="s">
        <v>3223</v>
      </c>
      <c r="E4907" s="6" t="s">
        <v>298</v>
      </c>
      <c r="F4907" s="6" t="s">
        <v>159</v>
      </c>
      <c r="G4907" s="7">
        <v>0.09</v>
      </c>
      <c r="H4907" s="6" t="s">
        <v>120</v>
      </c>
      <c r="I4907" s="6" t="s">
        <v>20</v>
      </c>
      <c r="J4907" s="6">
        <v>1995.0</v>
      </c>
      <c r="K4907" s="10">
        <v>46084.0</v>
      </c>
      <c r="L4907" s="6">
        <v>1.0</v>
      </c>
      <c r="M4907" s="8">
        <f t="shared" si="5"/>
        <v>0.09</v>
      </c>
      <c r="P4907" s="9"/>
    </row>
    <row r="4908">
      <c r="A4908" s="6" t="s">
        <v>10434</v>
      </c>
      <c r="B4908" s="6" t="s">
        <v>127</v>
      </c>
      <c r="C4908" s="6" t="s">
        <v>48</v>
      </c>
      <c r="D4908" s="6" t="s">
        <v>10435</v>
      </c>
      <c r="E4908" s="6" t="s">
        <v>395</v>
      </c>
      <c r="F4908" s="6" t="s">
        <v>51</v>
      </c>
      <c r="G4908" s="7">
        <v>0.08</v>
      </c>
      <c r="H4908" s="6" t="s">
        <v>184</v>
      </c>
      <c r="I4908" s="6" t="s">
        <v>20</v>
      </c>
      <c r="J4908" s="6">
        <v>2015.0</v>
      </c>
      <c r="K4908" s="10">
        <v>46084.0</v>
      </c>
      <c r="L4908" s="6">
        <v>2.0</v>
      </c>
      <c r="M4908" s="8">
        <f t="shared" si="5"/>
        <v>0.16</v>
      </c>
      <c r="P4908" s="9"/>
    </row>
    <row r="4909">
      <c r="A4909" s="6" t="s">
        <v>10436</v>
      </c>
      <c r="B4909" s="6" t="s">
        <v>366</v>
      </c>
      <c r="C4909" s="6" t="s">
        <v>23</v>
      </c>
      <c r="D4909" s="6" t="s">
        <v>10437</v>
      </c>
      <c r="E4909" s="6" t="s">
        <v>196</v>
      </c>
      <c r="F4909" s="6" t="s">
        <v>65</v>
      </c>
      <c r="G4909" s="7">
        <v>0.07</v>
      </c>
      <c r="H4909" s="6" t="s">
        <v>994</v>
      </c>
      <c r="I4909" s="6" t="s">
        <v>20</v>
      </c>
      <c r="J4909" s="6">
        <v>2024.0</v>
      </c>
      <c r="L4909" s="6">
        <v>1.0</v>
      </c>
      <c r="M4909" s="8">
        <f t="shared" si="5"/>
        <v>0.07</v>
      </c>
      <c r="P4909" s="9"/>
    </row>
    <row r="4910">
      <c r="A4910" s="6" t="s">
        <v>10438</v>
      </c>
      <c r="B4910" s="6" t="s">
        <v>1509</v>
      </c>
      <c r="C4910" s="6" t="s">
        <v>48</v>
      </c>
      <c r="D4910" s="6" t="s">
        <v>10439</v>
      </c>
      <c r="E4910" s="6" t="s">
        <v>112</v>
      </c>
      <c r="F4910" s="6" t="s">
        <v>65</v>
      </c>
      <c r="G4910" s="7">
        <v>0.08</v>
      </c>
      <c r="H4910" s="6" t="s">
        <v>129</v>
      </c>
      <c r="I4910" s="6" t="s">
        <v>20</v>
      </c>
      <c r="J4910" s="6">
        <v>2014.0</v>
      </c>
      <c r="K4910" s="10">
        <v>46024.0</v>
      </c>
      <c r="L4910" s="6">
        <v>1.0</v>
      </c>
      <c r="M4910" s="8">
        <f t="shared" si="5"/>
        <v>0.08</v>
      </c>
      <c r="P4910" s="9"/>
    </row>
    <row r="4911">
      <c r="A4911" s="6" t="s">
        <v>10440</v>
      </c>
      <c r="B4911" s="6" t="s">
        <v>10441</v>
      </c>
      <c r="C4911" s="6" t="s">
        <v>34</v>
      </c>
      <c r="D4911" s="6" t="s">
        <v>10442</v>
      </c>
      <c r="E4911" s="6" t="s">
        <v>2535</v>
      </c>
      <c r="F4911" s="6" t="s">
        <v>18</v>
      </c>
      <c r="G4911" s="7">
        <v>0.03</v>
      </c>
      <c r="H4911" s="6" t="s">
        <v>483</v>
      </c>
      <c r="I4911" s="6" t="s">
        <v>20</v>
      </c>
      <c r="J4911" s="6">
        <v>2014.0</v>
      </c>
      <c r="K4911" s="10">
        <v>46082.0</v>
      </c>
      <c r="L4911" s="6">
        <v>2.0</v>
      </c>
      <c r="M4911" s="8">
        <f t="shared" si="5"/>
        <v>0.06</v>
      </c>
      <c r="P4911" s="9"/>
    </row>
    <row r="4912">
      <c r="A4912" s="6" t="s">
        <v>10443</v>
      </c>
      <c r="B4912" s="6" t="s">
        <v>1113</v>
      </c>
      <c r="C4912" s="6" t="s">
        <v>48</v>
      </c>
      <c r="D4912" s="6" t="s">
        <v>10444</v>
      </c>
      <c r="E4912" s="6" t="s">
        <v>196</v>
      </c>
      <c r="F4912" s="6" t="s">
        <v>65</v>
      </c>
      <c r="G4912" s="7">
        <v>0.18</v>
      </c>
      <c r="H4912" s="6" t="s">
        <v>4382</v>
      </c>
      <c r="I4912" s="6" t="s">
        <v>20</v>
      </c>
      <c r="J4912" s="6">
        <v>2003.0</v>
      </c>
      <c r="K4912" s="10">
        <v>46023.0</v>
      </c>
      <c r="L4912" s="6">
        <v>1.0</v>
      </c>
      <c r="M4912" s="8">
        <f t="shared" si="5"/>
        <v>0.18</v>
      </c>
      <c r="P4912" s="9"/>
    </row>
    <row r="4913">
      <c r="A4913" s="6" t="s">
        <v>10445</v>
      </c>
      <c r="B4913" s="6" t="s">
        <v>7509</v>
      </c>
      <c r="C4913" s="6" t="s">
        <v>23</v>
      </c>
      <c r="D4913" s="6" t="s">
        <v>10446</v>
      </c>
      <c r="E4913" s="6" t="s">
        <v>108</v>
      </c>
      <c r="F4913" s="6" t="s">
        <v>103</v>
      </c>
      <c r="G4913" s="7">
        <v>0.03</v>
      </c>
      <c r="H4913" s="6" t="s">
        <v>276</v>
      </c>
      <c r="I4913" s="6" t="s">
        <v>20</v>
      </c>
      <c r="J4913" s="6">
        <v>2014.0</v>
      </c>
      <c r="K4913" s="10">
        <v>46084.0</v>
      </c>
      <c r="L4913" s="6">
        <v>1.0</v>
      </c>
      <c r="M4913" s="8">
        <f t="shared" si="5"/>
        <v>0.03</v>
      </c>
      <c r="P4913" s="9"/>
    </row>
    <row r="4914">
      <c r="A4914" s="6" t="s">
        <v>10447</v>
      </c>
      <c r="B4914" s="6" t="s">
        <v>434</v>
      </c>
      <c r="C4914" s="6" t="s">
        <v>23</v>
      </c>
      <c r="D4914" s="6" t="s">
        <v>10448</v>
      </c>
      <c r="E4914" s="6" t="s">
        <v>175</v>
      </c>
      <c r="F4914" s="6" t="s">
        <v>51</v>
      </c>
      <c r="G4914" s="7">
        <v>0.05</v>
      </c>
      <c r="H4914" s="6" t="s">
        <v>701</v>
      </c>
      <c r="I4914" s="6" t="s">
        <v>20</v>
      </c>
      <c r="J4914" s="6">
        <v>2012.0</v>
      </c>
      <c r="K4914" s="10">
        <v>46023.0</v>
      </c>
      <c r="L4914" s="6">
        <v>1.0</v>
      </c>
      <c r="M4914" s="8">
        <f t="shared" si="5"/>
        <v>0.05</v>
      </c>
      <c r="P4914" s="9"/>
    </row>
    <row r="4915">
      <c r="A4915" s="6" t="s">
        <v>10449</v>
      </c>
      <c r="B4915" s="6" t="s">
        <v>2545</v>
      </c>
      <c r="C4915" s="6" t="s">
        <v>48</v>
      </c>
      <c r="D4915" s="6" t="s">
        <v>10450</v>
      </c>
      <c r="E4915" s="6" t="s">
        <v>2288</v>
      </c>
      <c r="F4915" s="6" t="s">
        <v>51</v>
      </c>
      <c r="G4915" s="7">
        <v>0.08</v>
      </c>
      <c r="H4915" s="6" t="s">
        <v>705</v>
      </c>
      <c r="I4915" s="6" t="s">
        <v>20</v>
      </c>
      <c r="J4915" s="6">
        <v>2015.0</v>
      </c>
      <c r="K4915" s="10">
        <v>46116.0</v>
      </c>
      <c r="L4915" s="6">
        <v>1.0</v>
      </c>
      <c r="M4915" s="8">
        <f t="shared" si="5"/>
        <v>0.08</v>
      </c>
      <c r="P4915" s="9"/>
    </row>
    <row r="4916">
      <c r="A4916" s="6" t="s">
        <v>10451</v>
      </c>
      <c r="B4916" s="6" t="s">
        <v>10452</v>
      </c>
      <c r="C4916" s="6" t="s">
        <v>23</v>
      </c>
      <c r="D4916" s="6" t="s">
        <v>10453</v>
      </c>
      <c r="E4916" s="6" t="s">
        <v>533</v>
      </c>
      <c r="F4916" s="6" t="s">
        <v>65</v>
      </c>
      <c r="G4916" s="7">
        <v>0.06</v>
      </c>
      <c r="H4916" s="6" t="s">
        <v>845</v>
      </c>
      <c r="I4916" s="6" t="s">
        <v>20</v>
      </c>
      <c r="J4916" s="6">
        <v>2022.0</v>
      </c>
      <c r="K4916" s="10">
        <v>46057.0</v>
      </c>
      <c r="L4916" s="6">
        <v>1.0</v>
      </c>
      <c r="M4916" s="8">
        <f t="shared" si="5"/>
        <v>0.06</v>
      </c>
      <c r="P4916" s="9"/>
    </row>
    <row r="4917">
      <c r="A4917" s="6" t="s">
        <v>10454</v>
      </c>
      <c r="B4917" s="6" t="s">
        <v>143</v>
      </c>
      <c r="C4917" s="6" t="s">
        <v>48</v>
      </c>
      <c r="D4917" s="6" t="s">
        <v>10455</v>
      </c>
      <c r="E4917" s="6" t="s">
        <v>243</v>
      </c>
      <c r="F4917" s="6" t="s">
        <v>37</v>
      </c>
      <c r="G4917" s="7">
        <v>0.08</v>
      </c>
      <c r="H4917" s="6" t="s">
        <v>294</v>
      </c>
      <c r="I4917" s="6" t="s">
        <v>20</v>
      </c>
      <c r="J4917" s="6">
        <v>2010.0</v>
      </c>
      <c r="L4917" s="6">
        <v>1.0</v>
      </c>
      <c r="M4917" s="8">
        <f t="shared" si="5"/>
        <v>0.08</v>
      </c>
      <c r="P4917" s="9"/>
    </row>
    <row r="4918">
      <c r="A4918" s="6" t="s">
        <v>10456</v>
      </c>
      <c r="B4918" s="6" t="s">
        <v>182</v>
      </c>
      <c r="C4918" s="6" t="s">
        <v>23</v>
      </c>
      <c r="D4918" s="6" t="s">
        <v>10457</v>
      </c>
      <c r="E4918" s="6" t="s">
        <v>196</v>
      </c>
      <c r="F4918" s="6" t="s">
        <v>65</v>
      </c>
      <c r="G4918" s="7">
        <v>0.1</v>
      </c>
      <c r="H4918" s="6" t="s">
        <v>200</v>
      </c>
      <c r="I4918" s="6" t="s">
        <v>20</v>
      </c>
      <c r="J4918" s="6">
        <v>2018.0</v>
      </c>
      <c r="L4918" s="6">
        <v>4.0</v>
      </c>
      <c r="M4918" s="8">
        <f t="shared" si="5"/>
        <v>0.4</v>
      </c>
      <c r="P4918" s="9"/>
    </row>
    <row r="4919">
      <c r="A4919" s="6" t="s">
        <v>10458</v>
      </c>
      <c r="B4919" s="6" t="s">
        <v>366</v>
      </c>
      <c r="C4919" s="6" t="s">
        <v>41</v>
      </c>
      <c r="D4919" s="6" t="s">
        <v>10459</v>
      </c>
      <c r="E4919" s="6" t="s">
        <v>1092</v>
      </c>
      <c r="F4919" s="6" t="s">
        <v>103</v>
      </c>
      <c r="G4919" s="7">
        <v>0.48</v>
      </c>
      <c r="H4919" s="6" t="s">
        <v>453</v>
      </c>
      <c r="I4919" s="6" t="s">
        <v>20</v>
      </c>
      <c r="J4919" s="6">
        <v>1995.0</v>
      </c>
      <c r="L4919" s="6">
        <v>4.0</v>
      </c>
      <c r="M4919" s="8">
        <f t="shared" si="5"/>
        <v>1.92</v>
      </c>
      <c r="P4919" s="9"/>
    </row>
    <row r="4920">
      <c r="A4920" s="6" t="s">
        <v>10460</v>
      </c>
      <c r="B4920" s="6" t="s">
        <v>3908</v>
      </c>
      <c r="C4920" s="6" t="s">
        <v>41</v>
      </c>
      <c r="D4920" s="6" t="s">
        <v>10461</v>
      </c>
      <c r="E4920" s="6" t="s">
        <v>10462</v>
      </c>
      <c r="F4920" s="6" t="s">
        <v>261</v>
      </c>
      <c r="G4920" s="7">
        <v>0.2</v>
      </c>
      <c r="H4920" s="6" t="s">
        <v>185</v>
      </c>
      <c r="I4920" s="6" t="s">
        <v>20</v>
      </c>
      <c r="J4920" s="6">
        <v>2019.0</v>
      </c>
      <c r="L4920" s="6">
        <v>1.0</v>
      </c>
      <c r="M4920" s="8">
        <f t="shared" si="5"/>
        <v>0.2</v>
      </c>
      <c r="P4920" s="9"/>
    </row>
    <row r="4921">
      <c r="A4921" s="6" t="s">
        <v>10463</v>
      </c>
      <c r="B4921" s="6" t="s">
        <v>169</v>
      </c>
      <c r="C4921" s="6" t="s">
        <v>287</v>
      </c>
      <c r="D4921" s="6" t="s">
        <v>10464</v>
      </c>
      <c r="E4921" s="6" t="s">
        <v>79</v>
      </c>
      <c r="F4921" s="6" t="s">
        <v>51</v>
      </c>
      <c r="G4921" s="7">
        <v>0.49</v>
      </c>
      <c r="H4921" s="6" t="s">
        <v>523</v>
      </c>
      <c r="I4921" s="6" t="s">
        <v>20</v>
      </c>
      <c r="J4921" s="6">
        <v>1997.0</v>
      </c>
      <c r="L4921" s="6">
        <v>1.0</v>
      </c>
      <c r="M4921" s="8">
        <f t="shared" si="5"/>
        <v>0.49</v>
      </c>
      <c r="P4921" s="9"/>
    </row>
    <row r="4922">
      <c r="A4922" s="6" t="s">
        <v>10465</v>
      </c>
      <c r="B4922" s="6" t="s">
        <v>850</v>
      </c>
      <c r="C4922" s="6" t="s">
        <v>34</v>
      </c>
      <c r="D4922" s="6" t="s">
        <v>10466</v>
      </c>
      <c r="E4922" s="6" t="s">
        <v>1080</v>
      </c>
      <c r="F4922" s="6" t="s">
        <v>65</v>
      </c>
      <c r="G4922" s="7">
        <v>0.1</v>
      </c>
      <c r="H4922" s="6" t="s">
        <v>209</v>
      </c>
      <c r="I4922" s="6" t="s">
        <v>20</v>
      </c>
      <c r="J4922" s="6">
        <v>2025.0</v>
      </c>
      <c r="L4922" s="6">
        <v>2.0</v>
      </c>
      <c r="M4922" s="8">
        <f t="shared" si="5"/>
        <v>0.2</v>
      </c>
      <c r="P4922" s="9"/>
    </row>
    <row r="4923">
      <c r="A4923" s="6" t="s">
        <v>10465</v>
      </c>
      <c r="B4923" s="6" t="s">
        <v>850</v>
      </c>
      <c r="C4923" s="6" t="s">
        <v>34</v>
      </c>
      <c r="D4923" s="6" t="s">
        <v>10466</v>
      </c>
      <c r="E4923" s="6" t="s">
        <v>2469</v>
      </c>
      <c r="F4923" s="6" t="s">
        <v>65</v>
      </c>
      <c r="G4923" s="7">
        <v>0.1</v>
      </c>
      <c r="H4923" s="6" t="s">
        <v>209</v>
      </c>
      <c r="I4923" s="6" t="s">
        <v>20</v>
      </c>
      <c r="J4923" s="6">
        <v>2025.0</v>
      </c>
      <c r="L4923" s="6">
        <v>2.0</v>
      </c>
      <c r="M4923" s="8">
        <f t="shared" si="5"/>
        <v>0.2</v>
      </c>
      <c r="P4923" s="9"/>
    </row>
    <row r="4924">
      <c r="A4924" s="6" t="s">
        <v>10467</v>
      </c>
      <c r="B4924" s="6" t="s">
        <v>2822</v>
      </c>
      <c r="C4924" s="6" t="s">
        <v>41</v>
      </c>
      <c r="D4924" s="6" t="s">
        <v>10468</v>
      </c>
      <c r="E4924" s="6" t="s">
        <v>533</v>
      </c>
      <c r="F4924" s="6" t="s">
        <v>65</v>
      </c>
      <c r="G4924" s="7">
        <v>0.32</v>
      </c>
      <c r="H4924" s="6" t="s">
        <v>45</v>
      </c>
      <c r="I4924" s="6" t="s">
        <v>20</v>
      </c>
      <c r="J4924" s="6">
        <v>2025.0</v>
      </c>
      <c r="K4924" s="10">
        <v>46116.0</v>
      </c>
      <c r="L4924" s="6">
        <v>1.0</v>
      </c>
      <c r="M4924" s="8">
        <f t="shared" si="5"/>
        <v>0.32</v>
      </c>
      <c r="P4924" s="9"/>
    </row>
    <row r="4925">
      <c r="A4925" s="6" t="s">
        <v>10469</v>
      </c>
      <c r="B4925" s="6" t="s">
        <v>5552</v>
      </c>
      <c r="C4925" s="6" t="s">
        <v>23</v>
      </c>
      <c r="D4925" s="6" t="s">
        <v>10470</v>
      </c>
      <c r="E4925" s="6" t="s">
        <v>10471</v>
      </c>
      <c r="F4925" s="6" t="s">
        <v>874</v>
      </c>
      <c r="G4925" s="7">
        <v>0.1</v>
      </c>
      <c r="H4925" s="6" t="s">
        <v>641</v>
      </c>
      <c r="I4925" s="6" t="s">
        <v>20</v>
      </c>
      <c r="J4925" s="6">
        <v>2026.0</v>
      </c>
      <c r="K4925" s="10">
        <v>46084.0</v>
      </c>
      <c r="L4925" s="6">
        <v>1.0</v>
      </c>
      <c r="M4925" s="8">
        <f t="shared" si="5"/>
        <v>0.1</v>
      </c>
      <c r="P4925" s="9"/>
    </row>
    <row r="4926">
      <c r="A4926" s="6" t="s">
        <v>10472</v>
      </c>
      <c r="B4926" s="6" t="s">
        <v>10473</v>
      </c>
      <c r="C4926" s="6" t="s">
        <v>23</v>
      </c>
      <c r="D4926" s="6" t="s">
        <v>10474</v>
      </c>
      <c r="E4926" s="6" t="s">
        <v>223</v>
      </c>
      <c r="F4926" s="6" t="s">
        <v>159</v>
      </c>
      <c r="G4926" s="7">
        <v>0.05</v>
      </c>
      <c r="H4926" s="6" t="s">
        <v>113</v>
      </c>
      <c r="I4926" s="6" t="s">
        <v>20</v>
      </c>
      <c r="J4926" s="6">
        <v>2024.0</v>
      </c>
      <c r="K4926" s="10">
        <v>46025.0</v>
      </c>
      <c r="L4926" s="6">
        <v>1.0</v>
      </c>
      <c r="M4926" s="8">
        <f t="shared" si="5"/>
        <v>0.05</v>
      </c>
      <c r="P4926" s="9"/>
    </row>
    <row r="4927">
      <c r="A4927" s="6" t="s">
        <v>10475</v>
      </c>
      <c r="B4927" s="6" t="s">
        <v>62</v>
      </c>
      <c r="C4927" s="6" t="s">
        <v>48</v>
      </c>
      <c r="D4927" s="6" t="s">
        <v>10476</v>
      </c>
      <c r="E4927" s="6" t="s">
        <v>248</v>
      </c>
      <c r="F4927" s="6" t="s">
        <v>18</v>
      </c>
      <c r="G4927" s="7">
        <v>7.0</v>
      </c>
      <c r="H4927" s="6" t="s">
        <v>114</v>
      </c>
      <c r="I4927" s="6" t="s">
        <v>20</v>
      </c>
      <c r="J4927" s="6">
        <v>2021.0</v>
      </c>
      <c r="L4927" s="6">
        <v>1.0</v>
      </c>
      <c r="M4927" s="8">
        <f t="shared" si="5"/>
        <v>7</v>
      </c>
      <c r="N4927" s="6" t="s">
        <v>172</v>
      </c>
      <c r="P4927" s="9"/>
    </row>
    <row r="4928">
      <c r="A4928" s="6" t="s">
        <v>10477</v>
      </c>
      <c r="B4928" s="6" t="s">
        <v>6895</v>
      </c>
      <c r="C4928" s="6" t="s">
        <v>48</v>
      </c>
      <c r="D4928" s="6" t="s">
        <v>974</v>
      </c>
      <c r="E4928" s="6" t="s">
        <v>10322</v>
      </c>
      <c r="F4928" s="6" t="s">
        <v>717</v>
      </c>
      <c r="G4928" s="7">
        <v>0.15</v>
      </c>
      <c r="H4928" s="6" t="s">
        <v>1361</v>
      </c>
      <c r="I4928" s="6" t="s">
        <v>20</v>
      </c>
      <c r="J4928" s="6">
        <v>2008.0</v>
      </c>
      <c r="K4928" s="10">
        <v>46056.0</v>
      </c>
      <c r="L4928" s="6">
        <v>1.0</v>
      </c>
      <c r="M4928" s="8">
        <f t="shared" si="5"/>
        <v>0.15</v>
      </c>
      <c r="P4928" s="9"/>
    </row>
    <row r="4929">
      <c r="A4929" s="6" t="s">
        <v>10478</v>
      </c>
      <c r="B4929" s="6" t="s">
        <v>8222</v>
      </c>
      <c r="C4929" s="6" t="s">
        <v>23</v>
      </c>
      <c r="D4929" s="6" t="s">
        <v>10479</v>
      </c>
      <c r="E4929" s="6" t="s">
        <v>235</v>
      </c>
      <c r="F4929" s="6" t="s">
        <v>103</v>
      </c>
      <c r="G4929" s="7">
        <v>0.03</v>
      </c>
      <c r="H4929" s="6" t="s">
        <v>562</v>
      </c>
      <c r="I4929" s="6" t="s">
        <v>20</v>
      </c>
      <c r="J4929" s="6">
        <v>2017.0</v>
      </c>
      <c r="K4929" s="10">
        <v>46055.0</v>
      </c>
      <c r="L4929" s="6">
        <v>2.0</v>
      </c>
      <c r="M4929" s="8">
        <f t="shared" si="5"/>
        <v>0.06</v>
      </c>
      <c r="P4929" s="9"/>
    </row>
    <row r="4930">
      <c r="A4930" s="6" t="s">
        <v>10480</v>
      </c>
      <c r="B4930" s="6" t="s">
        <v>6561</v>
      </c>
      <c r="C4930" s="6" t="s">
        <v>41</v>
      </c>
      <c r="D4930" s="6" t="s">
        <v>10481</v>
      </c>
      <c r="E4930" s="6" t="s">
        <v>235</v>
      </c>
      <c r="F4930" s="6" t="s">
        <v>103</v>
      </c>
      <c r="G4930" s="7">
        <v>0.15</v>
      </c>
      <c r="H4930" s="6" t="s">
        <v>621</v>
      </c>
      <c r="I4930" s="6" t="s">
        <v>20</v>
      </c>
      <c r="J4930" s="6">
        <v>2015.0</v>
      </c>
      <c r="K4930" s="10">
        <v>46056.0</v>
      </c>
      <c r="L4930" s="6">
        <v>3.0</v>
      </c>
      <c r="M4930" s="8">
        <f t="shared" si="5"/>
        <v>0.45</v>
      </c>
      <c r="P4930" s="9"/>
    </row>
    <row r="4931">
      <c r="A4931" s="6" t="s">
        <v>10482</v>
      </c>
      <c r="B4931" s="6" t="s">
        <v>3192</v>
      </c>
      <c r="C4931" s="6" t="s">
        <v>23</v>
      </c>
      <c r="D4931" s="6" t="s">
        <v>10483</v>
      </c>
      <c r="E4931" s="6" t="s">
        <v>79</v>
      </c>
      <c r="F4931" s="6" t="s">
        <v>51</v>
      </c>
      <c r="G4931" s="7">
        <v>0.1</v>
      </c>
      <c r="H4931" s="6" t="s">
        <v>45</v>
      </c>
      <c r="I4931" s="6" t="s">
        <v>20</v>
      </c>
      <c r="J4931" s="6">
        <v>2025.0</v>
      </c>
      <c r="K4931" s="10">
        <v>46084.0</v>
      </c>
      <c r="L4931" s="6">
        <v>1.0</v>
      </c>
      <c r="M4931" s="8">
        <f t="shared" si="5"/>
        <v>0.1</v>
      </c>
      <c r="P4931" s="9"/>
    </row>
    <row r="4932">
      <c r="A4932" s="6" t="s">
        <v>10482</v>
      </c>
      <c r="B4932" s="6" t="s">
        <v>3192</v>
      </c>
      <c r="C4932" s="6" t="s">
        <v>23</v>
      </c>
      <c r="D4932" s="6" t="s">
        <v>10483</v>
      </c>
      <c r="E4932" s="6" t="s">
        <v>79</v>
      </c>
      <c r="F4932" s="6" t="s">
        <v>51</v>
      </c>
      <c r="G4932" s="7">
        <v>0.1</v>
      </c>
      <c r="H4932" s="6" t="s">
        <v>45</v>
      </c>
      <c r="I4932" s="6" t="s">
        <v>20</v>
      </c>
      <c r="J4932" s="6">
        <v>2025.0</v>
      </c>
      <c r="K4932" s="10">
        <v>46084.0</v>
      </c>
      <c r="L4932" s="6">
        <v>2.0</v>
      </c>
      <c r="M4932" s="8">
        <f t="shared" si="5"/>
        <v>0.2</v>
      </c>
      <c r="P4932" s="9"/>
    </row>
    <row r="4933">
      <c r="A4933" s="6" t="s">
        <v>10484</v>
      </c>
      <c r="B4933" s="6" t="s">
        <v>3192</v>
      </c>
      <c r="C4933" s="6" t="s">
        <v>48</v>
      </c>
      <c r="D4933" s="6" t="s">
        <v>10485</v>
      </c>
      <c r="E4933" s="6" t="s">
        <v>118</v>
      </c>
      <c r="F4933" s="6" t="s">
        <v>51</v>
      </c>
      <c r="G4933" s="7">
        <v>0.15</v>
      </c>
      <c r="H4933" s="6" t="s">
        <v>45</v>
      </c>
      <c r="I4933" s="6" t="s">
        <v>20</v>
      </c>
      <c r="J4933" s="6">
        <v>2025.0</v>
      </c>
      <c r="K4933" s="10">
        <v>46055.0</v>
      </c>
      <c r="L4933" s="6">
        <v>1.0</v>
      </c>
      <c r="M4933" s="8">
        <f t="shared" si="5"/>
        <v>0.15</v>
      </c>
      <c r="P4933" s="9"/>
    </row>
    <row r="4934">
      <c r="A4934" s="6" t="s">
        <v>10486</v>
      </c>
      <c r="B4934" s="6" t="s">
        <v>53</v>
      </c>
      <c r="C4934" s="6" t="s">
        <v>23</v>
      </c>
      <c r="D4934" s="6" t="s">
        <v>10487</v>
      </c>
      <c r="E4934" s="6" t="s">
        <v>30</v>
      </c>
      <c r="F4934" s="6" t="s">
        <v>18</v>
      </c>
      <c r="G4934" s="7">
        <v>0.33</v>
      </c>
      <c r="H4934" s="6" t="s">
        <v>45</v>
      </c>
      <c r="I4934" s="6" t="s">
        <v>55</v>
      </c>
      <c r="J4934" s="6">
        <v>2025.0</v>
      </c>
      <c r="L4934" s="6">
        <v>1.0</v>
      </c>
      <c r="M4934" s="8">
        <f t="shared" si="5"/>
        <v>0.33</v>
      </c>
      <c r="P4934" s="9"/>
    </row>
    <row r="4935">
      <c r="A4935" s="6" t="s">
        <v>10488</v>
      </c>
      <c r="B4935" s="6" t="s">
        <v>250</v>
      </c>
      <c r="C4935" s="6" t="s">
        <v>48</v>
      </c>
      <c r="D4935" s="6" t="s">
        <v>10489</v>
      </c>
      <c r="E4935" s="6" t="s">
        <v>149</v>
      </c>
      <c r="F4935" s="6" t="s">
        <v>18</v>
      </c>
      <c r="G4935" s="7">
        <v>0.19</v>
      </c>
      <c r="H4935" s="6" t="s">
        <v>45</v>
      </c>
      <c r="I4935" s="6" t="s">
        <v>20</v>
      </c>
      <c r="J4935" s="6">
        <v>2025.0</v>
      </c>
      <c r="L4935" s="6">
        <v>1.0</v>
      </c>
      <c r="M4935" s="8">
        <f t="shared" si="5"/>
        <v>0.19</v>
      </c>
      <c r="P4935" s="9"/>
    </row>
    <row r="4936">
      <c r="A4936" s="6" t="s">
        <v>10490</v>
      </c>
      <c r="B4936" s="6" t="s">
        <v>326</v>
      </c>
      <c r="C4936" s="6" t="s">
        <v>23</v>
      </c>
      <c r="D4936" s="6" t="s">
        <v>10491</v>
      </c>
      <c r="E4936" s="6" t="s">
        <v>25</v>
      </c>
      <c r="F4936" s="6" t="s">
        <v>18</v>
      </c>
      <c r="G4936" s="7">
        <v>0.03</v>
      </c>
      <c r="H4936" s="6" t="s">
        <v>184</v>
      </c>
      <c r="I4936" s="6" t="s">
        <v>20</v>
      </c>
      <c r="J4936" s="6">
        <v>2015.0</v>
      </c>
      <c r="K4936" s="10">
        <v>46083.0</v>
      </c>
      <c r="L4936" s="6">
        <v>4.0</v>
      </c>
      <c r="M4936" s="8">
        <f t="shared" si="5"/>
        <v>0.12</v>
      </c>
      <c r="P4936" s="9"/>
    </row>
    <row r="4937">
      <c r="A4937" s="6" t="s">
        <v>10492</v>
      </c>
      <c r="B4937" s="6" t="s">
        <v>372</v>
      </c>
      <c r="C4937" s="6" t="s">
        <v>23</v>
      </c>
      <c r="D4937" s="6" t="s">
        <v>10493</v>
      </c>
      <c r="E4937" s="6" t="s">
        <v>293</v>
      </c>
      <c r="F4937" s="6" t="s">
        <v>18</v>
      </c>
      <c r="G4937" s="7">
        <v>0.03</v>
      </c>
      <c r="H4937" s="6" t="s">
        <v>875</v>
      </c>
      <c r="I4937" s="6" t="s">
        <v>20</v>
      </c>
      <c r="J4937" s="6">
        <v>2018.0</v>
      </c>
      <c r="L4937" s="6">
        <v>1.0</v>
      </c>
      <c r="M4937" s="8">
        <f t="shared" si="5"/>
        <v>0.03</v>
      </c>
      <c r="P4937" s="9"/>
    </row>
    <row r="4938">
      <c r="A4938" s="6" t="s">
        <v>10494</v>
      </c>
      <c r="B4938" s="6" t="s">
        <v>366</v>
      </c>
      <c r="C4938" s="6" t="s">
        <v>23</v>
      </c>
      <c r="D4938" s="6" t="s">
        <v>10495</v>
      </c>
      <c r="E4938" s="6" t="s">
        <v>248</v>
      </c>
      <c r="F4938" s="6" t="s">
        <v>18</v>
      </c>
      <c r="G4938" s="7">
        <v>0.05</v>
      </c>
      <c r="H4938" s="6" t="s">
        <v>45</v>
      </c>
      <c r="I4938" s="6" t="s">
        <v>20</v>
      </c>
      <c r="J4938" s="6">
        <v>2025.0</v>
      </c>
      <c r="L4938" s="6">
        <v>3.0</v>
      </c>
      <c r="M4938" s="8">
        <f t="shared" si="5"/>
        <v>0.15</v>
      </c>
      <c r="P4938" s="9"/>
    </row>
    <row r="4939">
      <c r="A4939" s="6" t="s">
        <v>10496</v>
      </c>
      <c r="B4939" s="6" t="s">
        <v>326</v>
      </c>
      <c r="C4939" s="6" t="s">
        <v>23</v>
      </c>
      <c r="D4939" s="6" t="s">
        <v>10497</v>
      </c>
      <c r="E4939" s="6" t="s">
        <v>328</v>
      </c>
      <c r="F4939" s="6" t="s">
        <v>18</v>
      </c>
      <c r="G4939" s="7">
        <v>0.06</v>
      </c>
      <c r="H4939" s="6" t="s">
        <v>621</v>
      </c>
      <c r="I4939" s="6" t="s">
        <v>20</v>
      </c>
      <c r="J4939" s="6">
        <v>2015.0</v>
      </c>
      <c r="K4939" s="10">
        <v>46115.0</v>
      </c>
      <c r="L4939" s="6">
        <v>1.0</v>
      </c>
      <c r="M4939" s="8">
        <f t="shared" si="5"/>
        <v>0.06</v>
      </c>
      <c r="P4939" s="9"/>
    </row>
    <row r="4940">
      <c r="A4940" s="6" t="s">
        <v>10498</v>
      </c>
      <c r="B4940" s="6" t="s">
        <v>326</v>
      </c>
      <c r="C4940" s="6" t="s">
        <v>23</v>
      </c>
      <c r="D4940" s="6" t="s">
        <v>10499</v>
      </c>
      <c r="E4940" s="6" t="s">
        <v>3329</v>
      </c>
      <c r="F4940" s="6" t="s">
        <v>284</v>
      </c>
      <c r="G4940" s="7">
        <v>0.03</v>
      </c>
      <c r="H4940" s="6" t="s">
        <v>171</v>
      </c>
      <c r="I4940" s="6" t="s">
        <v>20</v>
      </c>
      <c r="J4940" s="6">
        <v>2021.0</v>
      </c>
      <c r="K4940" s="10">
        <v>46056.0</v>
      </c>
      <c r="L4940" s="6">
        <v>1.0</v>
      </c>
      <c r="M4940" s="8">
        <f t="shared" si="5"/>
        <v>0.03</v>
      </c>
      <c r="P4940" s="9"/>
    </row>
    <row r="4941">
      <c r="A4941" s="6" t="s">
        <v>10500</v>
      </c>
      <c r="B4941" s="6" t="s">
        <v>307</v>
      </c>
      <c r="C4941" s="6" t="s">
        <v>23</v>
      </c>
      <c r="D4941" s="6" t="s">
        <v>10501</v>
      </c>
      <c r="E4941" s="6" t="s">
        <v>303</v>
      </c>
      <c r="F4941" s="6" t="s">
        <v>37</v>
      </c>
      <c r="G4941" s="7">
        <v>1.99</v>
      </c>
      <c r="H4941" s="6" t="s">
        <v>7772</v>
      </c>
      <c r="I4941" s="6" t="s">
        <v>20</v>
      </c>
      <c r="J4941" s="6">
        <v>2012.0</v>
      </c>
      <c r="L4941" s="6">
        <v>2.0</v>
      </c>
      <c r="M4941" s="8">
        <f t="shared" si="5"/>
        <v>3.98</v>
      </c>
      <c r="P4941" s="9"/>
    </row>
    <row r="4942">
      <c r="A4942" s="6" t="s">
        <v>10502</v>
      </c>
      <c r="B4942" s="6" t="s">
        <v>1141</v>
      </c>
      <c r="C4942" s="6" t="s">
        <v>23</v>
      </c>
      <c r="D4942" s="6" t="s">
        <v>10503</v>
      </c>
      <c r="E4942" s="6" t="s">
        <v>502</v>
      </c>
      <c r="F4942" s="6" t="s">
        <v>65</v>
      </c>
      <c r="G4942" s="7">
        <v>0.04</v>
      </c>
      <c r="H4942" s="6" t="s">
        <v>316</v>
      </c>
      <c r="I4942" s="6" t="s">
        <v>20</v>
      </c>
      <c r="J4942" s="6">
        <v>2016.0</v>
      </c>
      <c r="K4942" s="10">
        <v>46146.0</v>
      </c>
      <c r="L4942" s="6">
        <v>3.0</v>
      </c>
      <c r="M4942" s="8">
        <f t="shared" si="5"/>
        <v>0.12</v>
      </c>
      <c r="P4942" s="9"/>
    </row>
    <row r="4943">
      <c r="A4943" s="6" t="s">
        <v>10504</v>
      </c>
      <c r="B4943" s="6" t="s">
        <v>372</v>
      </c>
      <c r="C4943" s="6" t="s">
        <v>23</v>
      </c>
      <c r="D4943" s="6" t="s">
        <v>10505</v>
      </c>
      <c r="E4943" s="6" t="s">
        <v>167</v>
      </c>
      <c r="F4943" s="6" t="s">
        <v>103</v>
      </c>
      <c r="G4943" s="7">
        <v>0.04</v>
      </c>
      <c r="H4943" s="6" t="s">
        <v>109</v>
      </c>
      <c r="I4943" s="6" t="s">
        <v>20</v>
      </c>
      <c r="J4943" s="6">
        <v>1995.0</v>
      </c>
      <c r="L4943" s="6">
        <v>4.0</v>
      </c>
      <c r="M4943" s="8">
        <f t="shared" si="5"/>
        <v>0.16</v>
      </c>
      <c r="P4943" s="9"/>
    </row>
    <row r="4944">
      <c r="A4944" s="6" t="s">
        <v>10504</v>
      </c>
      <c r="B4944" s="6" t="s">
        <v>372</v>
      </c>
      <c r="C4944" s="6" t="s">
        <v>23</v>
      </c>
      <c r="D4944" s="6" t="s">
        <v>10505</v>
      </c>
      <c r="E4944" s="6" t="s">
        <v>167</v>
      </c>
      <c r="F4944" s="6" t="s">
        <v>103</v>
      </c>
      <c r="G4944" s="7">
        <v>0.06</v>
      </c>
      <c r="H4944" s="6" t="s">
        <v>1382</v>
      </c>
      <c r="I4944" s="6" t="s">
        <v>20</v>
      </c>
      <c r="J4944" s="6">
        <v>1995.0</v>
      </c>
      <c r="L4944" s="6">
        <v>3.0</v>
      </c>
      <c r="M4944" s="8">
        <f t="shared" si="5"/>
        <v>0.18</v>
      </c>
      <c r="P4944" s="9"/>
    </row>
    <row r="4945">
      <c r="A4945" s="6" t="s">
        <v>10504</v>
      </c>
      <c r="B4945" s="6" t="s">
        <v>372</v>
      </c>
      <c r="C4945" s="6" t="s">
        <v>23</v>
      </c>
      <c r="D4945" s="6" t="s">
        <v>10505</v>
      </c>
      <c r="E4945" s="6" t="s">
        <v>167</v>
      </c>
      <c r="F4945" s="6" t="s">
        <v>103</v>
      </c>
      <c r="G4945" s="7">
        <v>0.09</v>
      </c>
      <c r="H4945" s="6" t="s">
        <v>607</v>
      </c>
      <c r="I4945" s="6" t="s">
        <v>20</v>
      </c>
      <c r="J4945" s="6">
        <v>1994.0</v>
      </c>
      <c r="L4945" s="6">
        <v>1.0</v>
      </c>
      <c r="M4945" s="8">
        <f t="shared" si="5"/>
        <v>0.09</v>
      </c>
      <c r="P4945" s="9"/>
    </row>
    <row r="4946">
      <c r="A4946" s="6" t="s">
        <v>10506</v>
      </c>
      <c r="B4946" s="6" t="s">
        <v>372</v>
      </c>
      <c r="C4946" s="6" t="s">
        <v>23</v>
      </c>
      <c r="D4946" s="6" t="s">
        <v>10507</v>
      </c>
      <c r="E4946" s="6" t="s">
        <v>248</v>
      </c>
      <c r="F4946" s="6" t="s">
        <v>18</v>
      </c>
      <c r="G4946" s="7">
        <v>0.33</v>
      </c>
      <c r="H4946" s="6" t="s">
        <v>1301</v>
      </c>
      <c r="I4946" s="6" t="s">
        <v>55</v>
      </c>
      <c r="J4946" s="6">
        <v>2022.0</v>
      </c>
      <c r="L4946" s="6">
        <v>1.0</v>
      </c>
      <c r="M4946" s="8">
        <f t="shared" si="5"/>
        <v>0.33</v>
      </c>
      <c r="P4946" s="9"/>
    </row>
    <row r="4947">
      <c r="A4947" s="6" t="s">
        <v>10508</v>
      </c>
      <c r="B4947" s="6" t="s">
        <v>307</v>
      </c>
      <c r="C4947" s="6" t="s">
        <v>23</v>
      </c>
      <c r="D4947" s="6" t="s">
        <v>10509</v>
      </c>
      <c r="E4947" s="6" t="s">
        <v>625</v>
      </c>
      <c r="F4947" s="6" t="s">
        <v>37</v>
      </c>
      <c r="G4947" s="7">
        <v>0.04</v>
      </c>
      <c r="H4947" s="6" t="s">
        <v>141</v>
      </c>
      <c r="I4947" s="6" t="s">
        <v>20</v>
      </c>
      <c r="J4947" s="6">
        <v>2019.0</v>
      </c>
      <c r="L4947" s="6">
        <v>1.0</v>
      </c>
      <c r="M4947" s="8">
        <f t="shared" si="5"/>
        <v>0.04</v>
      </c>
      <c r="P4947" s="9"/>
    </row>
    <row r="4948">
      <c r="A4948" s="6" t="s">
        <v>10510</v>
      </c>
      <c r="B4948" s="6" t="s">
        <v>9198</v>
      </c>
      <c r="C4948" s="6" t="s">
        <v>34</v>
      </c>
      <c r="D4948" s="6" t="s">
        <v>10511</v>
      </c>
      <c r="E4948" s="6" t="s">
        <v>279</v>
      </c>
      <c r="F4948" s="6" t="s">
        <v>51</v>
      </c>
      <c r="G4948" s="7">
        <v>0.1</v>
      </c>
      <c r="H4948" s="6" t="s">
        <v>209</v>
      </c>
      <c r="I4948" s="6" t="s">
        <v>20</v>
      </c>
      <c r="J4948" s="6">
        <v>2025.0</v>
      </c>
      <c r="K4948" s="10">
        <v>46055.0</v>
      </c>
      <c r="L4948" s="6">
        <v>10.0</v>
      </c>
      <c r="M4948" s="8">
        <f t="shared" si="5"/>
        <v>1</v>
      </c>
      <c r="P4948" s="9"/>
    </row>
    <row r="4949">
      <c r="A4949" s="6" t="s">
        <v>10510</v>
      </c>
      <c r="B4949" s="6" t="s">
        <v>9198</v>
      </c>
      <c r="C4949" s="6" t="s">
        <v>34</v>
      </c>
      <c r="D4949" s="6" t="s">
        <v>10511</v>
      </c>
      <c r="E4949" s="6" t="s">
        <v>279</v>
      </c>
      <c r="F4949" s="6" t="s">
        <v>51</v>
      </c>
      <c r="G4949" s="7">
        <v>0.25</v>
      </c>
      <c r="H4949" s="6" t="s">
        <v>209</v>
      </c>
      <c r="I4949" s="6" t="s">
        <v>55</v>
      </c>
      <c r="J4949" s="6">
        <v>2025.0</v>
      </c>
      <c r="K4949" s="10">
        <v>46055.0</v>
      </c>
      <c r="L4949" s="6">
        <v>1.0</v>
      </c>
      <c r="M4949" s="8">
        <f t="shared" si="5"/>
        <v>0.25</v>
      </c>
      <c r="P4949" s="9"/>
    </row>
    <row r="4950">
      <c r="A4950" s="6" t="s">
        <v>10512</v>
      </c>
      <c r="B4950" s="6" t="s">
        <v>10214</v>
      </c>
      <c r="C4950" s="6" t="s">
        <v>23</v>
      </c>
      <c r="D4950" s="6" t="s">
        <v>10513</v>
      </c>
      <c r="E4950" s="6" t="s">
        <v>533</v>
      </c>
      <c r="F4950" s="6" t="s">
        <v>65</v>
      </c>
      <c r="G4950" s="7">
        <v>0.05</v>
      </c>
      <c r="H4950" s="6" t="s">
        <v>114</v>
      </c>
      <c r="I4950" s="6" t="s">
        <v>20</v>
      </c>
      <c r="J4950" s="6">
        <v>2021.0</v>
      </c>
      <c r="K4950" s="10">
        <v>46175.0</v>
      </c>
      <c r="L4950" s="6">
        <v>1.0</v>
      </c>
      <c r="M4950" s="8">
        <f t="shared" si="5"/>
        <v>0.05</v>
      </c>
      <c r="P4950" s="9"/>
    </row>
    <row r="4951">
      <c r="A4951" s="6" t="s">
        <v>10512</v>
      </c>
      <c r="B4951" s="6" t="s">
        <v>10214</v>
      </c>
      <c r="C4951" s="6" t="s">
        <v>23</v>
      </c>
      <c r="D4951" s="6" t="s">
        <v>10513</v>
      </c>
      <c r="E4951" s="6" t="s">
        <v>533</v>
      </c>
      <c r="F4951" s="6" t="s">
        <v>65</v>
      </c>
      <c r="G4951" s="7">
        <v>0.25</v>
      </c>
      <c r="H4951" s="6" t="s">
        <v>114</v>
      </c>
      <c r="I4951" s="6" t="s">
        <v>55</v>
      </c>
      <c r="J4951" s="6">
        <v>2021.0</v>
      </c>
      <c r="K4951" s="10">
        <v>46175.0</v>
      </c>
      <c r="L4951" s="6">
        <v>1.0</v>
      </c>
      <c r="M4951" s="8">
        <f t="shared" si="5"/>
        <v>0.25</v>
      </c>
      <c r="P4951" s="9"/>
    </row>
    <row r="4952">
      <c r="A4952" s="6" t="s">
        <v>10514</v>
      </c>
      <c r="B4952" s="6" t="s">
        <v>6818</v>
      </c>
      <c r="C4952" s="6" t="s">
        <v>48</v>
      </c>
      <c r="D4952" s="6" t="s">
        <v>10515</v>
      </c>
      <c r="E4952" s="6" t="s">
        <v>283</v>
      </c>
      <c r="F4952" s="6" t="s">
        <v>284</v>
      </c>
      <c r="G4952" s="7">
        <v>0.06</v>
      </c>
      <c r="H4952" s="6" t="s">
        <v>562</v>
      </c>
      <c r="I4952" s="6" t="s">
        <v>20</v>
      </c>
      <c r="J4952" s="6">
        <v>2017.0</v>
      </c>
      <c r="K4952" s="10">
        <v>46055.0</v>
      </c>
      <c r="L4952" s="6">
        <v>4.0</v>
      </c>
      <c r="M4952" s="8">
        <f t="shared" si="5"/>
        <v>0.24</v>
      </c>
      <c r="P4952" s="9"/>
    </row>
    <row r="4953">
      <c r="A4953" s="6" t="s">
        <v>10516</v>
      </c>
      <c r="B4953" s="6" t="s">
        <v>740</v>
      </c>
      <c r="C4953" s="6" t="s">
        <v>48</v>
      </c>
      <c r="D4953" s="6" t="s">
        <v>10517</v>
      </c>
      <c r="E4953" s="6" t="s">
        <v>64</v>
      </c>
      <c r="F4953" s="6" t="s">
        <v>65</v>
      </c>
      <c r="G4953" s="7">
        <v>0.05</v>
      </c>
      <c r="H4953" s="6" t="s">
        <v>66</v>
      </c>
      <c r="I4953" s="6" t="s">
        <v>20</v>
      </c>
      <c r="J4953" s="6">
        <v>2016.0</v>
      </c>
      <c r="K4953" s="10">
        <v>46113.0</v>
      </c>
      <c r="L4953" s="6">
        <v>1.0</v>
      </c>
      <c r="M4953" s="8">
        <f t="shared" si="5"/>
        <v>0.05</v>
      </c>
      <c r="P4953" s="9"/>
    </row>
    <row r="4954">
      <c r="A4954" s="6" t="s">
        <v>10518</v>
      </c>
      <c r="B4954" s="6" t="s">
        <v>10519</v>
      </c>
      <c r="C4954" s="6" t="s">
        <v>23</v>
      </c>
      <c r="D4954" s="6" t="s">
        <v>10520</v>
      </c>
      <c r="E4954" s="6" t="s">
        <v>611</v>
      </c>
      <c r="F4954" s="6" t="s">
        <v>103</v>
      </c>
      <c r="G4954" s="7">
        <v>0.05</v>
      </c>
      <c r="H4954" s="6" t="s">
        <v>2861</v>
      </c>
      <c r="I4954" s="6" t="s">
        <v>20</v>
      </c>
      <c r="J4954" s="6">
        <v>2008.0</v>
      </c>
      <c r="K4954" s="10">
        <v>46084.0</v>
      </c>
      <c r="L4954" s="6">
        <v>1.0</v>
      </c>
      <c r="M4954" s="8">
        <f t="shared" si="5"/>
        <v>0.05</v>
      </c>
      <c r="P4954" s="9"/>
    </row>
    <row r="4955">
      <c r="A4955" s="6" t="s">
        <v>10521</v>
      </c>
      <c r="B4955" s="6" t="s">
        <v>372</v>
      </c>
      <c r="C4955" s="6" t="s">
        <v>23</v>
      </c>
      <c r="D4955" s="6" t="s">
        <v>10522</v>
      </c>
      <c r="E4955" s="6" t="s">
        <v>153</v>
      </c>
      <c r="F4955" s="6" t="s">
        <v>103</v>
      </c>
      <c r="G4955" s="7">
        <v>0.03</v>
      </c>
      <c r="H4955" s="6" t="s">
        <v>184</v>
      </c>
      <c r="I4955" s="6" t="s">
        <v>20</v>
      </c>
      <c r="J4955" s="6">
        <v>2015.0</v>
      </c>
      <c r="L4955" s="6">
        <v>4.0</v>
      </c>
      <c r="M4955" s="8">
        <f t="shared" si="5"/>
        <v>0.12</v>
      </c>
      <c r="P4955" s="9"/>
    </row>
    <row r="4956">
      <c r="A4956" s="6" t="s">
        <v>10521</v>
      </c>
      <c r="B4956" s="6" t="s">
        <v>372</v>
      </c>
      <c r="C4956" s="6" t="s">
        <v>23</v>
      </c>
      <c r="D4956" s="6" t="s">
        <v>10522</v>
      </c>
      <c r="E4956" s="6" t="s">
        <v>153</v>
      </c>
      <c r="F4956" s="6" t="s">
        <v>103</v>
      </c>
      <c r="G4956" s="7">
        <v>0.03</v>
      </c>
      <c r="H4956" s="6" t="s">
        <v>184</v>
      </c>
      <c r="I4956" s="6" t="s">
        <v>20</v>
      </c>
      <c r="J4956" s="6">
        <v>2015.0</v>
      </c>
      <c r="L4956" s="6">
        <v>1.0</v>
      </c>
      <c r="M4956" s="8">
        <f t="shared" si="5"/>
        <v>0.03</v>
      </c>
      <c r="P4956" s="9"/>
    </row>
    <row r="4957">
      <c r="A4957" s="6" t="s">
        <v>10523</v>
      </c>
      <c r="B4957" s="6" t="s">
        <v>472</v>
      </c>
      <c r="C4957" s="6" t="s">
        <v>41</v>
      </c>
      <c r="D4957" s="6" t="s">
        <v>10524</v>
      </c>
      <c r="E4957" s="6" t="s">
        <v>79</v>
      </c>
      <c r="F4957" s="6" t="s">
        <v>51</v>
      </c>
      <c r="G4957" s="7">
        <v>10.7</v>
      </c>
      <c r="H4957" s="6" t="s">
        <v>114</v>
      </c>
      <c r="I4957" s="6" t="s">
        <v>55</v>
      </c>
      <c r="J4957" s="6">
        <v>2021.0</v>
      </c>
      <c r="K4957" s="10">
        <v>46083.0</v>
      </c>
      <c r="L4957" s="6">
        <v>1.0</v>
      </c>
      <c r="M4957" s="8">
        <f t="shared" si="5"/>
        <v>10.7</v>
      </c>
      <c r="P4957" s="9"/>
    </row>
    <row r="4958">
      <c r="A4958" s="6" t="s">
        <v>10525</v>
      </c>
      <c r="B4958" s="6" t="s">
        <v>258</v>
      </c>
      <c r="C4958" s="6" t="s">
        <v>23</v>
      </c>
      <c r="D4958" s="6" t="s">
        <v>10526</v>
      </c>
      <c r="E4958" s="6" t="s">
        <v>30</v>
      </c>
      <c r="F4958" s="6" t="s">
        <v>18</v>
      </c>
      <c r="G4958" s="7">
        <v>0.03</v>
      </c>
      <c r="H4958" s="6" t="s">
        <v>316</v>
      </c>
      <c r="I4958" s="6" t="s">
        <v>20</v>
      </c>
      <c r="J4958" s="6">
        <v>2016.0</v>
      </c>
      <c r="K4958" s="10">
        <v>46084.0</v>
      </c>
      <c r="L4958" s="6">
        <v>2.0</v>
      </c>
      <c r="M4958" s="8">
        <f t="shared" si="5"/>
        <v>0.06</v>
      </c>
      <c r="P4958" s="9"/>
    </row>
    <row r="4959">
      <c r="A4959" s="6" t="s">
        <v>10525</v>
      </c>
      <c r="B4959" s="6" t="s">
        <v>258</v>
      </c>
      <c r="C4959" s="6" t="s">
        <v>23</v>
      </c>
      <c r="D4959" s="6" t="s">
        <v>10526</v>
      </c>
      <c r="E4959" s="6" t="s">
        <v>30</v>
      </c>
      <c r="F4959" s="6" t="s">
        <v>18</v>
      </c>
      <c r="G4959" s="7">
        <v>0.15</v>
      </c>
      <c r="H4959" s="6" t="s">
        <v>316</v>
      </c>
      <c r="I4959" s="6" t="s">
        <v>55</v>
      </c>
      <c r="J4959" s="6">
        <v>2016.0</v>
      </c>
      <c r="K4959" s="10">
        <v>46084.0</v>
      </c>
      <c r="L4959" s="6">
        <v>1.0</v>
      </c>
      <c r="M4959" s="8">
        <f t="shared" si="5"/>
        <v>0.15</v>
      </c>
      <c r="P4959" s="9"/>
    </row>
    <row r="4960">
      <c r="A4960" s="6" t="s">
        <v>10527</v>
      </c>
      <c r="B4960" s="6" t="s">
        <v>62</v>
      </c>
      <c r="C4960" s="6" t="s">
        <v>23</v>
      </c>
      <c r="D4960" s="6" t="s">
        <v>10528</v>
      </c>
      <c r="E4960" s="6" t="s">
        <v>64</v>
      </c>
      <c r="F4960" s="6" t="s">
        <v>65</v>
      </c>
      <c r="G4960" s="7">
        <v>0.04</v>
      </c>
      <c r="H4960" s="6" t="s">
        <v>316</v>
      </c>
      <c r="I4960" s="6" t="s">
        <v>20</v>
      </c>
      <c r="J4960" s="6">
        <v>2016.0</v>
      </c>
      <c r="L4960" s="6">
        <v>1.0</v>
      </c>
      <c r="M4960" s="8">
        <f t="shared" si="5"/>
        <v>0.04</v>
      </c>
      <c r="P4960" s="9"/>
    </row>
    <row r="4961">
      <c r="A4961" s="6" t="s">
        <v>10529</v>
      </c>
      <c r="B4961" s="6" t="s">
        <v>10530</v>
      </c>
      <c r="C4961" s="6" t="s">
        <v>23</v>
      </c>
      <c r="D4961" s="6" t="s">
        <v>10531</v>
      </c>
      <c r="E4961" s="6" t="s">
        <v>223</v>
      </c>
      <c r="F4961" s="6" t="s">
        <v>159</v>
      </c>
      <c r="G4961" s="7">
        <v>8.79</v>
      </c>
      <c r="H4961" s="6" t="s">
        <v>632</v>
      </c>
      <c r="I4961" s="6" t="s">
        <v>20</v>
      </c>
      <c r="J4961" s="6">
        <v>2002.0</v>
      </c>
      <c r="K4961" s="10">
        <v>46023.0</v>
      </c>
      <c r="L4961" s="6">
        <v>1.0</v>
      </c>
      <c r="M4961" s="8">
        <f t="shared" si="5"/>
        <v>8.79</v>
      </c>
      <c r="N4961" s="6" t="s">
        <v>172</v>
      </c>
      <c r="P4961" s="9"/>
    </row>
    <row r="4962">
      <c r="A4962" s="6" t="s">
        <v>10532</v>
      </c>
      <c r="B4962" s="6" t="s">
        <v>10533</v>
      </c>
      <c r="C4962" s="6" t="s">
        <v>48</v>
      </c>
      <c r="D4962" s="6" t="s">
        <v>10534</v>
      </c>
      <c r="E4962" s="6" t="s">
        <v>724</v>
      </c>
      <c r="F4962" s="6" t="s">
        <v>159</v>
      </c>
      <c r="G4962" s="7">
        <v>0.1</v>
      </c>
      <c r="H4962" s="6" t="s">
        <v>192</v>
      </c>
      <c r="I4962" s="6" t="s">
        <v>20</v>
      </c>
      <c r="J4962" s="6">
        <v>2026.0</v>
      </c>
      <c r="K4962" s="10">
        <v>46210.0</v>
      </c>
      <c r="L4962" s="6">
        <v>1.0</v>
      </c>
      <c r="M4962" s="8">
        <f t="shared" si="5"/>
        <v>0.1</v>
      </c>
      <c r="P4962" s="9"/>
    </row>
    <row r="4963">
      <c r="A4963" s="6" t="s">
        <v>10535</v>
      </c>
      <c r="B4963" s="6" t="s">
        <v>940</v>
      </c>
      <c r="C4963" s="6" t="s">
        <v>23</v>
      </c>
      <c r="E4963" s="6" t="s">
        <v>149</v>
      </c>
      <c r="F4963" s="6" t="s">
        <v>18</v>
      </c>
      <c r="G4963" s="7">
        <v>0.06</v>
      </c>
      <c r="H4963" s="6" t="s">
        <v>129</v>
      </c>
      <c r="I4963" s="6" t="s">
        <v>20</v>
      </c>
      <c r="J4963" s="6">
        <v>2014.0</v>
      </c>
      <c r="K4963" s="10">
        <v>46024.0</v>
      </c>
      <c r="L4963" s="6">
        <v>5.0</v>
      </c>
      <c r="M4963" s="8">
        <f t="shared" si="5"/>
        <v>0.3</v>
      </c>
      <c r="P4963" s="9"/>
    </row>
    <row r="4964">
      <c r="A4964" s="6" t="s">
        <v>10536</v>
      </c>
      <c r="B4964" s="6" t="s">
        <v>250</v>
      </c>
      <c r="C4964" s="6" t="s">
        <v>48</v>
      </c>
      <c r="D4964" s="6" t="s">
        <v>10537</v>
      </c>
      <c r="E4964" s="6" t="s">
        <v>36</v>
      </c>
      <c r="F4964" s="6" t="s">
        <v>37</v>
      </c>
      <c r="G4964" s="7">
        <v>0.16</v>
      </c>
      <c r="H4964" s="6" t="s">
        <v>245</v>
      </c>
      <c r="I4964" s="6" t="s">
        <v>20</v>
      </c>
      <c r="J4964" s="6">
        <v>1995.0</v>
      </c>
      <c r="L4964" s="6">
        <v>2.0</v>
      </c>
      <c r="M4964" s="8">
        <f t="shared" si="5"/>
        <v>0.32</v>
      </c>
      <c r="P4964" s="9"/>
    </row>
    <row r="4965">
      <c r="A4965" s="6" t="s">
        <v>10538</v>
      </c>
      <c r="B4965" s="6" t="s">
        <v>326</v>
      </c>
      <c r="C4965" s="6" t="s">
        <v>23</v>
      </c>
      <c r="D4965" s="6" t="s">
        <v>10539</v>
      </c>
      <c r="E4965" s="6" t="s">
        <v>558</v>
      </c>
      <c r="F4965" s="6" t="s">
        <v>18</v>
      </c>
      <c r="G4965" s="7">
        <v>0.05</v>
      </c>
      <c r="H4965" s="6" t="s">
        <v>1361</v>
      </c>
      <c r="I4965" s="6" t="s">
        <v>20</v>
      </c>
      <c r="J4965" s="6">
        <v>2008.0</v>
      </c>
      <c r="K4965" s="10">
        <v>46118.0</v>
      </c>
      <c r="L4965" s="6">
        <v>1.0</v>
      </c>
      <c r="M4965" s="8">
        <f t="shared" si="5"/>
        <v>0.05</v>
      </c>
      <c r="P4965" s="9"/>
    </row>
    <row r="4966">
      <c r="A4966" s="6" t="s">
        <v>10540</v>
      </c>
      <c r="B4966" s="6" t="s">
        <v>788</v>
      </c>
      <c r="C4966" s="6" t="s">
        <v>34</v>
      </c>
      <c r="D4966" s="6" t="s">
        <v>10541</v>
      </c>
      <c r="E4966" s="6" t="s">
        <v>9790</v>
      </c>
      <c r="F4966" s="6" t="s">
        <v>18</v>
      </c>
      <c r="G4966" s="7">
        <v>0.08</v>
      </c>
      <c r="H4966" s="6" t="s">
        <v>180</v>
      </c>
      <c r="I4966" s="6" t="s">
        <v>20</v>
      </c>
      <c r="J4966" s="6">
        <v>2014.0</v>
      </c>
      <c r="L4966" s="6">
        <v>1.0</v>
      </c>
      <c r="M4966" s="8">
        <f t="shared" si="5"/>
        <v>0.08</v>
      </c>
      <c r="P4966" s="9"/>
    </row>
    <row r="4967">
      <c r="A4967" s="6" t="s">
        <v>10542</v>
      </c>
      <c r="B4967" s="6" t="s">
        <v>10543</v>
      </c>
      <c r="C4967" s="6" t="s">
        <v>48</v>
      </c>
      <c r="D4967" s="6" t="s">
        <v>10544</v>
      </c>
      <c r="E4967" s="6" t="s">
        <v>700</v>
      </c>
      <c r="F4967" s="6" t="s">
        <v>18</v>
      </c>
      <c r="G4967" s="7">
        <v>0.15</v>
      </c>
      <c r="H4967" s="6" t="s">
        <v>184</v>
      </c>
      <c r="I4967" s="6" t="s">
        <v>20</v>
      </c>
      <c r="J4967" s="6">
        <v>2015.0</v>
      </c>
      <c r="K4967" s="10">
        <v>46055.0</v>
      </c>
      <c r="L4967" s="6">
        <v>3.0</v>
      </c>
      <c r="M4967" s="8">
        <f t="shared" si="5"/>
        <v>0.45</v>
      </c>
      <c r="P4967" s="9"/>
    </row>
    <row r="4968">
      <c r="A4968" s="6" t="s">
        <v>10545</v>
      </c>
      <c r="B4968" s="6" t="s">
        <v>311</v>
      </c>
      <c r="C4968" s="6" t="s">
        <v>48</v>
      </c>
      <c r="D4968" s="6" t="s">
        <v>10546</v>
      </c>
      <c r="E4968" s="6" t="s">
        <v>1250</v>
      </c>
      <c r="F4968" s="6" t="s">
        <v>60</v>
      </c>
      <c r="G4968" s="7">
        <v>0.03</v>
      </c>
      <c r="H4968" s="6" t="s">
        <v>316</v>
      </c>
      <c r="I4968" s="6" t="s">
        <v>20</v>
      </c>
      <c r="J4968" s="6">
        <v>2016.0</v>
      </c>
      <c r="K4968" s="10">
        <v>46083.0</v>
      </c>
      <c r="L4968" s="6">
        <v>1.0</v>
      </c>
      <c r="M4968" s="8">
        <f t="shared" si="5"/>
        <v>0.03</v>
      </c>
      <c r="P4968" s="9"/>
    </row>
    <row r="4969">
      <c r="A4969" s="6" t="s">
        <v>10547</v>
      </c>
      <c r="B4969" s="6" t="s">
        <v>62</v>
      </c>
      <c r="C4969" s="6" t="s">
        <v>23</v>
      </c>
      <c r="D4969" s="6" t="s">
        <v>10548</v>
      </c>
      <c r="E4969" s="6" t="s">
        <v>149</v>
      </c>
      <c r="F4969" s="6" t="s">
        <v>18</v>
      </c>
      <c r="G4969" s="7">
        <v>0.05</v>
      </c>
      <c r="H4969" s="6" t="s">
        <v>396</v>
      </c>
      <c r="I4969" s="6" t="s">
        <v>20</v>
      </c>
      <c r="J4969" s="6">
        <v>2007.0</v>
      </c>
      <c r="L4969" s="6">
        <v>1.0</v>
      </c>
      <c r="M4969" s="8">
        <f t="shared" si="5"/>
        <v>0.05</v>
      </c>
      <c r="P4969" s="9"/>
    </row>
    <row r="4970">
      <c r="A4970" s="6" t="s">
        <v>10549</v>
      </c>
      <c r="B4970" s="6" t="s">
        <v>62</v>
      </c>
      <c r="C4970" s="6" t="s">
        <v>23</v>
      </c>
      <c r="D4970" s="6" t="s">
        <v>10550</v>
      </c>
      <c r="E4970" s="6" t="s">
        <v>167</v>
      </c>
      <c r="F4970" s="6" t="s">
        <v>103</v>
      </c>
      <c r="G4970" s="7">
        <v>0.19</v>
      </c>
      <c r="H4970" s="6" t="s">
        <v>1050</v>
      </c>
      <c r="I4970" s="6" t="s">
        <v>20</v>
      </c>
      <c r="J4970" s="6">
        <v>2023.0</v>
      </c>
      <c r="L4970" s="6">
        <v>1.0</v>
      </c>
      <c r="M4970" s="8">
        <f t="shared" si="5"/>
        <v>0.19</v>
      </c>
      <c r="P4970" s="9"/>
    </row>
    <row r="4971">
      <c r="A4971" s="6" t="s">
        <v>10551</v>
      </c>
      <c r="B4971" s="6" t="s">
        <v>10552</v>
      </c>
      <c r="C4971" s="6" t="s">
        <v>48</v>
      </c>
      <c r="D4971" s="6" t="s">
        <v>10553</v>
      </c>
      <c r="E4971" s="6" t="s">
        <v>153</v>
      </c>
      <c r="F4971" s="6" t="s">
        <v>103</v>
      </c>
      <c r="G4971" s="7">
        <v>0.75</v>
      </c>
      <c r="H4971" s="6" t="s">
        <v>163</v>
      </c>
      <c r="I4971" s="6" t="s">
        <v>20</v>
      </c>
      <c r="J4971" s="6">
        <v>2023.0</v>
      </c>
      <c r="K4971" s="10">
        <v>46055.0</v>
      </c>
      <c r="L4971" s="6">
        <v>1.0</v>
      </c>
      <c r="M4971" s="8">
        <f t="shared" si="5"/>
        <v>0.75</v>
      </c>
      <c r="P4971" s="9"/>
    </row>
    <row r="4972">
      <c r="A4972" s="6" t="s">
        <v>10554</v>
      </c>
      <c r="B4972" s="6" t="s">
        <v>165</v>
      </c>
      <c r="C4972" s="6" t="s">
        <v>512</v>
      </c>
      <c r="D4972" s="6" t="s">
        <v>10555</v>
      </c>
      <c r="E4972" s="6" t="s">
        <v>10556</v>
      </c>
      <c r="F4972" s="6" t="s">
        <v>858</v>
      </c>
      <c r="G4972" s="7">
        <v>1.99</v>
      </c>
      <c r="H4972" s="6" t="s">
        <v>10557</v>
      </c>
      <c r="I4972" s="6" t="s">
        <v>20</v>
      </c>
      <c r="J4972" s="6">
        <v>2013.0</v>
      </c>
      <c r="L4972" s="6">
        <v>1.0</v>
      </c>
      <c r="M4972" s="8">
        <f t="shared" si="5"/>
        <v>1.99</v>
      </c>
      <c r="P4972" s="9"/>
    </row>
    <row r="4973">
      <c r="A4973" s="6" t="s">
        <v>10558</v>
      </c>
      <c r="B4973" s="6" t="s">
        <v>301</v>
      </c>
      <c r="C4973" s="6" t="s">
        <v>34</v>
      </c>
      <c r="D4973" s="6" t="s">
        <v>10559</v>
      </c>
      <c r="E4973" s="6" t="s">
        <v>10560</v>
      </c>
      <c r="F4973" s="6" t="s">
        <v>51</v>
      </c>
      <c r="G4973" s="7">
        <v>0.1</v>
      </c>
      <c r="H4973" s="6" t="s">
        <v>209</v>
      </c>
      <c r="I4973" s="6" t="s">
        <v>20</v>
      </c>
      <c r="J4973" s="6">
        <v>2025.0</v>
      </c>
      <c r="L4973" s="6">
        <v>10.0</v>
      </c>
      <c r="M4973" s="8">
        <f t="shared" si="5"/>
        <v>1</v>
      </c>
      <c r="P4973" s="9"/>
    </row>
    <row r="4974">
      <c r="A4974" s="6" t="s">
        <v>10558</v>
      </c>
      <c r="B4974" s="6" t="s">
        <v>301</v>
      </c>
      <c r="C4974" s="6" t="s">
        <v>34</v>
      </c>
      <c r="D4974" s="6" t="s">
        <v>10559</v>
      </c>
      <c r="E4974" s="6" t="s">
        <v>10560</v>
      </c>
      <c r="F4974" s="6" t="s">
        <v>51</v>
      </c>
      <c r="G4974" s="7">
        <v>0.35</v>
      </c>
      <c r="H4974" s="6" t="s">
        <v>209</v>
      </c>
      <c r="I4974" s="6" t="s">
        <v>55</v>
      </c>
      <c r="J4974" s="6">
        <v>2025.0</v>
      </c>
      <c r="L4974" s="6">
        <v>1.0</v>
      </c>
      <c r="M4974" s="8">
        <f t="shared" si="5"/>
        <v>0.35</v>
      </c>
      <c r="P4974" s="9"/>
    </row>
    <row r="4975">
      <c r="A4975" s="6" t="s">
        <v>10561</v>
      </c>
      <c r="B4975" s="6" t="s">
        <v>139</v>
      </c>
      <c r="C4975" s="6" t="s">
        <v>48</v>
      </c>
      <c r="D4975" s="6" t="s">
        <v>10562</v>
      </c>
      <c r="E4975" s="6" t="s">
        <v>410</v>
      </c>
      <c r="F4975" s="6" t="s">
        <v>51</v>
      </c>
      <c r="G4975" s="7">
        <v>0.9</v>
      </c>
      <c r="H4975" s="6" t="s">
        <v>607</v>
      </c>
      <c r="I4975" s="6" t="s">
        <v>20</v>
      </c>
      <c r="J4975" s="6">
        <v>1994.0</v>
      </c>
      <c r="K4975" s="10">
        <v>46055.0</v>
      </c>
      <c r="L4975" s="6">
        <v>1.0</v>
      </c>
      <c r="M4975" s="8">
        <f t="shared" si="5"/>
        <v>0.9</v>
      </c>
      <c r="P4975" s="9"/>
    </row>
    <row r="4976">
      <c r="A4976" s="6" t="s">
        <v>10563</v>
      </c>
      <c r="B4976" s="6" t="s">
        <v>68</v>
      </c>
      <c r="C4976" s="6" t="s">
        <v>48</v>
      </c>
      <c r="D4976" s="6" t="s">
        <v>10564</v>
      </c>
      <c r="F4976" s="6" t="s">
        <v>37</v>
      </c>
      <c r="G4976" s="7">
        <v>0.24</v>
      </c>
      <c r="H4976" s="6" t="s">
        <v>45</v>
      </c>
      <c r="I4976" s="6" t="s">
        <v>20</v>
      </c>
      <c r="J4976" s="6">
        <v>2025.0</v>
      </c>
      <c r="L4976" s="6">
        <v>1.0</v>
      </c>
      <c r="M4976" s="8">
        <f t="shared" si="5"/>
        <v>0.24</v>
      </c>
      <c r="P4976" s="9"/>
    </row>
    <row r="4977">
      <c r="A4977" s="6" t="s">
        <v>10565</v>
      </c>
      <c r="B4977" s="6" t="s">
        <v>3192</v>
      </c>
      <c r="C4977" s="6" t="s">
        <v>48</v>
      </c>
      <c r="D4977" s="6" t="s">
        <v>10566</v>
      </c>
      <c r="E4977" s="6" t="s">
        <v>873</v>
      </c>
      <c r="F4977" s="6" t="s">
        <v>874</v>
      </c>
      <c r="G4977" s="7">
        <v>0.15</v>
      </c>
      <c r="H4977" s="6" t="s">
        <v>45</v>
      </c>
      <c r="I4977" s="6" t="s">
        <v>20</v>
      </c>
      <c r="J4977" s="6">
        <v>2025.0</v>
      </c>
      <c r="K4977" s="10">
        <v>46083.0</v>
      </c>
      <c r="L4977" s="6">
        <v>1.0</v>
      </c>
      <c r="M4977" s="8">
        <f t="shared" si="5"/>
        <v>0.15</v>
      </c>
      <c r="P4977" s="9"/>
    </row>
    <row r="4978">
      <c r="A4978" s="6" t="s">
        <v>10567</v>
      </c>
      <c r="B4978" s="6" t="s">
        <v>331</v>
      </c>
      <c r="C4978" s="6" t="s">
        <v>23</v>
      </c>
      <c r="D4978" s="6" t="s">
        <v>10568</v>
      </c>
      <c r="E4978" s="6" t="s">
        <v>118</v>
      </c>
      <c r="F4978" s="6" t="s">
        <v>51</v>
      </c>
      <c r="G4978" s="7">
        <v>0.06</v>
      </c>
      <c r="H4978" s="6" t="s">
        <v>663</v>
      </c>
      <c r="I4978" s="6" t="s">
        <v>20</v>
      </c>
      <c r="J4978" s="6">
        <v>2023.0</v>
      </c>
      <c r="K4978" s="10">
        <v>46055.0</v>
      </c>
      <c r="L4978" s="6">
        <v>1.0</v>
      </c>
      <c r="M4978" s="8">
        <f t="shared" si="5"/>
        <v>0.06</v>
      </c>
      <c r="P4978" s="9"/>
    </row>
    <row r="4979">
      <c r="A4979" s="6" t="s">
        <v>10569</v>
      </c>
      <c r="B4979" s="6" t="s">
        <v>3981</v>
      </c>
      <c r="C4979" s="6" t="s">
        <v>15</v>
      </c>
      <c r="D4979" s="6" t="s">
        <v>10570</v>
      </c>
      <c r="E4979" s="6" t="s">
        <v>9790</v>
      </c>
      <c r="F4979" s="6" t="s">
        <v>18</v>
      </c>
      <c r="G4979" s="7">
        <v>0.06</v>
      </c>
      <c r="H4979" s="6" t="s">
        <v>483</v>
      </c>
      <c r="I4979" s="6" t="s">
        <v>20</v>
      </c>
      <c r="J4979" s="6">
        <v>2014.0</v>
      </c>
      <c r="K4979" s="10">
        <v>46116.0</v>
      </c>
      <c r="L4979" s="6">
        <v>1.0</v>
      </c>
      <c r="M4979" s="8">
        <f t="shared" si="5"/>
        <v>0.06</v>
      </c>
      <c r="P4979" s="9"/>
    </row>
    <row r="4980">
      <c r="A4980" s="6" t="s">
        <v>10571</v>
      </c>
      <c r="B4980" s="6" t="s">
        <v>62</v>
      </c>
      <c r="C4980" s="6" t="s">
        <v>48</v>
      </c>
      <c r="D4980" s="6" t="s">
        <v>10572</v>
      </c>
      <c r="E4980" s="6" t="s">
        <v>30</v>
      </c>
      <c r="F4980" s="6" t="s">
        <v>18</v>
      </c>
      <c r="G4980" s="7">
        <v>0.04</v>
      </c>
      <c r="H4980" s="6" t="s">
        <v>848</v>
      </c>
      <c r="I4980" s="6" t="s">
        <v>20</v>
      </c>
      <c r="J4980" s="6">
        <v>2023.0</v>
      </c>
      <c r="L4980" s="6">
        <v>1.0</v>
      </c>
      <c r="M4980" s="8">
        <f t="shared" si="5"/>
        <v>0.04</v>
      </c>
      <c r="P4980" s="9"/>
    </row>
    <row r="4981">
      <c r="A4981" s="6" t="s">
        <v>10573</v>
      </c>
      <c r="B4981" s="6" t="s">
        <v>1926</v>
      </c>
      <c r="C4981" s="6" t="s">
        <v>23</v>
      </c>
      <c r="E4981" s="6" t="s">
        <v>243</v>
      </c>
      <c r="F4981" s="6" t="s">
        <v>37</v>
      </c>
      <c r="G4981" s="7">
        <v>0.05</v>
      </c>
      <c r="H4981" s="6" t="s">
        <v>93</v>
      </c>
      <c r="I4981" s="6" t="s">
        <v>20</v>
      </c>
      <c r="J4981" s="6">
        <v>2016.0</v>
      </c>
      <c r="K4981" s="10">
        <v>46025.0</v>
      </c>
      <c r="L4981" s="6">
        <v>1.0</v>
      </c>
      <c r="M4981" s="8">
        <f t="shared" si="5"/>
        <v>0.05</v>
      </c>
      <c r="N4981" s="6" t="s">
        <v>518</v>
      </c>
      <c r="P4981" s="9"/>
    </row>
    <row r="4982">
      <c r="A4982" s="6" t="s">
        <v>10574</v>
      </c>
      <c r="B4982" s="6" t="s">
        <v>10575</v>
      </c>
      <c r="C4982" s="6" t="s">
        <v>48</v>
      </c>
      <c r="D4982" s="6" t="s">
        <v>10576</v>
      </c>
      <c r="E4982" s="6" t="s">
        <v>153</v>
      </c>
      <c r="F4982" s="6" t="s">
        <v>103</v>
      </c>
      <c r="G4982" s="7">
        <v>0.1</v>
      </c>
      <c r="H4982" s="6" t="s">
        <v>324</v>
      </c>
      <c r="I4982" s="6" t="s">
        <v>20</v>
      </c>
      <c r="J4982" s="6">
        <v>2025.0</v>
      </c>
      <c r="K4982" s="10">
        <v>46085.0</v>
      </c>
      <c r="L4982" s="6">
        <v>1.0</v>
      </c>
      <c r="M4982" s="8">
        <f t="shared" si="5"/>
        <v>0.1</v>
      </c>
      <c r="P4982" s="9"/>
    </row>
    <row r="4983">
      <c r="A4983" s="6" t="s">
        <v>10577</v>
      </c>
      <c r="B4983" s="6" t="s">
        <v>10578</v>
      </c>
      <c r="C4983" s="6" t="s">
        <v>287</v>
      </c>
      <c r="D4983" s="6" t="s">
        <v>10579</v>
      </c>
      <c r="E4983" s="6" t="s">
        <v>79</v>
      </c>
      <c r="F4983" s="6" t="s">
        <v>51</v>
      </c>
      <c r="G4983" s="7">
        <v>0.09</v>
      </c>
      <c r="H4983" s="6" t="s">
        <v>289</v>
      </c>
      <c r="I4983" s="6" t="s">
        <v>20</v>
      </c>
      <c r="J4983" s="6">
        <v>1996.0</v>
      </c>
      <c r="K4983" s="10">
        <v>46023.0</v>
      </c>
      <c r="L4983" s="6">
        <v>1.0</v>
      </c>
      <c r="M4983" s="8">
        <f t="shared" si="5"/>
        <v>0.09</v>
      </c>
      <c r="P4983" s="9"/>
    </row>
    <row r="4984">
      <c r="A4984" s="6" t="s">
        <v>10580</v>
      </c>
      <c r="B4984" s="6" t="s">
        <v>740</v>
      </c>
      <c r="C4984" s="6" t="s">
        <v>41</v>
      </c>
      <c r="D4984" s="6" t="s">
        <v>10581</v>
      </c>
      <c r="E4984" s="6" t="s">
        <v>270</v>
      </c>
      <c r="F4984" s="6" t="s">
        <v>159</v>
      </c>
      <c r="G4984" s="7">
        <v>0.25</v>
      </c>
      <c r="H4984" s="6" t="s">
        <v>8753</v>
      </c>
      <c r="I4984" s="6" t="s">
        <v>20</v>
      </c>
      <c r="J4984" s="6">
        <v>2016.0</v>
      </c>
      <c r="K4984" s="10">
        <v>46023.0</v>
      </c>
      <c r="L4984" s="6">
        <v>1.0</v>
      </c>
      <c r="M4984" s="8">
        <f t="shared" si="5"/>
        <v>0.25</v>
      </c>
      <c r="P4984" s="9"/>
    </row>
    <row r="4985">
      <c r="A4985" s="6" t="s">
        <v>10582</v>
      </c>
      <c r="B4985" s="6" t="s">
        <v>7631</v>
      </c>
      <c r="C4985" s="6" t="s">
        <v>23</v>
      </c>
      <c r="D4985" s="6" t="s">
        <v>10583</v>
      </c>
      <c r="E4985" s="6" t="s">
        <v>2129</v>
      </c>
      <c r="F4985" s="6" t="s">
        <v>65</v>
      </c>
      <c r="G4985" s="7">
        <v>0.04</v>
      </c>
      <c r="H4985" s="6" t="s">
        <v>626</v>
      </c>
      <c r="I4985" s="6" t="s">
        <v>20</v>
      </c>
      <c r="J4985" s="6">
        <v>2013.0</v>
      </c>
      <c r="K4985" s="10">
        <v>46086.0</v>
      </c>
      <c r="L4985" s="6">
        <v>1.0</v>
      </c>
      <c r="M4985" s="8">
        <f t="shared" si="5"/>
        <v>0.04</v>
      </c>
      <c r="P4985" s="9"/>
    </row>
    <row r="4986">
      <c r="A4986" s="6" t="s">
        <v>10584</v>
      </c>
      <c r="B4986" s="6" t="s">
        <v>182</v>
      </c>
      <c r="C4986" s="6" t="s">
        <v>23</v>
      </c>
      <c r="D4986" s="6" t="s">
        <v>10585</v>
      </c>
      <c r="E4986" s="6" t="s">
        <v>6795</v>
      </c>
      <c r="F4986" s="6" t="s">
        <v>159</v>
      </c>
      <c r="G4986" s="7">
        <v>0.06</v>
      </c>
      <c r="H4986" s="6" t="s">
        <v>204</v>
      </c>
      <c r="I4986" s="6" t="s">
        <v>20</v>
      </c>
      <c r="J4986" s="6">
        <v>2026.0</v>
      </c>
      <c r="L4986" s="6">
        <v>1.0</v>
      </c>
      <c r="M4986" s="8">
        <f t="shared" si="5"/>
        <v>0.06</v>
      </c>
      <c r="P4986" s="9"/>
    </row>
    <row r="4987">
      <c r="A4987" s="6" t="s">
        <v>10586</v>
      </c>
      <c r="B4987" s="6" t="s">
        <v>182</v>
      </c>
      <c r="C4987" s="6" t="s">
        <v>23</v>
      </c>
      <c r="D4987" s="6" t="s">
        <v>10587</v>
      </c>
      <c r="E4987" s="6" t="s">
        <v>298</v>
      </c>
      <c r="F4987" s="6" t="s">
        <v>159</v>
      </c>
      <c r="G4987" s="7">
        <v>0.05</v>
      </c>
      <c r="H4987" s="6" t="s">
        <v>184</v>
      </c>
      <c r="I4987" s="6" t="s">
        <v>20</v>
      </c>
      <c r="J4987" s="6">
        <v>2015.0</v>
      </c>
      <c r="L4987" s="6">
        <v>3.0</v>
      </c>
      <c r="M4987" s="8">
        <f t="shared" si="5"/>
        <v>0.15</v>
      </c>
      <c r="P4987" s="9"/>
    </row>
    <row r="4988">
      <c r="A4988" s="6" t="s">
        <v>10586</v>
      </c>
      <c r="B4988" s="6" t="s">
        <v>182</v>
      </c>
      <c r="C4988" s="6" t="s">
        <v>23</v>
      </c>
      <c r="D4988" s="6" t="s">
        <v>10587</v>
      </c>
      <c r="E4988" s="6" t="s">
        <v>298</v>
      </c>
      <c r="F4988" s="6" t="s">
        <v>159</v>
      </c>
      <c r="G4988" s="7">
        <v>0.05</v>
      </c>
      <c r="H4988" s="6" t="s">
        <v>184</v>
      </c>
      <c r="I4988" s="6" t="s">
        <v>20</v>
      </c>
      <c r="J4988" s="6">
        <v>2015.0</v>
      </c>
      <c r="L4988" s="6">
        <v>1.0</v>
      </c>
      <c r="M4988" s="8">
        <f t="shared" si="5"/>
        <v>0.05</v>
      </c>
      <c r="P4988" s="9"/>
    </row>
    <row r="4989">
      <c r="A4989" s="6" t="s">
        <v>10588</v>
      </c>
      <c r="B4989" s="6" t="s">
        <v>1926</v>
      </c>
      <c r="C4989" s="6" t="s">
        <v>48</v>
      </c>
      <c r="D4989" s="6" t="s">
        <v>10589</v>
      </c>
      <c r="E4989" s="6" t="s">
        <v>243</v>
      </c>
      <c r="F4989" s="6" t="s">
        <v>37</v>
      </c>
      <c r="G4989" s="7">
        <v>0.09</v>
      </c>
      <c r="H4989" s="6" t="s">
        <v>93</v>
      </c>
      <c r="I4989" s="6" t="s">
        <v>20</v>
      </c>
      <c r="J4989" s="6">
        <v>2016.0</v>
      </c>
      <c r="K4989" s="10">
        <v>46113.0</v>
      </c>
      <c r="L4989" s="6">
        <v>1.0</v>
      </c>
      <c r="M4989" s="8">
        <f t="shared" si="5"/>
        <v>0.09</v>
      </c>
      <c r="P4989" s="9"/>
    </row>
    <row r="4990">
      <c r="A4990" s="6" t="s">
        <v>10590</v>
      </c>
      <c r="B4990" s="6" t="s">
        <v>10591</v>
      </c>
      <c r="C4990" s="6" t="s">
        <v>23</v>
      </c>
      <c r="D4990" s="6" t="s">
        <v>10592</v>
      </c>
      <c r="E4990" s="6" t="s">
        <v>941</v>
      </c>
      <c r="F4990" s="6" t="s">
        <v>159</v>
      </c>
      <c r="G4990" s="7">
        <v>0.1</v>
      </c>
      <c r="H4990" s="6" t="s">
        <v>641</v>
      </c>
      <c r="I4990" s="6" t="s">
        <v>20</v>
      </c>
      <c r="J4990" s="6">
        <v>2026.0</v>
      </c>
      <c r="K4990" s="10">
        <v>46148.0</v>
      </c>
      <c r="L4990" s="6">
        <v>1.0</v>
      </c>
      <c r="M4990" s="8">
        <f t="shared" si="5"/>
        <v>0.1</v>
      </c>
      <c r="P4990" s="9"/>
    </row>
    <row r="4991">
      <c r="A4991" s="6" t="s">
        <v>10593</v>
      </c>
      <c r="B4991" s="6" t="s">
        <v>62</v>
      </c>
      <c r="C4991" s="6" t="s">
        <v>23</v>
      </c>
      <c r="D4991" s="6" t="s">
        <v>7520</v>
      </c>
      <c r="E4991" s="6" t="s">
        <v>223</v>
      </c>
      <c r="F4991" s="6" t="s">
        <v>159</v>
      </c>
      <c r="G4991" s="7">
        <v>0.03</v>
      </c>
      <c r="H4991" s="6" t="s">
        <v>88</v>
      </c>
      <c r="I4991" s="6" t="s">
        <v>20</v>
      </c>
      <c r="J4991" s="6">
        <v>2013.0</v>
      </c>
      <c r="L4991" s="6">
        <v>1.0</v>
      </c>
      <c r="M4991" s="8">
        <f t="shared" si="5"/>
        <v>0.03</v>
      </c>
      <c r="P4991" s="9"/>
    </row>
    <row r="4992">
      <c r="A4992" s="6" t="s">
        <v>10594</v>
      </c>
      <c r="B4992" s="6" t="s">
        <v>3178</v>
      </c>
      <c r="C4992" s="6" t="s">
        <v>23</v>
      </c>
      <c r="D4992" s="6" t="s">
        <v>10595</v>
      </c>
      <c r="E4992" s="6" t="s">
        <v>238</v>
      </c>
      <c r="F4992" s="6" t="s">
        <v>159</v>
      </c>
      <c r="G4992" s="7">
        <v>0.25</v>
      </c>
      <c r="H4992" s="6" t="s">
        <v>141</v>
      </c>
      <c r="I4992" s="6" t="s">
        <v>55</v>
      </c>
      <c r="J4992" s="6">
        <v>2019.0</v>
      </c>
      <c r="K4992" s="10">
        <v>46023.0</v>
      </c>
      <c r="L4992" s="6">
        <v>1.0</v>
      </c>
      <c r="M4992" s="8">
        <f t="shared" si="5"/>
        <v>0.25</v>
      </c>
      <c r="P4992" s="9"/>
    </row>
    <row r="4993">
      <c r="A4993" s="6" t="s">
        <v>10596</v>
      </c>
      <c r="B4993" s="6" t="s">
        <v>62</v>
      </c>
      <c r="C4993" s="6" t="s">
        <v>48</v>
      </c>
      <c r="D4993" s="6" t="s">
        <v>10597</v>
      </c>
      <c r="E4993" s="6" t="s">
        <v>118</v>
      </c>
      <c r="F4993" s="6" t="s">
        <v>51</v>
      </c>
      <c r="G4993" s="7">
        <v>0.09</v>
      </c>
      <c r="H4993" s="6" t="s">
        <v>477</v>
      </c>
      <c r="I4993" s="6" t="s">
        <v>20</v>
      </c>
      <c r="J4993" s="6">
        <v>2020.0</v>
      </c>
      <c r="L4993" s="6">
        <v>1.0</v>
      </c>
      <c r="M4993" s="8">
        <f t="shared" si="5"/>
        <v>0.09</v>
      </c>
      <c r="P4993" s="9"/>
    </row>
    <row r="4994">
      <c r="A4994" s="6" t="s">
        <v>10598</v>
      </c>
      <c r="B4994" s="6" t="s">
        <v>1127</v>
      </c>
      <c r="C4994" s="6" t="s">
        <v>15</v>
      </c>
      <c r="D4994" s="6" t="s">
        <v>10599</v>
      </c>
      <c r="E4994" s="6" t="s">
        <v>1129</v>
      </c>
      <c r="F4994" s="6" t="s">
        <v>18</v>
      </c>
      <c r="G4994" s="7">
        <v>0.13</v>
      </c>
      <c r="H4994" s="6" t="s">
        <v>180</v>
      </c>
      <c r="I4994" s="6" t="s">
        <v>20</v>
      </c>
      <c r="J4994" s="6">
        <v>2014.0</v>
      </c>
      <c r="K4994" s="10">
        <v>46054.0</v>
      </c>
      <c r="L4994" s="6">
        <v>1.0</v>
      </c>
      <c r="M4994" s="8">
        <f t="shared" si="5"/>
        <v>0.13</v>
      </c>
      <c r="P4994" s="9"/>
    </row>
    <row r="4995">
      <c r="A4995" s="6" t="s">
        <v>10600</v>
      </c>
      <c r="B4995" s="6" t="s">
        <v>796</v>
      </c>
      <c r="C4995" s="6" t="s">
        <v>34</v>
      </c>
      <c r="D4995" s="6" t="s">
        <v>10601</v>
      </c>
      <c r="E4995" s="6" t="s">
        <v>8995</v>
      </c>
      <c r="F4995" s="6" t="s">
        <v>858</v>
      </c>
      <c r="G4995" s="7">
        <v>0.08</v>
      </c>
      <c r="H4995" s="6" t="s">
        <v>807</v>
      </c>
      <c r="I4995" s="6" t="s">
        <v>20</v>
      </c>
      <c r="J4995" s="6">
        <v>2026.0</v>
      </c>
      <c r="L4995" s="6">
        <v>2.0</v>
      </c>
      <c r="M4995" s="8">
        <f t="shared" si="5"/>
        <v>0.16</v>
      </c>
      <c r="P4995" s="9"/>
    </row>
    <row r="4996">
      <c r="A4996" s="6" t="s">
        <v>10602</v>
      </c>
      <c r="B4996" s="6" t="s">
        <v>263</v>
      </c>
      <c r="C4996" s="6" t="s">
        <v>23</v>
      </c>
      <c r="D4996" s="6" t="s">
        <v>974</v>
      </c>
      <c r="E4996" s="6" t="s">
        <v>25</v>
      </c>
      <c r="F4996" s="6" t="s">
        <v>18</v>
      </c>
      <c r="G4996" s="7">
        <v>0.06</v>
      </c>
      <c r="H4996" s="6" t="s">
        <v>1784</v>
      </c>
      <c r="I4996" s="6" t="s">
        <v>20</v>
      </c>
      <c r="J4996" s="6">
        <v>2013.0</v>
      </c>
      <c r="K4996" s="10">
        <v>46055.0</v>
      </c>
      <c r="L4996" s="6">
        <v>1.0</v>
      </c>
      <c r="M4996" s="8">
        <f t="shared" si="5"/>
        <v>0.06</v>
      </c>
      <c r="P4996" s="9"/>
    </row>
    <row r="4997">
      <c r="A4997" s="6" t="s">
        <v>10602</v>
      </c>
      <c r="B4997" s="6" t="s">
        <v>263</v>
      </c>
      <c r="C4997" s="6" t="s">
        <v>23</v>
      </c>
      <c r="D4997" s="6" t="s">
        <v>974</v>
      </c>
      <c r="E4997" s="6" t="s">
        <v>25</v>
      </c>
      <c r="F4997" s="6" t="s">
        <v>18</v>
      </c>
      <c r="G4997" s="7">
        <v>0.03</v>
      </c>
      <c r="H4997" s="6" t="s">
        <v>316</v>
      </c>
      <c r="I4997" s="6" t="s">
        <v>20</v>
      </c>
      <c r="J4997" s="6">
        <v>2016.0</v>
      </c>
      <c r="K4997" s="10">
        <v>46055.0</v>
      </c>
      <c r="L4997" s="6">
        <v>2.0</v>
      </c>
      <c r="M4997" s="8">
        <f t="shared" si="5"/>
        <v>0.06</v>
      </c>
      <c r="P4997" s="9"/>
    </row>
    <row r="4998">
      <c r="A4998" s="6" t="s">
        <v>10602</v>
      </c>
      <c r="B4998" s="6" t="s">
        <v>263</v>
      </c>
      <c r="C4998" s="6" t="s">
        <v>23</v>
      </c>
      <c r="D4998" s="6" t="s">
        <v>974</v>
      </c>
      <c r="E4998" s="6" t="s">
        <v>25</v>
      </c>
      <c r="F4998" s="6" t="s">
        <v>18</v>
      </c>
      <c r="G4998" s="7">
        <v>0.03</v>
      </c>
      <c r="H4998" s="6" t="s">
        <v>316</v>
      </c>
      <c r="I4998" s="6" t="s">
        <v>20</v>
      </c>
      <c r="J4998" s="6">
        <v>2016.0</v>
      </c>
      <c r="K4998" s="10">
        <v>46055.0</v>
      </c>
      <c r="L4998" s="6">
        <v>2.0</v>
      </c>
      <c r="M4998" s="8">
        <f t="shared" si="5"/>
        <v>0.06</v>
      </c>
      <c r="P4998" s="9"/>
    </row>
    <row r="4999">
      <c r="A4999" s="6" t="s">
        <v>10602</v>
      </c>
      <c r="B4999" s="6" t="s">
        <v>263</v>
      </c>
      <c r="C4999" s="6" t="s">
        <v>23</v>
      </c>
      <c r="D4999" s="6" t="s">
        <v>974</v>
      </c>
      <c r="E4999" s="6" t="s">
        <v>25</v>
      </c>
      <c r="F4999" s="6" t="s">
        <v>18</v>
      </c>
      <c r="G4999" s="7">
        <v>0.25</v>
      </c>
      <c r="H4999" s="6" t="s">
        <v>10603</v>
      </c>
      <c r="I4999" s="6" t="s">
        <v>55</v>
      </c>
      <c r="J4999" s="6">
        <v>2013.0</v>
      </c>
      <c r="K4999" s="10">
        <v>46055.0</v>
      </c>
      <c r="L4999" s="6">
        <v>1.0</v>
      </c>
      <c r="M4999" s="8">
        <f t="shared" si="5"/>
        <v>0.25</v>
      </c>
      <c r="P4999" s="9"/>
    </row>
    <row r="5000">
      <c r="A5000" s="6" t="s">
        <v>10602</v>
      </c>
      <c r="B5000" s="6" t="s">
        <v>263</v>
      </c>
      <c r="C5000" s="6" t="s">
        <v>23</v>
      </c>
      <c r="D5000" s="6" t="s">
        <v>974</v>
      </c>
      <c r="E5000" s="6" t="s">
        <v>25</v>
      </c>
      <c r="F5000" s="6" t="s">
        <v>18</v>
      </c>
      <c r="G5000" s="7">
        <v>0.06</v>
      </c>
      <c r="H5000" s="6" t="s">
        <v>2872</v>
      </c>
      <c r="I5000" s="6" t="s">
        <v>20</v>
      </c>
      <c r="J5000" s="6">
        <v>2019.0</v>
      </c>
      <c r="K5000" s="10">
        <v>46055.0</v>
      </c>
      <c r="L5000" s="6">
        <v>2.0</v>
      </c>
      <c r="M5000" s="8">
        <f t="shared" si="5"/>
        <v>0.12</v>
      </c>
      <c r="P5000" s="9"/>
    </row>
    <row r="5001">
      <c r="A5001" s="6" t="s">
        <v>10604</v>
      </c>
      <c r="B5001" s="6" t="s">
        <v>258</v>
      </c>
      <c r="C5001" s="6" t="s">
        <v>48</v>
      </c>
      <c r="D5001" s="6" t="s">
        <v>10605</v>
      </c>
      <c r="E5001" s="6" t="s">
        <v>345</v>
      </c>
      <c r="F5001" s="6" t="s">
        <v>18</v>
      </c>
      <c r="G5001" s="7">
        <v>0.03</v>
      </c>
      <c r="H5001" s="6" t="s">
        <v>299</v>
      </c>
      <c r="I5001" s="6" t="s">
        <v>20</v>
      </c>
      <c r="J5001" s="6">
        <v>2017.0</v>
      </c>
      <c r="K5001" s="10">
        <v>46085.0</v>
      </c>
      <c r="L5001" s="6">
        <v>1.0</v>
      </c>
      <c r="M5001" s="8">
        <f t="shared" si="5"/>
        <v>0.03</v>
      </c>
      <c r="P5001" s="9"/>
    </row>
    <row r="5002">
      <c r="A5002" s="6" t="s">
        <v>10606</v>
      </c>
      <c r="B5002" s="6" t="s">
        <v>6948</v>
      </c>
      <c r="C5002" s="6" t="s">
        <v>23</v>
      </c>
      <c r="D5002" s="6" t="s">
        <v>10607</v>
      </c>
      <c r="E5002" s="6" t="s">
        <v>611</v>
      </c>
      <c r="F5002" s="6" t="s">
        <v>103</v>
      </c>
      <c r="G5002" s="7">
        <v>0.03</v>
      </c>
      <c r="H5002" s="6" t="s">
        <v>200</v>
      </c>
      <c r="I5002" s="6" t="s">
        <v>20</v>
      </c>
      <c r="J5002" s="6">
        <v>2018.0</v>
      </c>
      <c r="K5002" s="10">
        <v>46056.0</v>
      </c>
      <c r="L5002" s="6">
        <v>1.0</v>
      </c>
      <c r="M5002" s="8">
        <f t="shared" si="5"/>
        <v>0.03</v>
      </c>
      <c r="P5002" s="9"/>
    </row>
    <row r="5003">
      <c r="A5003" s="6" t="s">
        <v>10608</v>
      </c>
      <c r="B5003" s="6" t="s">
        <v>182</v>
      </c>
      <c r="C5003" s="6" t="s">
        <v>23</v>
      </c>
      <c r="D5003" s="6" t="s">
        <v>10609</v>
      </c>
      <c r="E5003" s="6" t="s">
        <v>223</v>
      </c>
      <c r="F5003" s="6" t="s">
        <v>159</v>
      </c>
      <c r="G5003" s="7">
        <v>7.58</v>
      </c>
      <c r="H5003" s="6" t="s">
        <v>2669</v>
      </c>
      <c r="I5003" s="6" t="s">
        <v>20</v>
      </c>
      <c r="J5003" s="6">
        <v>2019.0</v>
      </c>
      <c r="L5003" s="6">
        <v>1.0</v>
      </c>
      <c r="M5003" s="8">
        <f t="shared" si="5"/>
        <v>7.58</v>
      </c>
      <c r="N5003" s="6" t="s">
        <v>172</v>
      </c>
      <c r="P5003" s="9"/>
    </row>
    <row r="5004">
      <c r="A5004" s="6" t="s">
        <v>10610</v>
      </c>
      <c r="B5004" s="6" t="s">
        <v>62</v>
      </c>
      <c r="C5004" s="6" t="s">
        <v>23</v>
      </c>
      <c r="D5004" s="6" t="s">
        <v>10611</v>
      </c>
      <c r="E5004" s="6" t="s">
        <v>149</v>
      </c>
      <c r="F5004" s="6" t="s">
        <v>18</v>
      </c>
      <c r="G5004" s="7">
        <v>0.03</v>
      </c>
      <c r="H5004" s="6" t="s">
        <v>562</v>
      </c>
      <c r="I5004" s="6" t="s">
        <v>20</v>
      </c>
      <c r="J5004" s="6">
        <v>2017.0</v>
      </c>
      <c r="L5004" s="6">
        <v>1.0</v>
      </c>
      <c r="M5004" s="8">
        <f t="shared" si="5"/>
        <v>0.03</v>
      </c>
      <c r="P5004" s="9"/>
    </row>
    <row r="5005">
      <c r="A5005" s="6" t="s">
        <v>10612</v>
      </c>
      <c r="B5005" s="6" t="s">
        <v>229</v>
      </c>
      <c r="C5005" s="6" t="s">
        <v>212</v>
      </c>
      <c r="D5005" s="6" t="s">
        <v>10613</v>
      </c>
      <c r="E5005" s="6" t="s">
        <v>231</v>
      </c>
      <c r="F5005" s="6" t="s">
        <v>37</v>
      </c>
      <c r="G5005" s="7">
        <v>0.2</v>
      </c>
      <c r="H5005" s="6" t="s">
        <v>209</v>
      </c>
      <c r="I5005" s="6" t="s">
        <v>20</v>
      </c>
      <c r="J5005" s="6">
        <v>2025.0</v>
      </c>
      <c r="L5005" s="6">
        <v>4.0</v>
      </c>
      <c r="M5005" s="8">
        <f t="shared" si="5"/>
        <v>0.8</v>
      </c>
      <c r="P5005" s="9"/>
    </row>
    <row r="5006">
      <c r="A5006" s="6" t="s">
        <v>10614</v>
      </c>
      <c r="B5006" s="6" t="s">
        <v>10615</v>
      </c>
      <c r="C5006" s="6" t="s">
        <v>48</v>
      </c>
      <c r="D5006" s="6" t="s">
        <v>10616</v>
      </c>
      <c r="E5006" s="6" t="s">
        <v>112</v>
      </c>
      <c r="F5006" s="6" t="s">
        <v>65</v>
      </c>
      <c r="G5006" s="7">
        <v>0.15</v>
      </c>
      <c r="H5006" s="6" t="s">
        <v>192</v>
      </c>
      <c r="I5006" s="6" t="s">
        <v>20</v>
      </c>
      <c r="J5006" s="6">
        <v>2026.0</v>
      </c>
      <c r="K5006" s="10">
        <v>46054.0</v>
      </c>
      <c r="L5006" s="6">
        <v>1.0</v>
      </c>
      <c r="M5006" s="8">
        <f t="shared" si="5"/>
        <v>0.15</v>
      </c>
      <c r="P5006" s="9"/>
    </row>
    <row r="5007">
      <c r="A5007" s="6" t="s">
        <v>10617</v>
      </c>
      <c r="B5007" s="6" t="s">
        <v>366</v>
      </c>
      <c r="C5007" s="6" t="s">
        <v>48</v>
      </c>
      <c r="D5007" s="6" t="s">
        <v>10618</v>
      </c>
      <c r="E5007" s="6" t="s">
        <v>1134</v>
      </c>
      <c r="F5007" s="6" t="s">
        <v>261</v>
      </c>
      <c r="G5007" s="7">
        <v>0.15</v>
      </c>
      <c r="H5007" s="6" t="s">
        <v>245</v>
      </c>
      <c r="I5007" s="6" t="s">
        <v>20</v>
      </c>
      <c r="J5007" s="6">
        <v>1995.0</v>
      </c>
      <c r="L5007" s="6">
        <v>1.0</v>
      </c>
      <c r="M5007" s="8">
        <f t="shared" si="5"/>
        <v>0.15</v>
      </c>
      <c r="P5007" s="9"/>
    </row>
    <row r="5008">
      <c r="A5008" s="6" t="s">
        <v>10619</v>
      </c>
      <c r="B5008" s="6" t="s">
        <v>194</v>
      </c>
      <c r="C5008" s="6" t="s">
        <v>23</v>
      </c>
      <c r="D5008" s="6" t="s">
        <v>10620</v>
      </c>
      <c r="E5008" s="6" t="s">
        <v>102</v>
      </c>
      <c r="F5008" s="6" t="s">
        <v>103</v>
      </c>
      <c r="G5008" s="7">
        <v>0.05</v>
      </c>
      <c r="H5008" s="6" t="s">
        <v>645</v>
      </c>
      <c r="I5008" s="6" t="s">
        <v>20</v>
      </c>
      <c r="J5008" s="6">
        <v>2024.0</v>
      </c>
      <c r="L5008" s="6">
        <v>1.0</v>
      </c>
      <c r="M5008" s="8">
        <f t="shared" si="5"/>
        <v>0.05</v>
      </c>
      <c r="P5008" s="9"/>
    </row>
    <row r="5009">
      <c r="A5009" s="6" t="s">
        <v>10621</v>
      </c>
      <c r="B5009" s="6" t="s">
        <v>182</v>
      </c>
      <c r="C5009" s="6" t="s">
        <v>41</v>
      </c>
      <c r="D5009" s="6" t="s">
        <v>10622</v>
      </c>
      <c r="E5009" s="6" t="s">
        <v>3153</v>
      </c>
      <c r="F5009" s="6" t="s">
        <v>103</v>
      </c>
      <c r="G5009" s="7">
        <v>0.3</v>
      </c>
      <c r="H5009" s="6" t="s">
        <v>701</v>
      </c>
      <c r="I5009" s="6" t="s">
        <v>20</v>
      </c>
      <c r="J5009" s="6">
        <v>2012.0</v>
      </c>
      <c r="L5009" s="6">
        <v>1.0</v>
      </c>
      <c r="M5009" s="8">
        <f t="shared" si="5"/>
        <v>0.3</v>
      </c>
      <c r="P5009" s="9"/>
    </row>
    <row r="5010">
      <c r="A5010" s="6" t="s">
        <v>10623</v>
      </c>
      <c r="B5010" s="6" t="s">
        <v>10624</v>
      </c>
      <c r="C5010" s="6" t="s">
        <v>72</v>
      </c>
      <c r="D5010" s="6" t="s">
        <v>10625</v>
      </c>
      <c r="E5010" s="6" t="s">
        <v>395</v>
      </c>
      <c r="F5010" s="6" t="s">
        <v>51</v>
      </c>
      <c r="G5010" s="7">
        <v>0.32</v>
      </c>
      <c r="H5010" s="6" t="s">
        <v>4237</v>
      </c>
      <c r="I5010" s="6" t="s">
        <v>20</v>
      </c>
      <c r="J5010" s="6">
        <v>1995.0</v>
      </c>
      <c r="K5010" s="10">
        <v>46023.0</v>
      </c>
      <c r="L5010" s="6">
        <v>1.0</v>
      </c>
      <c r="M5010" s="8">
        <f t="shared" si="5"/>
        <v>0.32</v>
      </c>
      <c r="P5010" s="9"/>
    </row>
    <row r="5011">
      <c r="A5011" s="6" t="s">
        <v>10626</v>
      </c>
      <c r="B5011" s="6" t="s">
        <v>307</v>
      </c>
      <c r="C5011" s="6" t="s">
        <v>23</v>
      </c>
      <c r="D5011" s="6" t="s">
        <v>10627</v>
      </c>
      <c r="E5011" s="6" t="s">
        <v>167</v>
      </c>
      <c r="F5011" s="6" t="s">
        <v>103</v>
      </c>
      <c r="G5011" s="7">
        <v>0.25</v>
      </c>
      <c r="H5011" s="6" t="s">
        <v>163</v>
      </c>
      <c r="I5011" s="6" t="s">
        <v>20</v>
      </c>
      <c r="J5011" s="6">
        <v>2023.0</v>
      </c>
      <c r="L5011" s="6">
        <v>1.0</v>
      </c>
      <c r="M5011" s="8">
        <f t="shared" si="5"/>
        <v>0.25</v>
      </c>
      <c r="P5011" s="9"/>
    </row>
    <row r="5012">
      <c r="A5012" s="6" t="s">
        <v>10628</v>
      </c>
      <c r="B5012" s="6" t="s">
        <v>5765</v>
      </c>
      <c r="C5012" s="6" t="s">
        <v>23</v>
      </c>
      <c r="E5012" s="6" t="s">
        <v>235</v>
      </c>
      <c r="F5012" s="6" t="s">
        <v>103</v>
      </c>
      <c r="G5012" s="7">
        <v>0.06</v>
      </c>
      <c r="H5012" s="6" t="s">
        <v>188</v>
      </c>
      <c r="I5012" s="6" t="s">
        <v>20</v>
      </c>
      <c r="J5012" s="6">
        <v>2014.0</v>
      </c>
      <c r="K5012" s="10">
        <v>46083.0</v>
      </c>
      <c r="L5012" s="6">
        <v>1.0</v>
      </c>
      <c r="M5012" s="8">
        <f t="shared" si="5"/>
        <v>0.06</v>
      </c>
      <c r="P5012" s="9"/>
    </row>
    <row r="5013">
      <c r="A5013" s="6" t="s">
        <v>10629</v>
      </c>
      <c r="B5013" s="6" t="s">
        <v>62</v>
      </c>
      <c r="C5013" s="6" t="s">
        <v>23</v>
      </c>
      <c r="D5013" s="6" t="s">
        <v>10630</v>
      </c>
      <c r="E5013" s="6" t="s">
        <v>223</v>
      </c>
      <c r="F5013" s="6" t="s">
        <v>159</v>
      </c>
      <c r="G5013" s="7">
        <v>0.08</v>
      </c>
      <c r="H5013" s="6" t="s">
        <v>114</v>
      </c>
      <c r="I5013" s="6" t="s">
        <v>20</v>
      </c>
      <c r="J5013" s="6">
        <v>2021.0</v>
      </c>
      <c r="L5013" s="6">
        <v>3.0</v>
      </c>
      <c r="M5013" s="8">
        <f t="shared" si="5"/>
        <v>0.24</v>
      </c>
      <c r="P5013" s="9"/>
    </row>
    <row r="5014">
      <c r="A5014" s="6" t="s">
        <v>10631</v>
      </c>
      <c r="B5014" s="6" t="s">
        <v>307</v>
      </c>
      <c r="C5014" s="6" t="s">
        <v>23</v>
      </c>
      <c r="D5014" s="6" t="s">
        <v>10632</v>
      </c>
      <c r="E5014" s="6" t="s">
        <v>248</v>
      </c>
      <c r="F5014" s="6" t="s">
        <v>18</v>
      </c>
      <c r="G5014" s="7">
        <v>0.05</v>
      </c>
      <c r="H5014" s="6" t="s">
        <v>141</v>
      </c>
      <c r="I5014" s="6" t="s">
        <v>20</v>
      </c>
      <c r="J5014" s="6">
        <v>2019.0</v>
      </c>
      <c r="L5014" s="6">
        <v>1.0</v>
      </c>
      <c r="M5014" s="8">
        <f t="shared" si="5"/>
        <v>0.05</v>
      </c>
      <c r="P5014" s="9"/>
    </row>
    <row r="5015">
      <c r="A5015" s="6" t="s">
        <v>10633</v>
      </c>
      <c r="B5015" s="6" t="s">
        <v>592</v>
      </c>
      <c r="C5015" s="6" t="s">
        <v>48</v>
      </c>
      <c r="D5015" s="6" t="s">
        <v>10634</v>
      </c>
      <c r="E5015" s="6" t="s">
        <v>1336</v>
      </c>
      <c r="F5015" s="6" t="s">
        <v>103</v>
      </c>
      <c r="G5015" s="7">
        <v>0.86</v>
      </c>
      <c r="H5015" s="6" t="s">
        <v>245</v>
      </c>
      <c r="I5015" s="6" t="s">
        <v>20</v>
      </c>
      <c r="J5015" s="6">
        <v>1995.0</v>
      </c>
      <c r="L5015" s="6">
        <v>1.0</v>
      </c>
      <c r="M5015" s="8">
        <f t="shared" si="5"/>
        <v>0.86</v>
      </c>
      <c r="P5015" s="9"/>
    </row>
    <row r="5016">
      <c r="A5016" s="6" t="s">
        <v>10635</v>
      </c>
      <c r="B5016" s="6" t="s">
        <v>372</v>
      </c>
      <c r="C5016" s="6" t="s">
        <v>23</v>
      </c>
      <c r="D5016" s="6" t="s">
        <v>10636</v>
      </c>
      <c r="E5016" s="6" t="s">
        <v>248</v>
      </c>
      <c r="F5016" s="6" t="s">
        <v>18</v>
      </c>
      <c r="G5016" s="7">
        <v>0.14</v>
      </c>
      <c r="H5016" s="6" t="s">
        <v>113</v>
      </c>
      <c r="I5016" s="6" t="s">
        <v>20</v>
      </c>
      <c r="J5016" s="6">
        <v>2024.0</v>
      </c>
      <c r="L5016" s="6">
        <v>1.0</v>
      </c>
      <c r="M5016" s="8">
        <f t="shared" si="5"/>
        <v>0.14</v>
      </c>
      <c r="P5016" s="9"/>
    </row>
    <row r="5017">
      <c r="A5017" s="6" t="s">
        <v>10637</v>
      </c>
      <c r="B5017" s="6" t="s">
        <v>326</v>
      </c>
      <c r="C5017" s="6" t="s">
        <v>23</v>
      </c>
      <c r="D5017" s="6" t="s">
        <v>10638</v>
      </c>
      <c r="E5017" s="6" t="s">
        <v>721</v>
      </c>
      <c r="F5017" s="6" t="s">
        <v>51</v>
      </c>
      <c r="G5017" s="7">
        <v>0.05</v>
      </c>
      <c r="H5017" s="6" t="s">
        <v>1361</v>
      </c>
      <c r="I5017" s="6" t="s">
        <v>20</v>
      </c>
      <c r="J5017" s="6">
        <v>2008.0</v>
      </c>
      <c r="K5017" s="10">
        <v>46145.0</v>
      </c>
      <c r="L5017" s="6">
        <v>2.0</v>
      </c>
      <c r="M5017" s="8">
        <f t="shared" si="5"/>
        <v>0.1</v>
      </c>
      <c r="P5017" s="9"/>
    </row>
    <row r="5018">
      <c r="A5018" s="6" t="s">
        <v>10639</v>
      </c>
      <c r="B5018" s="6" t="s">
        <v>10640</v>
      </c>
      <c r="C5018" s="6" t="s">
        <v>48</v>
      </c>
      <c r="D5018" s="6" t="s">
        <v>10641</v>
      </c>
      <c r="E5018" s="6" t="s">
        <v>235</v>
      </c>
      <c r="F5018" s="6" t="s">
        <v>103</v>
      </c>
      <c r="G5018" s="7">
        <v>0.09</v>
      </c>
      <c r="H5018" s="6" t="s">
        <v>45</v>
      </c>
      <c r="I5018" s="6" t="s">
        <v>20</v>
      </c>
      <c r="J5018" s="6">
        <v>2025.0</v>
      </c>
      <c r="K5018" s="10">
        <v>46055.0</v>
      </c>
      <c r="L5018" s="6">
        <v>1.0</v>
      </c>
      <c r="M5018" s="8">
        <f t="shared" si="5"/>
        <v>0.09</v>
      </c>
      <c r="P5018" s="9"/>
    </row>
    <row r="5019">
      <c r="A5019" s="6" t="s">
        <v>10642</v>
      </c>
      <c r="B5019" s="6" t="s">
        <v>10214</v>
      </c>
      <c r="C5019" s="6" t="s">
        <v>41</v>
      </c>
      <c r="D5019" s="6" t="s">
        <v>10643</v>
      </c>
      <c r="E5019" s="6" t="s">
        <v>238</v>
      </c>
      <c r="F5019" s="6" t="s">
        <v>159</v>
      </c>
      <c r="G5019" s="7">
        <v>0.65</v>
      </c>
      <c r="H5019" s="6" t="s">
        <v>1494</v>
      </c>
      <c r="I5019" s="6" t="s">
        <v>20</v>
      </c>
      <c r="J5019" s="6">
        <v>2012.0</v>
      </c>
      <c r="K5019" s="10">
        <v>46023.0</v>
      </c>
      <c r="L5019" s="6">
        <v>1.0</v>
      </c>
      <c r="M5019" s="8">
        <f t="shared" si="5"/>
        <v>0.65</v>
      </c>
      <c r="P5019" s="9"/>
    </row>
    <row r="5020">
      <c r="A5020" s="6" t="s">
        <v>10644</v>
      </c>
      <c r="B5020" s="6" t="s">
        <v>543</v>
      </c>
      <c r="C5020" s="6" t="s">
        <v>41</v>
      </c>
      <c r="D5020" s="6" t="s">
        <v>10645</v>
      </c>
      <c r="E5020" s="6" t="s">
        <v>2288</v>
      </c>
      <c r="F5020" s="6" t="s">
        <v>51</v>
      </c>
      <c r="G5020" s="7">
        <v>28.5</v>
      </c>
      <c r="H5020" s="6" t="s">
        <v>26</v>
      </c>
      <c r="I5020" s="6" t="s">
        <v>20</v>
      </c>
      <c r="J5020" s="6">
        <v>2026.0</v>
      </c>
      <c r="L5020" s="6">
        <v>1.0</v>
      </c>
      <c r="M5020" s="8">
        <f t="shared" si="5"/>
        <v>28.5</v>
      </c>
      <c r="P5020" s="9"/>
    </row>
    <row r="5021">
      <c r="A5021" s="6" t="s">
        <v>10646</v>
      </c>
      <c r="B5021" s="6" t="s">
        <v>1907</v>
      </c>
      <c r="C5021" s="6" t="s">
        <v>23</v>
      </c>
      <c r="D5021" s="6" t="s">
        <v>10647</v>
      </c>
      <c r="E5021" s="6" t="s">
        <v>270</v>
      </c>
      <c r="F5021" s="6" t="s">
        <v>159</v>
      </c>
      <c r="G5021" s="7">
        <v>2.5</v>
      </c>
      <c r="H5021" s="6" t="s">
        <v>7279</v>
      </c>
      <c r="I5021" s="6" t="s">
        <v>20</v>
      </c>
      <c r="J5021" s="6">
        <v>2014.0</v>
      </c>
      <c r="K5021" s="10">
        <v>46023.0</v>
      </c>
      <c r="L5021" s="6">
        <v>1.0</v>
      </c>
      <c r="M5021" s="8">
        <f t="shared" si="5"/>
        <v>2.5</v>
      </c>
      <c r="P5021" s="9"/>
    </row>
    <row r="5022">
      <c r="A5022" s="6" t="s">
        <v>10648</v>
      </c>
      <c r="B5022" s="6" t="s">
        <v>326</v>
      </c>
      <c r="C5022" s="6" t="s">
        <v>48</v>
      </c>
      <c r="D5022" s="6" t="s">
        <v>10649</v>
      </c>
      <c r="E5022" s="6" t="s">
        <v>158</v>
      </c>
      <c r="F5022" s="6" t="s">
        <v>159</v>
      </c>
      <c r="G5022" s="7">
        <v>0.05</v>
      </c>
      <c r="H5022" s="6" t="s">
        <v>154</v>
      </c>
      <c r="I5022" s="6" t="s">
        <v>20</v>
      </c>
      <c r="J5022" s="6">
        <v>2013.0</v>
      </c>
      <c r="K5022" s="10">
        <v>46116.0</v>
      </c>
      <c r="L5022" s="6">
        <v>1.0</v>
      </c>
      <c r="M5022" s="8">
        <f t="shared" si="5"/>
        <v>0.05</v>
      </c>
      <c r="P5022" s="9"/>
    </row>
    <row r="5023">
      <c r="A5023" s="6" t="s">
        <v>10650</v>
      </c>
      <c r="B5023" s="6" t="s">
        <v>850</v>
      </c>
      <c r="C5023" s="6" t="s">
        <v>15</v>
      </c>
      <c r="D5023" s="6" t="s">
        <v>10651</v>
      </c>
      <c r="E5023" s="6" t="s">
        <v>279</v>
      </c>
      <c r="F5023" s="6" t="s">
        <v>51</v>
      </c>
      <c r="G5023" s="7">
        <v>0.98</v>
      </c>
      <c r="H5023" s="6" t="s">
        <v>2326</v>
      </c>
      <c r="I5023" s="6" t="s">
        <v>20</v>
      </c>
      <c r="J5023" s="6">
        <v>2026.0</v>
      </c>
      <c r="L5023" s="6">
        <v>2.0</v>
      </c>
      <c r="M5023" s="8">
        <f t="shared" si="5"/>
        <v>1.96</v>
      </c>
      <c r="P5023" s="9"/>
    </row>
    <row r="5024">
      <c r="A5024" s="6" t="s">
        <v>10652</v>
      </c>
      <c r="B5024" s="6" t="s">
        <v>307</v>
      </c>
      <c r="C5024" s="6" t="s">
        <v>48</v>
      </c>
      <c r="D5024" s="6" t="s">
        <v>10653</v>
      </c>
      <c r="E5024" s="6" t="s">
        <v>303</v>
      </c>
      <c r="F5024" s="6" t="s">
        <v>37</v>
      </c>
      <c r="G5024" s="7">
        <v>0.1</v>
      </c>
      <c r="H5024" s="6" t="s">
        <v>119</v>
      </c>
      <c r="I5024" s="6" t="s">
        <v>20</v>
      </c>
      <c r="J5024" s="6">
        <v>1995.0</v>
      </c>
      <c r="L5024" s="6">
        <v>1.0</v>
      </c>
      <c r="M5024" s="8">
        <f t="shared" si="5"/>
        <v>0.1</v>
      </c>
      <c r="P5024" s="9"/>
    </row>
    <row r="5025">
      <c r="A5025" s="6" t="s">
        <v>10652</v>
      </c>
      <c r="B5025" s="6" t="s">
        <v>307</v>
      </c>
      <c r="C5025" s="6" t="s">
        <v>48</v>
      </c>
      <c r="D5025" s="6" t="s">
        <v>10653</v>
      </c>
      <c r="E5025" s="6" t="s">
        <v>303</v>
      </c>
      <c r="F5025" s="6" t="s">
        <v>37</v>
      </c>
      <c r="G5025" s="7">
        <v>0.43</v>
      </c>
      <c r="H5025" s="6" t="s">
        <v>120</v>
      </c>
      <c r="I5025" s="6" t="s">
        <v>20</v>
      </c>
      <c r="J5025" s="6">
        <v>1995.0</v>
      </c>
      <c r="L5025" s="6">
        <v>1.0</v>
      </c>
      <c r="M5025" s="8">
        <f t="shared" si="5"/>
        <v>0.43</v>
      </c>
      <c r="P5025" s="9"/>
    </row>
    <row r="5026">
      <c r="A5026" s="6" t="s">
        <v>10654</v>
      </c>
      <c r="B5026" s="6" t="s">
        <v>2391</v>
      </c>
      <c r="C5026" s="6" t="s">
        <v>23</v>
      </c>
      <c r="D5026" s="6" t="s">
        <v>10655</v>
      </c>
      <c r="E5026" s="6" t="s">
        <v>298</v>
      </c>
      <c r="F5026" s="6" t="s">
        <v>159</v>
      </c>
      <c r="G5026" s="7">
        <v>0.05</v>
      </c>
      <c r="H5026" s="6" t="s">
        <v>491</v>
      </c>
      <c r="I5026" s="6" t="s">
        <v>20</v>
      </c>
      <c r="J5026" s="6">
        <v>2011.0</v>
      </c>
      <c r="K5026" s="10">
        <v>46083.0</v>
      </c>
      <c r="L5026" s="6">
        <v>5.0</v>
      </c>
      <c r="M5026" s="8">
        <f t="shared" si="5"/>
        <v>0.25</v>
      </c>
      <c r="P5026" s="9"/>
    </row>
    <row r="5027">
      <c r="A5027" s="6" t="s">
        <v>10656</v>
      </c>
      <c r="B5027" s="6" t="s">
        <v>543</v>
      </c>
      <c r="C5027" s="6" t="s">
        <v>23</v>
      </c>
      <c r="D5027" s="6" t="s">
        <v>10657</v>
      </c>
      <c r="E5027" s="6" t="s">
        <v>3535</v>
      </c>
      <c r="F5027" s="6" t="s">
        <v>103</v>
      </c>
      <c r="G5027" s="7">
        <v>0.06</v>
      </c>
      <c r="H5027" s="6" t="s">
        <v>109</v>
      </c>
      <c r="I5027" s="6" t="s">
        <v>20</v>
      </c>
      <c r="J5027" s="6">
        <v>1995.0</v>
      </c>
      <c r="L5027" s="6">
        <v>2.0</v>
      </c>
      <c r="M5027" s="8">
        <f t="shared" si="5"/>
        <v>0.12</v>
      </c>
      <c r="P5027" s="9"/>
    </row>
    <row r="5028">
      <c r="A5028" s="6" t="s">
        <v>10656</v>
      </c>
      <c r="B5028" s="6" t="s">
        <v>543</v>
      </c>
      <c r="C5028" s="6" t="s">
        <v>23</v>
      </c>
      <c r="D5028" s="6" t="s">
        <v>10657</v>
      </c>
      <c r="E5028" s="6" t="s">
        <v>3535</v>
      </c>
      <c r="F5028" s="6" t="s">
        <v>103</v>
      </c>
      <c r="G5028" s="7">
        <v>0.08</v>
      </c>
      <c r="H5028" s="6" t="s">
        <v>1382</v>
      </c>
      <c r="I5028" s="6" t="s">
        <v>20</v>
      </c>
      <c r="J5028" s="6">
        <v>1995.0</v>
      </c>
      <c r="L5028" s="6">
        <v>3.0</v>
      </c>
      <c r="M5028" s="8">
        <f t="shared" si="5"/>
        <v>0.24</v>
      </c>
      <c r="P5028" s="9"/>
    </row>
    <row r="5029">
      <c r="A5029" s="6" t="s">
        <v>10658</v>
      </c>
      <c r="B5029" s="6" t="s">
        <v>194</v>
      </c>
      <c r="C5029" s="6" t="s">
        <v>48</v>
      </c>
      <c r="D5029" s="6" t="s">
        <v>10659</v>
      </c>
      <c r="E5029" s="6" t="s">
        <v>112</v>
      </c>
      <c r="F5029" s="6" t="s">
        <v>65</v>
      </c>
      <c r="G5029" s="7">
        <v>0.16</v>
      </c>
      <c r="H5029" s="6" t="s">
        <v>245</v>
      </c>
      <c r="I5029" s="6" t="s">
        <v>20</v>
      </c>
      <c r="J5029" s="6">
        <v>1995.0</v>
      </c>
      <c r="L5029" s="6">
        <v>1.0</v>
      </c>
      <c r="M5029" s="8">
        <f t="shared" si="5"/>
        <v>0.16</v>
      </c>
      <c r="P5029" s="9"/>
    </row>
    <row r="5030">
      <c r="A5030" s="6" t="s">
        <v>10660</v>
      </c>
      <c r="B5030" s="6" t="s">
        <v>250</v>
      </c>
      <c r="C5030" s="6" t="s">
        <v>34</v>
      </c>
      <c r="D5030" s="6" t="s">
        <v>10661</v>
      </c>
      <c r="E5030" s="6">
        <v>1.0</v>
      </c>
      <c r="F5030" s="6" t="s">
        <v>37</v>
      </c>
      <c r="G5030" s="7">
        <v>0.05</v>
      </c>
      <c r="H5030" s="6" t="s">
        <v>10662</v>
      </c>
      <c r="I5030" s="6" t="s">
        <v>20</v>
      </c>
      <c r="J5030" s="6">
        <v>2025.0</v>
      </c>
      <c r="L5030" s="6">
        <v>8.0</v>
      </c>
      <c r="M5030" s="8">
        <f t="shared" si="5"/>
        <v>0.4</v>
      </c>
      <c r="P5030" s="9"/>
    </row>
    <row r="5031">
      <c r="A5031" s="6" t="s">
        <v>10660</v>
      </c>
      <c r="B5031" s="6" t="s">
        <v>250</v>
      </c>
      <c r="C5031" s="6" t="s">
        <v>34</v>
      </c>
      <c r="D5031" s="6" t="s">
        <v>10661</v>
      </c>
      <c r="E5031" s="6">
        <v>1.0</v>
      </c>
      <c r="F5031" s="6" t="s">
        <v>37</v>
      </c>
      <c r="G5031" s="7">
        <v>1.0</v>
      </c>
      <c r="H5031" s="6" t="s">
        <v>10662</v>
      </c>
      <c r="I5031" s="6" t="s">
        <v>55</v>
      </c>
      <c r="J5031" s="6">
        <v>2025.0</v>
      </c>
      <c r="L5031" s="6">
        <v>2.0</v>
      </c>
      <c r="M5031" s="8">
        <f t="shared" si="5"/>
        <v>2</v>
      </c>
      <c r="P5031" s="9"/>
    </row>
    <row r="5032">
      <c r="A5032" s="6" t="s">
        <v>10663</v>
      </c>
      <c r="B5032" s="6" t="s">
        <v>326</v>
      </c>
      <c r="C5032" s="6" t="s">
        <v>48</v>
      </c>
      <c r="D5032" s="6" t="s">
        <v>10664</v>
      </c>
      <c r="E5032" s="6" t="s">
        <v>10665</v>
      </c>
      <c r="F5032" s="6" t="s">
        <v>874</v>
      </c>
      <c r="G5032" s="7">
        <v>0.05</v>
      </c>
      <c r="H5032" s="6" t="s">
        <v>1084</v>
      </c>
      <c r="I5032" s="6" t="s">
        <v>20</v>
      </c>
      <c r="J5032" s="6">
        <v>2018.0</v>
      </c>
      <c r="K5032" s="6" t="s">
        <v>697</v>
      </c>
      <c r="L5032" s="6">
        <v>1.0</v>
      </c>
      <c r="M5032" s="8">
        <f t="shared" si="5"/>
        <v>0.05</v>
      </c>
      <c r="P5032" s="9"/>
    </row>
    <row r="5033">
      <c r="A5033" s="6" t="s">
        <v>10666</v>
      </c>
      <c r="B5033" s="6" t="s">
        <v>10667</v>
      </c>
      <c r="C5033" s="6" t="s">
        <v>23</v>
      </c>
      <c r="D5033" s="6" t="s">
        <v>10668</v>
      </c>
      <c r="E5033" s="6" t="s">
        <v>149</v>
      </c>
      <c r="F5033" s="6" t="s">
        <v>18</v>
      </c>
      <c r="G5033" s="7">
        <v>0.06</v>
      </c>
      <c r="H5033" s="6" t="s">
        <v>3853</v>
      </c>
      <c r="I5033" s="6" t="s">
        <v>20</v>
      </c>
      <c r="J5033" s="6">
        <v>2002.0</v>
      </c>
      <c r="K5033" s="10">
        <v>46055.0</v>
      </c>
      <c r="L5033" s="6">
        <v>1.0</v>
      </c>
      <c r="M5033" s="8">
        <f t="shared" si="5"/>
        <v>0.06</v>
      </c>
      <c r="P5033" s="9"/>
    </row>
    <row r="5034">
      <c r="A5034" s="6" t="s">
        <v>10669</v>
      </c>
      <c r="B5034" s="6" t="s">
        <v>10670</v>
      </c>
      <c r="C5034" s="6" t="s">
        <v>48</v>
      </c>
      <c r="D5034" s="6" t="s">
        <v>10671</v>
      </c>
      <c r="E5034" s="6" t="s">
        <v>25</v>
      </c>
      <c r="F5034" s="6" t="s">
        <v>18</v>
      </c>
      <c r="G5034" s="7">
        <v>0.06</v>
      </c>
      <c r="H5034" s="6" t="s">
        <v>3853</v>
      </c>
      <c r="I5034" s="6" t="s">
        <v>20</v>
      </c>
      <c r="J5034" s="6">
        <v>2002.0</v>
      </c>
      <c r="K5034" s="10">
        <v>46114.0</v>
      </c>
      <c r="L5034" s="6">
        <v>1.0</v>
      </c>
      <c r="M5034" s="8">
        <f t="shared" si="5"/>
        <v>0.06</v>
      </c>
      <c r="P5034" s="9"/>
    </row>
    <row r="5035">
      <c r="A5035" s="6" t="s">
        <v>10672</v>
      </c>
      <c r="B5035" s="6" t="s">
        <v>202</v>
      </c>
      <c r="C5035" s="6" t="s">
        <v>41</v>
      </c>
      <c r="D5035" s="6" t="s">
        <v>10673</v>
      </c>
      <c r="E5035" s="6" t="s">
        <v>50</v>
      </c>
      <c r="F5035" s="6" t="s">
        <v>51</v>
      </c>
      <c r="G5035" s="7">
        <v>1.19</v>
      </c>
      <c r="H5035" s="6" t="s">
        <v>10674</v>
      </c>
      <c r="I5035" s="6" t="s">
        <v>20</v>
      </c>
      <c r="J5035" s="6">
        <v>2019.0</v>
      </c>
      <c r="L5035" s="6">
        <v>1.0</v>
      </c>
      <c r="M5035" s="8">
        <f t="shared" si="5"/>
        <v>1.19</v>
      </c>
      <c r="P5035" s="9"/>
    </row>
    <row r="5036">
      <c r="A5036" s="6" t="s">
        <v>10675</v>
      </c>
      <c r="B5036" s="6" t="s">
        <v>139</v>
      </c>
      <c r="C5036" s="6" t="s">
        <v>41</v>
      </c>
      <c r="D5036" s="6" t="s">
        <v>10676</v>
      </c>
      <c r="E5036" s="6" t="s">
        <v>118</v>
      </c>
      <c r="F5036" s="6" t="s">
        <v>51</v>
      </c>
      <c r="G5036" s="7">
        <v>0.4</v>
      </c>
      <c r="H5036" s="6" t="s">
        <v>141</v>
      </c>
      <c r="I5036" s="6" t="s">
        <v>20</v>
      </c>
      <c r="J5036" s="6">
        <v>2019.0</v>
      </c>
      <c r="K5036" s="10">
        <v>46055.0</v>
      </c>
      <c r="L5036" s="6">
        <v>1.0</v>
      </c>
      <c r="M5036" s="8">
        <f t="shared" si="5"/>
        <v>0.4</v>
      </c>
      <c r="P5036" s="9"/>
    </row>
    <row r="5037">
      <c r="A5037" s="6" t="s">
        <v>10675</v>
      </c>
      <c r="B5037" s="6" t="s">
        <v>139</v>
      </c>
      <c r="C5037" s="6" t="s">
        <v>41</v>
      </c>
      <c r="D5037" s="6" t="s">
        <v>10676</v>
      </c>
      <c r="E5037" s="6" t="s">
        <v>118</v>
      </c>
      <c r="F5037" s="6" t="s">
        <v>51</v>
      </c>
      <c r="G5037" s="7">
        <v>0.7</v>
      </c>
      <c r="H5037" s="6" t="s">
        <v>141</v>
      </c>
      <c r="I5037" s="6" t="s">
        <v>55</v>
      </c>
      <c r="J5037" s="6">
        <v>2019.0</v>
      </c>
      <c r="K5037" s="10">
        <v>46055.0</v>
      </c>
      <c r="L5037" s="6">
        <v>1.0</v>
      </c>
      <c r="M5037" s="8">
        <f t="shared" si="5"/>
        <v>0.7</v>
      </c>
      <c r="P5037" s="9"/>
    </row>
    <row r="5038">
      <c r="A5038" s="6" t="s">
        <v>10677</v>
      </c>
      <c r="B5038" s="6" t="s">
        <v>1577</v>
      </c>
      <c r="C5038" s="6" t="s">
        <v>23</v>
      </c>
      <c r="D5038" s="6" t="s">
        <v>10678</v>
      </c>
      <c r="E5038" s="6" t="s">
        <v>625</v>
      </c>
      <c r="F5038" s="6" t="s">
        <v>37</v>
      </c>
      <c r="G5038" s="7">
        <v>0.2</v>
      </c>
      <c r="H5038" s="6" t="s">
        <v>324</v>
      </c>
      <c r="I5038" s="6" t="s">
        <v>55</v>
      </c>
      <c r="J5038" s="6">
        <v>2025.0</v>
      </c>
      <c r="K5038" s="10">
        <v>46115.0</v>
      </c>
      <c r="L5038" s="6">
        <v>1.0</v>
      </c>
      <c r="M5038" s="8">
        <f t="shared" si="5"/>
        <v>0.2</v>
      </c>
      <c r="P5038" s="9"/>
    </row>
    <row r="5039">
      <c r="A5039" s="6" t="s">
        <v>10679</v>
      </c>
      <c r="B5039" s="6" t="s">
        <v>10680</v>
      </c>
      <c r="C5039" s="6" t="s">
        <v>48</v>
      </c>
      <c r="D5039" s="6" t="s">
        <v>10681</v>
      </c>
      <c r="E5039" s="6" t="s">
        <v>175</v>
      </c>
      <c r="F5039" s="6" t="s">
        <v>51</v>
      </c>
      <c r="G5039" s="7">
        <v>0.09</v>
      </c>
      <c r="H5039" s="6" t="s">
        <v>346</v>
      </c>
      <c r="I5039" s="6" t="s">
        <v>20</v>
      </c>
      <c r="J5039" s="6">
        <v>2024.0</v>
      </c>
      <c r="L5039" s="6">
        <v>1.0</v>
      </c>
      <c r="M5039" s="8">
        <f t="shared" si="5"/>
        <v>0.09</v>
      </c>
      <c r="P5039" s="9"/>
    </row>
    <row r="5040">
      <c r="A5040" s="6" t="s">
        <v>10682</v>
      </c>
      <c r="B5040" s="6" t="s">
        <v>10683</v>
      </c>
      <c r="C5040" s="6" t="s">
        <v>23</v>
      </c>
      <c r="D5040" s="6" t="s">
        <v>10684</v>
      </c>
      <c r="E5040" s="6" t="s">
        <v>102</v>
      </c>
      <c r="F5040" s="6" t="s">
        <v>103</v>
      </c>
      <c r="G5040" s="7">
        <v>0.03</v>
      </c>
      <c r="H5040" s="6" t="s">
        <v>265</v>
      </c>
      <c r="I5040" s="6" t="s">
        <v>20</v>
      </c>
      <c r="J5040" s="6">
        <v>2017.0</v>
      </c>
      <c r="K5040" s="10">
        <v>46024.0</v>
      </c>
      <c r="L5040" s="6">
        <v>1.0</v>
      </c>
      <c r="M5040" s="8">
        <f t="shared" si="5"/>
        <v>0.03</v>
      </c>
      <c r="P5040" s="9"/>
    </row>
    <row r="5041">
      <c r="A5041" s="6" t="s">
        <v>10685</v>
      </c>
      <c r="B5041" s="6" t="s">
        <v>218</v>
      </c>
      <c r="C5041" s="6" t="s">
        <v>23</v>
      </c>
      <c r="D5041" s="6" t="s">
        <v>10686</v>
      </c>
      <c r="E5041" s="6" t="s">
        <v>149</v>
      </c>
      <c r="F5041" s="6" t="s">
        <v>18</v>
      </c>
      <c r="G5041" s="7">
        <v>0.07</v>
      </c>
      <c r="H5041" s="6" t="s">
        <v>114</v>
      </c>
      <c r="I5041" s="6" t="s">
        <v>20</v>
      </c>
      <c r="J5041" s="6">
        <v>2021.0</v>
      </c>
      <c r="K5041" s="10">
        <v>46024.0</v>
      </c>
      <c r="L5041" s="6">
        <v>4.0</v>
      </c>
      <c r="M5041" s="8">
        <f t="shared" si="5"/>
        <v>0.28</v>
      </c>
      <c r="P5041" s="9"/>
    </row>
    <row r="5042">
      <c r="A5042" s="6" t="s">
        <v>10687</v>
      </c>
      <c r="B5042" s="6" t="s">
        <v>10688</v>
      </c>
      <c r="C5042" s="6" t="s">
        <v>23</v>
      </c>
      <c r="D5042" s="6" t="s">
        <v>10689</v>
      </c>
      <c r="E5042" s="6" t="s">
        <v>2695</v>
      </c>
      <c r="F5042" s="6" t="s">
        <v>103</v>
      </c>
      <c r="G5042" s="7">
        <v>0.16</v>
      </c>
      <c r="H5042" s="6" t="s">
        <v>136</v>
      </c>
      <c r="I5042" s="6" t="s">
        <v>20</v>
      </c>
      <c r="J5042" s="6">
        <v>2022.0</v>
      </c>
      <c r="K5042" s="10">
        <v>46147.0</v>
      </c>
      <c r="L5042" s="6">
        <v>1.0</v>
      </c>
      <c r="M5042" s="8">
        <f t="shared" si="5"/>
        <v>0.16</v>
      </c>
      <c r="P5042" s="9"/>
    </row>
    <row r="5043">
      <c r="A5043" s="6" t="s">
        <v>10690</v>
      </c>
      <c r="B5043" s="6" t="s">
        <v>10691</v>
      </c>
      <c r="C5043" s="6" t="s">
        <v>48</v>
      </c>
      <c r="D5043" s="6" t="s">
        <v>10692</v>
      </c>
      <c r="E5043" s="6" t="s">
        <v>298</v>
      </c>
      <c r="F5043" s="6" t="s">
        <v>159</v>
      </c>
      <c r="G5043" s="7">
        <v>0.1</v>
      </c>
      <c r="H5043" s="6" t="s">
        <v>509</v>
      </c>
      <c r="I5043" s="6" t="s">
        <v>20</v>
      </c>
      <c r="J5043" s="6">
        <v>2024.0</v>
      </c>
      <c r="K5043" s="10">
        <v>46179.0</v>
      </c>
      <c r="L5043" s="6">
        <v>1.0</v>
      </c>
      <c r="M5043" s="8">
        <f t="shared" si="5"/>
        <v>0.1</v>
      </c>
      <c r="P5043" s="9"/>
    </row>
    <row r="5044">
      <c r="A5044" s="6" t="s">
        <v>10693</v>
      </c>
      <c r="B5044" s="6" t="s">
        <v>307</v>
      </c>
      <c r="C5044" s="6" t="s">
        <v>48</v>
      </c>
      <c r="D5044" s="6" t="s">
        <v>10694</v>
      </c>
      <c r="E5044" s="6" t="s">
        <v>36</v>
      </c>
      <c r="F5044" s="6" t="s">
        <v>37</v>
      </c>
      <c r="G5044" s="7">
        <v>0.09</v>
      </c>
      <c r="H5044" s="6" t="s">
        <v>294</v>
      </c>
      <c r="I5044" s="6" t="s">
        <v>20</v>
      </c>
      <c r="J5044" s="6">
        <v>2010.0</v>
      </c>
      <c r="L5044" s="6">
        <v>1.0</v>
      </c>
      <c r="M5044" s="8">
        <f t="shared" si="5"/>
        <v>0.09</v>
      </c>
      <c r="P5044" s="9"/>
    </row>
    <row r="5045">
      <c r="A5045" s="6" t="s">
        <v>10695</v>
      </c>
      <c r="B5045" s="6" t="s">
        <v>10696</v>
      </c>
      <c r="C5045" s="6" t="s">
        <v>521</v>
      </c>
      <c r="D5045" s="6" t="s">
        <v>10697</v>
      </c>
      <c r="E5045" s="6" t="s">
        <v>36</v>
      </c>
      <c r="F5045" s="6" t="s">
        <v>452</v>
      </c>
      <c r="G5045" s="7">
        <v>0.07</v>
      </c>
      <c r="H5045" s="6" t="s">
        <v>2043</v>
      </c>
      <c r="I5045" s="6" t="s">
        <v>20</v>
      </c>
      <c r="J5045" s="6">
        <v>2025.0</v>
      </c>
      <c r="K5045" s="10">
        <v>46055.0</v>
      </c>
      <c r="L5045" s="6">
        <v>1.0</v>
      </c>
      <c r="M5045" s="8">
        <f t="shared" si="5"/>
        <v>0.07</v>
      </c>
      <c r="P5045" s="9"/>
    </row>
    <row r="5046">
      <c r="A5046" s="6" t="s">
        <v>10698</v>
      </c>
      <c r="B5046" s="6" t="s">
        <v>3378</v>
      </c>
      <c r="C5046" s="6" t="s">
        <v>34</v>
      </c>
      <c r="D5046" s="6" t="s">
        <v>10699</v>
      </c>
      <c r="E5046" s="6" t="s">
        <v>36</v>
      </c>
      <c r="F5046" s="6" t="s">
        <v>37</v>
      </c>
      <c r="G5046" s="7">
        <v>0.07</v>
      </c>
      <c r="H5046" s="6" t="s">
        <v>1043</v>
      </c>
      <c r="I5046" s="6" t="s">
        <v>20</v>
      </c>
      <c r="J5046" s="6">
        <v>2025.0</v>
      </c>
      <c r="K5046" s="10">
        <v>46055.0</v>
      </c>
      <c r="L5046" s="6">
        <v>1.0</v>
      </c>
      <c r="M5046" s="8">
        <f t="shared" si="5"/>
        <v>0.07</v>
      </c>
      <c r="P5046" s="9"/>
    </row>
    <row r="5047">
      <c r="A5047" s="6" t="s">
        <v>10700</v>
      </c>
      <c r="B5047" s="6" t="s">
        <v>10701</v>
      </c>
      <c r="C5047" s="6" t="s">
        <v>449</v>
      </c>
      <c r="D5047" s="6" t="s">
        <v>10702</v>
      </c>
      <c r="E5047" s="6" t="s">
        <v>1336</v>
      </c>
      <c r="F5047" s="6" t="s">
        <v>103</v>
      </c>
      <c r="G5047" s="7">
        <v>0.71</v>
      </c>
      <c r="H5047" s="6" t="s">
        <v>488</v>
      </c>
      <c r="I5047" s="6" t="s">
        <v>20</v>
      </c>
      <c r="J5047" s="6">
        <v>2025.0</v>
      </c>
      <c r="K5047" s="10">
        <v>46083.0</v>
      </c>
      <c r="L5047" s="6">
        <v>1.0</v>
      </c>
      <c r="M5047" s="8">
        <f t="shared" si="5"/>
        <v>0.71</v>
      </c>
      <c r="P5047" s="9"/>
    </row>
    <row r="5048">
      <c r="A5048" s="6" t="s">
        <v>10703</v>
      </c>
      <c r="B5048" s="6" t="s">
        <v>10704</v>
      </c>
      <c r="C5048" s="6" t="s">
        <v>48</v>
      </c>
      <c r="D5048" s="6" t="s">
        <v>10705</v>
      </c>
      <c r="E5048" s="6" t="s">
        <v>235</v>
      </c>
      <c r="F5048" s="6" t="s">
        <v>103</v>
      </c>
      <c r="G5048" s="7">
        <v>1.7</v>
      </c>
      <c r="H5048" s="6" t="s">
        <v>163</v>
      </c>
      <c r="I5048" s="6" t="s">
        <v>20</v>
      </c>
      <c r="J5048" s="6">
        <v>2023.0</v>
      </c>
      <c r="K5048" s="10">
        <v>46055.0</v>
      </c>
      <c r="L5048" s="6">
        <v>1.0</v>
      </c>
      <c r="M5048" s="8">
        <f t="shared" si="5"/>
        <v>1.7</v>
      </c>
      <c r="N5048" s="6" t="s">
        <v>172</v>
      </c>
      <c r="P5048" s="9"/>
    </row>
    <row r="5049">
      <c r="A5049" s="6" t="s">
        <v>10706</v>
      </c>
      <c r="B5049" s="6" t="s">
        <v>182</v>
      </c>
      <c r="C5049" s="6" t="s">
        <v>41</v>
      </c>
      <c r="D5049" s="6" t="s">
        <v>10707</v>
      </c>
      <c r="E5049" s="6" t="s">
        <v>124</v>
      </c>
      <c r="F5049" s="6" t="s">
        <v>103</v>
      </c>
      <c r="G5049" s="7">
        <v>2.0</v>
      </c>
      <c r="H5049" s="6" t="s">
        <v>299</v>
      </c>
      <c r="I5049" s="6" t="s">
        <v>20</v>
      </c>
      <c r="J5049" s="6">
        <v>2017.0</v>
      </c>
      <c r="L5049" s="6">
        <v>1.0</v>
      </c>
      <c r="M5049" s="8">
        <f t="shared" si="5"/>
        <v>2</v>
      </c>
      <c r="N5049" s="6" t="s">
        <v>172</v>
      </c>
      <c r="P5049" s="9"/>
    </row>
    <row r="5050">
      <c r="A5050" s="6" t="s">
        <v>10708</v>
      </c>
      <c r="B5050" s="6" t="s">
        <v>10709</v>
      </c>
      <c r="C5050" s="6" t="s">
        <v>48</v>
      </c>
      <c r="E5050" s="6" t="s">
        <v>611</v>
      </c>
      <c r="F5050" s="6" t="s">
        <v>103</v>
      </c>
      <c r="G5050" s="7">
        <v>0.15</v>
      </c>
      <c r="H5050" s="6" t="s">
        <v>163</v>
      </c>
      <c r="I5050" s="6" t="s">
        <v>20</v>
      </c>
      <c r="J5050" s="6">
        <v>2023.0</v>
      </c>
      <c r="K5050" s="10">
        <v>46090.0</v>
      </c>
      <c r="L5050" s="6">
        <v>1.0</v>
      </c>
      <c r="M5050" s="8">
        <f t="shared" si="5"/>
        <v>0.15</v>
      </c>
      <c r="P5050" s="9"/>
    </row>
    <row r="5051">
      <c r="A5051" s="6" t="s">
        <v>10708</v>
      </c>
      <c r="B5051" s="6" t="s">
        <v>10709</v>
      </c>
      <c r="C5051" s="6" t="s">
        <v>48</v>
      </c>
      <c r="E5051" s="6" t="s">
        <v>611</v>
      </c>
      <c r="F5051" s="6" t="s">
        <v>103</v>
      </c>
      <c r="G5051" s="7">
        <v>0.02</v>
      </c>
      <c r="H5051" s="6" t="s">
        <v>3810</v>
      </c>
      <c r="I5051" s="6" t="s">
        <v>55</v>
      </c>
      <c r="J5051" s="6">
        <v>2023.0</v>
      </c>
      <c r="K5051" s="10">
        <v>46090.0</v>
      </c>
      <c r="L5051" s="6">
        <v>1.0</v>
      </c>
      <c r="M5051" s="8">
        <f t="shared" si="5"/>
        <v>0.02</v>
      </c>
      <c r="P5051" s="9"/>
    </row>
    <row r="5052">
      <c r="A5052" s="6" t="s">
        <v>10710</v>
      </c>
      <c r="B5052" s="6" t="s">
        <v>871</v>
      </c>
      <c r="C5052" s="6" t="s">
        <v>48</v>
      </c>
      <c r="D5052" s="6" t="s">
        <v>10711</v>
      </c>
      <c r="E5052" s="6" t="s">
        <v>3477</v>
      </c>
      <c r="F5052" s="6" t="s">
        <v>159</v>
      </c>
      <c r="G5052" s="7">
        <v>0.17</v>
      </c>
      <c r="H5052" s="6" t="s">
        <v>171</v>
      </c>
      <c r="I5052" s="6" t="s">
        <v>20</v>
      </c>
      <c r="J5052" s="6">
        <v>2021.0</v>
      </c>
      <c r="K5052" s="10">
        <v>46024.0</v>
      </c>
      <c r="L5052" s="6">
        <v>1.0</v>
      </c>
      <c r="M5052" s="8">
        <f t="shared" si="5"/>
        <v>0.17</v>
      </c>
      <c r="P5052" s="9"/>
    </row>
    <row r="5053">
      <c r="A5053" s="6" t="s">
        <v>10712</v>
      </c>
      <c r="B5053" s="6" t="s">
        <v>10530</v>
      </c>
      <c r="C5053" s="6" t="s">
        <v>48</v>
      </c>
      <c r="D5053" s="6" t="s">
        <v>10713</v>
      </c>
      <c r="E5053" s="6" t="s">
        <v>223</v>
      </c>
      <c r="F5053" s="6" t="s">
        <v>159</v>
      </c>
      <c r="G5053" s="7">
        <v>0.08</v>
      </c>
      <c r="H5053" s="6" t="s">
        <v>136</v>
      </c>
      <c r="I5053" s="6" t="s">
        <v>20</v>
      </c>
      <c r="J5053" s="6">
        <v>2022.0</v>
      </c>
      <c r="K5053" s="10">
        <v>46056.0</v>
      </c>
      <c r="L5053" s="6">
        <v>1.0</v>
      </c>
      <c r="M5053" s="8">
        <f t="shared" si="5"/>
        <v>0.08</v>
      </c>
      <c r="P5053" s="9"/>
    </row>
    <row r="5054">
      <c r="A5054" s="6" t="s">
        <v>10714</v>
      </c>
      <c r="B5054" s="6" t="s">
        <v>5344</v>
      </c>
      <c r="C5054" s="6" t="s">
        <v>41</v>
      </c>
      <c r="D5054" s="6" t="s">
        <v>10715</v>
      </c>
      <c r="E5054" s="6" t="s">
        <v>611</v>
      </c>
      <c r="F5054" s="6" t="s">
        <v>103</v>
      </c>
      <c r="G5054" s="7">
        <v>1.98</v>
      </c>
      <c r="H5054" s="6" t="s">
        <v>200</v>
      </c>
      <c r="I5054" s="6" t="s">
        <v>55</v>
      </c>
      <c r="J5054" s="6">
        <v>2018.0</v>
      </c>
      <c r="L5054" s="6">
        <v>1.0</v>
      </c>
      <c r="M5054" s="8">
        <f t="shared" si="5"/>
        <v>1.98</v>
      </c>
      <c r="N5054" s="6" t="s">
        <v>172</v>
      </c>
      <c r="P5054" s="9"/>
    </row>
    <row r="5055">
      <c r="A5055" s="6" t="s">
        <v>10716</v>
      </c>
      <c r="B5055" s="6" t="s">
        <v>543</v>
      </c>
      <c r="C5055" s="6" t="s">
        <v>41</v>
      </c>
      <c r="D5055" s="6" t="s">
        <v>10717</v>
      </c>
      <c r="E5055" s="6" t="s">
        <v>235</v>
      </c>
      <c r="F5055" s="6" t="s">
        <v>103</v>
      </c>
      <c r="G5055" s="7">
        <v>495.59</v>
      </c>
      <c r="H5055" s="6" t="s">
        <v>1803</v>
      </c>
      <c r="I5055" s="6" t="s">
        <v>20</v>
      </c>
      <c r="J5055" s="6">
        <v>1998.0</v>
      </c>
      <c r="L5055" s="6">
        <v>1.0</v>
      </c>
      <c r="M5055" s="8">
        <f t="shared" si="5"/>
        <v>495.59</v>
      </c>
      <c r="N5055" s="6" t="s">
        <v>172</v>
      </c>
      <c r="P5055" s="9"/>
    </row>
    <row r="5056">
      <c r="A5056" s="6" t="s">
        <v>10718</v>
      </c>
      <c r="B5056" s="6" t="s">
        <v>2673</v>
      </c>
      <c r="C5056" s="6" t="s">
        <v>23</v>
      </c>
      <c r="D5056" s="6" t="s">
        <v>10719</v>
      </c>
      <c r="E5056" s="6" t="s">
        <v>270</v>
      </c>
      <c r="F5056" s="6" t="s">
        <v>159</v>
      </c>
      <c r="G5056" s="7">
        <v>0.03</v>
      </c>
      <c r="H5056" s="6" t="s">
        <v>701</v>
      </c>
      <c r="I5056" s="6" t="s">
        <v>20</v>
      </c>
      <c r="J5056" s="6">
        <v>2012.0</v>
      </c>
      <c r="K5056" s="10">
        <v>46055.0</v>
      </c>
      <c r="L5056" s="6">
        <v>1.0</v>
      </c>
      <c r="M5056" s="8">
        <f t="shared" si="5"/>
        <v>0.03</v>
      </c>
      <c r="P5056" s="9"/>
    </row>
    <row r="5057">
      <c r="A5057" s="6" t="s">
        <v>10718</v>
      </c>
      <c r="B5057" s="6" t="s">
        <v>2673</v>
      </c>
      <c r="C5057" s="6" t="s">
        <v>23</v>
      </c>
      <c r="D5057" s="6" t="s">
        <v>10719</v>
      </c>
      <c r="E5057" s="6" t="s">
        <v>270</v>
      </c>
      <c r="F5057" s="6" t="s">
        <v>159</v>
      </c>
      <c r="G5057" s="7">
        <v>0.06</v>
      </c>
      <c r="H5057" s="6" t="s">
        <v>184</v>
      </c>
      <c r="I5057" s="6" t="s">
        <v>20</v>
      </c>
      <c r="J5057" s="6">
        <v>2015.0</v>
      </c>
      <c r="K5057" s="10">
        <v>46055.0</v>
      </c>
      <c r="L5057" s="6">
        <v>3.0</v>
      </c>
      <c r="M5057" s="8">
        <f t="shared" si="5"/>
        <v>0.18</v>
      </c>
      <c r="P5057" s="9"/>
    </row>
    <row r="5058">
      <c r="A5058" s="6" t="s">
        <v>10718</v>
      </c>
      <c r="B5058" s="6" t="s">
        <v>2673</v>
      </c>
      <c r="C5058" s="6" t="s">
        <v>23</v>
      </c>
      <c r="D5058" s="6" t="s">
        <v>10719</v>
      </c>
      <c r="E5058" s="6" t="s">
        <v>270</v>
      </c>
      <c r="F5058" s="6" t="s">
        <v>159</v>
      </c>
      <c r="G5058" s="7">
        <v>0.05</v>
      </c>
      <c r="H5058" s="6" t="s">
        <v>184</v>
      </c>
      <c r="I5058" s="6" t="s">
        <v>20</v>
      </c>
      <c r="J5058" s="6">
        <v>2015.0</v>
      </c>
      <c r="K5058" s="10">
        <v>46055.0</v>
      </c>
      <c r="L5058" s="6">
        <v>2.0</v>
      </c>
      <c r="M5058" s="8">
        <f t="shared" si="5"/>
        <v>0.1</v>
      </c>
      <c r="P5058" s="9"/>
    </row>
    <row r="5059">
      <c r="A5059" s="6" t="s">
        <v>10720</v>
      </c>
      <c r="B5059" s="6" t="s">
        <v>57</v>
      </c>
      <c r="C5059" s="6" t="s">
        <v>23</v>
      </c>
      <c r="D5059" s="6" t="s">
        <v>10721</v>
      </c>
      <c r="E5059" s="6" t="s">
        <v>175</v>
      </c>
      <c r="F5059" s="6" t="s">
        <v>51</v>
      </c>
      <c r="G5059" s="7">
        <v>0.06</v>
      </c>
      <c r="H5059" s="6" t="s">
        <v>45</v>
      </c>
      <c r="I5059" s="6" t="s">
        <v>20</v>
      </c>
      <c r="J5059" s="6">
        <v>2025.0</v>
      </c>
      <c r="L5059" s="6">
        <v>1.0</v>
      </c>
      <c r="M5059" s="8">
        <f t="shared" si="5"/>
        <v>0.06</v>
      </c>
      <c r="P5059" s="9"/>
    </row>
    <row r="5060">
      <c r="A5060" s="6" t="s">
        <v>10720</v>
      </c>
      <c r="B5060" s="6" t="s">
        <v>57</v>
      </c>
      <c r="C5060" s="6" t="s">
        <v>23</v>
      </c>
      <c r="D5060" s="6" t="s">
        <v>10721</v>
      </c>
      <c r="E5060" s="6" t="s">
        <v>175</v>
      </c>
      <c r="F5060" s="6" t="s">
        <v>51</v>
      </c>
      <c r="G5060" s="7">
        <v>0.06</v>
      </c>
      <c r="H5060" s="6" t="s">
        <v>45</v>
      </c>
      <c r="I5060" s="6" t="s">
        <v>20</v>
      </c>
      <c r="J5060" s="6">
        <v>2025.0</v>
      </c>
      <c r="L5060" s="6">
        <v>3.0</v>
      </c>
      <c r="M5060" s="8">
        <f t="shared" si="5"/>
        <v>0.18</v>
      </c>
      <c r="P5060" s="9"/>
    </row>
    <row r="5061">
      <c r="A5061" s="6" t="s">
        <v>10722</v>
      </c>
      <c r="B5061" s="6" t="s">
        <v>372</v>
      </c>
      <c r="C5061" s="6" t="s">
        <v>23</v>
      </c>
      <c r="D5061" s="6" t="s">
        <v>10723</v>
      </c>
      <c r="E5061" s="6" t="s">
        <v>102</v>
      </c>
      <c r="F5061" s="6" t="s">
        <v>103</v>
      </c>
      <c r="G5061" s="7">
        <v>0.09</v>
      </c>
      <c r="H5061" s="6" t="s">
        <v>3438</v>
      </c>
      <c r="I5061" s="6" t="s">
        <v>20</v>
      </c>
      <c r="J5061" s="6">
        <v>2009.0</v>
      </c>
      <c r="L5061" s="6">
        <v>1.0</v>
      </c>
      <c r="M5061" s="8">
        <f t="shared" si="5"/>
        <v>0.09</v>
      </c>
      <c r="P5061" s="9"/>
    </row>
    <row r="5062">
      <c r="A5062" s="6" t="s">
        <v>10724</v>
      </c>
      <c r="B5062" s="6" t="s">
        <v>10725</v>
      </c>
      <c r="C5062" s="6" t="s">
        <v>23</v>
      </c>
      <c r="E5062" s="6" t="s">
        <v>175</v>
      </c>
      <c r="F5062" s="6" t="s">
        <v>51</v>
      </c>
      <c r="G5062" s="7">
        <v>0.05</v>
      </c>
      <c r="H5062" s="6" t="s">
        <v>184</v>
      </c>
      <c r="I5062" s="6" t="s">
        <v>20</v>
      </c>
      <c r="J5062" s="6">
        <v>2015.0</v>
      </c>
      <c r="K5062" s="6" t="s">
        <v>597</v>
      </c>
      <c r="L5062" s="6">
        <v>2.0</v>
      </c>
      <c r="M5062" s="8">
        <f t="shared" si="5"/>
        <v>0.1</v>
      </c>
      <c r="P5062" s="9"/>
    </row>
    <row r="5063">
      <c r="A5063" s="6" t="s">
        <v>10724</v>
      </c>
      <c r="B5063" s="6" t="s">
        <v>10725</v>
      </c>
      <c r="C5063" s="6" t="s">
        <v>23</v>
      </c>
      <c r="E5063" s="6" t="s">
        <v>175</v>
      </c>
      <c r="F5063" s="6" t="s">
        <v>51</v>
      </c>
      <c r="G5063" s="7">
        <v>0.05</v>
      </c>
      <c r="H5063" s="6" t="s">
        <v>184</v>
      </c>
      <c r="I5063" s="6" t="s">
        <v>20</v>
      </c>
      <c r="J5063" s="6">
        <v>2015.0</v>
      </c>
      <c r="K5063" s="6" t="s">
        <v>597</v>
      </c>
      <c r="L5063" s="6">
        <v>1.0</v>
      </c>
      <c r="M5063" s="8">
        <f t="shared" si="5"/>
        <v>0.05</v>
      </c>
      <c r="P5063" s="9"/>
    </row>
    <row r="5064">
      <c r="A5064" s="6" t="s">
        <v>10726</v>
      </c>
      <c r="B5064" s="6" t="s">
        <v>677</v>
      </c>
      <c r="C5064" s="6" t="s">
        <v>23</v>
      </c>
      <c r="D5064" s="6" t="s">
        <v>10727</v>
      </c>
      <c r="E5064" s="6" t="s">
        <v>5914</v>
      </c>
      <c r="F5064" s="6" t="s">
        <v>51</v>
      </c>
      <c r="G5064" s="7">
        <v>0.09</v>
      </c>
      <c r="H5064" s="6" t="s">
        <v>1748</v>
      </c>
      <c r="I5064" s="6" t="s">
        <v>20</v>
      </c>
      <c r="J5064" s="6">
        <v>2008.0</v>
      </c>
      <c r="K5064" s="10">
        <v>46147.0</v>
      </c>
      <c r="L5064" s="6">
        <v>1.0</v>
      </c>
      <c r="M5064" s="8">
        <f t="shared" si="5"/>
        <v>0.09</v>
      </c>
      <c r="P5064" s="9"/>
    </row>
    <row r="5065">
      <c r="A5065" s="6" t="s">
        <v>10728</v>
      </c>
      <c r="B5065" s="6" t="s">
        <v>8773</v>
      </c>
      <c r="C5065" s="6" t="s">
        <v>48</v>
      </c>
      <c r="D5065" s="6" t="s">
        <v>10729</v>
      </c>
      <c r="E5065" s="6" t="s">
        <v>112</v>
      </c>
      <c r="F5065" s="6" t="s">
        <v>65</v>
      </c>
      <c r="G5065" s="7">
        <v>0.04</v>
      </c>
      <c r="H5065" s="6" t="s">
        <v>136</v>
      </c>
      <c r="I5065" s="6" t="s">
        <v>20</v>
      </c>
      <c r="J5065" s="6">
        <v>2022.0</v>
      </c>
      <c r="L5065" s="6">
        <v>1.0</v>
      </c>
      <c r="M5065" s="8">
        <f t="shared" si="5"/>
        <v>0.04</v>
      </c>
      <c r="P5065" s="9"/>
    </row>
    <row r="5066">
      <c r="A5066" s="6" t="s">
        <v>10730</v>
      </c>
      <c r="B5066" s="6" t="s">
        <v>691</v>
      </c>
      <c r="C5066" s="6" t="s">
        <v>23</v>
      </c>
      <c r="D5066" s="6" t="s">
        <v>10731</v>
      </c>
      <c r="E5066" s="6" t="s">
        <v>243</v>
      </c>
      <c r="F5066" s="6" t="s">
        <v>37</v>
      </c>
      <c r="G5066" s="7">
        <v>0.05</v>
      </c>
      <c r="H5066" s="6" t="s">
        <v>119</v>
      </c>
      <c r="I5066" s="6" t="s">
        <v>20</v>
      </c>
      <c r="J5066" s="6">
        <v>1995.0</v>
      </c>
      <c r="K5066" s="10">
        <v>46113.0</v>
      </c>
      <c r="L5066" s="6">
        <v>2.0</v>
      </c>
      <c r="M5066" s="8">
        <f t="shared" si="5"/>
        <v>0.1</v>
      </c>
      <c r="P5066" s="9"/>
    </row>
    <row r="5067">
      <c r="A5067" s="6" t="s">
        <v>10730</v>
      </c>
      <c r="B5067" s="6" t="s">
        <v>691</v>
      </c>
      <c r="C5067" s="6" t="s">
        <v>23</v>
      </c>
      <c r="D5067" s="6" t="s">
        <v>10731</v>
      </c>
      <c r="E5067" s="6" t="s">
        <v>243</v>
      </c>
      <c r="F5067" s="6" t="s">
        <v>37</v>
      </c>
      <c r="G5067" s="7">
        <v>0.08</v>
      </c>
      <c r="H5067" s="6" t="s">
        <v>120</v>
      </c>
      <c r="I5067" s="6" t="s">
        <v>20</v>
      </c>
      <c r="J5067" s="6">
        <v>1995.0</v>
      </c>
      <c r="K5067" s="10">
        <v>46113.0</v>
      </c>
      <c r="L5067" s="6">
        <v>3.0</v>
      </c>
      <c r="M5067" s="8">
        <f t="shared" si="5"/>
        <v>0.24</v>
      </c>
      <c r="P5067" s="9"/>
    </row>
    <row r="5068">
      <c r="A5068" s="6" t="s">
        <v>10732</v>
      </c>
      <c r="B5068" s="6" t="s">
        <v>62</v>
      </c>
      <c r="C5068" s="6" t="s">
        <v>23</v>
      </c>
      <c r="D5068" s="6" t="s">
        <v>10733</v>
      </c>
      <c r="E5068" s="6" t="s">
        <v>118</v>
      </c>
      <c r="F5068" s="6" t="s">
        <v>51</v>
      </c>
      <c r="G5068" s="7">
        <v>0.14</v>
      </c>
      <c r="H5068" s="6" t="s">
        <v>1675</v>
      </c>
      <c r="I5068" s="6" t="s">
        <v>55</v>
      </c>
      <c r="J5068" s="6">
        <v>2021.0</v>
      </c>
      <c r="L5068" s="6">
        <v>4.0</v>
      </c>
      <c r="M5068" s="8">
        <f t="shared" si="5"/>
        <v>0.56</v>
      </c>
      <c r="P5068" s="9"/>
    </row>
    <row r="5069">
      <c r="A5069" s="6" t="s">
        <v>10734</v>
      </c>
      <c r="B5069" s="6" t="s">
        <v>182</v>
      </c>
      <c r="C5069" s="6" t="s">
        <v>48</v>
      </c>
      <c r="D5069" s="6" t="s">
        <v>10735</v>
      </c>
      <c r="E5069" s="6" t="s">
        <v>937</v>
      </c>
      <c r="F5069" s="6" t="s">
        <v>159</v>
      </c>
      <c r="G5069" s="7">
        <v>0.18</v>
      </c>
      <c r="H5069" s="6" t="s">
        <v>1675</v>
      </c>
      <c r="I5069" s="6" t="s">
        <v>20</v>
      </c>
      <c r="J5069" s="6">
        <v>2021.0</v>
      </c>
      <c r="L5069" s="6">
        <v>2.0</v>
      </c>
      <c r="M5069" s="8">
        <f t="shared" si="5"/>
        <v>0.36</v>
      </c>
      <c r="P5069" s="9"/>
    </row>
    <row r="5070">
      <c r="A5070" s="6" t="s">
        <v>10736</v>
      </c>
      <c r="B5070" s="6" t="s">
        <v>194</v>
      </c>
      <c r="C5070" s="6" t="s">
        <v>34</v>
      </c>
      <c r="D5070" s="6" t="s">
        <v>10737</v>
      </c>
      <c r="E5070" s="6" t="s">
        <v>5129</v>
      </c>
      <c r="F5070" s="6" t="s">
        <v>51</v>
      </c>
      <c r="G5070" s="7">
        <v>0.1</v>
      </c>
      <c r="H5070" s="6" t="s">
        <v>392</v>
      </c>
      <c r="I5070" s="6" t="s">
        <v>20</v>
      </c>
      <c r="J5070" s="6">
        <v>2025.0</v>
      </c>
      <c r="L5070" s="6">
        <v>8.0</v>
      </c>
      <c r="M5070" s="8">
        <f t="shared" si="5"/>
        <v>0.8</v>
      </c>
      <c r="P5070" s="9"/>
    </row>
    <row r="5071">
      <c r="A5071" s="6" t="s">
        <v>10738</v>
      </c>
      <c r="B5071" s="6" t="s">
        <v>740</v>
      </c>
      <c r="C5071" s="6" t="s">
        <v>48</v>
      </c>
      <c r="D5071" s="6" t="s">
        <v>10739</v>
      </c>
      <c r="E5071" s="6" t="s">
        <v>112</v>
      </c>
      <c r="F5071" s="6" t="s">
        <v>65</v>
      </c>
      <c r="G5071" s="7">
        <v>1.89</v>
      </c>
      <c r="H5071" s="6" t="s">
        <v>239</v>
      </c>
      <c r="I5071" s="6" t="s">
        <v>20</v>
      </c>
      <c r="J5071" s="6">
        <v>2024.0</v>
      </c>
      <c r="K5071" s="10">
        <v>46024.0</v>
      </c>
      <c r="L5071" s="6">
        <v>1.0</v>
      </c>
      <c r="M5071" s="8">
        <f t="shared" si="5"/>
        <v>1.89</v>
      </c>
      <c r="N5071" s="6" t="s">
        <v>172</v>
      </c>
      <c r="P5071" s="9"/>
    </row>
    <row r="5072">
      <c r="A5072" s="6" t="s">
        <v>10740</v>
      </c>
      <c r="B5072" s="6" t="s">
        <v>62</v>
      </c>
      <c r="C5072" s="6" t="s">
        <v>23</v>
      </c>
      <c r="D5072" s="6" t="s">
        <v>10741</v>
      </c>
      <c r="E5072" s="6" t="s">
        <v>79</v>
      </c>
      <c r="F5072" s="6" t="s">
        <v>51</v>
      </c>
      <c r="G5072" s="7">
        <v>3.15</v>
      </c>
      <c r="H5072" s="6" t="s">
        <v>845</v>
      </c>
      <c r="I5072" s="6" t="s">
        <v>20</v>
      </c>
      <c r="J5072" s="6">
        <v>2022.0</v>
      </c>
      <c r="L5072" s="6">
        <v>1.0</v>
      </c>
      <c r="M5072" s="8">
        <f t="shared" si="5"/>
        <v>3.15</v>
      </c>
      <c r="P5072" s="9"/>
    </row>
    <row r="5073">
      <c r="A5073" s="6" t="s">
        <v>10742</v>
      </c>
      <c r="B5073" s="6" t="s">
        <v>10743</v>
      </c>
      <c r="C5073" s="6" t="s">
        <v>23</v>
      </c>
      <c r="D5073" s="6" t="s">
        <v>10744</v>
      </c>
      <c r="E5073" s="6" t="s">
        <v>112</v>
      </c>
      <c r="F5073" s="6" t="s">
        <v>65</v>
      </c>
      <c r="G5073" s="7">
        <v>0.09</v>
      </c>
      <c r="H5073" s="6" t="s">
        <v>45</v>
      </c>
      <c r="I5073" s="6" t="s">
        <v>20</v>
      </c>
      <c r="J5073" s="6">
        <v>2025.0</v>
      </c>
      <c r="K5073" s="10">
        <v>46025.0</v>
      </c>
      <c r="L5073" s="6">
        <v>2.0</v>
      </c>
      <c r="M5073" s="8">
        <f t="shared" si="5"/>
        <v>0.18</v>
      </c>
      <c r="P5073" s="9"/>
    </row>
    <row r="5074">
      <c r="A5074" s="6" t="s">
        <v>10745</v>
      </c>
      <c r="B5074" s="6" t="s">
        <v>4502</v>
      </c>
      <c r="C5074" s="6" t="s">
        <v>15</v>
      </c>
      <c r="D5074" s="6" t="s">
        <v>10746</v>
      </c>
      <c r="E5074" s="6" t="s">
        <v>175</v>
      </c>
      <c r="F5074" s="6" t="s">
        <v>51</v>
      </c>
      <c r="G5074" s="7">
        <v>0.45</v>
      </c>
      <c r="H5074" s="6" t="s">
        <v>209</v>
      </c>
      <c r="I5074" s="6" t="s">
        <v>20</v>
      </c>
      <c r="J5074" s="6">
        <v>2025.0</v>
      </c>
      <c r="K5074" s="6" t="s">
        <v>422</v>
      </c>
      <c r="L5074" s="6">
        <v>2.0</v>
      </c>
      <c r="M5074" s="8">
        <f t="shared" si="5"/>
        <v>0.9</v>
      </c>
      <c r="P5074" s="9"/>
    </row>
    <row r="5075">
      <c r="A5075" s="6" t="s">
        <v>10745</v>
      </c>
      <c r="B5075" s="6" t="s">
        <v>4502</v>
      </c>
      <c r="C5075" s="6" t="s">
        <v>15</v>
      </c>
      <c r="D5075" s="6" t="s">
        <v>10746</v>
      </c>
      <c r="E5075" s="6" t="s">
        <v>175</v>
      </c>
      <c r="F5075" s="6" t="s">
        <v>51</v>
      </c>
      <c r="G5075" s="7">
        <v>0.1</v>
      </c>
      <c r="H5075" s="6" t="s">
        <v>209</v>
      </c>
      <c r="I5075" s="6" t="s">
        <v>20</v>
      </c>
      <c r="J5075" s="6">
        <v>2025.0</v>
      </c>
      <c r="K5075" s="6" t="s">
        <v>422</v>
      </c>
      <c r="L5075" s="6">
        <v>4.0</v>
      </c>
      <c r="M5075" s="8">
        <f t="shared" si="5"/>
        <v>0.4</v>
      </c>
      <c r="P5075" s="9"/>
    </row>
    <row r="5076">
      <c r="A5076" s="6" t="s">
        <v>10747</v>
      </c>
      <c r="B5076" s="6" t="s">
        <v>10748</v>
      </c>
      <c r="C5076" s="6" t="s">
        <v>41</v>
      </c>
      <c r="D5076" s="6" t="s">
        <v>10749</v>
      </c>
      <c r="E5076" s="6" t="s">
        <v>10258</v>
      </c>
      <c r="F5076" s="6" t="s">
        <v>60</v>
      </c>
      <c r="G5076" s="7">
        <v>0.89</v>
      </c>
      <c r="H5076" s="6" t="s">
        <v>99</v>
      </c>
      <c r="I5076" s="6" t="s">
        <v>20</v>
      </c>
      <c r="J5076" s="6">
        <v>2026.0</v>
      </c>
      <c r="K5076" s="10">
        <v>46208.0</v>
      </c>
      <c r="L5076" s="6">
        <v>1.0</v>
      </c>
      <c r="M5076" s="8">
        <f t="shared" si="5"/>
        <v>0.89</v>
      </c>
      <c r="P5076" s="9"/>
    </row>
    <row r="5077">
      <c r="A5077" s="6" t="s">
        <v>10750</v>
      </c>
      <c r="B5077" s="6" t="s">
        <v>10751</v>
      </c>
      <c r="C5077" s="6" t="s">
        <v>41</v>
      </c>
      <c r="D5077" s="6" t="s">
        <v>10752</v>
      </c>
      <c r="E5077" s="6" t="s">
        <v>345</v>
      </c>
      <c r="F5077" s="6" t="s">
        <v>18</v>
      </c>
      <c r="G5077" s="7">
        <v>0.2</v>
      </c>
      <c r="H5077" s="6" t="s">
        <v>200</v>
      </c>
      <c r="I5077" s="6" t="s">
        <v>55</v>
      </c>
      <c r="J5077" s="6">
        <v>2018.0</v>
      </c>
      <c r="K5077" s="10">
        <v>46178.0</v>
      </c>
      <c r="L5077" s="6">
        <v>3.0</v>
      </c>
      <c r="M5077" s="8">
        <f t="shared" si="5"/>
        <v>0.6</v>
      </c>
      <c r="P5077" s="9"/>
    </row>
    <row r="5078">
      <c r="A5078" s="6" t="s">
        <v>10753</v>
      </c>
      <c r="B5078" s="6" t="s">
        <v>10754</v>
      </c>
      <c r="C5078" s="6" t="s">
        <v>23</v>
      </c>
      <c r="D5078" s="6" t="s">
        <v>10755</v>
      </c>
      <c r="E5078" s="6" t="s">
        <v>1950</v>
      </c>
      <c r="F5078" s="6" t="s">
        <v>65</v>
      </c>
      <c r="G5078" s="7">
        <v>0.06</v>
      </c>
      <c r="H5078" s="6" t="s">
        <v>204</v>
      </c>
      <c r="I5078" s="6" t="s">
        <v>20</v>
      </c>
      <c r="J5078" s="6">
        <v>2026.0</v>
      </c>
      <c r="K5078" s="10">
        <v>46116.0</v>
      </c>
      <c r="L5078" s="6">
        <v>2.0</v>
      </c>
      <c r="M5078" s="8">
        <f t="shared" si="5"/>
        <v>0.12</v>
      </c>
      <c r="P5078" s="9"/>
    </row>
    <row r="5079">
      <c r="A5079" s="6" t="s">
        <v>10756</v>
      </c>
      <c r="B5079" s="6" t="s">
        <v>62</v>
      </c>
      <c r="C5079" s="6" t="s">
        <v>48</v>
      </c>
      <c r="D5079" s="6" t="s">
        <v>10757</v>
      </c>
      <c r="E5079" s="6" t="s">
        <v>1844</v>
      </c>
      <c r="F5079" s="6" t="s">
        <v>98</v>
      </c>
      <c r="G5079" s="7">
        <v>0.09</v>
      </c>
      <c r="H5079" s="6" t="s">
        <v>1560</v>
      </c>
      <c r="I5079" s="6" t="s">
        <v>20</v>
      </c>
      <c r="J5079" s="6">
        <v>2016.0</v>
      </c>
      <c r="L5079" s="6">
        <v>2.0</v>
      </c>
      <c r="M5079" s="8">
        <f t="shared" si="5"/>
        <v>0.18</v>
      </c>
      <c r="P5079" s="9"/>
    </row>
    <row r="5080">
      <c r="A5080" s="6" t="s">
        <v>10758</v>
      </c>
      <c r="B5080" s="6" t="s">
        <v>62</v>
      </c>
      <c r="C5080" s="6" t="s">
        <v>23</v>
      </c>
      <c r="D5080" s="6" t="s">
        <v>10759</v>
      </c>
      <c r="E5080" s="6" t="s">
        <v>118</v>
      </c>
      <c r="F5080" s="6" t="s">
        <v>51</v>
      </c>
      <c r="G5080" s="7">
        <v>0.05</v>
      </c>
      <c r="H5080" s="6" t="s">
        <v>596</v>
      </c>
      <c r="I5080" s="6" t="s">
        <v>20</v>
      </c>
      <c r="J5080" s="6">
        <v>2012.0</v>
      </c>
      <c r="L5080" s="6">
        <v>1.0</v>
      </c>
      <c r="M5080" s="8">
        <f t="shared" si="5"/>
        <v>0.05</v>
      </c>
      <c r="P5080" s="9"/>
    </row>
    <row r="5081">
      <c r="A5081" s="6" t="s">
        <v>10760</v>
      </c>
      <c r="B5081" s="6" t="s">
        <v>307</v>
      </c>
      <c r="C5081" s="6" t="s">
        <v>41</v>
      </c>
      <c r="D5081" s="6" t="s">
        <v>10761</v>
      </c>
      <c r="E5081" s="6" t="s">
        <v>243</v>
      </c>
      <c r="F5081" s="6" t="s">
        <v>37</v>
      </c>
      <c r="G5081" s="7">
        <v>4.0</v>
      </c>
      <c r="H5081" s="6" t="s">
        <v>252</v>
      </c>
      <c r="I5081" s="6" t="s">
        <v>20</v>
      </c>
      <c r="J5081" s="6">
        <v>1994.0</v>
      </c>
      <c r="L5081" s="6">
        <v>1.0</v>
      </c>
      <c r="M5081" s="8">
        <f t="shared" si="5"/>
        <v>4</v>
      </c>
      <c r="N5081" s="6" t="s">
        <v>172</v>
      </c>
      <c r="P5081" s="9"/>
    </row>
    <row r="5082">
      <c r="A5082" s="6" t="s">
        <v>10762</v>
      </c>
      <c r="B5082" s="6" t="s">
        <v>2178</v>
      </c>
      <c r="C5082" s="6" t="s">
        <v>23</v>
      </c>
      <c r="D5082" s="6" t="s">
        <v>974</v>
      </c>
      <c r="E5082" s="6" t="s">
        <v>248</v>
      </c>
      <c r="F5082" s="6" t="s">
        <v>18</v>
      </c>
      <c r="G5082" s="7">
        <v>0.13</v>
      </c>
      <c r="H5082" s="6" t="s">
        <v>1514</v>
      </c>
      <c r="I5082" s="6" t="s">
        <v>20</v>
      </c>
      <c r="J5082" s="6">
        <v>2009.0</v>
      </c>
      <c r="K5082" s="10">
        <v>46023.0</v>
      </c>
      <c r="L5082" s="6">
        <v>1.0</v>
      </c>
      <c r="M5082" s="8">
        <f t="shared" si="5"/>
        <v>0.13</v>
      </c>
      <c r="P5082" s="9"/>
    </row>
    <row r="5083">
      <c r="A5083" s="6" t="s">
        <v>10763</v>
      </c>
      <c r="B5083" s="6" t="s">
        <v>165</v>
      </c>
      <c r="C5083" s="6" t="s">
        <v>212</v>
      </c>
      <c r="D5083" s="6" t="s">
        <v>10764</v>
      </c>
      <c r="E5083" s="6" t="s">
        <v>4941</v>
      </c>
      <c r="F5083" s="6" t="s">
        <v>103</v>
      </c>
      <c r="G5083" s="7">
        <v>0.95</v>
      </c>
      <c r="H5083" s="6" t="s">
        <v>1043</v>
      </c>
      <c r="I5083" s="6" t="s">
        <v>20</v>
      </c>
      <c r="J5083" s="6">
        <v>2025.0</v>
      </c>
      <c r="L5083" s="6">
        <v>1.0</v>
      </c>
      <c r="M5083" s="8">
        <f t="shared" si="5"/>
        <v>0.95</v>
      </c>
      <c r="P5083" s="9"/>
    </row>
    <row r="5084">
      <c r="A5084" s="6" t="s">
        <v>10765</v>
      </c>
      <c r="B5084" s="6" t="s">
        <v>131</v>
      </c>
      <c r="C5084" s="6" t="s">
        <v>48</v>
      </c>
      <c r="D5084" s="6" t="s">
        <v>10766</v>
      </c>
      <c r="E5084" s="6" t="s">
        <v>118</v>
      </c>
      <c r="F5084" s="6" t="s">
        <v>51</v>
      </c>
      <c r="G5084" s="7">
        <v>0.04</v>
      </c>
      <c r="H5084" s="6" t="s">
        <v>2669</v>
      </c>
      <c r="I5084" s="6" t="s">
        <v>20</v>
      </c>
      <c r="J5084" s="6">
        <v>2019.0</v>
      </c>
      <c r="K5084" s="10">
        <v>46082.0</v>
      </c>
      <c r="L5084" s="6">
        <v>1.0</v>
      </c>
      <c r="M5084" s="8">
        <f t="shared" si="5"/>
        <v>0.04</v>
      </c>
      <c r="P5084" s="9"/>
    </row>
    <row r="5085">
      <c r="A5085" s="6" t="s">
        <v>10767</v>
      </c>
      <c r="B5085" s="6" t="s">
        <v>424</v>
      </c>
      <c r="C5085" s="6" t="s">
        <v>48</v>
      </c>
      <c r="D5085" s="6" t="s">
        <v>10768</v>
      </c>
      <c r="F5085" s="6" t="s">
        <v>37</v>
      </c>
      <c r="G5085" s="7">
        <v>0.21</v>
      </c>
      <c r="H5085" s="6" t="s">
        <v>200</v>
      </c>
      <c r="I5085" s="6" t="s">
        <v>20</v>
      </c>
      <c r="J5085" s="6">
        <v>2018.0</v>
      </c>
      <c r="L5085" s="6">
        <v>1.0</v>
      </c>
      <c r="M5085" s="8">
        <f t="shared" si="5"/>
        <v>0.21</v>
      </c>
      <c r="P5085" s="9"/>
    </row>
    <row r="5086">
      <c r="A5086" s="6" t="s">
        <v>10769</v>
      </c>
      <c r="B5086" s="6" t="s">
        <v>10770</v>
      </c>
      <c r="C5086" s="6" t="s">
        <v>23</v>
      </c>
      <c r="D5086" s="6" t="s">
        <v>10771</v>
      </c>
      <c r="E5086" s="6" t="s">
        <v>102</v>
      </c>
      <c r="F5086" s="6" t="s">
        <v>103</v>
      </c>
      <c r="G5086" s="7">
        <v>0.09</v>
      </c>
      <c r="H5086" s="6" t="s">
        <v>845</v>
      </c>
      <c r="I5086" s="6" t="s">
        <v>20</v>
      </c>
      <c r="J5086" s="6">
        <v>2022.0</v>
      </c>
      <c r="K5086" s="10">
        <v>46024.0</v>
      </c>
      <c r="L5086" s="6">
        <v>1.0</v>
      </c>
      <c r="M5086" s="8">
        <f t="shared" si="5"/>
        <v>0.09</v>
      </c>
      <c r="P5086" s="9"/>
    </row>
    <row r="5087">
      <c r="A5087" s="6" t="s">
        <v>10772</v>
      </c>
      <c r="B5087" s="6" t="s">
        <v>871</v>
      </c>
      <c r="C5087" s="6" t="s">
        <v>23</v>
      </c>
      <c r="D5087" s="6" t="s">
        <v>10773</v>
      </c>
      <c r="E5087" s="6" t="s">
        <v>1159</v>
      </c>
      <c r="F5087" s="6" t="s">
        <v>826</v>
      </c>
      <c r="G5087" s="7">
        <v>0.07</v>
      </c>
      <c r="H5087" s="6" t="s">
        <v>1784</v>
      </c>
      <c r="I5087" s="6" t="s">
        <v>20</v>
      </c>
      <c r="J5087" s="6">
        <v>2013.0</v>
      </c>
      <c r="K5087" s="10">
        <v>46023.0</v>
      </c>
      <c r="L5087" s="6">
        <v>3.0</v>
      </c>
      <c r="M5087" s="8">
        <f t="shared" si="5"/>
        <v>0.21</v>
      </c>
      <c r="P5087" s="9"/>
    </row>
    <row r="5088">
      <c r="A5088" s="6" t="s">
        <v>10774</v>
      </c>
      <c r="B5088" s="6" t="s">
        <v>4407</v>
      </c>
      <c r="C5088" s="6" t="s">
        <v>48</v>
      </c>
      <c r="D5088" s="6" t="s">
        <v>10775</v>
      </c>
      <c r="E5088" s="6" t="s">
        <v>1159</v>
      </c>
      <c r="F5088" s="6" t="s">
        <v>826</v>
      </c>
      <c r="G5088" s="7">
        <v>0.7</v>
      </c>
      <c r="H5088" s="6" t="s">
        <v>185</v>
      </c>
      <c r="I5088" s="6" t="s">
        <v>55</v>
      </c>
      <c r="J5088" s="6">
        <v>2019.0</v>
      </c>
      <c r="K5088" s="10">
        <v>46055.0</v>
      </c>
      <c r="L5088" s="6">
        <v>1.0</v>
      </c>
      <c r="M5088" s="8">
        <f t="shared" si="5"/>
        <v>0.7</v>
      </c>
      <c r="P5088" s="9"/>
    </row>
    <row r="5089">
      <c r="A5089" s="6" t="s">
        <v>10776</v>
      </c>
      <c r="B5089" s="6" t="s">
        <v>10777</v>
      </c>
      <c r="C5089" s="6" t="s">
        <v>23</v>
      </c>
      <c r="D5089" s="6" t="s">
        <v>10778</v>
      </c>
      <c r="E5089" s="6" t="s">
        <v>36</v>
      </c>
      <c r="F5089" s="6" t="s">
        <v>37</v>
      </c>
      <c r="G5089" s="7">
        <v>0.06</v>
      </c>
      <c r="H5089" s="6" t="s">
        <v>188</v>
      </c>
      <c r="I5089" s="6" t="s">
        <v>20</v>
      </c>
      <c r="J5089" s="6">
        <v>2014.0</v>
      </c>
      <c r="K5089" s="10">
        <v>46024.0</v>
      </c>
      <c r="L5089" s="6">
        <v>1.0</v>
      </c>
      <c r="M5089" s="8">
        <f t="shared" si="5"/>
        <v>0.06</v>
      </c>
      <c r="P5089" s="9"/>
    </row>
    <row r="5090">
      <c r="A5090" s="6" t="s">
        <v>10779</v>
      </c>
      <c r="B5090" s="6" t="s">
        <v>10780</v>
      </c>
      <c r="C5090" s="6" t="s">
        <v>15</v>
      </c>
      <c r="D5090" s="6" t="s">
        <v>10781</v>
      </c>
      <c r="E5090" s="6" t="s">
        <v>10782</v>
      </c>
      <c r="F5090" s="6" t="s">
        <v>8372</v>
      </c>
      <c r="G5090" s="7">
        <v>31.9</v>
      </c>
      <c r="H5090" s="6" t="s">
        <v>209</v>
      </c>
      <c r="I5090" s="6" t="s">
        <v>20</v>
      </c>
      <c r="J5090" s="6">
        <v>2025.0</v>
      </c>
      <c r="K5090" s="10">
        <v>46084.0</v>
      </c>
      <c r="L5090" s="6">
        <v>1.0</v>
      </c>
      <c r="M5090" s="8">
        <f t="shared" si="5"/>
        <v>31.9</v>
      </c>
      <c r="P5090" s="9"/>
    </row>
    <row r="5091">
      <c r="A5091" s="6" t="s">
        <v>10779</v>
      </c>
      <c r="B5091" s="6" t="s">
        <v>10780</v>
      </c>
      <c r="C5091" s="6" t="s">
        <v>15</v>
      </c>
      <c r="D5091" s="6" t="s">
        <v>10781</v>
      </c>
      <c r="E5091" s="6" t="s">
        <v>10782</v>
      </c>
      <c r="F5091" s="6" t="s">
        <v>8372</v>
      </c>
      <c r="G5091" s="7">
        <v>1.0</v>
      </c>
      <c r="H5091" s="6" t="s">
        <v>209</v>
      </c>
      <c r="I5091" s="6" t="s">
        <v>55</v>
      </c>
      <c r="J5091" s="6">
        <v>2025.0</v>
      </c>
      <c r="K5091" s="10">
        <v>46084.0</v>
      </c>
      <c r="L5091" s="6">
        <v>1.0</v>
      </c>
      <c r="M5091" s="8">
        <f t="shared" si="5"/>
        <v>1</v>
      </c>
      <c r="P5091" s="9"/>
    </row>
    <row r="5092">
      <c r="A5092" s="6" t="s">
        <v>10779</v>
      </c>
      <c r="B5092" s="6" t="s">
        <v>10780</v>
      </c>
      <c r="C5092" s="6" t="s">
        <v>15</v>
      </c>
      <c r="D5092" s="6" t="s">
        <v>10781</v>
      </c>
      <c r="E5092" s="6" t="s">
        <v>10782</v>
      </c>
      <c r="F5092" s="6" t="s">
        <v>8372</v>
      </c>
      <c r="G5092" s="7">
        <v>0.27</v>
      </c>
      <c r="H5092" s="6" t="s">
        <v>209</v>
      </c>
      <c r="I5092" s="6" t="s">
        <v>20</v>
      </c>
      <c r="J5092" s="6">
        <v>2025.0</v>
      </c>
      <c r="K5092" s="10">
        <v>46084.0</v>
      </c>
      <c r="L5092" s="6">
        <v>1.0</v>
      </c>
      <c r="M5092" s="8">
        <f t="shared" si="5"/>
        <v>0.27</v>
      </c>
      <c r="P5092" s="9"/>
    </row>
    <row r="5093">
      <c r="A5093" s="6" t="s">
        <v>10783</v>
      </c>
      <c r="B5093" s="6" t="s">
        <v>424</v>
      </c>
      <c r="C5093" s="6" t="s">
        <v>48</v>
      </c>
      <c r="D5093" s="6" t="s">
        <v>10784</v>
      </c>
      <c r="F5093" s="6" t="s">
        <v>37</v>
      </c>
      <c r="G5093" s="7">
        <v>0.5</v>
      </c>
      <c r="H5093" s="6" t="s">
        <v>2401</v>
      </c>
      <c r="I5093" s="6" t="s">
        <v>55</v>
      </c>
      <c r="J5093" s="6">
        <v>2018.0</v>
      </c>
      <c r="L5093" s="6">
        <v>1.0</v>
      </c>
      <c r="M5093" s="8">
        <f t="shared" si="5"/>
        <v>0.5</v>
      </c>
      <c r="P5093" s="9"/>
    </row>
    <row r="5094">
      <c r="A5094" s="6" t="s">
        <v>10785</v>
      </c>
      <c r="B5094" s="6" t="s">
        <v>10786</v>
      </c>
      <c r="C5094" s="6" t="s">
        <v>23</v>
      </c>
      <c r="D5094" s="6" t="s">
        <v>10787</v>
      </c>
      <c r="E5094" s="6" t="s">
        <v>502</v>
      </c>
      <c r="F5094" s="6" t="s">
        <v>65</v>
      </c>
      <c r="G5094" s="7">
        <v>0.1</v>
      </c>
      <c r="H5094" s="6" t="s">
        <v>192</v>
      </c>
      <c r="I5094" s="6" t="s">
        <v>20</v>
      </c>
      <c r="J5094" s="6">
        <v>2026.0</v>
      </c>
      <c r="K5094" s="10">
        <v>46117.0</v>
      </c>
      <c r="L5094" s="6">
        <v>3.0</v>
      </c>
      <c r="M5094" s="8">
        <f t="shared" si="5"/>
        <v>0.3</v>
      </c>
      <c r="P5094" s="9"/>
    </row>
    <row r="5095">
      <c r="A5095" s="6" t="s">
        <v>10788</v>
      </c>
      <c r="B5095" s="6" t="s">
        <v>2898</v>
      </c>
      <c r="C5095" s="6" t="s">
        <v>23</v>
      </c>
      <c r="D5095" s="6" t="s">
        <v>10789</v>
      </c>
      <c r="E5095" s="6" t="s">
        <v>108</v>
      </c>
      <c r="F5095" s="6" t="s">
        <v>103</v>
      </c>
      <c r="G5095" s="7">
        <v>0.06</v>
      </c>
      <c r="H5095" s="6" t="s">
        <v>2701</v>
      </c>
      <c r="I5095" s="6" t="s">
        <v>20</v>
      </c>
      <c r="J5095" s="6">
        <v>2003.0</v>
      </c>
      <c r="K5095" s="10">
        <v>46115.0</v>
      </c>
      <c r="L5095" s="6">
        <v>1.0</v>
      </c>
      <c r="M5095" s="8">
        <f t="shared" si="5"/>
        <v>0.06</v>
      </c>
      <c r="P5095" s="9"/>
    </row>
    <row r="5096">
      <c r="A5096" s="6" t="s">
        <v>10790</v>
      </c>
      <c r="B5096" s="6" t="s">
        <v>10688</v>
      </c>
      <c r="C5096" s="6" t="s">
        <v>23</v>
      </c>
      <c r="E5096" s="6" t="s">
        <v>611</v>
      </c>
      <c r="F5096" s="6" t="s">
        <v>103</v>
      </c>
      <c r="G5096" s="7">
        <v>0.05</v>
      </c>
      <c r="H5096" s="6" t="s">
        <v>914</v>
      </c>
      <c r="I5096" s="6" t="s">
        <v>20</v>
      </c>
      <c r="J5096" s="6">
        <v>2011.0</v>
      </c>
      <c r="K5096" s="10">
        <v>46085.0</v>
      </c>
      <c r="L5096" s="6">
        <v>1.0</v>
      </c>
      <c r="M5096" s="8">
        <f t="shared" si="5"/>
        <v>0.05</v>
      </c>
      <c r="P5096" s="9"/>
    </row>
    <row r="5097">
      <c r="A5097" s="6" t="s">
        <v>10791</v>
      </c>
      <c r="B5097" s="6" t="s">
        <v>10792</v>
      </c>
      <c r="C5097" s="6" t="s">
        <v>287</v>
      </c>
      <c r="D5097" s="6" t="s">
        <v>10793</v>
      </c>
      <c r="E5097" s="6" t="s">
        <v>153</v>
      </c>
      <c r="F5097" s="6" t="s">
        <v>103</v>
      </c>
      <c r="G5097" s="7">
        <v>0.09</v>
      </c>
      <c r="H5097" s="6" t="s">
        <v>2005</v>
      </c>
      <c r="I5097" s="6" t="s">
        <v>20</v>
      </c>
      <c r="J5097" s="6">
        <v>2006.0</v>
      </c>
      <c r="K5097" s="10">
        <v>46083.0</v>
      </c>
      <c r="L5097" s="6">
        <v>3.0</v>
      </c>
      <c r="M5097" s="8">
        <f t="shared" si="5"/>
        <v>0.27</v>
      </c>
      <c r="P5097" s="9"/>
    </row>
    <row r="5098">
      <c r="A5098" s="6" t="s">
        <v>10794</v>
      </c>
      <c r="B5098" s="6" t="s">
        <v>10795</v>
      </c>
      <c r="C5098" s="6" t="s">
        <v>23</v>
      </c>
      <c r="D5098" s="6" t="s">
        <v>10796</v>
      </c>
      <c r="E5098" s="6" t="s">
        <v>223</v>
      </c>
      <c r="F5098" s="6" t="s">
        <v>159</v>
      </c>
      <c r="G5098" s="7">
        <v>0.05</v>
      </c>
      <c r="H5098" s="6" t="s">
        <v>192</v>
      </c>
      <c r="I5098" s="6" t="s">
        <v>20</v>
      </c>
      <c r="J5098" s="6">
        <v>2026.0</v>
      </c>
      <c r="K5098" s="10">
        <v>46055.0</v>
      </c>
      <c r="L5098" s="6">
        <v>5.0</v>
      </c>
      <c r="M5098" s="8">
        <f t="shared" si="5"/>
        <v>0.25</v>
      </c>
      <c r="P5098" s="9"/>
    </row>
    <row r="5099">
      <c r="A5099" s="6" t="s">
        <v>10797</v>
      </c>
      <c r="B5099" s="6" t="s">
        <v>1944</v>
      </c>
      <c r="C5099" s="6" t="s">
        <v>41</v>
      </c>
      <c r="D5099" s="6" t="s">
        <v>10798</v>
      </c>
      <c r="E5099" s="6" t="s">
        <v>1454</v>
      </c>
      <c r="F5099" s="6" t="s">
        <v>426</v>
      </c>
      <c r="G5099" s="7">
        <v>0.99</v>
      </c>
      <c r="H5099" s="6" t="s">
        <v>45</v>
      </c>
      <c r="I5099" s="6" t="s">
        <v>20</v>
      </c>
      <c r="J5099" s="6">
        <v>2025.0</v>
      </c>
      <c r="K5099" s="10">
        <v>46083.0</v>
      </c>
      <c r="L5099" s="6">
        <v>1.0</v>
      </c>
      <c r="M5099" s="8">
        <f t="shared" si="5"/>
        <v>0.99</v>
      </c>
      <c r="P5099" s="9"/>
    </row>
    <row r="5100">
      <c r="A5100" s="6" t="s">
        <v>10799</v>
      </c>
      <c r="B5100" s="6" t="s">
        <v>6037</v>
      </c>
      <c r="C5100" s="6" t="s">
        <v>48</v>
      </c>
      <c r="D5100" s="6" t="s">
        <v>10800</v>
      </c>
      <c r="E5100" s="6" t="s">
        <v>533</v>
      </c>
      <c r="F5100" s="6" t="s">
        <v>65</v>
      </c>
      <c r="G5100" s="7">
        <v>0.2</v>
      </c>
      <c r="H5100" s="6" t="s">
        <v>45</v>
      </c>
      <c r="I5100" s="6" t="s">
        <v>20</v>
      </c>
      <c r="J5100" s="6">
        <v>2025.0</v>
      </c>
      <c r="K5100" s="10">
        <v>46085.0</v>
      </c>
      <c r="L5100" s="6">
        <v>1.0</v>
      </c>
      <c r="M5100" s="8">
        <f t="shared" si="5"/>
        <v>0.2</v>
      </c>
      <c r="P5100" s="9"/>
    </row>
    <row r="5101">
      <c r="A5101" s="6" t="s">
        <v>10801</v>
      </c>
      <c r="B5101" s="6" t="s">
        <v>10802</v>
      </c>
      <c r="C5101" s="6" t="s">
        <v>855</v>
      </c>
      <c r="D5101" s="6" t="s">
        <v>10803</v>
      </c>
      <c r="E5101" s="6" t="s">
        <v>10804</v>
      </c>
      <c r="F5101" s="6" t="s">
        <v>858</v>
      </c>
      <c r="G5101" s="7">
        <v>3.48</v>
      </c>
      <c r="H5101" s="6" t="s">
        <v>180</v>
      </c>
      <c r="I5101" s="6" t="s">
        <v>20</v>
      </c>
      <c r="J5101" s="6">
        <v>2014.0</v>
      </c>
      <c r="K5101" s="10">
        <v>46060.0</v>
      </c>
      <c r="L5101" s="6">
        <v>1.0</v>
      </c>
      <c r="M5101" s="8">
        <f t="shared" si="5"/>
        <v>3.48</v>
      </c>
      <c r="P5101" s="9"/>
    </row>
    <row r="5102">
      <c r="A5102" s="6" t="s">
        <v>10805</v>
      </c>
      <c r="B5102" s="6" t="s">
        <v>10806</v>
      </c>
      <c r="C5102" s="6" t="s">
        <v>41</v>
      </c>
      <c r="D5102" s="6" t="s">
        <v>10807</v>
      </c>
      <c r="E5102" s="6" t="s">
        <v>10808</v>
      </c>
      <c r="F5102" s="6" t="s">
        <v>6104</v>
      </c>
      <c r="G5102" s="7">
        <v>1.34</v>
      </c>
      <c r="H5102" s="6" t="s">
        <v>10809</v>
      </c>
      <c r="I5102" s="6" t="s">
        <v>20</v>
      </c>
      <c r="J5102" s="6">
        <v>2025.0</v>
      </c>
      <c r="K5102" s="10">
        <v>46114.0</v>
      </c>
      <c r="L5102" s="6">
        <v>1.0</v>
      </c>
      <c r="M5102" s="8">
        <f t="shared" si="5"/>
        <v>1.34</v>
      </c>
      <c r="N5102" s="6" t="s">
        <v>172</v>
      </c>
      <c r="P5102" s="9"/>
    </row>
    <row r="5103">
      <c r="A5103" s="6" t="s">
        <v>10810</v>
      </c>
      <c r="B5103" s="6" t="s">
        <v>424</v>
      </c>
      <c r="C5103" s="6" t="s">
        <v>23</v>
      </c>
      <c r="D5103" s="6" t="s">
        <v>10811</v>
      </c>
      <c r="F5103" s="6" t="s">
        <v>37</v>
      </c>
      <c r="G5103" s="7">
        <v>0.6</v>
      </c>
      <c r="H5103" s="6" t="s">
        <v>1748</v>
      </c>
      <c r="I5103" s="6" t="s">
        <v>20</v>
      </c>
      <c r="J5103" s="6">
        <v>2008.0</v>
      </c>
      <c r="L5103" s="6">
        <v>1.0</v>
      </c>
      <c r="M5103" s="8">
        <f t="shared" si="5"/>
        <v>0.6</v>
      </c>
      <c r="O5103" s="6" t="s">
        <v>3966</v>
      </c>
      <c r="P5103" s="9"/>
    </row>
    <row r="5104">
      <c r="A5104" s="6" t="s">
        <v>10812</v>
      </c>
      <c r="B5104" s="6" t="s">
        <v>10813</v>
      </c>
      <c r="C5104" s="6" t="s">
        <v>23</v>
      </c>
      <c r="D5104" s="6" t="s">
        <v>10814</v>
      </c>
      <c r="E5104" s="6" t="s">
        <v>102</v>
      </c>
      <c r="F5104" s="6" t="s">
        <v>103</v>
      </c>
      <c r="G5104" s="7">
        <v>0.06</v>
      </c>
      <c r="H5104" s="6" t="s">
        <v>146</v>
      </c>
      <c r="I5104" s="6" t="s">
        <v>20</v>
      </c>
      <c r="J5104" s="6">
        <v>2010.0</v>
      </c>
      <c r="K5104" s="10">
        <v>46024.0</v>
      </c>
      <c r="L5104" s="6">
        <v>1.0</v>
      </c>
      <c r="M5104" s="8">
        <f t="shared" si="5"/>
        <v>0.06</v>
      </c>
      <c r="P5104" s="9"/>
    </row>
    <row r="5105">
      <c r="A5105" s="6" t="s">
        <v>10815</v>
      </c>
      <c r="B5105" s="6" t="s">
        <v>372</v>
      </c>
      <c r="C5105" s="6" t="s">
        <v>23</v>
      </c>
      <c r="D5105" s="6" t="s">
        <v>10816</v>
      </c>
      <c r="E5105" s="6" t="s">
        <v>118</v>
      </c>
      <c r="F5105" s="6" t="s">
        <v>51</v>
      </c>
      <c r="G5105" s="7">
        <v>0.06</v>
      </c>
      <c r="H5105" s="6" t="s">
        <v>626</v>
      </c>
      <c r="I5105" s="6" t="s">
        <v>20</v>
      </c>
      <c r="J5105" s="6">
        <v>2013.0</v>
      </c>
      <c r="L5105" s="6">
        <v>1.0</v>
      </c>
      <c r="M5105" s="8">
        <f t="shared" si="5"/>
        <v>0.06</v>
      </c>
      <c r="P5105" s="9"/>
    </row>
    <row r="5106">
      <c r="A5106" s="6" t="s">
        <v>10817</v>
      </c>
      <c r="B5106" s="6" t="s">
        <v>62</v>
      </c>
      <c r="C5106" s="6" t="s">
        <v>23</v>
      </c>
      <c r="D5106" s="6" t="s">
        <v>10818</v>
      </c>
      <c r="E5106" s="6" t="s">
        <v>175</v>
      </c>
      <c r="F5106" s="6" t="s">
        <v>51</v>
      </c>
      <c r="G5106" s="7">
        <v>0.06</v>
      </c>
      <c r="H5106" s="6" t="s">
        <v>276</v>
      </c>
      <c r="I5106" s="6" t="s">
        <v>20</v>
      </c>
      <c r="J5106" s="6">
        <v>2014.0</v>
      </c>
      <c r="L5106" s="6">
        <v>2.0</v>
      </c>
      <c r="M5106" s="8">
        <f t="shared" si="5"/>
        <v>0.12</v>
      </c>
      <c r="P5106" s="9"/>
    </row>
    <row r="5107">
      <c r="A5107" s="6" t="s">
        <v>10819</v>
      </c>
      <c r="B5107" s="6" t="s">
        <v>202</v>
      </c>
      <c r="C5107" s="6" t="s">
        <v>48</v>
      </c>
      <c r="D5107" s="6" t="s">
        <v>10820</v>
      </c>
      <c r="E5107" s="6" t="s">
        <v>118</v>
      </c>
      <c r="F5107" s="6" t="s">
        <v>51</v>
      </c>
      <c r="G5107" s="7">
        <v>0.15</v>
      </c>
      <c r="H5107" s="6" t="s">
        <v>396</v>
      </c>
      <c r="I5107" s="6" t="s">
        <v>20</v>
      </c>
      <c r="J5107" s="6">
        <v>2007.0</v>
      </c>
      <c r="L5107" s="6">
        <v>1.0</v>
      </c>
      <c r="M5107" s="8">
        <f t="shared" si="5"/>
        <v>0.15</v>
      </c>
      <c r="P5107" s="9"/>
    </row>
    <row r="5108">
      <c r="A5108" s="6" t="s">
        <v>10821</v>
      </c>
      <c r="B5108" s="6" t="s">
        <v>372</v>
      </c>
      <c r="C5108" s="6" t="s">
        <v>23</v>
      </c>
      <c r="D5108" s="6" t="s">
        <v>10822</v>
      </c>
      <c r="E5108" s="6" t="s">
        <v>118</v>
      </c>
      <c r="F5108" s="6" t="s">
        <v>51</v>
      </c>
      <c r="G5108" s="7">
        <v>0.06</v>
      </c>
      <c r="H5108" s="6" t="s">
        <v>596</v>
      </c>
      <c r="I5108" s="6" t="s">
        <v>20</v>
      </c>
      <c r="J5108" s="6">
        <v>2012.0</v>
      </c>
      <c r="L5108" s="6">
        <v>1.0</v>
      </c>
      <c r="M5108" s="8">
        <f t="shared" si="5"/>
        <v>0.06</v>
      </c>
      <c r="P5108" s="9"/>
    </row>
    <row r="5109">
      <c r="A5109" s="6" t="s">
        <v>10823</v>
      </c>
      <c r="B5109" s="6" t="s">
        <v>372</v>
      </c>
      <c r="C5109" s="6" t="s">
        <v>23</v>
      </c>
      <c r="D5109" s="6" t="s">
        <v>10824</v>
      </c>
      <c r="E5109" s="6" t="s">
        <v>79</v>
      </c>
      <c r="F5109" s="6" t="s">
        <v>51</v>
      </c>
      <c r="G5109" s="7">
        <v>0.09</v>
      </c>
      <c r="H5109" s="6" t="s">
        <v>146</v>
      </c>
      <c r="I5109" s="6" t="s">
        <v>20</v>
      </c>
      <c r="J5109" s="6">
        <v>2010.0</v>
      </c>
      <c r="L5109" s="6">
        <v>3.0</v>
      </c>
      <c r="M5109" s="8">
        <f t="shared" si="5"/>
        <v>0.27</v>
      </c>
      <c r="P5109" s="9"/>
    </row>
    <row r="5110">
      <c r="A5110" s="6" t="s">
        <v>6798</v>
      </c>
      <c r="B5110" s="6" t="s">
        <v>6799</v>
      </c>
      <c r="C5110" s="6" t="s">
        <v>23</v>
      </c>
      <c r="D5110" s="6" t="s">
        <v>6800</v>
      </c>
      <c r="E5110" s="6" t="s">
        <v>175</v>
      </c>
      <c r="F5110" s="6" t="s">
        <v>51</v>
      </c>
      <c r="G5110" s="7">
        <v>0.04</v>
      </c>
      <c r="H5110" s="6" t="s">
        <v>276</v>
      </c>
      <c r="I5110" s="6" t="s">
        <v>20</v>
      </c>
      <c r="J5110" s="6">
        <v>2014.0</v>
      </c>
      <c r="K5110" s="10">
        <v>46054.0</v>
      </c>
      <c r="L5110" s="6">
        <v>2.0</v>
      </c>
      <c r="M5110" s="8">
        <f t="shared" si="5"/>
        <v>0.08</v>
      </c>
      <c r="P5110" s="9"/>
    </row>
    <row r="5111">
      <c r="A5111" s="6" t="s">
        <v>7019</v>
      </c>
      <c r="B5111" s="6" t="s">
        <v>372</v>
      </c>
      <c r="C5111" s="6" t="s">
        <v>23</v>
      </c>
      <c r="D5111" s="6" t="s">
        <v>1550</v>
      </c>
      <c r="E5111" s="6" t="s">
        <v>118</v>
      </c>
      <c r="F5111" s="6" t="s">
        <v>51</v>
      </c>
      <c r="G5111" s="7">
        <v>0.09</v>
      </c>
      <c r="H5111" s="6" t="s">
        <v>294</v>
      </c>
      <c r="I5111" s="6" t="s">
        <v>20</v>
      </c>
      <c r="J5111" s="6">
        <v>2010.0</v>
      </c>
      <c r="K5111" s="10">
        <v>46085.0</v>
      </c>
      <c r="L5111" s="6">
        <v>3.0</v>
      </c>
      <c r="M5111" s="8">
        <f t="shared" si="5"/>
        <v>0.27</v>
      </c>
      <c r="P5111" s="9"/>
    </row>
    <row r="5112">
      <c r="A5112" s="6" t="s">
        <v>7770</v>
      </c>
      <c r="B5112" s="6" t="s">
        <v>182</v>
      </c>
      <c r="C5112" s="6" t="s">
        <v>23</v>
      </c>
      <c r="D5112" s="6" t="s">
        <v>3552</v>
      </c>
      <c r="E5112" s="6" t="s">
        <v>118</v>
      </c>
      <c r="F5112" s="6" t="s">
        <v>51</v>
      </c>
      <c r="G5112" s="7">
        <v>0.1</v>
      </c>
      <c r="H5112" s="6" t="s">
        <v>146</v>
      </c>
      <c r="I5112" s="6" t="s">
        <v>20</v>
      </c>
      <c r="J5112" s="6">
        <v>2010.0</v>
      </c>
      <c r="L5112" s="6">
        <v>1.0</v>
      </c>
      <c r="M5112" s="8">
        <f t="shared" si="5"/>
        <v>0.1</v>
      </c>
      <c r="P5112" s="9"/>
    </row>
    <row r="5113">
      <c r="A5113" s="6" t="s">
        <v>10825</v>
      </c>
      <c r="B5113" s="6" t="s">
        <v>182</v>
      </c>
      <c r="C5113" s="6" t="s">
        <v>23</v>
      </c>
      <c r="D5113" s="6" t="s">
        <v>10826</v>
      </c>
      <c r="E5113" s="6" t="s">
        <v>79</v>
      </c>
      <c r="F5113" s="6" t="s">
        <v>51</v>
      </c>
      <c r="G5113" s="7">
        <v>0.05</v>
      </c>
      <c r="H5113" s="6" t="s">
        <v>1327</v>
      </c>
      <c r="I5113" s="6" t="s">
        <v>20</v>
      </c>
      <c r="J5113" s="6">
        <v>2011.0</v>
      </c>
      <c r="L5113" s="6">
        <v>1.0</v>
      </c>
      <c r="M5113" s="8">
        <f t="shared" si="5"/>
        <v>0.05</v>
      </c>
      <c r="P5113" s="9"/>
    </row>
    <row r="5114">
      <c r="A5114" s="6" t="s">
        <v>10827</v>
      </c>
      <c r="B5114" s="6" t="s">
        <v>182</v>
      </c>
      <c r="C5114" s="6" t="s">
        <v>23</v>
      </c>
      <c r="D5114" s="6" t="s">
        <v>10828</v>
      </c>
      <c r="E5114" s="6" t="s">
        <v>118</v>
      </c>
      <c r="F5114" s="6" t="s">
        <v>51</v>
      </c>
      <c r="G5114" s="7">
        <v>0.14</v>
      </c>
      <c r="H5114" s="6" t="s">
        <v>1361</v>
      </c>
      <c r="I5114" s="6" t="s">
        <v>20</v>
      </c>
      <c r="J5114" s="6">
        <v>2008.0</v>
      </c>
      <c r="L5114" s="6">
        <v>1.0</v>
      </c>
      <c r="M5114" s="8">
        <f t="shared" si="5"/>
        <v>0.14</v>
      </c>
      <c r="P5114" s="9"/>
    </row>
    <row r="5115">
      <c r="A5115" s="6" t="s">
        <v>10829</v>
      </c>
      <c r="B5115" s="6" t="s">
        <v>182</v>
      </c>
      <c r="C5115" s="6" t="s">
        <v>23</v>
      </c>
      <c r="D5115" s="6" t="s">
        <v>10830</v>
      </c>
      <c r="E5115" s="6" t="s">
        <v>573</v>
      </c>
      <c r="F5115" s="6" t="s">
        <v>51</v>
      </c>
      <c r="G5115" s="7">
        <v>0.05</v>
      </c>
      <c r="H5115" s="6" t="s">
        <v>340</v>
      </c>
      <c r="I5115" s="6" t="s">
        <v>20</v>
      </c>
      <c r="J5115" s="6">
        <v>2010.0</v>
      </c>
      <c r="L5115" s="6">
        <v>1.0</v>
      </c>
      <c r="M5115" s="8">
        <f t="shared" si="5"/>
        <v>0.05</v>
      </c>
      <c r="P5115" s="9"/>
    </row>
    <row r="5116">
      <c r="A5116" s="6" t="s">
        <v>7770</v>
      </c>
      <c r="B5116" s="6" t="s">
        <v>182</v>
      </c>
      <c r="C5116" s="6" t="s">
        <v>23</v>
      </c>
      <c r="D5116" s="6" t="s">
        <v>3552</v>
      </c>
      <c r="E5116" s="6" t="s">
        <v>118</v>
      </c>
      <c r="F5116" s="6" t="s">
        <v>51</v>
      </c>
      <c r="G5116" s="7">
        <v>0.11</v>
      </c>
      <c r="H5116" s="6" t="s">
        <v>276</v>
      </c>
      <c r="I5116" s="6" t="s">
        <v>20</v>
      </c>
      <c r="J5116" s="6">
        <v>2014.0</v>
      </c>
      <c r="L5116" s="6">
        <v>3.0</v>
      </c>
      <c r="M5116" s="8">
        <f t="shared" si="5"/>
        <v>0.33</v>
      </c>
      <c r="P5116" s="9"/>
    </row>
    <row r="5117">
      <c r="A5117" s="6" t="s">
        <v>10831</v>
      </c>
      <c r="B5117" s="6" t="s">
        <v>182</v>
      </c>
      <c r="C5117" s="6" t="s">
        <v>48</v>
      </c>
      <c r="D5117" s="6" t="s">
        <v>10832</v>
      </c>
      <c r="E5117" s="6" t="s">
        <v>118</v>
      </c>
      <c r="F5117" s="6" t="s">
        <v>51</v>
      </c>
      <c r="G5117" s="7">
        <v>0.07</v>
      </c>
      <c r="H5117" s="6" t="s">
        <v>626</v>
      </c>
      <c r="I5117" s="6" t="s">
        <v>20</v>
      </c>
      <c r="J5117" s="6">
        <v>2013.0</v>
      </c>
      <c r="L5117" s="6">
        <v>2.0</v>
      </c>
      <c r="M5117" s="8">
        <f t="shared" si="5"/>
        <v>0.14</v>
      </c>
      <c r="P5117" s="9"/>
    </row>
    <row r="5118">
      <c r="A5118" s="6" t="s">
        <v>3510</v>
      </c>
      <c r="B5118" s="6" t="s">
        <v>182</v>
      </c>
      <c r="C5118" s="6" t="s">
        <v>23</v>
      </c>
      <c r="D5118" s="6" t="s">
        <v>3511</v>
      </c>
      <c r="E5118" s="6" t="s">
        <v>79</v>
      </c>
      <c r="F5118" s="6" t="s">
        <v>51</v>
      </c>
      <c r="G5118" s="7">
        <v>0.06</v>
      </c>
      <c r="H5118" s="6" t="s">
        <v>294</v>
      </c>
      <c r="I5118" s="6" t="s">
        <v>20</v>
      </c>
      <c r="J5118" s="6">
        <v>2010.0</v>
      </c>
      <c r="L5118" s="6">
        <v>2.0</v>
      </c>
      <c r="M5118" s="8">
        <f t="shared" si="5"/>
        <v>0.12</v>
      </c>
      <c r="P5118" s="9"/>
    </row>
    <row r="5119">
      <c r="A5119" s="6" t="s">
        <v>10833</v>
      </c>
      <c r="B5119" s="6" t="s">
        <v>182</v>
      </c>
      <c r="C5119" s="6" t="s">
        <v>23</v>
      </c>
      <c r="D5119" s="6" t="s">
        <v>10834</v>
      </c>
      <c r="E5119" s="6" t="s">
        <v>79</v>
      </c>
      <c r="F5119" s="6" t="s">
        <v>51</v>
      </c>
      <c r="G5119" s="7">
        <v>0.06</v>
      </c>
      <c r="H5119" s="6" t="s">
        <v>1514</v>
      </c>
      <c r="I5119" s="6" t="s">
        <v>20</v>
      </c>
      <c r="J5119" s="6">
        <v>2009.0</v>
      </c>
      <c r="L5119" s="6">
        <v>2.0</v>
      </c>
      <c r="M5119" s="8">
        <f t="shared" si="5"/>
        <v>0.12</v>
      </c>
      <c r="P5119" s="9"/>
    </row>
    <row r="5120">
      <c r="A5120" s="6" t="s">
        <v>10835</v>
      </c>
      <c r="B5120" s="6" t="s">
        <v>202</v>
      </c>
      <c r="C5120" s="6" t="s">
        <v>41</v>
      </c>
      <c r="D5120" s="6" t="s">
        <v>10836</v>
      </c>
      <c r="E5120" s="6" t="s">
        <v>158</v>
      </c>
      <c r="F5120" s="6" t="s">
        <v>159</v>
      </c>
      <c r="G5120" s="7">
        <v>31.26</v>
      </c>
      <c r="H5120" s="6" t="s">
        <v>146</v>
      </c>
      <c r="I5120" s="6" t="s">
        <v>20</v>
      </c>
      <c r="J5120" s="6">
        <v>2010.0</v>
      </c>
      <c r="L5120" s="6">
        <v>1.0</v>
      </c>
      <c r="M5120" s="8">
        <f t="shared" si="5"/>
        <v>31.26</v>
      </c>
      <c r="N5120" s="6" t="s">
        <v>172</v>
      </c>
      <c r="P5120" s="9"/>
    </row>
    <row r="5121">
      <c r="A5121" s="6" t="s">
        <v>10837</v>
      </c>
      <c r="B5121" s="6" t="s">
        <v>10530</v>
      </c>
      <c r="C5121" s="6" t="s">
        <v>48</v>
      </c>
      <c r="D5121" s="6" t="s">
        <v>10838</v>
      </c>
      <c r="E5121" s="6" t="s">
        <v>298</v>
      </c>
      <c r="F5121" s="6" t="s">
        <v>159</v>
      </c>
      <c r="G5121" s="7">
        <v>0.65</v>
      </c>
      <c r="H5121" s="6" t="s">
        <v>1361</v>
      </c>
      <c r="I5121" s="6" t="s">
        <v>20</v>
      </c>
      <c r="J5121" s="6">
        <v>2008.0</v>
      </c>
      <c r="K5121" s="6" t="s">
        <v>89</v>
      </c>
      <c r="L5121" s="6">
        <v>1.0</v>
      </c>
      <c r="M5121" s="8">
        <f t="shared" si="5"/>
        <v>0.65</v>
      </c>
      <c r="N5121" s="6" t="s">
        <v>172</v>
      </c>
      <c r="P5121" s="9"/>
    </row>
    <row r="5122">
      <c r="A5122" s="6" t="s">
        <v>10839</v>
      </c>
      <c r="B5122" s="6" t="s">
        <v>7489</v>
      </c>
      <c r="C5122" s="6" t="s">
        <v>41</v>
      </c>
      <c r="D5122" s="6" t="s">
        <v>10840</v>
      </c>
      <c r="E5122" s="6" t="s">
        <v>3477</v>
      </c>
      <c r="F5122" s="6" t="s">
        <v>159</v>
      </c>
      <c r="G5122" s="7">
        <v>29.79</v>
      </c>
      <c r="H5122" s="6" t="s">
        <v>146</v>
      </c>
      <c r="I5122" s="6" t="s">
        <v>20</v>
      </c>
      <c r="J5122" s="6">
        <v>2010.0</v>
      </c>
      <c r="K5122" s="10">
        <v>46055.0</v>
      </c>
      <c r="L5122" s="6">
        <v>1.0</v>
      </c>
      <c r="M5122" s="8">
        <f t="shared" si="5"/>
        <v>29.79</v>
      </c>
      <c r="N5122" s="6" t="s">
        <v>172</v>
      </c>
      <c r="P5122" s="9"/>
    </row>
    <row r="5123">
      <c r="A5123" s="6" t="s">
        <v>10841</v>
      </c>
      <c r="B5123" s="6" t="s">
        <v>8671</v>
      </c>
      <c r="C5123" s="6" t="s">
        <v>48</v>
      </c>
      <c r="D5123" s="6" t="s">
        <v>10842</v>
      </c>
      <c r="E5123" s="6" t="s">
        <v>79</v>
      </c>
      <c r="F5123" s="6" t="s">
        <v>51</v>
      </c>
      <c r="G5123" s="7">
        <v>0.06</v>
      </c>
      <c r="H5123" s="6" t="s">
        <v>427</v>
      </c>
      <c r="I5123" s="6" t="s">
        <v>20</v>
      </c>
      <c r="J5123" s="6">
        <v>2009.0</v>
      </c>
      <c r="L5123" s="6">
        <v>1.0</v>
      </c>
      <c r="M5123" s="8">
        <f t="shared" si="5"/>
        <v>0.06</v>
      </c>
      <c r="P5123" s="9"/>
    </row>
    <row r="5124">
      <c r="A5124" s="6" t="s">
        <v>10843</v>
      </c>
      <c r="B5124" s="6" t="s">
        <v>62</v>
      </c>
      <c r="C5124" s="6" t="s">
        <v>23</v>
      </c>
      <c r="D5124" s="6" t="s">
        <v>10844</v>
      </c>
      <c r="E5124" s="6" t="s">
        <v>118</v>
      </c>
      <c r="F5124" s="6" t="s">
        <v>51</v>
      </c>
      <c r="G5124" s="7">
        <v>0.06</v>
      </c>
      <c r="H5124" s="6" t="s">
        <v>491</v>
      </c>
      <c r="I5124" s="6" t="s">
        <v>20</v>
      </c>
      <c r="J5124" s="6">
        <v>2011.0</v>
      </c>
      <c r="L5124" s="6">
        <v>1.0</v>
      </c>
      <c r="M5124" s="8">
        <f t="shared" si="5"/>
        <v>0.06</v>
      </c>
      <c r="P5124" s="9"/>
    </row>
    <row r="5125">
      <c r="A5125" s="6" t="s">
        <v>10845</v>
      </c>
      <c r="B5125" s="6" t="s">
        <v>62</v>
      </c>
      <c r="C5125" s="6" t="s">
        <v>23</v>
      </c>
      <c r="D5125" s="6" t="s">
        <v>10846</v>
      </c>
      <c r="E5125" s="6" t="s">
        <v>79</v>
      </c>
      <c r="F5125" s="6" t="s">
        <v>51</v>
      </c>
      <c r="G5125" s="7">
        <v>0.03</v>
      </c>
      <c r="H5125" s="6" t="s">
        <v>1293</v>
      </c>
      <c r="I5125" s="6" t="s">
        <v>20</v>
      </c>
      <c r="J5125" s="6">
        <v>2011.0</v>
      </c>
      <c r="L5125" s="6">
        <v>1.0</v>
      </c>
      <c r="M5125" s="8">
        <f t="shared" si="5"/>
        <v>0.03</v>
      </c>
      <c r="P5125" s="9"/>
    </row>
    <row r="5126">
      <c r="A5126" s="6" t="s">
        <v>8820</v>
      </c>
      <c r="B5126" s="6" t="s">
        <v>62</v>
      </c>
      <c r="C5126" s="6" t="s">
        <v>23</v>
      </c>
      <c r="D5126" s="6" t="s">
        <v>8821</v>
      </c>
      <c r="E5126" s="6" t="s">
        <v>118</v>
      </c>
      <c r="F5126" s="6" t="s">
        <v>51</v>
      </c>
      <c r="G5126" s="7">
        <v>0.08</v>
      </c>
      <c r="H5126" s="6" t="s">
        <v>491</v>
      </c>
      <c r="I5126" s="6" t="s">
        <v>20</v>
      </c>
      <c r="J5126" s="6">
        <v>2011.0</v>
      </c>
      <c r="L5126" s="6">
        <v>1.0</v>
      </c>
      <c r="M5126" s="8">
        <f t="shared" si="5"/>
        <v>0.08</v>
      </c>
      <c r="P5126" s="9"/>
    </row>
    <row r="5127">
      <c r="A5127" s="6" t="s">
        <v>10847</v>
      </c>
      <c r="B5127" s="6" t="s">
        <v>62</v>
      </c>
      <c r="C5127" s="6" t="s">
        <v>23</v>
      </c>
      <c r="D5127" s="6" t="s">
        <v>10848</v>
      </c>
      <c r="E5127" s="6" t="s">
        <v>79</v>
      </c>
      <c r="F5127" s="6" t="s">
        <v>51</v>
      </c>
      <c r="G5127" s="7">
        <v>0.06</v>
      </c>
      <c r="H5127" s="6" t="s">
        <v>146</v>
      </c>
      <c r="I5127" s="6" t="s">
        <v>20</v>
      </c>
      <c r="J5127" s="6">
        <v>2010.0</v>
      </c>
      <c r="L5127" s="6">
        <v>1.0</v>
      </c>
      <c r="M5127" s="8">
        <f t="shared" si="5"/>
        <v>0.06</v>
      </c>
      <c r="P5127" s="9"/>
    </row>
    <row r="5128">
      <c r="A5128" s="6" t="s">
        <v>10849</v>
      </c>
      <c r="B5128" s="6" t="s">
        <v>62</v>
      </c>
      <c r="C5128" s="6" t="s">
        <v>23</v>
      </c>
      <c r="D5128" s="6" t="s">
        <v>10850</v>
      </c>
      <c r="E5128" s="6" t="s">
        <v>118</v>
      </c>
      <c r="F5128" s="6" t="s">
        <v>51</v>
      </c>
      <c r="G5128" s="7">
        <v>0.07</v>
      </c>
      <c r="H5128" s="6" t="s">
        <v>1293</v>
      </c>
      <c r="I5128" s="6" t="s">
        <v>20</v>
      </c>
      <c r="J5128" s="6">
        <v>2011.0</v>
      </c>
      <c r="L5128" s="6">
        <v>1.0</v>
      </c>
      <c r="M5128" s="8">
        <f t="shared" si="5"/>
        <v>0.07</v>
      </c>
      <c r="P5128" s="9"/>
    </row>
    <row r="5129">
      <c r="A5129" s="6" t="s">
        <v>8687</v>
      </c>
      <c r="B5129" s="6" t="s">
        <v>62</v>
      </c>
      <c r="C5129" s="6" t="s">
        <v>23</v>
      </c>
      <c r="D5129" s="6" t="s">
        <v>8688</v>
      </c>
      <c r="E5129" s="6" t="s">
        <v>175</v>
      </c>
      <c r="F5129" s="6" t="s">
        <v>51</v>
      </c>
      <c r="G5129" s="7">
        <v>0.09</v>
      </c>
      <c r="H5129" s="6" t="s">
        <v>1418</v>
      </c>
      <c r="I5129" s="6" t="s">
        <v>20</v>
      </c>
      <c r="J5129" s="6">
        <v>2010.0</v>
      </c>
      <c r="L5129" s="6">
        <v>1.0</v>
      </c>
      <c r="M5129" s="8">
        <f t="shared" si="5"/>
        <v>0.09</v>
      </c>
      <c r="P5129" s="9"/>
    </row>
    <row r="5130">
      <c r="A5130" s="6" t="s">
        <v>10851</v>
      </c>
      <c r="B5130" s="6" t="s">
        <v>62</v>
      </c>
      <c r="C5130" s="6" t="s">
        <v>23</v>
      </c>
      <c r="D5130" s="6" t="s">
        <v>10852</v>
      </c>
      <c r="E5130" s="6" t="s">
        <v>79</v>
      </c>
      <c r="F5130" s="6" t="s">
        <v>51</v>
      </c>
      <c r="G5130" s="7">
        <v>0.05</v>
      </c>
      <c r="H5130" s="6" t="s">
        <v>427</v>
      </c>
      <c r="I5130" s="6" t="s">
        <v>20</v>
      </c>
      <c r="J5130" s="6">
        <v>2009.0</v>
      </c>
      <c r="L5130" s="6">
        <v>1.0</v>
      </c>
      <c r="M5130" s="8">
        <f t="shared" si="5"/>
        <v>0.05</v>
      </c>
      <c r="P5130" s="9"/>
    </row>
    <row r="5131">
      <c r="A5131" s="6" t="s">
        <v>10853</v>
      </c>
      <c r="B5131" s="6" t="s">
        <v>62</v>
      </c>
      <c r="C5131" s="6" t="s">
        <v>23</v>
      </c>
      <c r="D5131" s="6" t="s">
        <v>10854</v>
      </c>
      <c r="E5131" s="6" t="s">
        <v>118</v>
      </c>
      <c r="F5131" s="6" t="s">
        <v>51</v>
      </c>
      <c r="G5131" s="7">
        <v>0.06</v>
      </c>
      <c r="H5131" s="6" t="s">
        <v>154</v>
      </c>
      <c r="I5131" s="6" t="s">
        <v>20</v>
      </c>
      <c r="J5131" s="6">
        <v>2013.0</v>
      </c>
      <c r="L5131" s="6">
        <v>1.0</v>
      </c>
      <c r="M5131" s="8">
        <f t="shared" si="5"/>
        <v>0.06</v>
      </c>
      <c r="P5131" s="9"/>
    </row>
    <row r="5132">
      <c r="A5132" s="6" t="s">
        <v>10855</v>
      </c>
      <c r="B5132" s="6" t="s">
        <v>62</v>
      </c>
      <c r="C5132" s="6" t="s">
        <v>23</v>
      </c>
      <c r="D5132" s="6" t="s">
        <v>10856</v>
      </c>
      <c r="E5132" s="6" t="s">
        <v>1771</v>
      </c>
      <c r="F5132" s="6" t="s">
        <v>51</v>
      </c>
      <c r="G5132" s="7">
        <v>0.05</v>
      </c>
      <c r="H5132" s="6" t="s">
        <v>1293</v>
      </c>
      <c r="I5132" s="6" t="s">
        <v>20</v>
      </c>
      <c r="J5132" s="6">
        <v>2011.0</v>
      </c>
      <c r="L5132" s="6">
        <v>1.0</v>
      </c>
      <c r="M5132" s="8">
        <f t="shared" si="5"/>
        <v>0.05</v>
      </c>
      <c r="P5132" s="9"/>
    </row>
    <row r="5133">
      <c r="A5133" s="6" t="s">
        <v>10857</v>
      </c>
      <c r="B5133" s="6" t="s">
        <v>62</v>
      </c>
      <c r="C5133" s="6" t="s">
        <v>23</v>
      </c>
      <c r="D5133" s="6" t="s">
        <v>10858</v>
      </c>
      <c r="E5133" s="6" t="s">
        <v>175</v>
      </c>
      <c r="F5133" s="6" t="s">
        <v>51</v>
      </c>
      <c r="G5133" s="7">
        <v>0.09</v>
      </c>
      <c r="H5133" s="6" t="s">
        <v>2861</v>
      </c>
      <c r="I5133" s="6" t="s">
        <v>20</v>
      </c>
      <c r="J5133" s="6">
        <v>2008.0</v>
      </c>
      <c r="L5133" s="6">
        <v>1.0</v>
      </c>
      <c r="M5133" s="8">
        <f t="shared" si="5"/>
        <v>0.09</v>
      </c>
      <c r="P5133" s="9"/>
    </row>
    <row r="5134">
      <c r="A5134" s="6" t="s">
        <v>6306</v>
      </c>
      <c r="B5134" s="6" t="s">
        <v>62</v>
      </c>
      <c r="C5134" s="6" t="s">
        <v>23</v>
      </c>
      <c r="D5134" s="6" t="s">
        <v>6307</v>
      </c>
      <c r="E5134" s="6" t="s">
        <v>118</v>
      </c>
      <c r="F5134" s="6" t="s">
        <v>51</v>
      </c>
      <c r="G5134" s="7">
        <v>0.1</v>
      </c>
      <c r="H5134" s="6" t="s">
        <v>2639</v>
      </c>
      <c r="I5134" s="6" t="s">
        <v>20</v>
      </c>
      <c r="J5134" s="6">
        <v>2010.0</v>
      </c>
      <c r="L5134" s="6">
        <v>1.0</v>
      </c>
      <c r="M5134" s="8">
        <f t="shared" si="5"/>
        <v>0.1</v>
      </c>
      <c r="P5134" s="9"/>
    </row>
    <row r="5135">
      <c r="A5135" s="6" t="s">
        <v>6306</v>
      </c>
      <c r="B5135" s="6" t="s">
        <v>62</v>
      </c>
      <c r="C5135" s="6" t="s">
        <v>23</v>
      </c>
      <c r="D5135" s="6" t="s">
        <v>6307</v>
      </c>
      <c r="E5135" s="6" t="s">
        <v>118</v>
      </c>
      <c r="F5135" s="6" t="s">
        <v>51</v>
      </c>
      <c r="G5135" s="7">
        <v>0.05</v>
      </c>
      <c r="H5135" s="6" t="s">
        <v>294</v>
      </c>
      <c r="I5135" s="6" t="s">
        <v>20</v>
      </c>
      <c r="J5135" s="6">
        <v>2010.0</v>
      </c>
      <c r="L5135" s="6">
        <v>1.0</v>
      </c>
      <c r="M5135" s="8">
        <f t="shared" si="5"/>
        <v>0.05</v>
      </c>
      <c r="P5135" s="9"/>
    </row>
    <row r="5136">
      <c r="A5136" s="6" t="s">
        <v>3987</v>
      </c>
      <c r="B5136" s="6" t="s">
        <v>62</v>
      </c>
      <c r="C5136" s="6" t="s">
        <v>23</v>
      </c>
      <c r="D5136" s="6" t="s">
        <v>3988</v>
      </c>
      <c r="E5136" s="6" t="s">
        <v>79</v>
      </c>
      <c r="F5136" s="6" t="s">
        <v>51</v>
      </c>
      <c r="G5136" s="7">
        <v>0.06</v>
      </c>
      <c r="H5136" s="6" t="s">
        <v>154</v>
      </c>
      <c r="I5136" s="6" t="s">
        <v>20</v>
      </c>
      <c r="J5136" s="6">
        <v>2013.0</v>
      </c>
      <c r="L5136" s="6">
        <v>2.0</v>
      </c>
      <c r="M5136" s="8">
        <f t="shared" si="5"/>
        <v>0.12</v>
      </c>
      <c r="P5136" s="9"/>
    </row>
    <row r="5137">
      <c r="A5137" s="6" t="s">
        <v>10859</v>
      </c>
      <c r="B5137" s="6" t="s">
        <v>62</v>
      </c>
      <c r="C5137" s="6" t="s">
        <v>23</v>
      </c>
      <c r="D5137" s="6" t="s">
        <v>1968</v>
      </c>
      <c r="E5137" s="6" t="s">
        <v>118</v>
      </c>
      <c r="F5137" s="6" t="s">
        <v>51</v>
      </c>
      <c r="G5137" s="7">
        <v>0.06</v>
      </c>
      <c r="H5137" s="6" t="s">
        <v>146</v>
      </c>
      <c r="I5137" s="6" t="s">
        <v>20</v>
      </c>
      <c r="J5137" s="6">
        <v>2010.0</v>
      </c>
      <c r="L5137" s="6">
        <v>1.0</v>
      </c>
      <c r="M5137" s="8">
        <f t="shared" si="5"/>
        <v>0.06</v>
      </c>
      <c r="P5137" s="9"/>
    </row>
    <row r="5138">
      <c r="A5138" s="6" t="s">
        <v>10860</v>
      </c>
      <c r="B5138" s="6" t="s">
        <v>62</v>
      </c>
      <c r="C5138" s="6" t="s">
        <v>23</v>
      </c>
      <c r="D5138" s="6" t="s">
        <v>10861</v>
      </c>
      <c r="E5138" s="6" t="s">
        <v>395</v>
      </c>
      <c r="F5138" s="6" t="s">
        <v>51</v>
      </c>
      <c r="G5138" s="7">
        <v>0.05</v>
      </c>
      <c r="H5138" s="6" t="s">
        <v>188</v>
      </c>
      <c r="I5138" s="6" t="s">
        <v>20</v>
      </c>
      <c r="J5138" s="6">
        <v>2014.0</v>
      </c>
      <c r="L5138" s="6">
        <v>5.0</v>
      </c>
      <c r="M5138" s="8">
        <f t="shared" si="5"/>
        <v>0.25</v>
      </c>
      <c r="P5138" s="9"/>
    </row>
    <row r="5139">
      <c r="A5139" s="6" t="s">
        <v>10862</v>
      </c>
      <c r="B5139" s="6" t="s">
        <v>62</v>
      </c>
      <c r="C5139" s="6" t="s">
        <v>23</v>
      </c>
      <c r="D5139" s="6" t="s">
        <v>10863</v>
      </c>
      <c r="E5139" s="6" t="s">
        <v>175</v>
      </c>
      <c r="F5139" s="6" t="s">
        <v>51</v>
      </c>
      <c r="G5139" s="7">
        <v>0.14</v>
      </c>
      <c r="H5139" s="6" t="s">
        <v>1361</v>
      </c>
      <c r="I5139" s="6" t="s">
        <v>20</v>
      </c>
      <c r="J5139" s="6">
        <v>2008.0</v>
      </c>
      <c r="L5139" s="6">
        <v>2.0</v>
      </c>
      <c r="M5139" s="8">
        <f t="shared" si="5"/>
        <v>0.28</v>
      </c>
      <c r="P5139" s="9"/>
    </row>
    <row r="5140">
      <c r="A5140" s="6" t="s">
        <v>10864</v>
      </c>
      <c r="B5140" s="6" t="s">
        <v>62</v>
      </c>
      <c r="C5140" s="6" t="s">
        <v>23</v>
      </c>
      <c r="D5140" s="6" t="s">
        <v>10865</v>
      </c>
      <c r="E5140" s="6" t="s">
        <v>50</v>
      </c>
      <c r="F5140" s="6" t="s">
        <v>51</v>
      </c>
      <c r="G5140" s="7">
        <v>0.19</v>
      </c>
      <c r="H5140" s="6" t="s">
        <v>1293</v>
      </c>
      <c r="I5140" s="6" t="s">
        <v>20</v>
      </c>
      <c r="J5140" s="6">
        <v>2011.0</v>
      </c>
      <c r="L5140" s="6">
        <v>3.0</v>
      </c>
      <c r="M5140" s="8">
        <f t="shared" si="5"/>
        <v>0.57</v>
      </c>
      <c r="P5140" s="9"/>
    </row>
    <row r="5141">
      <c r="A5141" s="6" t="s">
        <v>10866</v>
      </c>
      <c r="B5141" s="6" t="s">
        <v>62</v>
      </c>
      <c r="C5141" s="6" t="s">
        <v>23</v>
      </c>
      <c r="D5141" s="6" t="s">
        <v>10867</v>
      </c>
      <c r="E5141" s="6" t="s">
        <v>175</v>
      </c>
      <c r="F5141" s="6" t="s">
        <v>51</v>
      </c>
      <c r="G5141" s="7">
        <v>0.06</v>
      </c>
      <c r="H5141" s="6" t="s">
        <v>1418</v>
      </c>
      <c r="I5141" s="6" t="s">
        <v>20</v>
      </c>
      <c r="J5141" s="6">
        <v>2010.0</v>
      </c>
      <c r="L5141" s="6">
        <v>2.0</v>
      </c>
      <c r="M5141" s="8">
        <f t="shared" si="5"/>
        <v>0.12</v>
      </c>
      <c r="P5141" s="9"/>
    </row>
    <row r="5142">
      <c r="A5142" s="6" t="s">
        <v>10868</v>
      </c>
      <c r="B5142" s="6" t="s">
        <v>131</v>
      </c>
      <c r="C5142" s="6" t="s">
        <v>48</v>
      </c>
      <c r="D5142" s="6" t="s">
        <v>10869</v>
      </c>
      <c r="E5142" s="6" t="s">
        <v>573</v>
      </c>
      <c r="F5142" s="6" t="s">
        <v>51</v>
      </c>
      <c r="G5142" s="7">
        <v>0.08</v>
      </c>
      <c r="H5142" s="6" t="s">
        <v>2639</v>
      </c>
      <c r="I5142" s="6" t="s">
        <v>20</v>
      </c>
      <c r="J5142" s="6">
        <v>2010.0</v>
      </c>
      <c r="K5142" s="10">
        <v>46085.0</v>
      </c>
      <c r="L5142" s="6">
        <v>2.0</v>
      </c>
      <c r="M5142" s="8">
        <f t="shared" si="5"/>
        <v>0.16</v>
      </c>
      <c r="P5142" s="9"/>
    </row>
    <row r="5143">
      <c r="A5143" s="6" t="s">
        <v>10870</v>
      </c>
      <c r="B5143" s="6" t="s">
        <v>6249</v>
      </c>
      <c r="C5143" s="6" t="s">
        <v>23</v>
      </c>
      <c r="D5143" s="6" t="s">
        <v>10871</v>
      </c>
      <c r="E5143" s="6" t="s">
        <v>175</v>
      </c>
      <c r="F5143" s="6" t="s">
        <v>51</v>
      </c>
      <c r="G5143" s="7">
        <v>0.03</v>
      </c>
      <c r="H5143" s="6" t="s">
        <v>276</v>
      </c>
      <c r="I5143" s="6" t="s">
        <v>20</v>
      </c>
      <c r="J5143" s="6">
        <v>2014.0</v>
      </c>
      <c r="K5143" s="10">
        <v>46024.0</v>
      </c>
      <c r="L5143" s="6">
        <v>2.0</v>
      </c>
      <c r="M5143" s="8">
        <f t="shared" si="5"/>
        <v>0.06</v>
      </c>
      <c r="P5143" s="9"/>
    </row>
    <row r="5144">
      <c r="A5144" s="6" t="s">
        <v>10872</v>
      </c>
      <c r="B5144" s="6" t="s">
        <v>10873</v>
      </c>
      <c r="C5144" s="6" t="s">
        <v>23</v>
      </c>
      <c r="E5144" s="6" t="s">
        <v>79</v>
      </c>
      <c r="F5144" s="6" t="s">
        <v>51</v>
      </c>
      <c r="G5144" s="7">
        <v>0.06</v>
      </c>
      <c r="H5144" s="6" t="s">
        <v>146</v>
      </c>
      <c r="I5144" s="6" t="s">
        <v>20</v>
      </c>
      <c r="J5144" s="6">
        <v>2010.0</v>
      </c>
      <c r="K5144" s="10">
        <v>46143.0</v>
      </c>
      <c r="L5144" s="6">
        <v>2.0</v>
      </c>
      <c r="M5144" s="8">
        <f t="shared" si="5"/>
        <v>0.12</v>
      </c>
      <c r="P5144" s="9"/>
    </row>
    <row r="5145">
      <c r="A5145" s="6" t="s">
        <v>10874</v>
      </c>
      <c r="B5145" s="6" t="s">
        <v>3357</v>
      </c>
      <c r="C5145" s="6" t="s">
        <v>23</v>
      </c>
      <c r="D5145" s="6" t="s">
        <v>10875</v>
      </c>
      <c r="E5145" s="6" t="s">
        <v>118</v>
      </c>
      <c r="F5145" s="6" t="s">
        <v>51</v>
      </c>
      <c r="G5145" s="7">
        <v>0.05</v>
      </c>
      <c r="H5145" s="6" t="s">
        <v>276</v>
      </c>
      <c r="I5145" s="6" t="s">
        <v>20</v>
      </c>
      <c r="J5145" s="6">
        <v>2014.0</v>
      </c>
      <c r="K5145" s="10">
        <v>46055.0</v>
      </c>
      <c r="L5145" s="6">
        <v>2.0</v>
      </c>
      <c r="M5145" s="8">
        <f t="shared" si="5"/>
        <v>0.1</v>
      </c>
      <c r="P5145" s="9"/>
    </row>
    <row r="5146">
      <c r="A5146" s="6" t="s">
        <v>10876</v>
      </c>
      <c r="B5146" s="6" t="s">
        <v>5555</v>
      </c>
      <c r="C5146" s="6" t="s">
        <v>23</v>
      </c>
      <c r="D5146" s="6" t="s">
        <v>10877</v>
      </c>
      <c r="E5146" s="6" t="s">
        <v>79</v>
      </c>
      <c r="F5146" s="6" t="s">
        <v>51</v>
      </c>
      <c r="G5146" s="7">
        <v>0.06</v>
      </c>
      <c r="H5146" s="6" t="s">
        <v>2861</v>
      </c>
      <c r="I5146" s="6" t="s">
        <v>20</v>
      </c>
      <c r="J5146" s="6">
        <v>2008.0</v>
      </c>
      <c r="K5146" s="10">
        <v>46055.0</v>
      </c>
      <c r="L5146" s="6">
        <v>2.0</v>
      </c>
      <c r="M5146" s="8">
        <f t="shared" si="5"/>
        <v>0.12</v>
      </c>
      <c r="P5146" s="9"/>
    </row>
    <row r="5147">
      <c r="A5147" s="6" t="s">
        <v>10561</v>
      </c>
      <c r="B5147" s="6" t="s">
        <v>139</v>
      </c>
      <c r="C5147" s="6" t="s">
        <v>48</v>
      </c>
      <c r="D5147" s="6" t="s">
        <v>10562</v>
      </c>
      <c r="E5147" s="6" t="s">
        <v>410</v>
      </c>
      <c r="F5147" s="6" t="s">
        <v>51</v>
      </c>
      <c r="G5147" s="7">
        <v>0.63</v>
      </c>
      <c r="H5147" s="6" t="s">
        <v>119</v>
      </c>
      <c r="I5147" s="6" t="s">
        <v>20</v>
      </c>
      <c r="J5147" s="6">
        <v>1995.0</v>
      </c>
      <c r="K5147" s="10">
        <v>46055.0</v>
      </c>
      <c r="L5147" s="6">
        <v>2.0</v>
      </c>
      <c r="M5147" s="8">
        <f t="shared" si="5"/>
        <v>1.26</v>
      </c>
      <c r="P5147" s="9"/>
    </row>
    <row r="5148">
      <c r="A5148" s="6" t="s">
        <v>10878</v>
      </c>
      <c r="B5148" s="6" t="s">
        <v>131</v>
      </c>
      <c r="C5148" s="6" t="s">
        <v>23</v>
      </c>
      <c r="D5148" s="6" t="s">
        <v>10879</v>
      </c>
      <c r="E5148" s="6" t="s">
        <v>79</v>
      </c>
      <c r="F5148" s="6" t="s">
        <v>51</v>
      </c>
      <c r="G5148" s="7">
        <v>0.06</v>
      </c>
      <c r="H5148" s="6" t="s">
        <v>914</v>
      </c>
      <c r="I5148" s="6" t="s">
        <v>20</v>
      </c>
      <c r="J5148" s="6">
        <v>2011.0</v>
      </c>
      <c r="K5148" s="10">
        <v>46055.0</v>
      </c>
      <c r="L5148" s="6">
        <v>2.0</v>
      </c>
      <c r="M5148" s="8">
        <f t="shared" si="5"/>
        <v>0.12</v>
      </c>
      <c r="P5148" s="9"/>
    </row>
    <row r="5149">
      <c r="A5149" s="6" t="s">
        <v>5127</v>
      </c>
      <c r="B5149" s="6" t="s">
        <v>131</v>
      </c>
      <c r="C5149" s="6" t="s">
        <v>23</v>
      </c>
      <c r="D5149" s="6" t="s">
        <v>5130</v>
      </c>
      <c r="E5149" s="6" t="s">
        <v>175</v>
      </c>
      <c r="F5149" s="6" t="s">
        <v>51</v>
      </c>
      <c r="G5149" s="7">
        <v>0.05</v>
      </c>
      <c r="H5149" s="6" t="s">
        <v>294</v>
      </c>
      <c r="I5149" s="6" t="s">
        <v>20</v>
      </c>
      <c r="J5149" s="6">
        <v>2010.0</v>
      </c>
      <c r="K5149" s="10">
        <v>46023.0</v>
      </c>
      <c r="L5149" s="6">
        <v>4.0</v>
      </c>
      <c r="M5149" s="8">
        <f t="shared" si="5"/>
        <v>0.2</v>
      </c>
      <c r="P5149" s="9"/>
    </row>
    <row r="5150">
      <c r="A5150" s="6" t="s">
        <v>10880</v>
      </c>
      <c r="B5150" s="6" t="s">
        <v>291</v>
      </c>
      <c r="C5150" s="6" t="s">
        <v>23</v>
      </c>
      <c r="D5150" s="6" t="s">
        <v>435</v>
      </c>
      <c r="E5150" s="6" t="s">
        <v>118</v>
      </c>
      <c r="F5150" s="6" t="s">
        <v>51</v>
      </c>
      <c r="G5150" s="7">
        <v>0.06</v>
      </c>
      <c r="H5150" s="6" t="s">
        <v>1514</v>
      </c>
      <c r="I5150" s="6" t="s">
        <v>20</v>
      </c>
      <c r="J5150" s="6">
        <v>2009.0</v>
      </c>
      <c r="K5150" s="10">
        <v>46054.0</v>
      </c>
      <c r="L5150" s="6">
        <v>1.0</v>
      </c>
      <c r="M5150" s="8">
        <f t="shared" si="5"/>
        <v>0.06</v>
      </c>
      <c r="P5150" s="9"/>
    </row>
    <row r="5151">
      <c r="A5151" s="6" t="s">
        <v>10880</v>
      </c>
      <c r="B5151" s="6" t="s">
        <v>291</v>
      </c>
      <c r="C5151" s="6" t="s">
        <v>23</v>
      </c>
      <c r="D5151" s="6" t="s">
        <v>435</v>
      </c>
      <c r="E5151" s="6" t="s">
        <v>118</v>
      </c>
      <c r="F5151" s="6" t="s">
        <v>51</v>
      </c>
      <c r="G5151" s="7">
        <v>0.05</v>
      </c>
      <c r="H5151" s="6" t="s">
        <v>294</v>
      </c>
      <c r="I5151" s="6" t="s">
        <v>20</v>
      </c>
      <c r="J5151" s="6">
        <v>2010.0</v>
      </c>
      <c r="K5151" s="10">
        <v>46023.0</v>
      </c>
      <c r="L5151" s="6">
        <v>4.0</v>
      </c>
      <c r="M5151" s="8">
        <f t="shared" si="5"/>
        <v>0.2</v>
      </c>
      <c r="P5151" s="9"/>
    </row>
    <row r="5152">
      <c r="A5152" s="6" t="s">
        <v>10881</v>
      </c>
      <c r="B5152" s="6" t="s">
        <v>6249</v>
      </c>
      <c r="C5152" s="6" t="s">
        <v>23</v>
      </c>
      <c r="D5152" s="6" t="s">
        <v>6961</v>
      </c>
      <c r="E5152" s="6" t="s">
        <v>118</v>
      </c>
      <c r="F5152" s="6" t="s">
        <v>51</v>
      </c>
      <c r="G5152" s="7">
        <v>0.06</v>
      </c>
      <c r="H5152" s="6" t="s">
        <v>294</v>
      </c>
      <c r="I5152" s="6" t="s">
        <v>20</v>
      </c>
      <c r="J5152" s="6">
        <v>2010.0</v>
      </c>
      <c r="K5152" s="10">
        <v>46024.0</v>
      </c>
      <c r="L5152" s="6">
        <v>5.0</v>
      </c>
      <c r="M5152" s="8">
        <f t="shared" si="5"/>
        <v>0.3</v>
      </c>
      <c r="P5152" s="9"/>
    </row>
    <row r="5153">
      <c r="A5153" s="6" t="s">
        <v>10881</v>
      </c>
      <c r="B5153" s="6" t="s">
        <v>6249</v>
      </c>
      <c r="C5153" s="6" t="s">
        <v>23</v>
      </c>
      <c r="D5153" s="6" t="s">
        <v>6961</v>
      </c>
      <c r="E5153" s="6" t="s">
        <v>118</v>
      </c>
      <c r="F5153" s="6" t="s">
        <v>51</v>
      </c>
      <c r="G5153" s="7">
        <v>0.06</v>
      </c>
      <c r="H5153" s="6" t="s">
        <v>914</v>
      </c>
      <c r="I5153" s="6" t="s">
        <v>20</v>
      </c>
      <c r="J5153" s="6">
        <v>2011.0</v>
      </c>
      <c r="K5153" s="10">
        <v>46024.0</v>
      </c>
      <c r="L5153" s="6">
        <v>1.0</v>
      </c>
      <c r="M5153" s="8">
        <f t="shared" si="5"/>
        <v>0.06</v>
      </c>
      <c r="P5153" s="9"/>
    </row>
    <row r="5154">
      <c r="A5154" s="6" t="s">
        <v>10882</v>
      </c>
      <c r="B5154" s="6" t="s">
        <v>7351</v>
      </c>
      <c r="C5154" s="6" t="s">
        <v>23</v>
      </c>
      <c r="E5154" s="6" t="s">
        <v>573</v>
      </c>
      <c r="F5154" s="6" t="s">
        <v>51</v>
      </c>
      <c r="G5154" s="7">
        <v>0.05</v>
      </c>
      <c r="H5154" s="6" t="s">
        <v>294</v>
      </c>
      <c r="I5154" s="6" t="s">
        <v>20</v>
      </c>
      <c r="J5154" s="6">
        <v>2010.0</v>
      </c>
      <c r="K5154" s="10">
        <v>46145.0</v>
      </c>
      <c r="L5154" s="6">
        <v>2.0</v>
      </c>
      <c r="M5154" s="8">
        <f t="shared" si="5"/>
        <v>0.1</v>
      </c>
      <c r="P5154" s="9"/>
    </row>
    <row r="5155">
      <c r="A5155" s="6" t="s">
        <v>10882</v>
      </c>
      <c r="B5155" s="6" t="s">
        <v>7351</v>
      </c>
      <c r="C5155" s="6" t="s">
        <v>23</v>
      </c>
      <c r="E5155" s="6" t="s">
        <v>573</v>
      </c>
      <c r="F5155" s="6" t="s">
        <v>51</v>
      </c>
      <c r="G5155" s="7">
        <v>0.06</v>
      </c>
      <c r="H5155" s="6" t="s">
        <v>1514</v>
      </c>
      <c r="I5155" s="6" t="s">
        <v>20</v>
      </c>
      <c r="J5155" s="6">
        <v>2009.0</v>
      </c>
      <c r="K5155" s="10">
        <v>46145.0</v>
      </c>
      <c r="L5155" s="6">
        <v>2.0</v>
      </c>
      <c r="M5155" s="8">
        <f t="shared" si="5"/>
        <v>0.12</v>
      </c>
      <c r="P5155" s="9"/>
    </row>
    <row r="5156">
      <c r="A5156" s="6" t="s">
        <v>10882</v>
      </c>
      <c r="B5156" s="6" t="s">
        <v>7351</v>
      </c>
      <c r="C5156" s="6" t="s">
        <v>23</v>
      </c>
      <c r="E5156" s="6" t="s">
        <v>573</v>
      </c>
      <c r="F5156" s="6" t="s">
        <v>51</v>
      </c>
      <c r="G5156" s="7">
        <v>0.06</v>
      </c>
      <c r="H5156" s="6" t="s">
        <v>154</v>
      </c>
      <c r="I5156" s="6" t="s">
        <v>20</v>
      </c>
      <c r="J5156" s="6">
        <v>2013.0</v>
      </c>
      <c r="K5156" s="10">
        <v>46145.0</v>
      </c>
      <c r="L5156" s="6">
        <v>1.0</v>
      </c>
      <c r="M5156" s="8">
        <f t="shared" si="5"/>
        <v>0.06</v>
      </c>
      <c r="P5156" s="9"/>
    </row>
    <row r="5157">
      <c r="A5157" s="6" t="s">
        <v>10883</v>
      </c>
      <c r="B5157" s="6" t="s">
        <v>80</v>
      </c>
      <c r="C5157" s="6" t="s">
        <v>23</v>
      </c>
      <c r="D5157" s="6" t="s">
        <v>5615</v>
      </c>
      <c r="E5157" s="6" t="s">
        <v>118</v>
      </c>
      <c r="F5157" s="6" t="s">
        <v>51</v>
      </c>
      <c r="G5157" s="7">
        <v>0.15</v>
      </c>
      <c r="H5157" s="6" t="s">
        <v>2639</v>
      </c>
      <c r="I5157" s="6" t="s">
        <v>20</v>
      </c>
      <c r="J5157" s="6">
        <v>2010.0</v>
      </c>
      <c r="K5157" s="10">
        <v>46082.0</v>
      </c>
      <c r="L5157" s="6">
        <v>2.0</v>
      </c>
      <c r="M5157" s="8">
        <f t="shared" si="5"/>
        <v>0.3</v>
      </c>
      <c r="P5157" s="9"/>
    </row>
    <row r="5158">
      <c r="A5158" s="6" t="s">
        <v>10884</v>
      </c>
      <c r="B5158" s="6" t="s">
        <v>1978</v>
      </c>
      <c r="C5158" s="6" t="s">
        <v>23</v>
      </c>
      <c r="D5158" s="6" t="s">
        <v>974</v>
      </c>
      <c r="E5158" s="6" t="s">
        <v>50</v>
      </c>
      <c r="F5158" s="6" t="s">
        <v>51</v>
      </c>
      <c r="G5158" s="7">
        <v>0.06</v>
      </c>
      <c r="H5158" s="6" t="s">
        <v>294</v>
      </c>
      <c r="I5158" s="6" t="s">
        <v>20</v>
      </c>
      <c r="J5158" s="6">
        <v>2010.0</v>
      </c>
      <c r="K5158" s="10">
        <v>46056.0</v>
      </c>
      <c r="L5158" s="6">
        <v>5.0</v>
      </c>
      <c r="M5158" s="8">
        <f t="shared" si="5"/>
        <v>0.3</v>
      </c>
      <c r="P5158" s="9"/>
    </row>
    <row r="5159">
      <c r="A5159" s="6" t="s">
        <v>10885</v>
      </c>
      <c r="B5159" s="6" t="s">
        <v>3178</v>
      </c>
      <c r="C5159" s="6" t="s">
        <v>23</v>
      </c>
      <c r="D5159" s="6" t="s">
        <v>10886</v>
      </c>
      <c r="E5159" s="6" t="s">
        <v>118</v>
      </c>
      <c r="F5159" s="6" t="s">
        <v>51</v>
      </c>
      <c r="G5159" s="7">
        <v>0.06</v>
      </c>
      <c r="H5159" s="6" t="s">
        <v>1361</v>
      </c>
      <c r="I5159" s="6" t="s">
        <v>20</v>
      </c>
      <c r="J5159" s="6">
        <v>2008.0</v>
      </c>
      <c r="K5159" s="10">
        <v>46055.0</v>
      </c>
      <c r="L5159" s="6">
        <v>3.0</v>
      </c>
      <c r="M5159" s="8">
        <f t="shared" si="5"/>
        <v>0.18</v>
      </c>
      <c r="P5159" s="9"/>
    </row>
    <row r="5160">
      <c r="A5160" s="6" t="s">
        <v>10887</v>
      </c>
      <c r="B5160" s="6" t="s">
        <v>131</v>
      </c>
      <c r="C5160" s="6" t="s">
        <v>23</v>
      </c>
      <c r="D5160" s="6" t="s">
        <v>10888</v>
      </c>
      <c r="E5160" s="6" t="s">
        <v>175</v>
      </c>
      <c r="F5160" s="6" t="s">
        <v>51</v>
      </c>
      <c r="G5160" s="7">
        <v>0.33</v>
      </c>
      <c r="H5160" s="6" t="s">
        <v>1293</v>
      </c>
      <c r="I5160" s="6" t="s">
        <v>20</v>
      </c>
      <c r="J5160" s="6">
        <v>2011.0</v>
      </c>
      <c r="K5160" s="10">
        <v>46023.0</v>
      </c>
      <c r="L5160" s="6">
        <v>3.0</v>
      </c>
      <c r="M5160" s="8">
        <f t="shared" si="5"/>
        <v>0.99</v>
      </c>
      <c r="P5160" s="9"/>
    </row>
    <row r="5161">
      <c r="A5161" s="6" t="s">
        <v>10889</v>
      </c>
      <c r="B5161" s="6" t="s">
        <v>8361</v>
      </c>
      <c r="C5161" s="6" t="s">
        <v>23</v>
      </c>
      <c r="D5161" s="6" t="s">
        <v>10890</v>
      </c>
      <c r="E5161" s="6" t="s">
        <v>175</v>
      </c>
      <c r="F5161" s="6" t="s">
        <v>51</v>
      </c>
      <c r="G5161" s="7">
        <v>0.1</v>
      </c>
      <c r="H5161" s="6" t="s">
        <v>340</v>
      </c>
      <c r="I5161" s="6" t="s">
        <v>20</v>
      </c>
      <c r="J5161" s="6">
        <v>2010.0</v>
      </c>
      <c r="K5161" s="10">
        <v>46023.0</v>
      </c>
      <c r="L5161" s="6">
        <v>2.0</v>
      </c>
      <c r="M5161" s="8">
        <f t="shared" si="5"/>
        <v>0.2</v>
      </c>
      <c r="P5161" s="9"/>
    </row>
    <row r="5162">
      <c r="A5162" s="6" t="s">
        <v>10891</v>
      </c>
      <c r="B5162" s="6" t="s">
        <v>139</v>
      </c>
      <c r="C5162" s="6" t="s">
        <v>23</v>
      </c>
      <c r="D5162" s="6" t="s">
        <v>10892</v>
      </c>
      <c r="E5162" s="6" t="s">
        <v>395</v>
      </c>
      <c r="F5162" s="6" t="s">
        <v>51</v>
      </c>
      <c r="G5162" s="7">
        <v>0.05</v>
      </c>
      <c r="H5162" s="6" t="s">
        <v>294</v>
      </c>
      <c r="I5162" s="6" t="s">
        <v>20</v>
      </c>
      <c r="J5162" s="6">
        <v>2010.0</v>
      </c>
      <c r="K5162" s="10">
        <v>46083.0</v>
      </c>
      <c r="L5162" s="6">
        <v>5.0</v>
      </c>
      <c r="M5162" s="8">
        <f t="shared" si="5"/>
        <v>0.25</v>
      </c>
      <c r="P5162" s="9"/>
    </row>
    <row r="5163">
      <c r="A5163" s="6" t="s">
        <v>10893</v>
      </c>
      <c r="B5163" s="6" t="s">
        <v>10894</v>
      </c>
      <c r="C5163" s="6" t="s">
        <v>48</v>
      </c>
      <c r="D5163" s="6" t="s">
        <v>10895</v>
      </c>
      <c r="E5163" s="6" t="s">
        <v>5914</v>
      </c>
      <c r="F5163" s="6" t="s">
        <v>51</v>
      </c>
      <c r="G5163" s="7">
        <v>0.06</v>
      </c>
      <c r="H5163" s="6" t="s">
        <v>1361</v>
      </c>
      <c r="I5163" s="6" t="s">
        <v>20</v>
      </c>
      <c r="J5163" s="6">
        <v>2008.0</v>
      </c>
      <c r="K5163" s="10">
        <v>46116.0</v>
      </c>
      <c r="L5163" s="6">
        <v>2.0</v>
      </c>
      <c r="M5163" s="8">
        <f t="shared" si="5"/>
        <v>0.12</v>
      </c>
      <c r="P5163" s="9"/>
    </row>
    <row r="5164">
      <c r="A5164" s="6" t="s">
        <v>8542</v>
      </c>
      <c r="B5164" s="6" t="s">
        <v>331</v>
      </c>
      <c r="C5164" s="6" t="s">
        <v>23</v>
      </c>
      <c r="E5164" s="6" t="s">
        <v>118</v>
      </c>
      <c r="F5164" s="6" t="s">
        <v>51</v>
      </c>
      <c r="G5164" s="7">
        <v>0.05</v>
      </c>
      <c r="H5164" s="6" t="s">
        <v>294</v>
      </c>
      <c r="I5164" s="6" t="s">
        <v>20</v>
      </c>
      <c r="J5164" s="6">
        <v>2010.0</v>
      </c>
      <c r="K5164" s="10">
        <v>46055.0</v>
      </c>
      <c r="L5164" s="6">
        <v>3.0</v>
      </c>
      <c r="M5164" s="8">
        <f t="shared" si="5"/>
        <v>0.15</v>
      </c>
      <c r="P5164" s="9"/>
    </row>
    <row r="5165">
      <c r="A5165" s="6" t="s">
        <v>10896</v>
      </c>
      <c r="B5165" s="6" t="s">
        <v>8361</v>
      </c>
      <c r="C5165" s="6" t="s">
        <v>23</v>
      </c>
      <c r="D5165" s="6" t="s">
        <v>10897</v>
      </c>
      <c r="E5165" s="6" t="s">
        <v>79</v>
      </c>
      <c r="F5165" s="6" t="s">
        <v>51</v>
      </c>
      <c r="G5165" s="7">
        <v>0.05</v>
      </c>
      <c r="H5165" s="6" t="s">
        <v>427</v>
      </c>
      <c r="I5165" s="6" t="s">
        <v>20</v>
      </c>
      <c r="J5165" s="6">
        <v>2009.0</v>
      </c>
      <c r="K5165" s="10">
        <v>46055.0</v>
      </c>
      <c r="L5165" s="6">
        <v>4.0</v>
      </c>
      <c r="M5165" s="8">
        <f t="shared" si="5"/>
        <v>0.2</v>
      </c>
      <c r="P5165" s="9"/>
    </row>
    <row r="5166">
      <c r="A5166" s="6" t="s">
        <v>10898</v>
      </c>
      <c r="B5166" s="6" t="s">
        <v>131</v>
      </c>
      <c r="C5166" s="6" t="s">
        <v>23</v>
      </c>
      <c r="D5166" s="6" t="s">
        <v>10899</v>
      </c>
      <c r="E5166" s="6" t="s">
        <v>118</v>
      </c>
      <c r="F5166" s="6" t="s">
        <v>51</v>
      </c>
      <c r="G5166" s="7">
        <v>0.15</v>
      </c>
      <c r="H5166" s="6" t="s">
        <v>276</v>
      </c>
      <c r="I5166" s="6" t="s">
        <v>20</v>
      </c>
      <c r="J5166" s="6">
        <v>2014.0</v>
      </c>
      <c r="K5166" s="10">
        <v>46023.0</v>
      </c>
      <c r="L5166" s="6">
        <v>2.0</v>
      </c>
      <c r="M5166" s="8">
        <f t="shared" si="5"/>
        <v>0.3</v>
      </c>
      <c r="P5166" s="9"/>
    </row>
    <row r="5167">
      <c r="A5167" s="6" t="s">
        <v>10900</v>
      </c>
      <c r="B5167" s="6" t="s">
        <v>10901</v>
      </c>
      <c r="C5167" s="6" t="s">
        <v>23</v>
      </c>
      <c r="D5167" s="6" t="s">
        <v>10902</v>
      </c>
      <c r="E5167" s="6" t="s">
        <v>573</v>
      </c>
      <c r="F5167" s="6" t="s">
        <v>51</v>
      </c>
      <c r="G5167" s="7">
        <v>0.09</v>
      </c>
      <c r="H5167" s="6" t="s">
        <v>1361</v>
      </c>
      <c r="I5167" s="6" t="s">
        <v>20</v>
      </c>
      <c r="J5167" s="6">
        <v>2008.0</v>
      </c>
      <c r="K5167" s="6" t="s">
        <v>597</v>
      </c>
      <c r="L5167" s="6">
        <v>3.0</v>
      </c>
      <c r="M5167" s="8">
        <f t="shared" si="5"/>
        <v>0.27</v>
      </c>
      <c r="P5167" s="9"/>
    </row>
    <row r="5168">
      <c r="A5168" s="6" t="s">
        <v>10903</v>
      </c>
      <c r="B5168" s="6" t="s">
        <v>10904</v>
      </c>
      <c r="C5168" s="6" t="s">
        <v>23</v>
      </c>
      <c r="D5168" s="6" t="s">
        <v>10905</v>
      </c>
      <c r="E5168" s="6" t="s">
        <v>50</v>
      </c>
      <c r="F5168" s="6" t="s">
        <v>51</v>
      </c>
      <c r="G5168" s="7">
        <v>0.06</v>
      </c>
      <c r="H5168" s="6" t="s">
        <v>1293</v>
      </c>
      <c r="I5168" s="6" t="s">
        <v>20</v>
      </c>
      <c r="J5168" s="6">
        <v>2011.0</v>
      </c>
      <c r="K5168" s="10">
        <v>46024.0</v>
      </c>
      <c r="L5168" s="6">
        <v>2.0</v>
      </c>
      <c r="M5168" s="8">
        <f t="shared" si="5"/>
        <v>0.12</v>
      </c>
      <c r="P5168" s="9"/>
    </row>
    <row r="5169">
      <c r="A5169" s="6" t="s">
        <v>10906</v>
      </c>
      <c r="B5169" s="6" t="s">
        <v>2391</v>
      </c>
      <c r="C5169" s="6" t="s">
        <v>23</v>
      </c>
      <c r="D5169" s="6" t="s">
        <v>10907</v>
      </c>
      <c r="E5169" s="6" t="s">
        <v>79</v>
      </c>
      <c r="F5169" s="6" t="s">
        <v>51</v>
      </c>
      <c r="G5169" s="7">
        <v>0.17</v>
      </c>
      <c r="H5169" s="6" t="s">
        <v>491</v>
      </c>
      <c r="I5169" s="6" t="s">
        <v>20</v>
      </c>
      <c r="J5169" s="6">
        <v>2011.0</v>
      </c>
      <c r="K5169" s="10">
        <v>46113.0</v>
      </c>
      <c r="L5169" s="6">
        <v>2.0</v>
      </c>
      <c r="M5169" s="8">
        <f t="shared" si="5"/>
        <v>0.34</v>
      </c>
      <c r="P5169" s="9"/>
    </row>
    <row r="5170">
      <c r="A5170" s="6" t="s">
        <v>10908</v>
      </c>
      <c r="B5170" s="6" t="s">
        <v>131</v>
      </c>
      <c r="C5170" s="6" t="s">
        <v>23</v>
      </c>
      <c r="D5170" s="6" t="s">
        <v>10909</v>
      </c>
      <c r="E5170" s="6" t="s">
        <v>79</v>
      </c>
      <c r="F5170" s="6" t="s">
        <v>51</v>
      </c>
      <c r="G5170" s="7">
        <v>0.03</v>
      </c>
      <c r="H5170" s="6" t="s">
        <v>276</v>
      </c>
      <c r="I5170" s="6" t="s">
        <v>20</v>
      </c>
      <c r="J5170" s="6">
        <v>2014.0</v>
      </c>
      <c r="K5170" s="10">
        <v>46025.0</v>
      </c>
      <c r="L5170" s="6">
        <v>1.0</v>
      </c>
      <c r="M5170" s="8">
        <f t="shared" si="5"/>
        <v>0.03</v>
      </c>
      <c r="P5170" s="9"/>
    </row>
    <row r="5171">
      <c r="A5171" s="6" t="s">
        <v>4242</v>
      </c>
      <c r="B5171" s="6" t="s">
        <v>131</v>
      </c>
      <c r="C5171" s="6" t="s">
        <v>23</v>
      </c>
      <c r="D5171" s="6" t="s">
        <v>435</v>
      </c>
      <c r="E5171" s="6" t="s">
        <v>175</v>
      </c>
      <c r="F5171" s="6" t="s">
        <v>51</v>
      </c>
      <c r="G5171" s="7">
        <v>0.06</v>
      </c>
      <c r="H5171" s="6" t="s">
        <v>914</v>
      </c>
      <c r="I5171" s="6" t="s">
        <v>20</v>
      </c>
      <c r="J5171" s="6">
        <v>2011.0</v>
      </c>
      <c r="K5171" s="10">
        <v>46023.0</v>
      </c>
      <c r="L5171" s="6">
        <v>1.0</v>
      </c>
      <c r="M5171" s="8">
        <f t="shared" si="5"/>
        <v>0.06</v>
      </c>
      <c r="P5171" s="9"/>
    </row>
    <row r="5172">
      <c r="A5172" s="6" t="s">
        <v>4596</v>
      </c>
      <c r="B5172" s="6" t="s">
        <v>1978</v>
      </c>
      <c r="C5172" s="6" t="s">
        <v>23</v>
      </c>
      <c r="D5172" s="6" t="s">
        <v>4597</v>
      </c>
      <c r="E5172" s="6" t="s">
        <v>1771</v>
      </c>
      <c r="F5172" s="6" t="s">
        <v>51</v>
      </c>
      <c r="G5172" s="7">
        <v>0.03</v>
      </c>
      <c r="H5172" s="6" t="s">
        <v>276</v>
      </c>
      <c r="I5172" s="6" t="s">
        <v>20</v>
      </c>
      <c r="J5172" s="6">
        <v>2014.0</v>
      </c>
      <c r="K5172" s="10">
        <v>46113.0</v>
      </c>
      <c r="L5172" s="6">
        <v>1.0</v>
      </c>
      <c r="M5172" s="8">
        <f t="shared" si="5"/>
        <v>0.03</v>
      </c>
      <c r="P5172" s="9"/>
    </row>
    <row r="5173">
      <c r="A5173" s="6" t="s">
        <v>10910</v>
      </c>
      <c r="B5173" s="6" t="s">
        <v>5555</v>
      </c>
      <c r="C5173" s="6" t="s">
        <v>23</v>
      </c>
      <c r="D5173" s="6" t="s">
        <v>10911</v>
      </c>
      <c r="E5173" s="6" t="s">
        <v>118</v>
      </c>
      <c r="F5173" s="6" t="s">
        <v>51</v>
      </c>
      <c r="G5173" s="7">
        <v>0.08</v>
      </c>
      <c r="H5173" s="6" t="s">
        <v>396</v>
      </c>
      <c r="I5173" s="6" t="s">
        <v>20</v>
      </c>
      <c r="J5173" s="6">
        <v>2007.0</v>
      </c>
      <c r="K5173" s="10">
        <v>46023.0</v>
      </c>
      <c r="L5173" s="6">
        <v>1.0</v>
      </c>
      <c r="M5173" s="8">
        <f t="shared" si="5"/>
        <v>0.08</v>
      </c>
      <c r="P5173" s="9"/>
    </row>
    <row r="5174">
      <c r="A5174" s="6" t="s">
        <v>10912</v>
      </c>
      <c r="B5174" s="6" t="s">
        <v>5555</v>
      </c>
      <c r="C5174" s="6" t="s">
        <v>23</v>
      </c>
      <c r="D5174" s="6" t="s">
        <v>10913</v>
      </c>
      <c r="E5174" s="6" t="s">
        <v>175</v>
      </c>
      <c r="F5174" s="6" t="s">
        <v>51</v>
      </c>
      <c r="G5174" s="7">
        <v>0.1</v>
      </c>
      <c r="H5174" s="6" t="s">
        <v>10914</v>
      </c>
      <c r="I5174" s="6" t="s">
        <v>20</v>
      </c>
      <c r="J5174" s="6">
        <v>2008.0</v>
      </c>
      <c r="K5174" s="10">
        <v>46023.0</v>
      </c>
      <c r="L5174" s="6">
        <v>1.0</v>
      </c>
      <c r="M5174" s="8">
        <f t="shared" si="5"/>
        <v>0.1</v>
      </c>
      <c r="P5174" s="9"/>
    </row>
    <row r="5175">
      <c r="A5175" s="6" t="s">
        <v>10915</v>
      </c>
      <c r="B5175" s="6" t="s">
        <v>10901</v>
      </c>
      <c r="C5175" s="6" t="s">
        <v>23</v>
      </c>
      <c r="D5175" s="6" t="s">
        <v>10916</v>
      </c>
      <c r="E5175" s="6" t="s">
        <v>79</v>
      </c>
      <c r="F5175" s="6" t="s">
        <v>51</v>
      </c>
      <c r="G5175" s="7">
        <v>0.06</v>
      </c>
      <c r="H5175" s="6" t="s">
        <v>396</v>
      </c>
      <c r="I5175" s="6" t="s">
        <v>20</v>
      </c>
      <c r="J5175" s="6">
        <v>2007.0</v>
      </c>
      <c r="K5175" s="10">
        <v>46055.0</v>
      </c>
      <c r="L5175" s="6">
        <v>1.0</v>
      </c>
      <c r="M5175" s="8">
        <f t="shared" si="5"/>
        <v>0.06</v>
      </c>
      <c r="P5175" s="9"/>
    </row>
    <row r="5176">
      <c r="A5176" s="6" t="s">
        <v>594</v>
      </c>
      <c r="B5176" s="6" t="s">
        <v>134</v>
      </c>
      <c r="C5176" s="6" t="s">
        <v>23</v>
      </c>
      <c r="D5176" s="6" t="s">
        <v>595</v>
      </c>
      <c r="E5176" s="6" t="s">
        <v>118</v>
      </c>
      <c r="F5176" s="6" t="s">
        <v>51</v>
      </c>
      <c r="G5176" s="7">
        <v>0.08</v>
      </c>
      <c r="H5176" s="6" t="s">
        <v>154</v>
      </c>
      <c r="I5176" s="6" t="s">
        <v>20</v>
      </c>
      <c r="J5176" s="6">
        <v>2013.0</v>
      </c>
      <c r="K5176" s="6" t="s">
        <v>597</v>
      </c>
      <c r="L5176" s="6">
        <v>1.0</v>
      </c>
      <c r="M5176" s="8">
        <f t="shared" si="5"/>
        <v>0.08</v>
      </c>
      <c r="P5176" s="9"/>
    </row>
    <row r="5177">
      <c r="A5177" s="6" t="s">
        <v>10917</v>
      </c>
      <c r="B5177" s="6" t="s">
        <v>10725</v>
      </c>
      <c r="C5177" s="6" t="s">
        <v>23</v>
      </c>
      <c r="E5177" s="6" t="s">
        <v>50</v>
      </c>
      <c r="F5177" s="6" t="s">
        <v>51</v>
      </c>
      <c r="G5177" s="7">
        <v>0.06</v>
      </c>
      <c r="H5177" s="6" t="s">
        <v>154</v>
      </c>
      <c r="I5177" s="6" t="s">
        <v>20</v>
      </c>
      <c r="J5177" s="6">
        <v>2013.0</v>
      </c>
      <c r="K5177" s="10">
        <v>46114.0</v>
      </c>
      <c r="L5177" s="6">
        <v>1.0</v>
      </c>
      <c r="M5177" s="8">
        <f t="shared" si="5"/>
        <v>0.06</v>
      </c>
      <c r="P5177" s="9"/>
    </row>
    <row r="5178">
      <c r="A5178" s="6" t="s">
        <v>10918</v>
      </c>
      <c r="B5178" s="6" t="s">
        <v>131</v>
      </c>
      <c r="C5178" s="6" t="s">
        <v>23</v>
      </c>
      <c r="D5178" s="6" t="s">
        <v>10919</v>
      </c>
      <c r="E5178" s="6" t="s">
        <v>50</v>
      </c>
      <c r="F5178" s="6" t="s">
        <v>51</v>
      </c>
      <c r="G5178" s="7">
        <v>0.06</v>
      </c>
      <c r="H5178" s="6" t="s">
        <v>491</v>
      </c>
      <c r="I5178" s="6" t="s">
        <v>20</v>
      </c>
      <c r="J5178" s="6">
        <v>2011.0</v>
      </c>
      <c r="K5178" s="10">
        <v>46055.0</v>
      </c>
      <c r="L5178" s="6">
        <v>1.0</v>
      </c>
      <c r="M5178" s="8">
        <f t="shared" si="5"/>
        <v>0.06</v>
      </c>
      <c r="P5178" s="9"/>
    </row>
    <row r="5179">
      <c r="A5179" s="6" t="s">
        <v>10920</v>
      </c>
      <c r="B5179" s="6" t="s">
        <v>8361</v>
      </c>
      <c r="C5179" s="6" t="s">
        <v>48</v>
      </c>
      <c r="D5179" s="6" t="s">
        <v>10921</v>
      </c>
      <c r="E5179" s="6" t="s">
        <v>410</v>
      </c>
      <c r="F5179" s="6" t="s">
        <v>51</v>
      </c>
      <c r="G5179" s="7">
        <v>0.1</v>
      </c>
      <c r="H5179" s="6" t="s">
        <v>2639</v>
      </c>
      <c r="I5179" s="6" t="s">
        <v>20</v>
      </c>
      <c r="J5179" s="6">
        <v>2010.0</v>
      </c>
      <c r="K5179" s="10">
        <v>46055.0</v>
      </c>
      <c r="L5179" s="6">
        <v>1.0</v>
      </c>
      <c r="M5179" s="8">
        <f t="shared" si="5"/>
        <v>0.1</v>
      </c>
      <c r="P5179" s="9"/>
    </row>
    <row r="5180">
      <c r="A5180" s="6" t="s">
        <v>8807</v>
      </c>
      <c r="B5180" s="6" t="s">
        <v>127</v>
      </c>
      <c r="C5180" s="6" t="s">
        <v>23</v>
      </c>
      <c r="D5180" s="6" t="s">
        <v>8808</v>
      </c>
      <c r="E5180" s="6" t="s">
        <v>175</v>
      </c>
      <c r="F5180" s="6" t="s">
        <v>51</v>
      </c>
      <c r="G5180" s="7">
        <v>0.08</v>
      </c>
      <c r="H5180" s="6" t="s">
        <v>154</v>
      </c>
      <c r="I5180" s="6" t="s">
        <v>20</v>
      </c>
      <c r="J5180" s="6">
        <v>2013.0</v>
      </c>
      <c r="K5180" s="10">
        <v>46023.0</v>
      </c>
      <c r="L5180" s="6">
        <v>1.0</v>
      </c>
      <c r="M5180" s="8">
        <f t="shared" si="5"/>
        <v>0.08</v>
      </c>
      <c r="P5180" s="9"/>
    </row>
    <row r="5181">
      <c r="A5181" s="6" t="s">
        <v>10922</v>
      </c>
      <c r="B5181" s="6" t="s">
        <v>10901</v>
      </c>
      <c r="C5181" s="6" t="s">
        <v>48</v>
      </c>
      <c r="D5181" s="6" t="s">
        <v>10923</v>
      </c>
      <c r="E5181" s="6" t="s">
        <v>573</v>
      </c>
      <c r="F5181" s="6" t="s">
        <v>51</v>
      </c>
      <c r="G5181" s="7">
        <v>1.81</v>
      </c>
      <c r="H5181" s="6" t="s">
        <v>1361</v>
      </c>
      <c r="I5181" s="6" t="s">
        <v>20</v>
      </c>
      <c r="J5181" s="6">
        <v>2008.0</v>
      </c>
      <c r="K5181" s="10">
        <v>46055.0</v>
      </c>
      <c r="L5181" s="6">
        <v>1.0</v>
      </c>
      <c r="M5181" s="8">
        <f t="shared" si="5"/>
        <v>1.81</v>
      </c>
      <c r="N5181" s="6" t="s">
        <v>172</v>
      </c>
      <c r="P5181" s="9"/>
    </row>
    <row r="5182">
      <c r="A5182" s="6" t="s">
        <v>10924</v>
      </c>
      <c r="B5182" s="6" t="s">
        <v>2286</v>
      </c>
      <c r="C5182" s="6" t="s">
        <v>48</v>
      </c>
      <c r="D5182" s="6" t="s">
        <v>10925</v>
      </c>
      <c r="E5182" s="6" t="s">
        <v>573</v>
      </c>
      <c r="F5182" s="6" t="s">
        <v>51</v>
      </c>
      <c r="G5182" s="7">
        <v>0.15</v>
      </c>
      <c r="H5182" s="6" t="s">
        <v>2639</v>
      </c>
      <c r="I5182" s="6" t="s">
        <v>20</v>
      </c>
      <c r="J5182" s="6">
        <v>2010.0</v>
      </c>
      <c r="K5182" s="10">
        <v>46114.0</v>
      </c>
      <c r="L5182" s="6">
        <v>1.0</v>
      </c>
      <c r="M5182" s="8">
        <f t="shared" si="5"/>
        <v>0.15</v>
      </c>
      <c r="P5182" s="9"/>
    </row>
    <row r="5183">
      <c r="A5183" s="6" t="s">
        <v>10926</v>
      </c>
      <c r="B5183" s="6" t="s">
        <v>131</v>
      </c>
      <c r="C5183" s="6" t="s">
        <v>23</v>
      </c>
      <c r="D5183" s="6" t="s">
        <v>10927</v>
      </c>
      <c r="E5183" s="6" t="s">
        <v>79</v>
      </c>
      <c r="F5183" s="6" t="s">
        <v>51</v>
      </c>
      <c r="G5183" s="7">
        <v>0.06</v>
      </c>
      <c r="H5183" s="6" t="s">
        <v>701</v>
      </c>
      <c r="I5183" s="6" t="s">
        <v>20</v>
      </c>
      <c r="J5183" s="6">
        <v>2012.0</v>
      </c>
      <c r="K5183" s="6" t="s">
        <v>597</v>
      </c>
      <c r="L5183" s="6">
        <v>1.0</v>
      </c>
      <c r="M5183" s="8">
        <f t="shared" si="5"/>
        <v>0.06</v>
      </c>
      <c r="P5183" s="9"/>
    </row>
    <row r="5184">
      <c r="A5184" s="6" t="s">
        <v>893</v>
      </c>
      <c r="B5184" s="6" t="s">
        <v>127</v>
      </c>
      <c r="C5184" s="6" t="s">
        <v>23</v>
      </c>
      <c r="D5184" s="6" t="s">
        <v>894</v>
      </c>
      <c r="E5184" s="6" t="s">
        <v>118</v>
      </c>
      <c r="F5184" s="6" t="s">
        <v>51</v>
      </c>
      <c r="G5184" s="7">
        <v>0.06</v>
      </c>
      <c r="H5184" s="6" t="s">
        <v>491</v>
      </c>
      <c r="I5184" s="6" t="s">
        <v>20</v>
      </c>
      <c r="J5184" s="6">
        <v>2011.0</v>
      </c>
      <c r="K5184" s="10">
        <v>46054.0</v>
      </c>
      <c r="L5184" s="6">
        <v>1.0</v>
      </c>
      <c r="M5184" s="8">
        <f t="shared" si="5"/>
        <v>0.06</v>
      </c>
      <c r="P5184" s="9"/>
    </row>
    <row r="5185">
      <c r="A5185" s="6" t="s">
        <v>10928</v>
      </c>
      <c r="B5185" s="6" t="s">
        <v>127</v>
      </c>
      <c r="C5185" s="6" t="s">
        <v>23</v>
      </c>
      <c r="D5185" s="6" t="s">
        <v>10929</v>
      </c>
      <c r="E5185" s="6" t="s">
        <v>573</v>
      </c>
      <c r="F5185" s="6" t="s">
        <v>51</v>
      </c>
      <c r="G5185" s="7">
        <v>0.05</v>
      </c>
      <c r="H5185" s="6" t="s">
        <v>294</v>
      </c>
      <c r="I5185" s="6" t="s">
        <v>20</v>
      </c>
      <c r="J5185" s="6">
        <v>2010.0</v>
      </c>
      <c r="K5185" s="10">
        <v>46083.0</v>
      </c>
      <c r="L5185" s="6">
        <v>1.0</v>
      </c>
      <c r="M5185" s="8">
        <f t="shared" si="5"/>
        <v>0.05</v>
      </c>
      <c r="P5185" s="9"/>
    </row>
    <row r="5186">
      <c r="A5186" s="6" t="s">
        <v>10930</v>
      </c>
      <c r="B5186" s="6" t="s">
        <v>10931</v>
      </c>
      <c r="C5186" s="6" t="s">
        <v>48</v>
      </c>
      <c r="D5186" s="6" t="s">
        <v>10932</v>
      </c>
      <c r="E5186" s="6" t="s">
        <v>1771</v>
      </c>
      <c r="F5186" s="6" t="s">
        <v>51</v>
      </c>
      <c r="G5186" s="7">
        <v>0.13</v>
      </c>
      <c r="H5186" s="6" t="s">
        <v>2861</v>
      </c>
      <c r="I5186" s="6" t="s">
        <v>20</v>
      </c>
      <c r="J5186" s="6">
        <v>2008.0</v>
      </c>
      <c r="K5186" s="10">
        <v>46116.0</v>
      </c>
      <c r="L5186" s="6">
        <v>1.0</v>
      </c>
      <c r="M5186" s="8">
        <f t="shared" si="5"/>
        <v>0.13</v>
      </c>
      <c r="P5186" s="9"/>
    </row>
    <row r="5187">
      <c r="A5187" s="6" t="s">
        <v>10933</v>
      </c>
      <c r="B5187" s="6" t="s">
        <v>906</v>
      </c>
      <c r="C5187" s="6" t="s">
        <v>23</v>
      </c>
      <c r="D5187" s="6" t="s">
        <v>10934</v>
      </c>
      <c r="E5187" s="6" t="s">
        <v>573</v>
      </c>
      <c r="F5187" s="6" t="s">
        <v>51</v>
      </c>
      <c r="G5187" s="7">
        <v>0.08</v>
      </c>
      <c r="H5187" s="6" t="s">
        <v>1748</v>
      </c>
      <c r="I5187" s="6" t="s">
        <v>20</v>
      </c>
      <c r="J5187" s="6">
        <v>2008.0</v>
      </c>
      <c r="K5187" s="10">
        <v>46055.0</v>
      </c>
      <c r="L5187" s="6">
        <v>1.0</v>
      </c>
      <c r="M5187" s="8">
        <f t="shared" si="5"/>
        <v>0.08</v>
      </c>
      <c r="P5187" s="9"/>
    </row>
    <row r="5188">
      <c r="A5188" s="6" t="s">
        <v>10935</v>
      </c>
      <c r="B5188" s="6" t="s">
        <v>10936</v>
      </c>
      <c r="C5188" s="6" t="s">
        <v>48</v>
      </c>
      <c r="D5188" s="6" t="s">
        <v>10937</v>
      </c>
      <c r="E5188" s="6" t="s">
        <v>1771</v>
      </c>
      <c r="F5188" s="6" t="s">
        <v>51</v>
      </c>
      <c r="G5188" s="7">
        <v>0.06</v>
      </c>
      <c r="H5188" s="6" t="s">
        <v>146</v>
      </c>
      <c r="I5188" s="6" t="s">
        <v>20</v>
      </c>
      <c r="J5188" s="6">
        <v>2010.0</v>
      </c>
      <c r="K5188" s="10">
        <v>46084.0</v>
      </c>
      <c r="L5188" s="6">
        <v>1.0</v>
      </c>
      <c r="M5188" s="8">
        <f t="shared" si="5"/>
        <v>0.06</v>
      </c>
      <c r="P5188" s="9"/>
    </row>
    <row r="5189">
      <c r="A5189" s="6" t="s">
        <v>10938</v>
      </c>
      <c r="B5189" s="6" t="s">
        <v>398</v>
      </c>
      <c r="C5189" s="6" t="s">
        <v>48</v>
      </c>
      <c r="D5189" s="6" t="s">
        <v>10939</v>
      </c>
      <c r="E5189" s="6" t="s">
        <v>5914</v>
      </c>
      <c r="F5189" s="6" t="s">
        <v>51</v>
      </c>
      <c r="G5189" s="7">
        <v>0.02</v>
      </c>
      <c r="H5189" s="6" t="s">
        <v>1293</v>
      </c>
      <c r="I5189" s="6" t="s">
        <v>20</v>
      </c>
      <c r="J5189" s="6">
        <v>2011.0</v>
      </c>
      <c r="K5189" s="10">
        <v>46177.0</v>
      </c>
      <c r="L5189" s="6">
        <v>1.0</v>
      </c>
      <c r="M5189" s="8">
        <f t="shared" si="5"/>
        <v>0.02</v>
      </c>
      <c r="P5189" s="9"/>
    </row>
    <row r="5190">
      <c r="A5190" s="6" t="s">
        <v>10940</v>
      </c>
      <c r="B5190" s="6" t="s">
        <v>10941</v>
      </c>
      <c r="C5190" s="6" t="s">
        <v>23</v>
      </c>
      <c r="D5190" s="6" t="s">
        <v>10942</v>
      </c>
      <c r="E5190" s="6" t="s">
        <v>79</v>
      </c>
      <c r="F5190" s="6" t="s">
        <v>51</v>
      </c>
      <c r="G5190" s="7">
        <v>0.06</v>
      </c>
      <c r="H5190" s="6" t="s">
        <v>2512</v>
      </c>
      <c r="I5190" s="6" t="s">
        <v>20</v>
      </c>
      <c r="J5190" s="6">
        <v>2006.0</v>
      </c>
      <c r="K5190" s="10">
        <v>46024.0</v>
      </c>
      <c r="L5190" s="6">
        <v>1.0</v>
      </c>
      <c r="M5190" s="8">
        <f t="shared" si="5"/>
        <v>0.06</v>
      </c>
      <c r="P5190" s="9"/>
    </row>
    <row r="5191">
      <c r="A5191" s="6" t="s">
        <v>1966</v>
      </c>
      <c r="B5191" s="6" t="s">
        <v>151</v>
      </c>
      <c r="C5191" s="6" t="s">
        <v>23</v>
      </c>
      <c r="D5191" s="6" t="s">
        <v>974</v>
      </c>
      <c r="E5191" s="6" t="s">
        <v>738</v>
      </c>
      <c r="F5191" s="6" t="s">
        <v>51</v>
      </c>
      <c r="G5191" s="7">
        <v>0.05</v>
      </c>
      <c r="H5191" s="6" t="s">
        <v>491</v>
      </c>
      <c r="I5191" s="6" t="s">
        <v>20</v>
      </c>
      <c r="J5191" s="6">
        <v>2011.0</v>
      </c>
      <c r="K5191" s="10">
        <v>46083.0</v>
      </c>
      <c r="L5191" s="6">
        <v>1.0</v>
      </c>
      <c r="M5191" s="8">
        <f t="shared" si="5"/>
        <v>0.05</v>
      </c>
      <c r="P5191" s="9"/>
    </row>
    <row r="5192">
      <c r="A5192" s="6" t="s">
        <v>10943</v>
      </c>
      <c r="B5192" s="6" t="s">
        <v>326</v>
      </c>
      <c r="C5192" s="6" t="s">
        <v>23</v>
      </c>
      <c r="D5192" s="6" t="s">
        <v>10944</v>
      </c>
      <c r="E5192" s="6" t="s">
        <v>79</v>
      </c>
      <c r="F5192" s="6" t="s">
        <v>51</v>
      </c>
      <c r="G5192" s="7">
        <v>0.15</v>
      </c>
      <c r="H5192" s="6" t="s">
        <v>396</v>
      </c>
      <c r="I5192" s="6" t="s">
        <v>20</v>
      </c>
      <c r="J5192" s="6">
        <v>2007.0</v>
      </c>
      <c r="K5192" s="10">
        <v>46082.0</v>
      </c>
      <c r="L5192" s="6">
        <v>1.0</v>
      </c>
      <c r="M5192" s="8">
        <f t="shared" si="5"/>
        <v>0.15</v>
      </c>
      <c r="P5192" s="9"/>
    </row>
    <row r="5193">
      <c r="A5193" s="6" t="s">
        <v>10945</v>
      </c>
      <c r="B5193" s="6" t="s">
        <v>1978</v>
      </c>
      <c r="C5193" s="6" t="s">
        <v>23</v>
      </c>
      <c r="D5193" s="6" t="s">
        <v>974</v>
      </c>
      <c r="E5193" s="6" t="s">
        <v>79</v>
      </c>
      <c r="F5193" s="6" t="s">
        <v>51</v>
      </c>
      <c r="G5193" s="7">
        <v>0.05</v>
      </c>
      <c r="H5193" s="6" t="s">
        <v>294</v>
      </c>
      <c r="I5193" s="6" t="s">
        <v>20</v>
      </c>
      <c r="J5193" s="6">
        <v>2010.0</v>
      </c>
      <c r="K5193" s="10">
        <v>46055.0</v>
      </c>
      <c r="L5193" s="6">
        <v>1.0</v>
      </c>
      <c r="M5193" s="8">
        <f t="shared" si="5"/>
        <v>0.05</v>
      </c>
      <c r="P5193" s="9"/>
    </row>
    <row r="5194">
      <c r="A5194" s="6" t="s">
        <v>10946</v>
      </c>
      <c r="B5194" s="6" t="s">
        <v>6917</v>
      </c>
      <c r="C5194" s="6" t="s">
        <v>48</v>
      </c>
      <c r="D5194" s="6" t="s">
        <v>10947</v>
      </c>
      <c r="E5194" s="6" t="s">
        <v>395</v>
      </c>
      <c r="F5194" s="6" t="s">
        <v>51</v>
      </c>
      <c r="G5194" s="7">
        <v>0.1</v>
      </c>
      <c r="H5194" s="6" t="s">
        <v>2639</v>
      </c>
      <c r="I5194" s="6" t="s">
        <v>20</v>
      </c>
      <c r="J5194" s="6">
        <v>2010.0</v>
      </c>
      <c r="K5194" s="10">
        <v>46055.0</v>
      </c>
      <c r="L5194" s="6">
        <v>1.0</v>
      </c>
      <c r="M5194" s="8">
        <f t="shared" si="5"/>
        <v>0.1</v>
      </c>
      <c r="P5194" s="9"/>
    </row>
    <row r="5195">
      <c r="A5195" s="6" t="s">
        <v>10948</v>
      </c>
      <c r="B5195" s="6" t="s">
        <v>131</v>
      </c>
      <c r="C5195" s="6" t="s">
        <v>48</v>
      </c>
      <c r="E5195" s="6" t="s">
        <v>175</v>
      </c>
      <c r="F5195" s="6" t="s">
        <v>51</v>
      </c>
      <c r="G5195" s="7">
        <v>0.07</v>
      </c>
      <c r="H5195" s="6" t="s">
        <v>294</v>
      </c>
      <c r="I5195" s="6" t="s">
        <v>20</v>
      </c>
      <c r="J5195" s="6">
        <v>2010.0</v>
      </c>
      <c r="K5195" s="10">
        <v>46024.0</v>
      </c>
      <c r="L5195" s="6">
        <v>1.0</v>
      </c>
      <c r="M5195" s="8">
        <f t="shared" si="5"/>
        <v>0.07</v>
      </c>
      <c r="P5195" s="9"/>
    </row>
    <row r="5196">
      <c r="A5196" s="6" t="s">
        <v>10949</v>
      </c>
      <c r="B5196" s="6" t="s">
        <v>1978</v>
      </c>
      <c r="C5196" s="6" t="s">
        <v>23</v>
      </c>
      <c r="D5196" s="6" t="s">
        <v>10950</v>
      </c>
      <c r="E5196" s="6" t="s">
        <v>79</v>
      </c>
      <c r="F5196" s="6" t="s">
        <v>51</v>
      </c>
      <c r="G5196" s="7">
        <v>0.06</v>
      </c>
      <c r="H5196" s="6" t="s">
        <v>914</v>
      </c>
      <c r="I5196" s="6" t="s">
        <v>20</v>
      </c>
      <c r="J5196" s="6">
        <v>2011.0</v>
      </c>
      <c r="K5196" s="10">
        <v>46082.0</v>
      </c>
      <c r="L5196" s="6">
        <v>1.0</v>
      </c>
      <c r="M5196" s="8">
        <f t="shared" si="5"/>
        <v>0.06</v>
      </c>
      <c r="P5196" s="9"/>
    </row>
    <row r="5197">
      <c r="A5197" s="6" t="s">
        <v>884</v>
      </c>
      <c r="B5197" s="6" t="s">
        <v>291</v>
      </c>
      <c r="C5197" s="6" t="s">
        <v>23</v>
      </c>
      <c r="D5197" s="6" t="s">
        <v>885</v>
      </c>
      <c r="E5197" s="6" t="s">
        <v>79</v>
      </c>
      <c r="F5197" s="6" t="s">
        <v>51</v>
      </c>
      <c r="G5197" s="7">
        <v>0.06</v>
      </c>
      <c r="H5197" s="6" t="s">
        <v>914</v>
      </c>
      <c r="I5197" s="6" t="s">
        <v>20</v>
      </c>
      <c r="J5197" s="6">
        <v>2011.0</v>
      </c>
      <c r="K5197" s="10">
        <v>46055.0</v>
      </c>
      <c r="L5197" s="6">
        <v>1.0</v>
      </c>
      <c r="M5197" s="8">
        <f t="shared" si="5"/>
        <v>0.06</v>
      </c>
      <c r="P5197" s="9"/>
    </row>
    <row r="5198">
      <c r="A5198" s="6" t="s">
        <v>10951</v>
      </c>
      <c r="B5198" s="6" t="s">
        <v>408</v>
      </c>
      <c r="C5198" s="6" t="s">
        <v>48</v>
      </c>
      <c r="D5198" s="6" t="s">
        <v>10952</v>
      </c>
      <c r="E5198" s="6" t="s">
        <v>118</v>
      </c>
      <c r="F5198" s="6" t="s">
        <v>51</v>
      </c>
      <c r="G5198" s="7">
        <v>0.09</v>
      </c>
      <c r="H5198" s="6" t="s">
        <v>146</v>
      </c>
      <c r="I5198" s="6" t="s">
        <v>20</v>
      </c>
      <c r="J5198" s="6">
        <v>2010.0</v>
      </c>
      <c r="K5198" s="10">
        <v>46023.0</v>
      </c>
      <c r="L5198" s="6">
        <v>1.0</v>
      </c>
      <c r="M5198" s="8">
        <f t="shared" si="5"/>
        <v>0.09</v>
      </c>
      <c r="P5198" s="9"/>
    </row>
    <row r="5199">
      <c r="A5199" s="6" t="s">
        <v>10953</v>
      </c>
      <c r="B5199" s="6" t="s">
        <v>10954</v>
      </c>
      <c r="C5199" s="6" t="s">
        <v>23</v>
      </c>
      <c r="D5199" s="6" t="s">
        <v>974</v>
      </c>
      <c r="E5199" s="6" t="s">
        <v>410</v>
      </c>
      <c r="F5199" s="6" t="s">
        <v>51</v>
      </c>
      <c r="G5199" s="7">
        <v>0.09</v>
      </c>
      <c r="H5199" s="6" t="s">
        <v>1293</v>
      </c>
      <c r="I5199" s="6" t="s">
        <v>20</v>
      </c>
      <c r="J5199" s="6">
        <v>2011.0</v>
      </c>
      <c r="K5199" s="10">
        <v>46055.0</v>
      </c>
      <c r="L5199" s="6">
        <v>1.0</v>
      </c>
      <c r="M5199" s="8">
        <f t="shared" si="5"/>
        <v>0.09</v>
      </c>
      <c r="P5199" s="9"/>
    </row>
    <row r="5200">
      <c r="A5200" s="6" t="s">
        <v>10955</v>
      </c>
      <c r="B5200" s="6" t="s">
        <v>131</v>
      </c>
      <c r="C5200" s="6" t="s">
        <v>23</v>
      </c>
      <c r="D5200" s="6" t="s">
        <v>10956</v>
      </c>
      <c r="E5200" s="6" t="s">
        <v>79</v>
      </c>
      <c r="F5200" s="6" t="s">
        <v>51</v>
      </c>
      <c r="G5200" s="7">
        <v>0.03</v>
      </c>
      <c r="H5200" s="6" t="s">
        <v>491</v>
      </c>
      <c r="I5200" s="6" t="s">
        <v>20</v>
      </c>
      <c r="J5200" s="6">
        <v>2011.0</v>
      </c>
      <c r="K5200" s="10">
        <v>46055.0</v>
      </c>
      <c r="L5200" s="6">
        <v>1.0</v>
      </c>
      <c r="M5200" s="8">
        <f t="shared" si="5"/>
        <v>0.03</v>
      </c>
      <c r="P5200" s="9"/>
    </row>
    <row r="5201">
      <c r="A5201" s="6" t="s">
        <v>10957</v>
      </c>
      <c r="B5201" s="6" t="s">
        <v>131</v>
      </c>
      <c r="C5201" s="6" t="s">
        <v>23</v>
      </c>
      <c r="D5201" s="6" t="s">
        <v>10958</v>
      </c>
      <c r="E5201" s="6" t="s">
        <v>79</v>
      </c>
      <c r="F5201" s="6" t="s">
        <v>51</v>
      </c>
      <c r="G5201" s="7">
        <v>0.06</v>
      </c>
      <c r="H5201" s="6" t="s">
        <v>1514</v>
      </c>
      <c r="I5201" s="6" t="s">
        <v>20</v>
      </c>
      <c r="J5201" s="6">
        <v>2009.0</v>
      </c>
      <c r="K5201" s="10">
        <v>46113.0</v>
      </c>
      <c r="L5201" s="6">
        <v>1.0</v>
      </c>
      <c r="M5201" s="8">
        <f t="shared" si="5"/>
        <v>0.06</v>
      </c>
      <c r="P5201" s="9"/>
    </row>
    <row r="5202">
      <c r="A5202" s="6" t="s">
        <v>10959</v>
      </c>
      <c r="B5202" s="6" t="s">
        <v>131</v>
      </c>
      <c r="C5202" s="6" t="s">
        <v>23</v>
      </c>
      <c r="E5202" s="6" t="s">
        <v>118</v>
      </c>
      <c r="F5202" s="6" t="s">
        <v>51</v>
      </c>
      <c r="G5202" s="7">
        <v>0.06</v>
      </c>
      <c r="H5202" s="6" t="s">
        <v>2639</v>
      </c>
      <c r="I5202" s="6" t="s">
        <v>20</v>
      </c>
      <c r="J5202" s="6">
        <v>2010.0</v>
      </c>
      <c r="K5202" s="10">
        <v>46055.0</v>
      </c>
      <c r="L5202" s="6">
        <v>1.0</v>
      </c>
      <c r="M5202" s="8">
        <f t="shared" si="5"/>
        <v>0.06</v>
      </c>
      <c r="P5202" s="9"/>
    </row>
    <row r="5203">
      <c r="A5203" s="6" t="s">
        <v>10960</v>
      </c>
      <c r="B5203" s="6" t="s">
        <v>2391</v>
      </c>
      <c r="C5203" s="6" t="s">
        <v>23</v>
      </c>
      <c r="D5203" s="6" t="s">
        <v>10961</v>
      </c>
      <c r="E5203" s="6" t="s">
        <v>79</v>
      </c>
      <c r="F5203" s="6" t="s">
        <v>51</v>
      </c>
      <c r="G5203" s="7">
        <v>0.06</v>
      </c>
      <c r="H5203" s="6" t="s">
        <v>154</v>
      </c>
      <c r="I5203" s="6" t="s">
        <v>20</v>
      </c>
      <c r="J5203" s="6">
        <v>2013.0</v>
      </c>
      <c r="K5203" s="10">
        <v>46055.0</v>
      </c>
      <c r="L5203" s="6">
        <v>1.0</v>
      </c>
      <c r="M5203" s="8">
        <f t="shared" si="5"/>
        <v>0.06</v>
      </c>
      <c r="P5203" s="9"/>
    </row>
    <row r="5204">
      <c r="A5204" s="6" t="s">
        <v>10962</v>
      </c>
      <c r="B5204" s="6" t="s">
        <v>151</v>
      </c>
      <c r="C5204" s="6" t="s">
        <v>48</v>
      </c>
      <c r="D5204" s="6" t="s">
        <v>10963</v>
      </c>
      <c r="E5204" s="6" t="s">
        <v>118</v>
      </c>
      <c r="F5204" s="6" t="s">
        <v>51</v>
      </c>
      <c r="G5204" s="7">
        <v>0.15</v>
      </c>
      <c r="H5204" s="6" t="s">
        <v>340</v>
      </c>
      <c r="I5204" s="6" t="s">
        <v>20</v>
      </c>
      <c r="J5204" s="6">
        <v>2010.0</v>
      </c>
      <c r="K5204" s="10">
        <v>46023.0</v>
      </c>
      <c r="L5204" s="6">
        <v>1.0</v>
      </c>
      <c r="M5204" s="8">
        <f t="shared" si="5"/>
        <v>0.15</v>
      </c>
      <c r="P5204" s="9"/>
    </row>
    <row r="5205">
      <c r="A5205" s="6" t="s">
        <v>10964</v>
      </c>
      <c r="B5205" s="6" t="s">
        <v>10965</v>
      </c>
      <c r="C5205" s="6" t="s">
        <v>23</v>
      </c>
      <c r="D5205" s="6" t="s">
        <v>10966</v>
      </c>
      <c r="E5205" s="6" t="s">
        <v>118</v>
      </c>
      <c r="F5205" s="6" t="s">
        <v>51</v>
      </c>
      <c r="G5205" s="7">
        <v>0.05</v>
      </c>
      <c r="H5205" s="6" t="s">
        <v>2861</v>
      </c>
      <c r="I5205" s="6" t="s">
        <v>20</v>
      </c>
      <c r="J5205" s="6">
        <v>2008.0</v>
      </c>
      <c r="K5205" s="10">
        <v>46055.0</v>
      </c>
      <c r="L5205" s="6">
        <v>1.0</v>
      </c>
      <c r="M5205" s="8">
        <f t="shared" si="5"/>
        <v>0.05</v>
      </c>
      <c r="P5205" s="9"/>
    </row>
    <row r="5206">
      <c r="A5206" s="6" t="s">
        <v>10967</v>
      </c>
      <c r="B5206" s="6" t="s">
        <v>10968</v>
      </c>
      <c r="C5206" s="6" t="s">
        <v>23</v>
      </c>
      <c r="D5206" s="6" t="s">
        <v>10969</v>
      </c>
      <c r="E5206" s="6" t="s">
        <v>573</v>
      </c>
      <c r="F5206" s="6" t="s">
        <v>51</v>
      </c>
      <c r="G5206" s="7">
        <v>0.05</v>
      </c>
      <c r="H5206" s="6" t="s">
        <v>396</v>
      </c>
      <c r="I5206" s="6" t="s">
        <v>20</v>
      </c>
      <c r="J5206" s="6">
        <v>2007.0</v>
      </c>
      <c r="K5206" s="10">
        <v>46083.0</v>
      </c>
      <c r="L5206" s="6">
        <v>1.0</v>
      </c>
      <c r="M5206" s="8">
        <f t="shared" si="5"/>
        <v>0.05</v>
      </c>
      <c r="P5206" s="9"/>
    </row>
    <row r="5207">
      <c r="A5207" s="6" t="s">
        <v>10970</v>
      </c>
      <c r="B5207" s="6" t="s">
        <v>326</v>
      </c>
      <c r="C5207" s="6" t="s">
        <v>23</v>
      </c>
      <c r="D5207" s="6" t="s">
        <v>10971</v>
      </c>
      <c r="E5207" s="6" t="s">
        <v>118</v>
      </c>
      <c r="F5207" s="6" t="s">
        <v>51</v>
      </c>
      <c r="G5207" s="7">
        <v>0.05</v>
      </c>
      <c r="H5207" s="6" t="s">
        <v>2861</v>
      </c>
      <c r="I5207" s="6" t="s">
        <v>20</v>
      </c>
      <c r="J5207" s="6">
        <v>2008.0</v>
      </c>
      <c r="K5207" s="6" t="s">
        <v>697</v>
      </c>
      <c r="L5207" s="6">
        <v>1.0</v>
      </c>
      <c r="M5207" s="8">
        <f t="shared" si="5"/>
        <v>0.05</v>
      </c>
      <c r="P5207" s="9"/>
    </row>
    <row r="5208">
      <c r="A5208" s="6" t="s">
        <v>10972</v>
      </c>
      <c r="B5208" s="6" t="s">
        <v>2391</v>
      </c>
      <c r="C5208" s="6" t="s">
        <v>23</v>
      </c>
      <c r="D5208" s="6" t="s">
        <v>10973</v>
      </c>
      <c r="E5208" s="6" t="s">
        <v>175</v>
      </c>
      <c r="F5208" s="6" t="s">
        <v>51</v>
      </c>
      <c r="G5208" s="7">
        <v>0.06</v>
      </c>
      <c r="H5208" s="6" t="s">
        <v>146</v>
      </c>
      <c r="I5208" s="6" t="s">
        <v>20</v>
      </c>
      <c r="J5208" s="6">
        <v>2010.0</v>
      </c>
      <c r="K5208" s="10">
        <v>46023.0</v>
      </c>
      <c r="L5208" s="6">
        <v>1.0</v>
      </c>
      <c r="M5208" s="8">
        <f t="shared" si="5"/>
        <v>0.06</v>
      </c>
      <c r="P5208" s="9"/>
    </row>
    <row r="5209">
      <c r="A5209" s="6" t="s">
        <v>10974</v>
      </c>
      <c r="B5209" s="6" t="s">
        <v>5555</v>
      </c>
      <c r="C5209" s="6" t="s">
        <v>23</v>
      </c>
      <c r="D5209" s="6" t="s">
        <v>10975</v>
      </c>
      <c r="E5209" s="6" t="s">
        <v>50</v>
      </c>
      <c r="F5209" s="6" t="s">
        <v>51</v>
      </c>
      <c r="G5209" s="7">
        <v>0.07</v>
      </c>
      <c r="H5209" s="6" t="s">
        <v>396</v>
      </c>
      <c r="I5209" s="6" t="s">
        <v>20</v>
      </c>
      <c r="J5209" s="6">
        <v>2007.0</v>
      </c>
      <c r="K5209" s="10">
        <v>46055.0</v>
      </c>
      <c r="L5209" s="6">
        <v>1.0</v>
      </c>
      <c r="M5209" s="8">
        <f t="shared" si="5"/>
        <v>0.07</v>
      </c>
      <c r="P5209" s="9"/>
    </row>
    <row r="5210">
      <c r="A5210" s="6" t="s">
        <v>10976</v>
      </c>
      <c r="B5210" s="6" t="s">
        <v>10977</v>
      </c>
      <c r="C5210" s="6" t="s">
        <v>23</v>
      </c>
      <c r="E5210" s="6" t="s">
        <v>50</v>
      </c>
      <c r="F5210" s="6" t="s">
        <v>51</v>
      </c>
      <c r="G5210" s="7">
        <v>0.06</v>
      </c>
      <c r="H5210" s="6" t="s">
        <v>1327</v>
      </c>
      <c r="I5210" s="6" t="s">
        <v>20</v>
      </c>
      <c r="J5210" s="6">
        <v>2011.0</v>
      </c>
      <c r="K5210" s="10">
        <v>46057.0</v>
      </c>
      <c r="L5210" s="6">
        <v>1.0</v>
      </c>
      <c r="M5210" s="8">
        <f t="shared" si="5"/>
        <v>0.06</v>
      </c>
      <c r="P5210" s="9"/>
    </row>
    <row r="5211">
      <c r="A5211" s="6" t="s">
        <v>10978</v>
      </c>
      <c r="B5211" s="6" t="s">
        <v>398</v>
      </c>
      <c r="C5211" s="6" t="s">
        <v>23</v>
      </c>
      <c r="D5211" s="6" t="s">
        <v>10979</v>
      </c>
      <c r="E5211" s="6" t="s">
        <v>118</v>
      </c>
      <c r="F5211" s="6" t="s">
        <v>51</v>
      </c>
      <c r="G5211" s="7">
        <v>0.09</v>
      </c>
      <c r="H5211" s="6" t="s">
        <v>146</v>
      </c>
      <c r="I5211" s="6" t="s">
        <v>20</v>
      </c>
      <c r="J5211" s="6">
        <v>2010.0</v>
      </c>
      <c r="K5211" s="10">
        <v>46055.0</v>
      </c>
      <c r="L5211" s="6">
        <v>1.0</v>
      </c>
      <c r="M5211" s="8">
        <f t="shared" si="5"/>
        <v>0.09</v>
      </c>
      <c r="P5211" s="9"/>
    </row>
    <row r="5212">
      <c r="A5212" s="6" t="s">
        <v>10980</v>
      </c>
      <c r="B5212" s="6" t="s">
        <v>62</v>
      </c>
      <c r="C5212" s="6" t="s">
        <v>23</v>
      </c>
      <c r="D5212" s="6" t="s">
        <v>10981</v>
      </c>
      <c r="E5212" s="6" t="s">
        <v>238</v>
      </c>
      <c r="F5212" s="6" t="s">
        <v>159</v>
      </c>
      <c r="G5212" s="7">
        <v>0.15</v>
      </c>
      <c r="H5212" s="6" t="s">
        <v>276</v>
      </c>
      <c r="I5212" s="6" t="s">
        <v>20</v>
      </c>
      <c r="J5212" s="6">
        <v>2014.0</v>
      </c>
      <c r="L5212" s="6">
        <v>1.0</v>
      </c>
      <c r="M5212" s="8">
        <f t="shared" si="5"/>
        <v>0.15</v>
      </c>
      <c r="P5212" s="9"/>
    </row>
    <row r="5213">
      <c r="A5213" s="6" t="s">
        <v>10982</v>
      </c>
      <c r="B5213" s="6" t="s">
        <v>2489</v>
      </c>
      <c r="C5213" s="6" t="s">
        <v>48</v>
      </c>
      <c r="D5213" s="6" t="s">
        <v>10983</v>
      </c>
      <c r="E5213" s="6" t="s">
        <v>270</v>
      </c>
      <c r="F5213" s="6" t="s">
        <v>159</v>
      </c>
      <c r="G5213" s="7">
        <v>4.86</v>
      </c>
      <c r="H5213" s="6" t="s">
        <v>2701</v>
      </c>
      <c r="I5213" s="6" t="s">
        <v>20</v>
      </c>
      <c r="J5213" s="6">
        <v>2003.0</v>
      </c>
      <c r="L5213" s="6">
        <v>1.0</v>
      </c>
      <c r="M5213" s="8">
        <f t="shared" si="5"/>
        <v>4.86</v>
      </c>
      <c r="N5213" s="6" t="s">
        <v>10984</v>
      </c>
      <c r="P5213" s="9"/>
    </row>
    <row r="5214">
      <c r="A5214" s="6" t="s">
        <v>10985</v>
      </c>
      <c r="B5214" s="6" t="s">
        <v>10986</v>
      </c>
      <c r="C5214" s="6" t="s">
        <v>23</v>
      </c>
      <c r="E5214" s="6" t="s">
        <v>118</v>
      </c>
      <c r="F5214" s="6" t="s">
        <v>51</v>
      </c>
      <c r="G5214" s="7">
        <v>0.06</v>
      </c>
      <c r="H5214" s="6" t="s">
        <v>1551</v>
      </c>
      <c r="I5214" s="6" t="s">
        <v>20</v>
      </c>
      <c r="J5214" s="6">
        <v>2007.0</v>
      </c>
      <c r="K5214" s="10">
        <v>46025.0</v>
      </c>
      <c r="L5214" s="6">
        <v>1.0</v>
      </c>
      <c r="M5214" s="8">
        <f t="shared" si="5"/>
        <v>0.06</v>
      </c>
      <c r="P5214" s="9"/>
    </row>
    <row r="5215">
      <c r="A5215" s="6" t="s">
        <v>10987</v>
      </c>
      <c r="B5215" s="6" t="s">
        <v>10988</v>
      </c>
      <c r="C5215" s="6" t="s">
        <v>48</v>
      </c>
      <c r="D5215" s="6" t="s">
        <v>10989</v>
      </c>
      <c r="F5215" s="6" t="s">
        <v>37</v>
      </c>
      <c r="G5215" s="7">
        <v>0.23</v>
      </c>
      <c r="H5215" s="6" t="s">
        <v>1361</v>
      </c>
      <c r="I5215" s="6" t="s">
        <v>20</v>
      </c>
      <c r="J5215" s="6">
        <v>2008.0</v>
      </c>
      <c r="L5215" s="6">
        <v>1.0</v>
      </c>
      <c r="M5215" s="8">
        <f t="shared" si="5"/>
        <v>0.23</v>
      </c>
      <c r="P5215" s="9"/>
    </row>
    <row r="5216">
      <c r="A5216" s="6" t="s">
        <v>10990</v>
      </c>
      <c r="B5216" s="6" t="s">
        <v>3178</v>
      </c>
      <c r="C5216" s="6" t="s">
        <v>23</v>
      </c>
      <c r="D5216" s="6" t="s">
        <v>10991</v>
      </c>
      <c r="E5216" s="6" t="s">
        <v>298</v>
      </c>
      <c r="F5216" s="6" t="s">
        <v>159</v>
      </c>
      <c r="G5216" s="7">
        <v>0.13</v>
      </c>
      <c r="H5216" s="6" t="s">
        <v>88</v>
      </c>
      <c r="I5216" s="6" t="s">
        <v>20</v>
      </c>
      <c r="J5216" s="6">
        <v>2013.0</v>
      </c>
      <c r="K5216" s="10">
        <v>46083.0</v>
      </c>
      <c r="L5216" s="6">
        <v>1.0</v>
      </c>
      <c r="M5216" s="8">
        <f t="shared" si="5"/>
        <v>0.13</v>
      </c>
      <c r="P5216" s="9"/>
    </row>
    <row r="5217">
      <c r="G5217" s="8"/>
      <c r="M5217" s="8">
        <f t="shared" si="5"/>
        <v>0</v>
      </c>
      <c r="P5217" s="9"/>
    </row>
    <row r="5218">
      <c r="G5218" s="8"/>
      <c r="M5218" s="8">
        <f t="shared" si="5"/>
        <v>0</v>
      </c>
      <c r="P5218" s="9"/>
    </row>
    <row r="5219">
      <c r="G5219" s="8"/>
      <c r="M5219" s="8">
        <f t="shared" si="5"/>
        <v>0</v>
      </c>
      <c r="P5219" s="9"/>
    </row>
    <row r="5220">
      <c r="G5220" s="8"/>
      <c r="M5220" s="8">
        <f t="shared" si="5"/>
        <v>0</v>
      </c>
      <c r="P5220" s="9"/>
    </row>
    <row r="5221">
      <c r="G5221" s="8"/>
      <c r="M5221" s="8">
        <f t="shared" si="5"/>
        <v>0</v>
      </c>
      <c r="P5221" s="9"/>
    </row>
    <row r="5222">
      <c r="G5222" s="8"/>
      <c r="M5222" s="8">
        <f t="shared" si="5"/>
        <v>0</v>
      </c>
      <c r="P5222" s="9"/>
    </row>
    <row r="5223">
      <c r="G5223" s="8"/>
      <c r="M5223" s="8">
        <f t="shared" si="5"/>
        <v>0</v>
      </c>
      <c r="P5223" s="9"/>
    </row>
    <row r="5224">
      <c r="G5224" s="8"/>
      <c r="M5224" s="8">
        <f t="shared" si="5"/>
        <v>0</v>
      </c>
      <c r="P5224" s="9"/>
    </row>
    <row r="5225">
      <c r="G5225" s="8"/>
      <c r="M5225" s="8">
        <f t="shared" si="5"/>
        <v>0</v>
      </c>
      <c r="P5225" s="9"/>
    </row>
    <row r="5226">
      <c r="G5226" s="8"/>
      <c r="M5226" s="8">
        <f t="shared" si="5"/>
        <v>0</v>
      </c>
      <c r="P5226" s="9"/>
    </row>
    <row r="5227">
      <c r="G5227" s="8"/>
      <c r="M5227" s="8">
        <f t="shared" si="5"/>
        <v>0</v>
      </c>
      <c r="P5227" s="9"/>
    </row>
    <row r="5228">
      <c r="G5228" s="8"/>
      <c r="M5228" s="8">
        <f t="shared" si="5"/>
        <v>0</v>
      </c>
      <c r="P5228" s="9"/>
    </row>
    <row r="5229">
      <c r="G5229" s="8"/>
      <c r="M5229" s="8">
        <f t="shared" si="5"/>
        <v>0</v>
      </c>
      <c r="P5229" s="9"/>
    </row>
    <row r="5230">
      <c r="G5230" s="8"/>
      <c r="M5230" s="8">
        <f t="shared" si="5"/>
        <v>0</v>
      </c>
      <c r="P5230" s="9"/>
    </row>
    <row r="5231">
      <c r="G5231" s="8"/>
      <c r="M5231" s="8">
        <f t="shared" si="5"/>
        <v>0</v>
      </c>
      <c r="P5231" s="9"/>
    </row>
    <row r="5232">
      <c r="G5232" s="8"/>
      <c r="M5232" s="8">
        <f t="shared" si="5"/>
        <v>0</v>
      </c>
      <c r="P5232" s="9"/>
    </row>
    <row r="5233">
      <c r="G5233" s="8"/>
      <c r="M5233" s="8">
        <f t="shared" si="5"/>
        <v>0</v>
      </c>
      <c r="P5233" s="9"/>
    </row>
    <row r="5234">
      <c r="G5234" s="8"/>
      <c r="M5234" s="8">
        <f t="shared" si="5"/>
        <v>0</v>
      </c>
      <c r="P5234" s="9"/>
    </row>
    <row r="5235">
      <c r="G5235" s="8"/>
      <c r="M5235" s="8">
        <f t="shared" si="5"/>
        <v>0</v>
      </c>
      <c r="P5235" s="9"/>
    </row>
    <row r="5236">
      <c r="G5236" s="8"/>
      <c r="M5236" s="8">
        <f t="shared" si="5"/>
        <v>0</v>
      </c>
      <c r="P5236" s="9"/>
    </row>
    <row r="5237">
      <c r="G5237" s="8"/>
      <c r="M5237" s="8">
        <f t="shared" si="5"/>
        <v>0</v>
      </c>
      <c r="P5237" s="9"/>
    </row>
    <row r="5238">
      <c r="G5238" s="8"/>
      <c r="M5238" s="8">
        <f t="shared" si="5"/>
        <v>0</v>
      </c>
      <c r="P5238" s="9"/>
    </row>
    <row r="5239">
      <c r="G5239" s="8"/>
      <c r="M5239" s="8">
        <f t="shared" si="5"/>
        <v>0</v>
      </c>
      <c r="P5239" s="9"/>
    </row>
    <row r="5240">
      <c r="G5240" s="8"/>
      <c r="M5240" s="8">
        <f t="shared" si="5"/>
        <v>0</v>
      </c>
      <c r="P5240" s="9"/>
    </row>
    <row r="5241">
      <c r="G5241" s="8"/>
      <c r="M5241" s="8">
        <f t="shared" si="5"/>
        <v>0</v>
      </c>
      <c r="P5241" s="9"/>
    </row>
    <row r="5242">
      <c r="G5242" s="8"/>
      <c r="M5242" s="8">
        <f t="shared" si="5"/>
        <v>0</v>
      </c>
      <c r="P5242" s="9"/>
    </row>
    <row r="5243">
      <c r="G5243" s="8"/>
      <c r="M5243" s="8">
        <f t="shared" si="5"/>
        <v>0</v>
      </c>
      <c r="P5243" s="9"/>
    </row>
    <row r="5244">
      <c r="G5244" s="8"/>
      <c r="M5244" s="8">
        <f t="shared" si="5"/>
        <v>0</v>
      </c>
      <c r="P5244" s="9"/>
    </row>
    <row r="5245">
      <c r="G5245" s="8"/>
      <c r="M5245" s="8">
        <f t="shared" si="5"/>
        <v>0</v>
      </c>
      <c r="P5245" s="9"/>
    </row>
    <row r="5246">
      <c r="G5246" s="8"/>
      <c r="M5246" s="8">
        <f t="shared" si="5"/>
        <v>0</v>
      </c>
      <c r="P5246" s="9"/>
    </row>
    <row r="5247">
      <c r="G5247" s="8"/>
      <c r="M5247" s="8">
        <f t="shared" si="5"/>
        <v>0</v>
      </c>
      <c r="P5247" s="9"/>
    </row>
    <row r="5248">
      <c r="G5248" s="8"/>
      <c r="M5248" s="8">
        <f t="shared" si="5"/>
        <v>0</v>
      </c>
      <c r="P5248" s="9"/>
    </row>
    <row r="5249">
      <c r="G5249" s="8"/>
      <c r="M5249" s="8">
        <f t="shared" si="5"/>
        <v>0</v>
      </c>
      <c r="P5249" s="9"/>
    </row>
    <row r="5250">
      <c r="G5250" s="8"/>
      <c r="M5250" s="8">
        <f t="shared" si="5"/>
        <v>0</v>
      </c>
      <c r="P5250" s="9"/>
    </row>
    <row r="5251">
      <c r="G5251" s="8"/>
      <c r="M5251" s="8">
        <f t="shared" si="5"/>
        <v>0</v>
      </c>
      <c r="P5251" s="9"/>
    </row>
    <row r="5252">
      <c r="G5252" s="8"/>
      <c r="M5252" s="8">
        <f t="shared" si="5"/>
        <v>0</v>
      </c>
      <c r="P5252" s="9"/>
    </row>
    <row r="5253">
      <c r="G5253" s="8"/>
      <c r="M5253" s="8">
        <f t="shared" si="5"/>
        <v>0</v>
      </c>
      <c r="P5253" s="9"/>
    </row>
    <row r="5254">
      <c r="G5254" s="8"/>
      <c r="M5254" s="8">
        <f t="shared" si="5"/>
        <v>0</v>
      </c>
      <c r="P5254" s="9"/>
    </row>
    <row r="5255">
      <c r="G5255" s="8"/>
      <c r="M5255" s="8">
        <f t="shared" si="5"/>
        <v>0</v>
      </c>
      <c r="P5255" s="9"/>
    </row>
    <row r="5256">
      <c r="G5256" s="8"/>
      <c r="M5256" s="8">
        <f t="shared" si="5"/>
        <v>0</v>
      </c>
      <c r="P5256" s="9"/>
    </row>
    <row r="5257">
      <c r="G5257" s="8"/>
      <c r="M5257" s="8">
        <f t="shared" si="5"/>
        <v>0</v>
      </c>
      <c r="P5257" s="9"/>
    </row>
    <row r="5258">
      <c r="G5258" s="8"/>
      <c r="M5258" s="8">
        <f t="shared" si="5"/>
        <v>0</v>
      </c>
      <c r="P5258" s="9"/>
    </row>
    <row r="5259">
      <c r="G5259" s="8"/>
      <c r="M5259" s="8">
        <f t="shared" si="5"/>
        <v>0</v>
      </c>
      <c r="P5259" s="9"/>
    </row>
    <row r="5260">
      <c r="G5260" s="8"/>
      <c r="M5260" s="8">
        <f t="shared" si="5"/>
        <v>0</v>
      </c>
      <c r="P5260" s="9"/>
    </row>
    <row r="5261">
      <c r="G5261" s="8"/>
      <c r="M5261" s="8">
        <f t="shared" si="5"/>
        <v>0</v>
      </c>
      <c r="P5261" s="9"/>
    </row>
    <row r="5262">
      <c r="G5262" s="8"/>
      <c r="M5262" s="8">
        <f t="shared" si="5"/>
        <v>0</v>
      </c>
      <c r="P5262" s="9"/>
    </row>
    <row r="5263">
      <c r="G5263" s="8"/>
      <c r="M5263" s="8">
        <f t="shared" si="5"/>
        <v>0</v>
      </c>
      <c r="P5263" s="9"/>
    </row>
    <row r="5264">
      <c r="G5264" s="8"/>
      <c r="M5264" s="8">
        <f t="shared" si="5"/>
        <v>0</v>
      </c>
      <c r="P5264" s="9"/>
    </row>
    <row r="5265">
      <c r="G5265" s="8"/>
      <c r="M5265" s="8">
        <f t="shared" si="5"/>
        <v>0</v>
      </c>
      <c r="P5265" s="9"/>
    </row>
    <row r="5266">
      <c r="G5266" s="8"/>
      <c r="M5266" s="8">
        <f t="shared" si="5"/>
        <v>0</v>
      </c>
      <c r="P5266" s="9"/>
    </row>
    <row r="5267">
      <c r="G5267" s="8"/>
      <c r="M5267" s="8">
        <f t="shared" si="5"/>
        <v>0</v>
      </c>
      <c r="P5267" s="9"/>
    </row>
    <row r="5268">
      <c r="G5268" s="8"/>
      <c r="M5268" s="8">
        <f t="shared" si="5"/>
        <v>0</v>
      </c>
      <c r="P5268" s="9"/>
    </row>
    <row r="5269">
      <c r="G5269" s="8"/>
      <c r="M5269" s="8">
        <f t="shared" si="5"/>
        <v>0</v>
      </c>
      <c r="P5269" s="9"/>
    </row>
    <row r="5270">
      <c r="G5270" s="8"/>
      <c r="M5270" s="8">
        <f t="shared" si="5"/>
        <v>0</v>
      </c>
      <c r="P5270" s="9"/>
    </row>
    <row r="5271">
      <c r="G5271" s="8"/>
      <c r="M5271" s="8">
        <f t="shared" si="5"/>
        <v>0</v>
      </c>
      <c r="P5271" s="9"/>
    </row>
    <row r="5272">
      <c r="G5272" s="8"/>
      <c r="M5272" s="8">
        <f t="shared" si="5"/>
        <v>0</v>
      </c>
      <c r="P5272" s="9"/>
    </row>
    <row r="5273">
      <c r="G5273" s="8"/>
      <c r="M5273" s="8">
        <f t="shared" si="5"/>
        <v>0</v>
      </c>
      <c r="P5273" s="9"/>
    </row>
    <row r="5274">
      <c r="G5274" s="8"/>
      <c r="M5274" s="8">
        <f t="shared" si="5"/>
        <v>0</v>
      </c>
      <c r="P5274" s="9"/>
    </row>
    <row r="5275">
      <c r="G5275" s="8"/>
      <c r="M5275" s="8">
        <f t="shared" si="5"/>
        <v>0</v>
      </c>
      <c r="P5275" s="9"/>
    </row>
    <row r="5276">
      <c r="G5276" s="8"/>
      <c r="M5276" s="8">
        <f t="shared" si="5"/>
        <v>0</v>
      </c>
      <c r="P5276" s="9"/>
    </row>
    <row r="5277">
      <c r="G5277" s="8"/>
      <c r="M5277" s="8">
        <f t="shared" si="5"/>
        <v>0</v>
      </c>
      <c r="P5277" s="9"/>
    </row>
    <row r="5278">
      <c r="G5278" s="8"/>
      <c r="M5278" s="8">
        <f t="shared" si="5"/>
        <v>0</v>
      </c>
      <c r="P5278" s="9"/>
    </row>
    <row r="5279">
      <c r="G5279" s="8"/>
      <c r="M5279" s="8">
        <f t="shared" si="5"/>
        <v>0</v>
      </c>
      <c r="P5279" s="9"/>
    </row>
    <row r="5280">
      <c r="G5280" s="8"/>
      <c r="M5280" s="8">
        <f t="shared" si="5"/>
        <v>0</v>
      </c>
      <c r="P5280" s="9"/>
    </row>
    <row r="5281">
      <c r="G5281" s="8"/>
      <c r="M5281" s="8">
        <f t="shared" si="5"/>
        <v>0</v>
      </c>
      <c r="P5281" s="9"/>
    </row>
    <row r="5282">
      <c r="G5282" s="8"/>
      <c r="M5282" s="8">
        <f t="shared" si="5"/>
        <v>0</v>
      </c>
      <c r="P5282" s="9"/>
    </row>
    <row r="5283">
      <c r="G5283" s="8"/>
      <c r="M5283" s="8">
        <f t="shared" si="5"/>
        <v>0</v>
      </c>
      <c r="P5283" s="9"/>
    </row>
    <row r="5284">
      <c r="G5284" s="8"/>
      <c r="M5284" s="8">
        <f t="shared" si="5"/>
        <v>0</v>
      </c>
      <c r="P5284" s="9"/>
    </row>
    <row r="5285">
      <c r="G5285" s="8"/>
      <c r="M5285" s="8">
        <f t="shared" si="5"/>
        <v>0</v>
      </c>
      <c r="P5285" s="9"/>
    </row>
    <row r="5286">
      <c r="G5286" s="8"/>
      <c r="M5286" s="8">
        <f t="shared" si="5"/>
        <v>0</v>
      </c>
      <c r="P5286" s="9"/>
    </row>
    <row r="5287">
      <c r="G5287" s="8"/>
      <c r="M5287" s="8">
        <f t="shared" si="5"/>
        <v>0</v>
      </c>
      <c r="P5287" s="9"/>
    </row>
    <row r="5288">
      <c r="G5288" s="8"/>
      <c r="M5288" s="8">
        <f t="shared" si="5"/>
        <v>0</v>
      </c>
      <c r="P5288" s="9"/>
    </row>
    <row r="5289">
      <c r="G5289" s="8"/>
      <c r="M5289" s="8">
        <f t="shared" si="5"/>
        <v>0</v>
      </c>
      <c r="P5289" s="9"/>
    </row>
    <row r="5290">
      <c r="G5290" s="8"/>
      <c r="M5290" s="8">
        <f t="shared" si="5"/>
        <v>0</v>
      </c>
      <c r="P5290" s="9"/>
    </row>
    <row r="5291">
      <c r="G5291" s="8"/>
      <c r="M5291" s="8">
        <f t="shared" si="5"/>
        <v>0</v>
      </c>
      <c r="P5291" s="9"/>
    </row>
    <row r="5292">
      <c r="G5292" s="8"/>
      <c r="M5292" s="8">
        <f t="shared" si="5"/>
        <v>0</v>
      </c>
      <c r="P5292" s="9"/>
    </row>
    <row r="5293">
      <c r="G5293" s="8"/>
      <c r="M5293" s="8">
        <f t="shared" si="5"/>
        <v>0</v>
      </c>
      <c r="P5293" s="9"/>
    </row>
    <row r="5294">
      <c r="G5294" s="8"/>
      <c r="M5294" s="8">
        <f t="shared" si="5"/>
        <v>0</v>
      </c>
      <c r="P5294" s="9"/>
    </row>
    <row r="5295">
      <c r="G5295" s="8"/>
      <c r="M5295" s="8">
        <f t="shared" si="5"/>
        <v>0</v>
      </c>
      <c r="P5295" s="9"/>
    </row>
    <row r="5296">
      <c r="G5296" s="8"/>
      <c r="M5296" s="8">
        <f t="shared" si="5"/>
        <v>0</v>
      </c>
      <c r="P5296" s="9"/>
    </row>
    <row r="5297">
      <c r="G5297" s="8"/>
      <c r="M5297" s="8">
        <f t="shared" si="5"/>
        <v>0</v>
      </c>
      <c r="P5297" s="9"/>
    </row>
    <row r="5298">
      <c r="G5298" s="8"/>
      <c r="M5298" s="8">
        <f t="shared" si="5"/>
        <v>0</v>
      </c>
      <c r="P5298" s="9"/>
    </row>
    <row r="5299">
      <c r="G5299" s="8"/>
      <c r="M5299" s="8">
        <f t="shared" si="5"/>
        <v>0</v>
      </c>
      <c r="P5299" s="9"/>
    </row>
    <row r="5300">
      <c r="G5300" s="8"/>
      <c r="M5300" s="8">
        <f t="shared" si="5"/>
        <v>0</v>
      </c>
      <c r="P5300" s="9"/>
    </row>
    <row r="5301">
      <c r="G5301" s="8"/>
      <c r="M5301" s="8">
        <f t="shared" si="5"/>
        <v>0</v>
      </c>
      <c r="P5301" s="9"/>
    </row>
    <row r="5302">
      <c r="G5302" s="8"/>
      <c r="M5302" s="8">
        <f t="shared" si="5"/>
        <v>0</v>
      </c>
      <c r="P5302" s="9"/>
    </row>
    <row r="5303">
      <c r="G5303" s="8"/>
      <c r="M5303" s="8">
        <f t="shared" si="5"/>
        <v>0</v>
      </c>
      <c r="P5303" s="9"/>
    </row>
    <row r="5304">
      <c r="G5304" s="8"/>
      <c r="M5304" s="8">
        <f t="shared" si="5"/>
        <v>0</v>
      </c>
      <c r="P5304" s="9"/>
    </row>
    <row r="5305">
      <c r="G5305" s="8"/>
      <c r="M5305" s="8">
        <f t="shared" si="5"/>
        <v>0</v>
      </c>
      <c r="P5305" s="9"/>
    </row>
    <row r="5306">
      <c r="G5306" s="8"/>
      <c r="M5306" s="8">
        <f t="shared" si="5"/>
        <v>0</v>
      </c>
      <c r="P5306" s="9"/>
    </row>
    <row r="5307">
      <c r="G5307" s="8"/>
      <c r="M5307" s="8">
        <f t="shared" si="5"/>
        <v>0</v>
      </c>
      <c r="P5307" s="9"/>
    </row>
    <row r="5308">
      <c r="G5308" s="8"/>
      <c r="M5308" s="8">
        <f t="shared" si="5"/>
        <v>0</v>
      </c>
      <c r="P5308" s="9"/>
    </row>
    <row r="5309">
      <c r="G5309" s="8"/>
      <c r="M5309" s="8">
        <f t="shared" si="5"/>
        <v>0</v>
      </c>
      <c r="P5309" s="9"/>
    </row>
    <row r="5310">
      <c r="G5310" s="8"/>
      <c r="M5310" s="8">
        <f t="shared" si="5"/>
        <v>0</v>
      </c>
      <c r="P5310" s="9"/>
    </row>
    <row r="5311">
      <c r="G5311" s="8"/>
      <c r="M5311" s="8">
        <f t="shared" si="5"/>
        <v>0</v>
      </c>
      <c r="P5311" s="9"/>
    </row>
    <row r="5312">
      <c r="G5312" s="8"/>
      <c r="M5312" s="8">
        <f t="shared" si="5"/>
        <v>0</v>
      </c>
      <c r="P5312" s="9"/>
    </row>
    <row r="5313">
      <c r="G5313" s="8"/>
      <c r="M5313" s="8">
        <f t="shared" si="5"/>
        <v>0</v>
      </c>
      <c r="P5313" s="9"/>
    </row>
    <row r="5314">
      <c r="G5314" s="8"/>
      <c r="M5314" s="8">
        <f t="shared" si="5"/>
        <v>0</v>
      </c>
      <c r="P5314" s="9"/>
    </row>
    <row r="5315">
      <c r="G5315" s="8"/>
      <c r="M5315" s="8">
        <f t="shared" si="5"/>
        <v>0</v>
      </c>
      <c r="P5315" s="9"/>
    </row>
    <row r="5316">
      <c r="G5316" s="8"/>
      <c r="M5316" s="8">
        <f t="shared" si="5"/>
        <v>0</v>
      </c>
      <c r="P5316" s="9"/>
    </row>
    <row r="5317">
      <c r="G5317" s="8"/>
      <c r="M5317" s="8">
        <f t="shared" si="5"/>
        <v>0</v>
      </c>
      <c r="P5317" s="9"/>
    </row>
    <row r="5318">
      <c r="G5318" s="8"/>
      <c r="M5318" s="8">
        <f t="shared" si="5"/>
        <v>0</v>
      </c>
      <c r="P5318" s="9"/>
    </row>
    <row r="5319">
      <c r="G5319" s="8"/>
      <c r="M5319" s="8">
        <f t="shared" si="5"/>
        <v>0</v>
      </c>
      <c r="P5319" s="9"/>
    </row>
    <row r="5320">
      <c r="G5320" s="8"/>
      <c r="M5320" s="8">
        <f t="shared" si="5"/>
        <v>0</v>
      </c>
      <c r="P5320" s="9"/>
    </row>
    <row r="5321">
      <c r="G5321" s="8"/>
      <c r="M5321" s="8">
        <f t="shared" si="5"/>
        <v>0</v>
      </c>
      <c r="P5321" s="9"/>
    </row>
    <row r="5322">
      <c r="G5322" s="8"/>
      <c r="M5322" s="8">
        <f t="shared" si="5"/>
        <v>0</v>
      </c>
      <c r="P5322" s="9"/>
    </row>
    <row r="5323">
      <c r="G5323" s="8"/>
      <c r="M5323" s="8">
        <f t="shared" si="5"/>
        <v>0</v>
      </c>
      <c r="P5323" s="9"/>
    </row>
    <row r="5324">
      <c r="G5324" s="8"/>
      <c r="M5324" s="8">
        <f t="shared" si="5"/>
        <v>0</v>
      </c>
      <c r="P5324" s="9"/>
    </row>
    <row r="5325">
      <c r="G5325" s="8"/>
      <c r="M5325" s="8">
        <f t="shared" si="5"/>
        <v>0</v>
      </c>
      <c r="P5325" s="9"/>
    </row>
    <row r="5326">
      <c r="G5326" s="8"/>
      <c r="M5326" s="8">
        <f t="shared" si="5"/>
        <v>0</v>
      </c>
      <c r="P5326" s="9"/>
    </row>
    <row r="5327">
      <c r="G5327" s="8"/>
      <c r="M5327" s="8">
        <f t="shared" si="5"/>
        <v>0</v>
      </c>
      <c r="P5327" s="9"/>
    </row>
    <row r="5328">
      <c r="G5328" s="8"/>
      <c r="M5328" s="8">
        <f t="shared" si="5"/>
        <v>0</v>
      </c>
      <c r="P5328" s="9"/>
    </row>
    <row r="5329">
      <c r="G5329" s="8"/>
      <c r="M5329" s="8">
        <f t="shared" si="5"/>
        <v>0</v>
      </c>
      <c r="P5329" s="9"/>
    </row>
    <row r="5330">
      <c r="G5330" s="8"/>
      <c r="M5330" s="8">
        <f t="shared" si="5"/>
        <v>0</v>
      </c>
      <c r="P5330" s="9"/>
    </row>
    <row r="5331">
      <c r="G5331" s="8"/>
      <c r="M5331" s="8">
        <f t="shared" si="5"/>
        <v>0</v>
      </c>
      <c r="P5331" s="9"/>
    </row>
    <row r="5332">
      <c r="G5332" s="8"/>
      <c r="M5332" s="8">
        <f t="shared" si="5"/>
        <v>0</v>
      </c>
      <c r="P5332" s="9"/>
    </row>
    <row r="5333">
      <c r="G5333" s="8"/>
      <c r="M5333" s="8">
        <f t="shared" si="5"/>
        <v>0</v>
      </c>
      <c r="P5333" s="9"/>
    </row>
    <row r="5334">
      <c r="G5334" s="8"/>
      <c r="M5334" s="8">
        <f t="shared" si="5"/>
        <v>0</v>
      </c>
      <c r="P5334" s="9"/>
    </row>
    <row r="5335">
      <c r="G5335" s="8"/>
      <c r="M5335" s="8">
        <f t="shared" si="5"/>
        <v>0</v>
      </c>
      <c r="P5335" s="9"/>
    </row>
    <row r="5336">
      <c r="G5336" s="8"/>
      <c r="M5336" s="8">
        <f t="shared" si="5"/>
        <v>0</v>
      </c>
      <c r="P5336" s="9"/>
    </row>
    <row r="5337">
      <c r="G5337" s="8"/>
      <c r="M5337" s="8">
        <f t="shared" si="5"/>
        <v>0</v>
      </c>
      <c r="P5337" s="9"/>
    </row>
    <row r="5338">
      <c r="G5338" s="8"/>
      <c r="M5338" s="8">
        <f t="shared" si="5"/>
        <v>0</v>
      </c>
      <c r="P5338" s="9"/>
    </row>
    <row r="5339">
      <c r="G5339" s="8"/>
      <c r="M5339" s="8">
        <f t="shared" si="5"/>
        <v>0</v>
      </c>
      <c r="P5339" s="9"/>
    </row>
    <row r="5340">
      <c r="G5340" s="8"/>
      <c r="M5340" s="8">
        <f t="shared" si="5"/>
        <v>0</v>
      </c>
      <c r="P5340" s="9"/>
    </row>
    <row r="5341">
      <c r="G5341" s="8"/>
      <c r="M5341" s="8">
        <f t="shared" si="5"/>
        <v>0</v>
      </c>
      <c r="P5341" s="9"/>
    </row>
    <row r="5342">
      <c r="G5342" s="8"/>
      <c r="M5342" s="8">
        <f t="shared" si="5"/>
        <v>0</v>
      </c>
      <c r="P5342" s="9"/>
    </row>
    <row r="5343">
      <c r="G5343" s="8"/>
      <c r="M5343" s="8">
        <f t="shared" si="5"/>
        <v>0</v>
      </c>
      <c r="P5343" s="9"/>
    </row>
    <row r="5344">
      <c r="G5344" s="8"/>
      <c r="M5344" s="8">
        <f t="shared" si="5"/>
        <v>0</v>
      </c>
      <c r="P5344" s="9"/>
    </row>
    <row r="5345">
      <c r="G5345" s="8"/>
      <c r="M5345" s="8">
        <f t="shared" si="5"/>
        <v>0</v>
      </c>
      <c r="P5345" s="9"/>
    </row>
    <row r="5346">
      <c r="G5346" s="8"/>
      <c r="M5346" s="8">
        <f t="shared" si="5"/>
        <v>0</v>
      </c>
      <c r="P5346" s="9"/>
    </row>
    <row r="5347">
      <c r="G5347" s="8"/>
      <c r="M5347" s="8">
        <f t="shared" si="5"/>
        <v>0</v>
      </c>
      <c r="P5347" s="9"/>
    </row>
    <row r="5348">
      <c r="G5348" s="8"/>
      <c r="M5348" s="8">
        <f t="shared" si="5"/>
        <v>0</v>
      </c>
      <c r="P5348" s="9"/>
    </row>
    <row r="5349">
      <c r="G5349" s="8"/>
      <c r="M5349" s="8">
        <f t="shared" si="5"/>
        <v>0</v>
      </c>
      <c r="P5349" s="9"/>
    </row>
    <row r="5350">
      <c r="G5350" s="8"/>
      <c r="M5350" s="8">
        <f t="shared" si="5"/>
        <v>0</v>
      </c>
      <c r="P5350" s="9"/>
    </row>
    <row r="5351">
      <c r="G5351" s="8"/>
      <c r="M5351" s="8">
        <f t="shared" si="5"/>
        <v>0</v>
      </c>
      <c r="P5351" s="9"/>
    </row>
    <row r="5352">
      <c r="G5352" s="8"/>
      <c r="M5352" s="8">
        <f t="shared" si="5"/>
        <v>0</v>
      </c>
      <c r="P5352" s="9"/>
    </row>
    <row r="5353">
      <c r="G5353" s="8"/>
      <c r="M5353" s="8">
        <f t="shared" si="5"/>
        <v>0</v>
      </c>
      <c r="P5353" s="9"/>
    </row>
    <row r="5354">
      <c r="G5354" s="8"/>
      <c r="M5354" s="8">
        <f t="shared" si="5"/>
        <v>0</v>
      </c>
      <c r="P5354" s="9"/>
    </row>
    <row r="5355">
      <c r="G5355" s="8"/>
      <c r="M5355" s="8">
        <f t="shared" si="5"/>
        <v>0</v>
      </c>
      <c r="P5355" s="9"/>
    </row>
    <row r="5356">
      <c r="G5356" s="8"/>
      <c r="M5356" s="8">
        <f t="shared" si="5"/>
        <v>0</v>
      </c>
      <c r="P5356" s="9"/>
    </row>
    <row r="5357">
      <c r="G5357" s="8"/>
      <c r="M5357" s="8">
        <f t="shared" si="5"/>
        <v>0</v>
      </c>
      <c r="P5357" s="9"/>
    </row>
    <row r="5358">
      <c r="G5358" s="8"/>
      <c r="M5358" s="8">
        <f t="shared" si="5"/>
        <v>0</v>
      </c>
      <c r="P5358" s="9"/>
    </row>
    <row r="5359">
      <c r="G5359" s="8"/>
      <c r="M5359" s="8">
        <f t="shared" si="5"/>
        <v>0</v>
      </c>
      <c r="P5359" s="9"/>
    </row>
    <row r="5360">
      <c r="G5360" s="8"/>
      <c r="M5360" s="8">
        <f t="shared" si="5"/>
        <v>0</v>
      </c>
      <c r="P5360" s="9"/>
    </row>
    <row r="5361">
      <c r="G5361" s="8"/>
      <c r="M5361" s="8">
        <f t="shared" si="5"/>
        <v>0</v>
      </c>
      <c r="P5361" s="9"/>
    </row>
    <row r="5362">
      <c r="G5362" s="8"/>
      <c r="M5362" s="8">
        <f t="shared" si="5"/>
        <v>0</v>
      </c>
      <c r="P5362" s="9"/>
    </row>
    <row r="5363">
      <c r="G5363" s="8"/>
      <c r="M5363" s="8">
        <f t="shared" si="5"/>
        <v>0</v>
      </c>
      <c r="P5363" s="9"/>
    </row>
    <row r="5364">
      <c r="G5364" s="8"/>
      <c r="M5364" s="8">
        <f t="shared" si="5"/>
        <v>0</v>
      </c>
      <c r="P5364" s="9"/>
    </row>
    <row r="5365">
      <c r="G5365" s="8"/>
      <c r="M5365" s="8">
        <f t="shared" si="5"/>
        <v>0</v>
      </c>
      <c r="P5365" s="9"/>
    </row>
    <row r="5366">
      <c r="G5366" s="8"/>
      <c r="M5366" s="8">
        <f t="shared" si="5"/>
        <v>0</v>
      </c>
      <c r="P5366" s="9"/>
    </row>
    <row r="5367">
      <c r="G5367" s="8"/>
      <c r="M5367" s="8">
        <f t="shared" si="5"/>
        <v>0</v>
      </c>
      <c r="P5367" s="9"/>
    </row>
    <row r="5368">
      <c r="G5368" s="8"/>
      <c r="M5368" s="8">
        <f t="shared" si="5"/>
        <v>0</v>
      </c>
      <c r="P5368" s="9"/>
    </row>
    <row r="5369">
      <c r="G5369" s="8"/>
      <c r="M5369" s="8">
        <f t="shared" si="5"/>
        <v>0</v>
      </c>
      <c r="P5369" s="9"/>
    </row>
    <row r="5370">
      <c r="G5370" s="8"/>
      <c r="M5370" s="8">
        <f t="shared" si="5"/>
        <v>0</v>
      </c>
      <c r="P5370" s="9"/>
    </row>
    <row r="5371">
      <c r="G5371" s="8"/>
      <c r="M5371" s="8">
        <f t="shared" si="5"/>
        <v>0</v>
      </c>
      <c r="P5371" s="9"/>
    </row>
    <row r="5372">
      <c r="G5372" s="8"/>
      <c r="M5372" s="8">
        <f t="shared" si="5"/>
        <v>0</v>
      </c>
      <c r="P5372" s="9"/>
    </row>
    <row r="5373">
      <c r="G5373" s="8"/>
      <c r="M5373" s="8">
        <f t="shared" si="5"/>
        <v>0</v>
      </c>
      <c r="P5373" s="9"/>
    </row>
    <row r="5374">
      <c r="G5374" s="8"/>
      <c r="M5374" s="8">
        <f t="shared" si="5"/>
        <v>0</v>
      </c>
      <c r="P5374" s="9"/>
    </row>
    <row r="5375">
      <c r="G5375" s="8"/>
      <c r="M5375" s="8">
        <f t="shared" si="5"/>
        <v>0</v>
      </c>
      <c r="P5375" s="9"/>
    </row>
    <row r="5376">
      <c r="G5376" s="8"/>
      <c r="M5376" s="8">
        <f t="shared" si="5"/>
        <v>0</v>
      </c>
      <c r="P5376" s="9"/>
    </row>
    <row r="5377">
      <c r="G5377" s="8"/>
      <c r="M5377" s="8">
        <f t="shared" si="5"/>
        <v>0</v>
      </c>
      <c r="P5377" s="9"/>
    </row>
    <row r="5378">
      <c r="G5378" s="8"/>
      <c r="M5378" s="8">
        <f t="shared" si="5"/>
        <v>0</v>
      </c>
      <c r="P5378" s="9"/>
    </row>
    <row r="5379">
      <c r="G5379" s="8"/>
      <c r="M5379" s="8">
        <f t="shared" si="5"/>
        <v>0</v>
      </c>
      <c r="P5379" s="9"/>
    </row>
    <row r="5380">
      <c r="G5380" s="8"/>
      <c r="M5380" s="8">
        <f t="shared" si="5"/>
        <v>0</v>
      </c>
      <c r="P5380" s="9"/>
    </row>
    <row r="5381">
      <c r="G5381" s="8"/>
      <c r="M5381" s="8">
        <f t="shared" si="5"/>
        <v>0</v>
      </c>
      <c r="P5381" s="9"/>
    </row>
    <row r="5382">
      <c r="G5382" s="8"/>
      <c r="M5382" s="8">
        <f t="shared" si="5"/>
        <v>0</v>
      </c>
      <c r="P5382" s="9"/>
    </row>
    <row r="5383">
      <c r="G5383" s="8"/>
      <c r="M5383" s="8">
        <f t="shared" si="5"/>
        <v>0</v>
      </c>
      <c r="P5383" s="9"/>
    </row>
    <row r="5384">
      <c r="G5384" s="8"/>
      <c r="M5384" s="8">
        <f t="shared" si="5"/>
        <v>0</v>
      </c>
      <c r="P5384" s="9"/>
    </row>
    <row r="5385">
      <c r="G5385" s="8"/>
      <c r="M5385" s="8">
        <f t="shared" si="5"/>
        <v>0</v>
      </c>
      <c r="P5385" s="9"/>
    </row>
    <row r="5386">
      <c r="G5386" s="8"/>
      <c r="M5386" s="8">
        <f t="shared" si="5"/>
        <v>0</v>
      </c>
      <c r="P5386" s="9"/>
    </row>
    <row r="5387">
      <c r="G5387" s="8"/>
      <c r="M5387" s="8">
        <f t="shared" si="5"/>
        <v>0</v>
      </c>
      <c r="P5387" s="9"/>
    </row>
    <row r="5388">
      <c r="G5388" s="8"/>
      <c r="M5388" s="8">
        <f t="shared" si="5"/>
        <v>0</v>
      </c>
      <c r="P5388" s="9"/>
    </row>
    <row r="5389">
      <c r="G5389" s="8"/>
      <c r="M5389" s="8">
        <f t="shared" si="5"/>
        <v>0</v>
      </c>
      <c r="P5389" s="9"/>
    </row>
    <row r="5390">
      <c r="G5390" s="8"/>
      <c r="M5390" s="8">
        <f t="shared" si="5"/>
        <v>0</v>
      </c>
      <c r="P5390" s="9"/>
    </row>
    <row r="5391">
      <c r="G5391" s="8"/>
      <c r="M5391" s="8">
        <f t="shared" si="5"/>
        <v>0</v>
      </c>
      <c r="P5391" s="9"/>
    </row>
    <row r="5392">
      <c r="G5392" s="8"/>
      <c r="M5392" s="8">
        <f t="shared" si="5"/>
        <v>0</v>
      </c>
      <c r="P5392" s="9"/>
    </row>
    <row r="5393">
      <c r="G5393" s="8"/>
      <c r="M5393" s="8">
        <f t="shared" si="5"/>
        <v>0</v>
      </c>
      <c r="P5393" s="9"/>
    </row>
    <row r="5394">
      <c r="G5394" s="8"/>
      <c r="M5394" s="8">
        <f t="shared" si="5"/>
        <v>0</v>
      </c>
      <c r="P5394" s="9"/>
    </row>
    <row r="5395">
      <c r="G5395" s="8"/>
      <c r="M5395" s="8">
        <f t="shared" si="5"/>
        <v>0</v>
      </c>
      <c r="P5395" s="9"/>
    </row>
    <row r="5396">
      <c r="G5396" s="8"/>
      <c r="M5396" s="8">
        <f t="shared" si="5"/>
        <v>0</v>
      </c>
      <c r="P5396" s="9"/>
    </row>
    <row r="5397">
      <c r="G5397" s="8"/>
      <c r="M5397" s="8">
        <f t="shared" si="5"/>
        <v>0</v>
      </c>
      <c r="P5397" s="9"/>
    </row>
    <row r="5398">
      <c r="G5398" s="8"/>
      <c r="M5398" s="8">
        <f t="shared" si="5"/>
        <v>0</v>
      </c>
      <c r="P5398" s="9"/>
    </row>
    <row r="5399">
      <c r="G5399" s="8"/>
      <c r="M5399" s="8">
        <f t="shared" si="5"/>
        <v>0</v>
      </c>
      <c r="P5399" s="9"/>
    </row>
    <row r="5400">
      <c r="G5400" s="8"/>
      <c r="M5400" s="8">
        <f t="shared" si="5"/>
        <v>0</v>
      </c>
      <c r="P5400" s="9"/>
    </row>
    <row r="5401">
      <c r="G5401" s="8"/>
      <c r="M5401" s="8">
        <f t="shared" si="5"/>
        <v>0</v>
      </c>
      <c r="P5401" s="9"/>
    </row>
    <row r="5402">
      <c r="G5402" s="8"/>
      <c r="M5402" s="8">
        <f t="shared" si="5"/>
        <v>0</v>
      </c>
      <c r="P5402" s="9"/>
    </row>
    <row r="5403">
      <c r="G5403" s="8"/>
      <c r="M5403" s="8">
        <f t="shared" si="5"/>
        <v>0</v>
      </c>
      <c r="P5403" s="9"/>
    </row>
    <row r="5404">
      <c r="G5404" s="8"/>
      <c r="M5404" s="8">
        <f t="shared" si="5"/>
        <v>0</v>
      </c>
      <c r="P5404" s="9"/>
    </row>
    <row r="5405">
      <c r="G5405" s="8"/>
      <c r="M5405" s="8">
        <f t="shared" si="5"/>
        <v>0</v>
      </c>
      <c r="P5405" s="9"/>
    </row>
    <row r="5406">
      <c r="G5406" s="8"/>
      <c r="M5406" s="8">
        <f t="shared" si="5"/>
        <v>0</v>
      </c>
      <c r="P5406" s="9"/>
    </row>
    <row r="5407">
      <c r="G5407" s="8"/>
      <c r="M5407" s="8">
        <f t="shared" si="5"/>
        <v>0</v>
      </c>
      <c r="P5407" s="9"/>
    </row>
    <row r="5408">
      <c r="G5408" s="8"/>
      <c r="M5408" s="8">
        <f t="shared" si="5"/>
        <v>0</v>
      </c>
      <c r="P5408" s="9"/>
    </row>
    <row r="5409">
      <c r="G5409" s="8"/>
      <c r="M5409" s="8">
        <f t="shared" si="5"/>
        <v>0</v>
      </c>
      <c r="P5409" s="9"/>
    </row>
    <row r="5410">
      <c r="G5410" s="8"/>
      <c r="M5410" s="8">
        <f t="shared" si="5"/>
        <v>0</v>
      </c>
      <c r="P5410" s="9"/>
    </row>
    <row r="5411">
      <c r="G5411" s="8"/>
      <c r="M5411" s="8">
        <f t="shared" si="5"/>
        <v>0</v>
      </c>
      <c r="P5411" s="9"/>
    </row>
    <row r="5412">
      <c r="G5412" s="8"/>
      <c r="M5412" s="8">
        <f t="shared" si="5"/>
        <v>0</v>
      </c>
      <c r="P5412" s="9"/>
    </row>
    <row r="5413">
      <c r="G5413" s="8"/>
      <c r="M5413" s="8">
        <f t="shared" si="5"/>
        <v>0</v>
      </c>
      <c r="P5413" s="9"/>
    </row>
    <row r="5414">
      <c r="G5414" s="8"/>
      <c r="M5414" s="8">
        <f t="shared" si="5"/>
        <v>0</v>
      </c>
      <c r="P5414" s="9"/>
    </row>
    <row r="5415">
      <c r="G5415" s="8"/>
      <c r="M5415" s="8">
        <f t="shared" si="5"/>
        <v>0</v>
      </c>
      <c r="P5415" s="9"/>
    </row>
    <row r="5416">
      <c r="G5416" s="8"/>
      <c r="M5416" s="8">
        <f t="shared" si="5"/>
        <v>0</v>
      </c>
      <c r="P5416" s="9"/>
    </row>
    <row r="5417">
      <c r="G5417" s="8"/>
      <c r="M5417" s="8">
        <f t="shared" si="5"/>
        <v>0</v>
      </c>
      <c r="P5417" s="9"/>
    </row>
    <row r="5418">
      <c r="G5418" s="8"/>
      <c r="M5418" s="8">
        <f t="shared" si="5"/>
        <v>0</v>
      </c>
      <c r="P5418" s="9"/>
    </row>
    <row r="5419">
      <c r="G5419" s="8"/>
      <c r="M5419" s="8">
        <f t="shared" si="5"/>
        <v>0</v>
      </c>
      <c r="P5419" s="9"/>
    </row>
    <row r="5420">
      <c r="G5420" s="8"/>
      <c r="M5420" s="8">
        <f t="shared" si="5"/>
        <v>0</v>
      </c>
      <c r="P5420" s="9"/>
    </row>
    <row r="5421">
      <c r="G5421" s="8"/>
      <c r="M5421" s="8">
        <f t="shared" si="5"/>
        <v>0</v>
      </c>
      <c r="P5421" s="9"/>
    </row>
    <row r="5422">
      <c r="G5422" s="8"/>
      <c r="M5422" s="8">
        <f t="shared" si="5"/>
        <v>0</v>
      </c>
      <c r="P5422" s="9"/>
    </row>
    <row r="5423">
      <c r="G5423" s="8"/>
      <c r="M5423" s="8">
        <f t="shared" si="5"/>
        <v>0</v>
      </c>
      <c r="P5423" s="9"/>
    </row>
    <row r="5424">
      <c r="G5424" s="8"/>
      <c r="M5424" s="8">
        <f t="shared" si="5"/>
        <v>0</v>
      </c>
      <c r="P5424" s="9"/>
    </row>
    <row r="5425">
      <c r="G5425" s="8"/>
      <c r="M5425" s="8">
        <f t="shared" si="5"/>
        <v>0</v>
      </c>
      <c r="P5425" s="9"/>
    </row>
    <row r="5426">
      <c r="G5426" s="8"/>
      <c r="M5426" s="8">
        <f t="shared" si="5"/>
        <v>0</v>
      </c>
      <c r="P5426" s="9"/>
    </row>
    <row r="5427">
      <c r="G5427" s="8"/>
      <c r="M5427" s="8">
        <f t="shared" si="5"/>
        <v>0</v>
      </c>
      <c r="P5427" s="9"/>
    </row>
    <row r="5428">
      <c r="G5428" s="8"/>
      <c r="M5428" s="8">
        <f t="shared" si="5"/>
        <v>0</v>
      </c>
      <c r="P5428" s="9"/>
    </row>
    <row r="5429">
      <c r="G5429" s="8"/>
      <c r="M5429" s="8">
        <f t="shared" si="5"/>
        <v>0</v>
      </c>
      <c r="P5429" s="9"/>
    </row>
    <row r="5430">
      <c r="G5430" s="8"/>
      <c r="M5430" s="8">
        <f t="shared" si="5"/>
        <v>0</v>
      </c>
      <c r="P5430" s="9"/>
    </row>
    <row r="5431">
      <c r="G5431" s="8"/>
      <c r="M5431" s="8">
        <f t="shared" si="5"/>
        <v>0</v>
      </c>
      <c r="P5431" s="9"/>
    </row>
    <row r="5432">
      <c r="G5432" s="8"/>
      <c r="M5432" s="8">
        <f t="shared" si="5"/>
        <v>0</v>
      </c>
      <c r="P5432" s="9"/>
    </row>
    <row r="5433">
      <c r="G5433" s="8"/>
      <c r="M5433" s="8">
        <f t="shared" si="5"/>
        <v>0</v>
      </c>
      <c r="P5433" s="9"/>
    </row>
    <row r="5434">
      <c r="G5434" s="8"/>
      <c r="M5434" s="8">
        <f t="shared" si="5"/>
        <v>0</v>
      </c>
      <c r="P5434" s="9"/>
    </row>
    <row r="5435">
      <c r="G5435" s="8"/>
      <c r="M5435" s="8">
        <f t="shared" si="5"/>
        <v>0</v>
      </c>
      <c r="P5435" s="9"/>
    </row>
    <row r="5436">
      <c r="G5436" s="8"/>
      <c r="M5436" s="8">
        <f t="shared" si="5"/>
        <v>0</v>
      </c>
      <c r="P5436" s="9"/>
    </row>
    <row r="5437">
      <c r="G5437" s="8"/>
      <c r="M5437" s="8">
        <f t="shared" si="5"/>
        <v>0</v>
      </c>
      <c r="P5437" s="9"/>
    </row>
    <row r="5438">
      <c r="G5438" s="8"/>
      <c r="M5438" s="8">
        <f t="shared" si="5"/>
        <v>0</v>
      </c>
      <c r="P5438" s="9"/>
    </row>
    <row r="5439">
      <c r="G5439" s="8"/>
      <c r="M5439" s="8">
        <f t="shared" si="5"/>
        <v>0</v>
      </c>
      <c r="P5439" s="9"/>
    </row>
    <row r="5440">
      <c r="G5440" s="8"/>
      <c r="M5440" s="8">
        <f t="shared" si="5"/>
        <v>0</v>
      </c>
      <c r="P5440" s="9"/>
    </row>
    <row r="5441">
      <c r="G5441" s="8"/>
      <c r="M5441" s="8">
        <f t="shared" si="5"/>
        <v>0</v>
      </c>
      <c r="P5441" s="9"/>
    </row>
    <row r="5442">
      <c r="G5442" s="8"/>
      <c r="M5442" s="8">
        <f t="shared" si="5"/>
        <v>0</v>
      </c>
      <c r="P5442" s="9"/>
    </row>
    <row r="5443">
      <c r="G5443" s="8"/>
      <c r="M5443" s="8">
        <f t="shared" si="5"/>
        <v>0</v>
      </c>
      <c r="P5443" s="9"/>
    </row>
    <row r="5444">
      <c r="G5444" s="8"/>
      <c r="M5444" s="8">
        <f t="shared" si="5"/>
        <v>0</v>
      </c>
      <c r="P5444" s="9"/>
    </row>
    <row r="5445">
      <c r="G5445" s="8"/>
      <c r="M5445" s="8">
        <f t="shared" si="5"/>
        <v>0</v>
      </c>
      <c r="P5445" s="9"/>
    </row>
    <row r="5446">
      <c r="G5446" s="8"/>
      <c r="M5446" s="8">
        <f t="shared" si="5"/>
        <v>0</v>
      </c>
      <c r="P5446" s="9"/>
    </row>
    <row r="5447">
      <c r="G5447" s="8"/>
      <c r="M5447" s="8">
        <f t="shared" si="5"/>
        <v>0</v>
      </c>
      <c r="P5447" s="9"/>
    </row>
    <row r="5448">
      <c r="G5448" s="8"/>
      <c r="M5448" s="8">
        <f t="shared" si="5"/>
        <v>0</v>
      </c>
      <c r="P5448" s="9"/>
    </row>
    <row r="5449">
      <c r="G5449" s="8"/>
      <c r="M5449" s="8">
        <f t="shared" si="5"/>
        <v>0</v>
      </c>
      <c r="P5449" s="9"/>
    </row>
    <row r="5450">
      <c r="G5450" s="8"/>
      <c r="M5450" s="8">
        <f t="shared" si="5"/>
        <v>0</v>
      </c>
      <c r="P5450" s="9"/>
    </row>
    <row r="5451">
      <c r="G5451" s="8"/>
      <c r="M5451" s="8">
        <f t="shared" si="5"/>
        <v>0</v>
      </c>
      <c r="P5451" s="9"/>
    </row>
    <row r="5452">
      <c r="G5452" s="8"/>
      <c r="M5452" s="8">
        <f t="shared" si="5"/>
        <v>0</v>
      </c>
      <c r="P5452" s="9"/>
    </row>
    <row r="5453">
      <c r="G5453" s="8"/>
      <c r="M5453" s="8">
        <f t="shared" si="5"/>
        <v>0</v>
      </c>
      <c r="P5453" s="9"/>
    </row>
    <row r="5454">
      <c r="G5454" s="8"/>
      <c r="M5454" s="8">
        <f t="shared" si="5"/>
        <v>0</v>
      </c>
      <c r="P5454" s="9"/>
    </row>
    <row r="5455">
      <c r="G5455" s="8"/>
      <c r="M5455" s="8">
        <f t="shared" si="5"/>
        <v>0</v>
      </c>
      <c r="P5455" s="9"/>
    </row>
    <row r="5456">
      <c r="G5456" s="8"/>
      <c r="M5456" s="8">
        <f t="shared" si="5"/>
        <v>0</v>
      </c>
      <c r="P5456" s="9"/>
    </row>
    <row r="5457">
      <c r="G5457" s="8"/>
      <c r="M5457" s="8">
        <f t="shared" si="5"/>
        <v>0</v>
      </c>
      <c r="P5457" s="9"/>
    </row>
    <row r="5458">
      <c r="G5458" s="8"/>
      <c r="M5458" s="8">
        <f t="shared" si="5"/>
        <v>0</v>
      </c>
      <c r="P5458" s="9"/>
    </row>
    <row r="5459">
      <c r="G5459" s="8"/>
      <c r="M5459" s="8">
        <f t="shared" si="5"/>
        <v>0</v>
      </c>
      <c r="P5459" s="9"/>
    </row>
    <row r="5460">
      <c r="G5460" s="8"/>
      <c r="M5460" s="8">
        <f t="shared" si="5"/>
        <v>0</v>
      </c>
      <c r="P5460" s="9"/>
    </row>
    <row r="5461">
      <c r="G5461" s="8"/>
      <c r="M5461" s="8">
        <f t="shared" si="5"/>
        <v>0</v>
      </c>
      <c r="P5461" s="9"/>
    </row>
    <row r="5462">
      <c r="G5462" s="8"/>
      <c r="M5462" s="8">
        <f t="shared" si="5"/>
        <v>0</v>
      </c>
      <c r="P5462" s="9"/>
    </row>
    <row r="5463">
      <c r="G5463" s="8"/>
      <c r="M5463" s="8">
        <f t="shared" si="5"/>
        <v>0</v>
      </c>
      <c r="P5463" s="9"/>
    </row>
    <row r="5464">
      <c r="G5464" s="8"/>
      <c r="M5464" s="8">
        <f t="shared" si="5"/>
        <v>0</v>
      </c>
      <c r="P5464" s="9"/>
    </row>
    <row r="5465">
      <c r="G5465" s="8"/>
      <c r="M5465" s="8">
        <f t="shared" si="5"/>
        <v>0</v>
      </c>
      <c r="P5465" s="9"/>
    </row>
    <row r="5466">
      <c r="G5466" s="8"/>
      <c r="M5466" s="8">
        <f t="shared" si="5"/>
        <v>0</v>
      </c>
      <c r="P5466" s="9"/>
    </row>
    <row r="5467">
      <c r="G5467" s="8"/>
      <c r="M5467" s="8">
        <f t="shared" si="5"/>
        <v>0</v>
      </c>
      <c r="P5467" s="9"/>
    </row>
    <row r="5468">
      <c r="G5468" s="8"/>
      <c r="M5468" s="8">
        <f t="shared" si="5"/>
        <v>0</v>
      </c>
      <c r="P5468" s="9"/>
    </row>
    <row r="5469">
      <c r="G5469" s="8"/>
      <c r="M5469" s="8">
        <f t="shared" si="5"/>
        <v>0</v>
      </c>
      <c r="P5469" s="9"/>
    </row>
    <row r="5470">
      <c r="G5470" s="8"/>
      <c r="M5470" s="8">
        <f t="shared" si="5"/>
        <v>0</v>
      </c>
      <c r="P5470" s="9"/>
    </row>
    <row r="5471">
      <c r="G5471" s="8"/>
      <c r="M5471" s="8">
        <f t="shared" si="5"/>
        <v>0</v>
      </c>
      <c r="P5471" s="9"/>
    </row>
    <row r="5472">
      <c r="G5472" s="8"/>
      <c r="M5472" s="8">
        <f t="shared" si="5"/>
        <v>0</v>
      </c>
      <c r="P5472" s="9"/>
    </row>
    <row r="5473">
      <c r="G5473" s="8"/>
      <c r="M5473" s="8">
        <f t="shared" si="5"/>
        <v>0</v>
      </c>
      <c r="P5473" s="9"/>
    </row>
    <row r="5474">
      <c r="G5474" s="8"/>
      <c r="M5474" s="8">
        <f t="shared" si="5"/>
        <v>0</v>
      </c>
      <c r="P5474" s="9"/>
    </row>
    <row r="5475">
      <c r="G5475" s="8"/>
      <c r="M5475" s="8">
        <f t="shared" si="5"/>
        <v>0</v>
      </c>
      <c r="P5475" s="9"/>
    </row>
    <row r="5476">
      <c r="G5476" s="8"/>
      <c r="M5476" s="8">
        <f t="shared" si="5"/>
        <v>0</v>
      </c>
      <c r="P5476" s="9"/>
    </row>
    <row r="5477">
      <c r="G5477" s="8"/>
      <c r="M5477" s="8">
        <f t="shared" si="5"/>
        <v>0</v>
      </c>
      <c r="P5477" s="9"/>
    </row>
    <row r="5478">
      <c r="G5478" s="8"/>
      <c r="M5478" s="8">
        <f t="shared" si="5"/>
        <v>0</v>
      </c>
      <c r="P5478" s="9"/>
    </row>
    <row r="5479">
      <c r="G5479" s="8"/>
      <c r="M5479" s="8">
        <f t="shared" si="5"/>
        <v>0</v>
      </c>
      <c r="P5479" s="9"/>
    </row>
    <row r="5480">
      <c r="G5480" s="8"/>
      <c r="M5480" s="8">
        <f t="shared" si="5"/>
        <v>0</v>
      </c>
      <c r="P5480" s="9"/>
    </row>
    <row r="5481">
      <c r="G5481" s="8"/>
      <c r="M5481" s="8">
        <f t="shared" si="5"/>
        <v>0</v>
      </c>
      <c r="P5481" s="9"/>
    </row>
    <row r="5482">
      <c r="G5482" s="8"/>
      <c r="M5482" s="8">
        <f t="shared" si="5"/>
        <v>0</v>
      </c>
      <c r="P5482" s="9"/>
    </row>
    <row r="5483">
      <c r="G5483" s="8"/>
      <c r="M5483" s="8">
        <f t="shared" si="5"/>
        <v>0</v>
      </c>
      <c r="P5483" s="9"/>
    </row>
    <row r="5484">
      <c r="G5484" s="8"/>
      <c r="M5484" s="8">
        <f t="shared" si="5"/>
        <v>0</v>
      </c>
      <c r="P5484" s="9"/>
    </row>
    <row r="5485">
      <c r="G5485" s="8"/>
      <c r="M5485" s="8">
        <f t="shared" si="5"/>
        <v>0</v>
      </c>
      <c r="P5485" s="9"/>
    </row>
    <row r="5486">
      <c r="G5486" s="8"/>
      <c r="M5486" s="8">
        <f t="shared" si="5"/>
        <v>0</v>
      </c>
      <c r="P5486" s="9"/>
    </row>
    <row r="5487">
      <c r="G5487" s="8"/>
      <c r="M5487" s="8">
        <f t="shared" si="5"/>
        <v>0</v>
      </c>
      <c r="P5487" s="9"/>
    </row>
    <row r="5488">
      <c r="G5488" s="8"/>
      <c r="M5488" s="8">
        <f t="shared" si="5"/>
        <v>0</v>
      </c>
      <c r="P5488" s="9"/>
    </row>
    <row r="5489">
      <c r="G5489" s="8"/>
      <c r="M5489" s="8">
        <f t="shared" si="5"/>
        <v>0</v>
      </c>
      <c r="P5489" s="9"/>
    </row>
    <row r="5490">
      <c r="G5490" s="8"/>
      <c r="M5490" s="8">
        <f t="shared" si="5"/>
        <v>0</v>
      </c>
      <c r="P5490" s="9"/>
    </row>
    <row r="5491">
      <c r="G5491" s="8"/>
      <c r="M5491" s="8">
        <f t="shared" si="5"/>
        <v>0</v>
      </c>
      <c r="P5491" s="9"/>
    </row>
    <row r="5492">
      <c r="G5492" s="8"/>
      <c r="M5492" s="8">
        <f t="shared" si="5"/>
        <v>0</v>
      </c>
      <c r="P5492" s="9"/>
    </row>
    <row r="5493">
      <c r="G5493" s="8"/>
      <c r="M5493" s="8">
        <f t="shared" si="5"/>
        <v>0</v>
      </c>
      <c r="P5493" s="9"/>
    </row>
    <row r="5494">
      <c r="G5494" s="8"/>
      <c r="M5494" s="8">
        <f t="shared" si="5"/>
        <v>0</v>
      </c>
      <c r="P5494" s="9"/>
    </row>
    <row r="5495">
      <c r="G5495" s="8"/>
      <c r="M5495" s="8">
        <f t="shared" si="5"/>
        <v>0</v>
      </c>
      <c r="P5495" s="9"/>
    </row>
    <row r="5496">
      <c r="G5496" s="8"/>
      <c r="M5496" s="8">
        <f t="shared" si="5"/>
        <v>0</v>
      </c>
      <c r="P5496" s="9"/>
    </row>
    <row r="5497">
      <c r="G5497" s="8"/>
      <c r="M5497" s="8">
        <f t="shared" si="5"/>
        <v>0</v>
      </c>
      <c r="P5497" s="9"/>
    </row>
    <row r="5498">
      <c r="G5498" s="8"/>
      <c r="M5498" s="8">
        <f t="shared" si="5"/>
        <v>0</v>
      </c>
      <c r="P5498" s="9"/>
    </row>
    <row r="5499">
      <c r="G5499" s="8"/>
      <c r="M5499" s="8">
        <f t="shared" si="5"/>
        <v>0</v>
      </c>
      <c r="P5499" s="9"/>
    </row>
    <row r="5500">
      <c r="G5500" s="8"/>
      <c r="M5500" s="8">
        <f t="shared" si="5"/>
        <v>0</v>
      </c>
      <c r="P5500" s="9"/>
    </row>
    <row r="5501">
      <c r="G5501" s="8"/>
      <c r="M5501" s="8">
        <f t="shared" si="5"/>
        <v>0</v>
      </c>
      <c r="P5501" s="9"/>
    </row>
    <row r="5502">
      <c r="G5502" s="8"/>
      <c r="M5502" s="8">
        <f t="shared" si="5"/>
        <v>0</v>
      </c>
      <c r="P5502" s="9"/>
    </row>
    <row r="5503">
      <c r="G5503" s="8"/>
      <c r="M5503" s="8">
        <f t="shared" si="5"/>
        <v>0</v>
      </c>
      <c r="P5503" s="9"/>
    </row>
    <row r="5504">
      <c r="G5504" s="8"/>
      <c r="M5504" s="8">
        <f t="shared" si="5"/>
        <v>0</v>
      </c>
      <c r="P5504" s="9"/>
    </row>
    <row r="5505">
      <c r="G5505" s="8"/>
      <c r="M5505" s="8">
        <f t="shared" si="5"/>
        <v>0</v>
      </c>
      <c r="P5505" s="9"/>
    </row>
    <row r="5506">
      <c r="G5506" s="8"/>
      <c r="M5506" s="8">
        <f t="shared" si="5"/>
        <v>0</v>
      </c>
      <c r="P5506" s="9"/>
    </row>
    <row r="5507">
      <c r="G5507" s="8"/>
      <c r="M5507" s="8">
        <f t="shared" si="5"/>
        <v>0</v>
      </c>
      <c r="P5507" s="9"/>
    </row>
    <row r="5508">
      <c r="G5508" s="8"/>
      <c r="M5508" s="8">
        <f t="shared" si="5"/>
        <v>0</v>
      </c>
      <c r="P5508" s="9"/>
    </row>
    <row r="5509">
      <c r="G5509" s="8"/>
      <c r="M5509" s="8">
        <f t="shared" si="5"/>
        <v>0</v>
      </c>
      <c r="P5509" s="9"/>
    </row>
    <row r="5510">
      <c r="G5510" s="8"/>
      <c r="M5510" s="8">
        <f t="shared" si="5"/>
        <v>0</v>
      </c>
      <c r="P5510" s="9"/>
    </row>
    <row r="5511">
      <c r="G5511" s="8"/>
      <c r="M5511" s="8">
        <f t="shared" si="5"/>
        <v>0</v>
      </c>
      <c r="P5511" s="9"/>
    </row>
    <row r="5512">
      <c r="G5512" s="8"/>
      <c r="M5512" s="8">
        <f t="shared" si="5"/>
        <v>0</v>
      </c>
      <c r="P5512" s="9"/>
    </row>
    <row r="5513">
      <c r="G5513" s="8"/>
      <c r="M5513" s="8">
        <f t="shared" si="5"/>
        <v>0</v>
      </c>
      <c r="P5513" s="9"/>
    </row>
    <row r="5514">
      <c r="G5514" s="8"/>
      <c r="M5514" s="8">
        <f t="shared" si="5"/>
        <v>0</v>
      </c>
      <c r="P5514" s="9"/>
    </row>
    <row r="5515">
      <c r="G5515" s="8"/>
      <c r="M5515" s="8">
        <f t="shared" si="5"/>
        <v>0</v>
      </c>
      <c r="P5515" s="9"/>
    </row>
    <row r="5516">
      <c r="G5516" s="8"/>
      <c r="M5516" s="8">
        <f t="shared" si="5"/>
        <v>0</v>
      </c>
      <c r="P5516" s="9"/>
    </row>
    <row r="5517">
      <c r="G5517" s="8"/>
      <c r="M5517" s="8">
        <f t="shared" si="5"/>
        <v>0</v>
      </c>
      <c r="P5517" s="9"/>
    </row>
    <row r="5518">
      <c r="G5518" s="8"/>
      <c r="M5518" s="8">
        <f t="shared" si="5"/>
        <v>0</v>
      </c>
      <c r="P5518" s="9"/>
    </row>
    <row r="5519">
      <c r="G5519" s="8"/>
      <c r="M5519" s="8">
        <f t="shared" si="5"/>
        <v>0</v>
      </c>
      <c r="P5519" s="9"/>
    </row>
    <row r="5520">
      <c r="G5520" s="8"/>
      <c r="M5520" s="8">
        <f t="shared" si="5"/>
        <v>0</v>
      </c>
      <c r="P5520" s="9"/>
    </row>
    <row r="5521">
      <c r="G5521" s="8"/>
      <c r="M5521" s="8">
        <f t="shared" si="5"/>
        <v>0</v>
      </c>
      <c r="P5521" s="9"/>
    </row>
    <row r="5522">
      <c r="G5522" s="8"/>
      <c r="M5522" s="8">
        <f t="shared" si="5"/>
        <v>0</v>
      </c>
      <c r="P5522" s="9"/>
    </row>
    <row r="5523">
      <c r="G5523" s="8"/>
      <c r="M5523" s="8">
        <f t="shared" si="5"/>
        <v>0</v>
      </c>
      <c r="P5523" s="9"/>
    </row>
    <row r="5524">
      <c r="G5524" s="8"/>
      <c r="M5524" s="8">
        <f t="shared" si="5"/>
        <v>0</v>
      </c>
      <c r="P5524" s="9"/>
    </row>
    <row r="5525">
      <c r="G5525" s="8"/>
      <c r="M5525" s="8">
        <f t="shared" si="5"/>
        <v>0</v>
      </c>
      <c r="P5525" s="9"/>
    </row>
    <row r="5526">
      <c r="G5526" s="8"/>
      <c r="M5526" s="8">
        <f t="shared" si="5"/>
        <v>0</v>
      </c>
      <c r="P5526" s="9"/>
    </row>
    <row r="5527">
      <c r="G5527" s="8"/>
      <c r="M5527" s="8">
        <f t="shared" si="5"/>
        <v>0</v>
      </c>
      <c r="P5527" s="9"/>
    </row>
    <row r="5528">
      <c r="G5528" s="8"/>
      <c r="M5528" s="8">
        <f t="shared" si="5"/>
        <v>0</v>
      </c>
      <c r="P5528" s="9"/>
    </row>
    <row r="5529">
      <c r="G5529" s="8"/>
      <c r="M5529" s="8">
        <f t="shared" si="5"/>
        <v>0</v>
      </c>
      <c r="P5529" s="9"/>
    </row>
    <row r="5530">
      <c r="G5530" s="8"/>
      <c r="M5530" s="8">
        <f t="shared" si="5"/>
        <v>0</v>
      </c>
      <c r="P5530" s="9"/>
    </row>
    <row r="5531">
      <c r="G5531" s="8"/>
      <c r="M5531" s="8">
        <f t="shared" si="5"/>
        <v>0</v>
      </c>
      <c r="P5531" s="9"/>
    </row>
    <row r="5532">
      <c r="G5532" s="8"/>
      <c r="M5532" s="8">
        <f t="shared" si="5"/>
        <v>0</v>
      </c>
      <c r="P5532" s="9"/>
    </row>
    <row r="5533">
      <c r="G5533" s="8"/>
      <c r="M5533" s="8">
        <f t="shared" si="5"/>
        <v>0</v>
      </c>
      <c r="P5533" s="9"/>
    </row>
    <row r="5534">
      <c r="G5534" s="8"/>
      <c r="M5534" s="8">
        <f t="shared" si="5"/>
        <v>0</v>
      </c>
      <c r="P5534" s="9"/>
    </row>
    <row r="5535">
      <c r="G5535" s="8"/>
      <c r="M5535" s="8">
        <f t="shared" si="5"/>
        <v>0</v>
      </c>
      <c r="P5535" s="9"/>
    </row>
    <row r="5536">
      <c r="G5536" s="8"/>
      <c r="M5536" s="8">
        <f t="shared" si="5"/>
        <v>0</v>
      </c>
      <c r="P5536" s="9"/>
    </row>
    <row r="5537">
      <c r="G5537" s="8"/>
      <c r="M5537" s="8">
        <f t="shared" si="5"/>
        <v>0</v>
      </c>
      <c r="P5537" s="9"/>
    </row>
    <row r="5538">
      <c r="G5538" s="8"/>
      <c r="M5538" s="8">
        <f t="shared" si="5"/>
        <v>0</v>
      </c>
      <c r="P5538" s="9"/>
    </row>
    <row r="5539">
      <c r="G5539" s="8"/>
      <c r="M5539" s="8">
        <f t="shared" si="5"/>
        <v>0</v>
      </c>
      <c r="P5539" s="9"/>
    </row>
    <row r="5540">
      <c r="G5540" s="8"/>
      <c r="M5540" s="8">
        <f t="shared" si="5"/>
        <v>0</v>
      </c>
      <c r="P5540" s="9"/>
    </row>
    <row r="5541">
      <c r="G5541" s="8"/>
      <c r="M5541" s="8">
        <f t="shared" si="5"/>
        <v>0</v>
      </c>
      <c r="P5541" s="9"/>
    </row>
    <row r="5542">
      <c r="G5542" s="8"/>
      <c r="M5542" s="8">
        <f t="shared" si="5"/>
        <v>0</v>
      </c>
      <c r="P5542" s="9"/>
    </row>
    <row r="5543">
      <c r="G5543" s="8"/>
      <c r="M5543" s="8">
        <f t="shared" si="5"/>
        <v>0</v>
      </c>
      <c r="P5543" s="9"/>
    </row>
    <row r="5544">
      <c r="G5544" s="8"/>
      <c r="M5544" s="8">
        <f t="shared" si="5"/>
        <v>0</v>
      </c>
      <c r="P5544" s="9"/>
    </row>
    <row r="5545">
      <c r="G5545" s="8"/>
      <c r="M5545" s="8">
        <f t="shared" si="5"/>
        <v>0</v>
      </c>
      <c r="P5545" s="9"/>
    </row>
    <row r="5546">
      <c r="G5546" s="8"/>
      <c r="M5546" s="8">
        <f t="shared" si="5"/>
        <v>0</v>
      </c>
      <c r="P5546" s="9"/>
    </row>
    <row r="5547">
      <c r="G5547" s="8"/>
      <c r="M5547" s="8">
        <f t="shared" si="5"/>
        <v>0</v>
      </c>
      <c r="P5547" s="9"/>
    </row>
    <row r="5548">
      <c r="G5548" s="8"/>
      <c r="M5548" s="8">
        <f t="shared" si="5"/>
        <v>0</v>
      </c>
      <c r="P5548" s="9"/>
    </row>
    <row r="5549">
      <c r="G5549" s="8"/>
      <c r="M5549" s="8">
        <f t="shared" si="5"/>
        <v>0</v>
      </c>
      <c r="P5549" s="9"/>
    </row>
    <row r="5550">
      <c r="G5550" s="8"/>
      <c r="M5550" s="8">
        <f t="shared" si="5"/>
        <v>0</v>
      </c>
      <c r="P5550" s="9"/>
    </row>
    <row r="5551">
      <c r="G5551" s="8"/>
      <c r="M5551" s="8">
        <f t="shared" si="5"/>
        <v>0</v>
      </c>
      <c r="P5551" s="9"/>
    </row>
    <row r="5552">
      <c r="G5552" s="8"/>
      <c r="M5552" s="8">
        <f t="shared" si="5"/>
        <v>0</v>
      </c>
      <c r="P5552" s="9"/>
    </row>
    <row r="5553">
      <c r="G5553" s="8"/>
      <c r="M5553" s="8">
        <f t="shared" si="5"/>
        <v>0</v>
      </c>
      <c r="P5553" s="9"/>
    </row>
    <row r="5554">
      <c r="G5554" s="8"/>
      <c r="M5554" s="8">
        <f t="shared" si="5"/>
        <v>0</v>
      </c>
      <c r="P5554" s="9"/>
    </row>
    <row r="5555">
      <c r="G5555" s="8"/>
      <c r="M5555" s="8">
        <f t="shared" si="5"/>
        <v>0</v>
      </c>
      <c r="P5555" s="9"/>
    </row>
    <row r="5556">
      <c r="G5556" s="8"/>
      <c r="M5556" s="8">
        <f t="shared" si="5"/>
        <v>0</v>
      </c>
      <c r="P5556" s="9"/>
    </row>
    <row r="5557">
      <c r="G5557" s="8"/>
      <c r="M5557" s="8">
        <f t="shared" si="5"/>
        <v>0</v>
      </c>
      <c r="P5557" s="9"/>
    </row>
    <row r="5558">
      <c r="G5558" s="8"/>
      <c r="M5558" s="8">
        <f t="shared" si="5"/>
        <v>0</v>
      </c>
      <c r="P5558" s="9"/>
    </row>
    <row r="5559">
      <c r="G5559" s="8"/>
      <c r="M5559" s="8">
        <f t="shared" si="5"/>
        <v>0</v>
      </c>
      <c r="P5559" s="9"/>
    </row>
    <row r="5560">
      <c r="G5560" s="8"/>
      <c r="M5560" s="8">
        <f t="shared" si="5"/>
        <v>0</v>
      </c>
      <c r="P5560" s="9"/>
    </row>
    <row r="5561">
      <c r="G5561" s="8"/>
      <c r="M5561" s="8">
        <f t="shared" si="5"/>
        <v>0</v>
      </c>
      <c r="P5561" s="9"/>
    </row>
    <row r="5562">
      <c r="G5562" s="8"/>
      <c r="M5562" s="8">
        <f t="shared" si="5"/>
        <v>0</v>
      </c>
      <c r="P5562" s="9"/>
    </row>
    <row r="5563">
      <c r="G5563" s="8"/>
      <c r="M5563" s="8">
        <f t="shared" si="5"/>
        <v>0</v>
      </c>
      <c r="P5563" s="9"/>
    </row>
    <row r="5564">
      <c r="G5564" s="8"/>
      <c r="M5564" s="8">
        <f t="shared" si="5"/>
        <v>0</v>
      </c>
      <c r="P5564" s="9"/>
    </row>
    <row r="5565">
      <c r="G5565" s="8"/>
      <c r="M5565" s="8">
        <f t="shared" si="5"/>
        <v>0</v>
      </c>
      <c r="P5565" s="9"/>
    </row>
    <row r="5566">
      <c r="G5566" s="8"/>
      <c r="M5566" s="8">
        <f t="shared" si="5"/>
        <v>0</v>
      </c>
      <c r="P5566" s="9"/>
    </row>
    <row r="5567">
      <c r="G5567" s="8"/>
      <c r="M5567" s="8">
        <f t="shared" si="5"/>
        <v>0</v>
      </c>
      <c r="P5567" s="9"/>
    </row>
    <row r="5568">
      <c r="G5568" s="8"/>
      <c r="M5568" s="8">
        <f t="shared" si="5"/>
        <v>0</v>
      </c>
      <c r="P5568" s="9"/>
    </row>
    <row r="5569">
      <c r="G5569" s="8"/>
      <c r="M5569" s="8">
        <f t="shared" si="5"/>
        <v>0</v>
      </c>
      <c r="P5569" s="9"/>
    </row>
    <row r="5570">
      <c r="G5570" s="8"/>
      <c r="M5570" s="8">
        <f t="shared" si="5"/>
        <v>0</v>
      </c>
      <c r="P5570" s="9"/>
    </row>
    <row r="5571">
      <c r="G5571" s="8"/>
      <c r="M5571" s="8">
        <f t="shared" si="5"/>
        <v>0</v>
      </c>
      <c r="P5571" s="9"/>
    </row>
    <row r="5572">
      <c r="G5572" s="8"/>
      <c r="M5572" s="8">
        <f t="shared" si="5"/>
        <v>0</v>
      </c>
      <c r="P5572" s="9"/>
    </row>
    <row r="5573">
      <c r="G5573" s="8"/>
      <c r="M5573" s="8">
        <f t="shared" si="5"/>
        <v>0</v>
      </c>
      <c r="P5573" s="9"/>
    </row>
    <row r="5574">
      <c r="G5574" s="8"/>
      <c r="M5574" s="8">
        <f t="shared" si="5"/>
        <v>0</v>
      </c>
      <c r="P5574" s="9"/>
    </row>
    <row r="5575">
      <c r="G5575" s="8"/>
      <c r="M5575" s="8">
        <f t="shared" si="5"/>
        <v>0</v>
      </c>
      <c r="P5575" s="9"/>
    </row>
    <row r="5576">
      <c r="G5576" s="8"/>
      <c r="M5576" s="8">
        <f t="shared" si="5"/>
        <v>0</v>
      </c>
      <c r="P5576" s="9"/>
    </row>
    <row r="5577">
      <c r="G5577" s="8"/>
      <c r="M5577" s="8">
        <f t="shared" si="5"/>
        <v>0</v>
      </c>
      <c r="P5577" s="9"/>
    </row>
    <row r="5578">
      <c r="G5578" s="8"/>
      <c r="M5578" s="8">
        <f t="shared" si="5"/>
        <v>0</v>
      </c>
      <c r="P5578" s="9"/>
    </row>
    <row r="5579">
      <c r="G5579" s="8"/>
      <c r="M5579" s="8">
        <f t="shared" si="5"/>
        <v>0</v>
      </c>
      <c r="P5579" s="9"/>
    </row>
    <row r="5580">
      <c r="G5580" s="8"/>
      <c r="M5580" s="8">
        <f t="shared" si="5"/>
        <v>0</v>
      </c>
      <c r="P5580" s="9"/>
    </row>
    <row r="5581">
      <c r="G5581" s="8"/>
      <c r="M5581" s="8">
        <f t="shared" si="5"/>
        <v>0</v>
      </c>
      <c r="P5581" s="9"/>
    </row>
    <row r="5582">
      <c r="G5582" s="8"/>
      <c r="M5582" s="8">
        <f t="shared" si="5"/>
        <v>0</v>
      </c>
      <c r="P5582" s="9"/>
    </row>
    <row r="5583">
      <c r="G5583" s="8"/>
      <c r="M5583" s="8">
        <f t="shared" si="5"/>
        <v>0</v>
      </c>
      <c r="P5583" s="9"/>
    </row>
    <row r="5584">
      <c r="G5584" s="8"/>
      <c r="M5584" s="8">
        <f t="shared" si="5"/>
        <v>0</v>
      </c>
      <c r="P5584" s="9"/>
    </row>
    <row r="5585">
      <c r="G5585" s="8"/>
      <c r="M5585" s="8">
        <f t="shared" si="5"/>
        <v>0</v>
      </c>
      <c r="P5585" s="9"/>
    </row>
    <row r="5586">
      <c r="G5586" s="8"/>
      <c r="M5586" s="8">
        <f t="shared" si="5"/>
        <v>0</v>
      </c>
      <c r="P5586" s="9"/>
    </row>
    <row r="5587">
      <c r="G5587" s="8"/>
      <c r="M5587" s="8">
        <f t="shared" si="5"/>
        <v>0</v>
      </c>
      <c r="P5587" s="9"/>
    </row>
    <row r="5588">
      <c r="G5588" s="8"/>
      <c r="M5588" s="8">
        <f t="shared" si="5"/>
        <v>0</v>
      </c>
      <c r="P5588" s="9"/>
    </row>
    <row r="5589">
      <c r="G5589" s="8"/>
      <c r="M5589" s="8">
        <f t="shared" si="5"/>
        <v>0</v>
      </c>
      <c r="P5589" s="9"/>
    </row>
    <row r="5590">
      <c r="G5590" s="8"/>
      <c r="M5590" s="8">
        <f t="shared" si="5"/>
        <v>0</v>
      </c>
      <c r="P5590" s="9"/>
    </row>
    <row r="5591">
      <c r="G5591" s="8"/>
      <c r="M5591" s="8">
        <f t="shared" si="5"/>
        <v>0</v>
      </c>
      <c r="P5591" s="9"/>
    </row>
    <row r="5592">
      <c r="G5592" s="8"/>
      <c r="M5592" s="8">
        <f t="shared" si="5"/>
        <v>0</v>
      </c>
      <c r="P5592" s="9"/>
    </row>
    <row r="5593">
      <c r="G5593" s="8"/>
      <c r="M5593" s="8">
        <f t="shared" si="5"/>
        <v>0</v>
      </c>
      <c r="P5593" s="9"/>
    </row>
    <row r="5594">
      <c r="G5594" s="8"/>
      <c r="M5594" s="8">
        <f t="shared" si="5"/>
        <v>0</v>
      </c>
      <c r="P5594" s="9"/>
    </row>
    <row r="5595">
      <c r="G5595" s="8"/>
      <c r="M5595" s="8">
        <f t="shared" si="5"/>
        <v>0</v>
      </c>
      <c r="P5595" s="9"/>
    </row>
    <row r="5596">
      <c r="G5596" s="8"/>
      <c r="M5596" s="8">
        <f t="shared" si="5"/>
        <v>0</v>
      </c>
      <c r="P5596" s="9"/>
    </row>
    <row r="5597">
      <c r="G5597" s="8"/>
      <c r="M5597" s="8">
        <f t="shared" si="5"/>
        <v>0</v>
      </c>
      <c r="P5597" s="9"/>
    </row>
    <row r="5598">
      <c r="G5598" s="8"/>
      <c r="M5598" s="8">
        <f t="shared" si="5"/>
        <v>0</v>
      </c>
      <c r="P5598" s="9"/>
    </row>
    <row r="5599">
      <c r="G5599" s="8"/>
      <c r="M5599" s="8">
        <f t="shared" si="5"/>
        <v>0</v>
      </c>
      <c r="P5599" s="9"/>
    </row>
    <row r="5600">
      <c r="G5600" s="8"/>
      <c r="M5600" s="8">
        <f t="shared" si="5"/>
        <v>0</v>
      </c>
      <c r="P5600" s="9"/>
    </row>
    <row r="5601">
      <c r="G5601" s="8"/>
      <c r="M5601" s="8">
        <f t="shared" si="5"/>
        <v>0</v>
      </c>
      <c r="P5601" s="9"/>
    </row>
    <row r="5602">
      <c r="G5602" s="8"/>
      <c r="M5602" s="8">
        <f t="shared" si="5"/>
        <v>0</v>
      </c>
      <c r="P5602" s="9"/>
    </row>
    <row r="5603">
      <c r="G5603" s="8"/>
      <c r="M5603" s="8">
        <f t="shared" si="5"/>
        <v>0</v>
      </c>
      <c r="P5603" s="9"/>
    </row>
    <row r="5604">
      <c r="G5604" s="8"/>
      <c r="M5604" s="8">
        <f t="shared" si="5"/>
        <v>0</v>
      </c>
      <c r="P5604" s="9"/>
    </row>
    <row r="5605">
      <c r="G5605" s="8"/>
      <c r="M5605" s="8">
        <f t="shared" si="5"/>
        <v>0</v>
      </c>
      <c r="P5605" s="9"/>
    </row>
    <row r="5606">
      <c r="G5606" s="8"/>
      <c r="M5606" s="8">
        <f t="shared" si="5"/>
        <v>0</v>
      </c>
      <c r="P5606" s="9"/>
    </row>
    <row r="5607">
      <c r="G5607" s="8"/>
      <c r="M5607" s="8">
        <f t="shared" si="5"/>
        <v>0</v>
      </c>
      <c r="P5607" s="9"/>
    </row>
    <row r="5608">
      <c r="G5608" s="8"/>
      <c r="M5608" s="8">
        <f t="shared" si="5"/>
        <v>0</v>
      </c>
      <c r="P5608" s="9"/>
    </row>
    <row r="5609">
      <c r="G5609" s="8"/>
      <c r="M5609" s="8">
        <f t="shared" si="5"/>
        <v>0</v>
      </c>
      <c r="P5609" s="9"/>
    </row>
    <row r="5610">
      <c r="G5610" s="8"/>
      <c r="M5610" s="8">
        <f t="shared" si="5"/>
        <v>0</v>
      </c>
      <c r="P5610" s="9"/>
    </row>
    <row r="5611">
      <c r="G5611" s="8"/>
      <c r="M5611" s="8">
        <f t="shared" si="5"/>
        <v>0</v>
      </c>
      <c r="P5611" s="9"/>
    </row>
    <row r="5612">
      <c r="G5612" s="8"/>
      <c r="M5612" s="8">
        <f t="shared" si="5"/>
        <v>0</v>
      </c>
      <c r="P5612" s="9"/>
    </row>
    <row r="5613">
      <c r="G5613" s="8"/>
      <c r="M5613" s="8">
        <f t="shared" si="5"/>
        <v>0</v>
      </c>
      <c r="P5613" s="9"/>
    </row>
    <row r="5614">
      <c r="G5614" s="8"/>
      <c r="M5614" s="8">
        <f t="shared" si="5"/>
        <v>0</v>
      </c>
      <c r="P5614" s="9"/>
    </row>
    <row r="5615">
      <c r="G5615" s="8"/>
      <c r="M5615" s="8">
        <f t="shared" si="5"/>
        <v>0</v>
      </c>
      <c r="P5615" s="9"/>
    </row>
    <row r="5616">
      <c r="G5616" s="8"/>
      <c r="M5616" s="8">
        <f t="shared" si="5"/>
        <v>0</v>
      </c>
      <c r="P5616" s="9"/>
    </row>
    <row r="5617">
      <c r="G5617" s="8"/>
      <c r="M5617" s="8">
        <f t="shared" si="5"/>
        <v>0</v>
      </c>
      <c r="P5617" s="9"/>
    </row>
    <row r="5618">
      <c r="G5618" s="8"/>
      <c r="M5618" s="8">
        <f t="shared" si="5"/>
        <v>0</v>
      </c>
      <c r="P5618" s="9"/>
    </row>
    <row r="5619">
      <c r="G5619" s="8"/>
      <c r="M5619" s="8">
        <f t="shared" si="5"/>
        <v>0</v>
      </c>
      <c r="P5619" s="9"/>
    </row>
    <row r="5620">
      <c r="G5620" s="8"/>
      <c r="M5620" s="8">
        <f t="shared" si="5"/>
        <v>0</v>
      </c>
      <c r="P5620" s="9"/>
    </row>
    <row r="5621">
      <c r="G5621" s="8"/>
      <c r="M5621" s="8">
        <f t="shared" si="5"/>
        <v>0</v>
      </c>
      <c r="P5621" s="9"/>
    </row>
    <row r="5622">
      <c r="G5622" s="8"/>
      <c r="M5622" s="8">
        <f t="shared" si="5"/>
        <v>0</v>
      </c>
      <c r="P5622" s="9"/>
    </row>
    <row r="5623">
      <c r="G5623" s="8"/>
      <c r="M5623" s="8">
        <f t="shared" si="5"/>
        <v>0</v>
      </c>
      <c r="P5623" s="9"/>
    </row>
    <row r="5624">
      <c r="G5624" s="8"/>
      <c r="M5624" s="8">
        <f t="shared" si="5"/>
        <v>0</v>
      </c>
      <c r="P5624" s="9"/>
    </row>
    <row r="5625">
      <c r="G5625" s="8"/>
      <c r="M5625" s="8">
        <f t="shared" si="5"/>
        <v>0</v>
      </c>
      <c r="P5625" s="9"/>
    </row>
    <row r="5626">
      <c r="G5626" s="8"/>
      <c r="M5626" s="8">
        <f t="shared" si="5"/>
        <v>0</v>
      </c>
      <c r="P5626" s="9"/>
    </row>
    <row r="5627">
      <c r="G5627" s="8"/>
      <c r="M5627" s="8">
        <f t="shared" si="5"/>
        <v>0</v>
      </c>
      <c r="P5627" s="9"/>
    </row>
    <row r="5628">
      <c r="G5628" s="8"/>
      <c r="M5628" s="8">
        <f t="shared" si="5"/>
        <v>0</v>
      </c>
      <c r="P5628" s="9"/>
    </row>
    <row r="5629">
      <c r="G5629" s="8"/>
      <c r="M5629" s="8">
        <f t="shared" si="5"/>
        <v>0</v>
      </c>
      <c r="P5629" s="9"/>
    </row>
    <row r="5630">
      <c r="G5630" s="8"/>
      <c r="M5630" s="8">
        <f t="shared" si="5"/>
        <v>0</v>
      </c>
      <c r="P5630" s="9"/>
    </row>
    <row r="5631">
      <c r="G5631" s="8"/>
      <c r="M5631" s="8">
        <f t="shared" si="5"/>
        <v>0</v>
      </c>
      <c r="P5631" s="9"/>
    </row>
    <row r="5632">
      <c r="G5632" s="8"/>
      <c r="M5632" s="8">
        <f t="shared" si="5"/>
        <v>0</v>
      </c>
      <c r="P5632" s="9"/>
    </row>
    <row r="5633">
      <c r="G5633" s="8"/>
      <c r="M5633" s="8">
        <f t="shared" si="5"/>
        <v>0</v>
      </c>
      <c r="P5633" s="9"/>
    </row>
    <row r="5634">
      <c r="G5634" s="8"/>
      <c r="M5634" s="8">
        <f t="shared" si="5"/>
        <v>0</v>
      </c>
      <c r="P5634" s="9"/>
    </row>
    <row r="5635">
      <c r="G5635" s="8"/>
      <c r="M5635" s="8">
        <f t="shared" si="5"/>
        <v>0</v>
      </c>
      <c r="P5635" s="9"/>
    </row>
    <row r="5636">
      <c r="G5636" s="8"/>
      <c r="M5636" s="8">
        <f t="shared" si="5"/>
        <v>0</v>
      </c>
      <c r="P5636" s="9"/>
    </row>
    <row r="5637">
      <c r="G5637" s="8"/>
      <c r="M5637" s="8">
        <f t="shared" si="5"/>
        <v>0</v>
      </c>
      <c r="P5637" s="9"/>
    </row>
    <row r="5638">
      <c r="G5638" s="8"/>
      <c r="M5638" s="8">
        <f t="shared" si="5"/>
        <v>0</v>
      </c>
      <c r="P5638" s="9"/>
    </row>
    <row r="5639">
      <c r="G5639" s="8"/>
      <c r="M5639" s="8">
        <f t="shared" si="5"/>
        <v>0</v>
      </c>
      <c r="P5639" s="9"/>
    </row>
    <row r="5640">
      <c r="G5640" s="8"/>
      <c r="M5640" s="8">
        <f t="shared" si="5"/>
        <v>0</v>
      </c>
      <c r="P5640" s="9"/>
    </row>
    <row r="5641">
      <c r="G5641" s="8"/>
      <c r="M5641" s="8">
        <f t="shared" si="5"/>
        <v>0</v>
      </c>
      <c r="P5641" s="9"/>
    </row>
    <row r="5642">
      <c r="G5642" s="8"/>
      <c r="M5642" s="8">
        <f t="shared" si="5"/>
        <v>0</v>
      </c>
      <c r="P5642" s="9"/>
    </row>
    <row r="5643">
      <c r="G5643" s="8"/>
      <c r="M5643" s="8">
        <f t="shared" si="5"/>
        <v>0</v>
      </c>
      <c r="P5643" s="9"/>
    </row>
    <row r="5644">
      <c r="G5644" s="8"/>
      <c r="M5644" s="8">
        <f t="shared" si="5"/>
        <v>0</v>
      </c>
      <c r="P5644" s="9"/>
    </row>
    <row r="5645">
      <c r="G5645" s="8"/>
      <c r="M5645" s="8">
        <f t="shared" si="5"/>
        <v>0</v>
      </c>
      <c r="P5645" s="9"/>
    </row>
    <row r="5646">
      <c r="G5646" s="8"/>
      <c r="M5646" s="8">
        <f t="shared" si="5"/>
        <v>0</v>
      </c>
      <c r="P5646" s="9"/>
    </row>
    <row r="5647">
      <c r="G5647" s="8"/>
      <c r="M5647" s="8">
        <f t="shared" si="5"/>
        <v>0</v>
      </c>
      <c r="P5647" s="9"/>
    </row>
    <row r="5648">
      <c r="G5648" s="8"/>
      <c r="M5648" s="8">
        <f t="shared" si="5"/>
        <v>0</v>
      </c>
      <c r="P5648" s="9"/>
    </row>
    <row r="5649">
      <c r="G5649" s="8"/>
      <c r="M5649" s="8">
        <f t="shared" si="5"/>
        <v>0</v>
      </c>
      <c r="P5649" s="9"/>
    </row>
    <row r="5650">
      <c r="G5650" s="8"/>
      <c r="M5650" s="8">
        <f t="shared" si="5"/>
        <v>0</v>
      </c>
      <c r="P5650" s="9"/>
    </row>
    <row r="5651">
      <c r="G5651" s="8"/>
      <c r="M5651" s="8">
        <f t="shared" si="5"/>
        <v>0</v>
      </c>
      <c r="P5651" s="9"/>
    </row>
    <row r="5652">
      <c r="G5652" s="8"/>
      <c r="M5652" s="8">
        <f t="shared" si="5"/>
        <v>0</v>
      </c>
      <c r="P5652" s="9"/>
    </row>
    <row r="5653">
      <c r="G5653" s="8"/>
      <c r="M5653" s="8">
        <f t="shared" si="5"/>
        <v>0</v>
      </c>
      <c r="P5653" s="9"/>
    </row>
    <row r="5654">
      <c r="G5654" s="8"/>
      <c r="M5654" s="8">
        <f t="shared" si="5"/>
        <v>0</v>
      </c>
      <c r="P5654" s="9"/>
    </row>
    <row r="5655">
      <c r="G5655" s="8"/>
      <c r="M5655" s="8">
        <f t="shared" si="5"/>
        <v>0</v>
      </c>
      <c r="P5655" s="9"/>
    </row>
    <row r="5656">
      <c r="G5656" s="8"/>
      <c r="M5656" s="8">
        <f t="shared" si="5"/>
        <v>0</v>
      </c>
      <c r="P5656" s="9"/>
    </row>
    <row r="5657">
      <c r="G5657" s="8"/>
      <c r="M5657" s="8">
        <f t="shared" si="5"/>
        <v>0</v>
      </c>
      <c r="P5657" s="9"/>
    </row>
    <row r="5658">
      <c r="G5658" s="8"/>
      <c r="M5658" s="8">
        <f t="shared" si="5"/>
        <v>0</v>
      </c>
      <c r="P5658" s="9"/>
    </row>
    <row r="5659">
      <c r="G5659" s="8"/>
      <c r="M5659" s="8">
        <f t="shared" si="5"/>
        <v>0</v>
      </c>
      <c r="P5659" s="9"/>
    </row>
    <row r="5660">
      <c r="G5660" s="8"/>
      <c r="M5660" s="8">
        <f t="shared" si="5"/>
        <v>0</v>
      </c>
      <c r="P5660" s="9"/>
    </row>
    <row r="5661">
      <c r="G5661" s="8"/>
      <c r="M5661" s="8">
        <f t="shared" si="5"/>
        <v>0</v>
      </c>
      <c r="P5661" s="9"/>
    </row>
    <row r="5662">
      <c r="G5662" s="8"/>
      <c r="M5662" s="8">
        <f t="shared" si="5"/>
        <v>0</v>
      </c>
      <c r="P5662" s="9"/>
    </row>
    <row r="5663">
      <c r="G5663" s="8"/>
      <c r="M5663" s="8">
        <f t="shared" si="5"/>
        <v>0</v>
      </c>
      <c r="P5663" s="9"/>
    </row>
    <row r="5664">
      <c r="G5664" s="8"/>
      <c r="M5664" s="8">
        <f t="shared" si="5"/>
        <v>0</v>
      </c>
      <c r="P5664" s="9"/>
    </row>
    <row r="5665">
      <c r="G5665" s="8"/>
      <c r="M5665" s="8">
        <f t="shared" si="5"/>
        <v>0</v>
      </c>
      <c r="P5665" s="9"/>
    </row>
    <row r="5666">
      <c r="G5666" s="8"/>
      <c r="M5666" s="8">
        <f t="shared" si="5"/>
        <v>0</v>
      </c>
      <c r="P5666" s="9"/>
    </row>
    <row r="5667">
      <c r="G5667" s="8"/>
      <c r="M5667" s="8">
        <f t="shared" si="5"/>
        <v>0</v>
      </c>
      <c r="P5667" s="9"/>
    </row>
    <row r="5668">
      <c r="G5668" s="8"/>
      <c r="M5668" s="8">
        <f t="shared" si="5"/>
        <v>0</v>
      </c>
      <c r="P5668" s="9"/>
    </row>
    <row r="5669">
      <c r="G5669" s="8"/>
      <c r="M5669" s="8">
        <f t="shared" si="5"/>
        <v>0</v>
      </c>
      <c r="P5669" s="9"/>
    </row>
    <row r="5670">
      <c r="G5670" s="8"/>
      <c r="M5670" s="8">
        <f t="shared" si="5"/>
        <v>0</v>
      </c>
      <c r="P5670" s="9"/>
    </row>
    <row r="5671">
      <c r="G5671" s="8"/>
      <c r="M5671" s="8">
        <f t="shared" si="5"/>
        <v>0</v>
      </c>
      <c r="P5671" s="9"/>
    </row>
    <row r="5672">
      <c r="G5672" s="8"/>
      <c r="M5672" s="8">
        <f t="shared" si="5"/>
        <v>0</v>
      </c>
      <c r="P5672" s="9"/>
    </row>
    <row r="5673">
      <c r="G5673" s="8"/>
      <c r="M5673" s="8">
        <f t="shared" si="5"/>
        <v>0</v>
      </c>
      <c r="P5673" s="9"/>
    </row>
    <row r="5674">
      <c r="G5674" s="8"/>
      <c r="M5674" s="8">
        <f t="shared" si="5"/>
        <v>0</v>
      </c>
      <c r="P5674" s="9"/>
    </row>
    <row r="5675">
      <c r="G5675" s="8"/>
      <c r="M5675" s="8">
        <f t="shared" si="5"/>
        <v>0</v>
      </c>
      <c r="P5675" s="9"/>
    </row>
    <row r="5676">
      <c r="G5676" s="8"/>
      <c r="M5676" s="8">
        <f t="shared" si="5"/>
        <v>0</v>
      </c>
      <c r="P5676" s="9"/>
    </row>
    <row r="5677">
      <c r="G5677" s="8"/>
      <c r="M5677" s="8">
        <f t="shared" si="5"/>
        <v>0</v>
      </c>
      <c r="P5677" s="9"/>
    </row>
    <row r="5678">
      <c r="G5678" s="8"/>
      <c r="M5678" s="8">
        <f t="shared" si="5"/>
        <v>0</v>
      </c>
      <c r="P5678" s="9"/>
    </row>
    <row r="5679">
      <c r="G5679" s="8"/>
      <c r="M5679" s="8">
        <f t="shared" si="5"/>
        <v>0</v>
      </c>
      <c r="P5679" s="9"/>
    </row>
    <row r="5680">
      <c r="G5680" s="8"/>
      <c r="M5680" s="8">
        <f t="shared" si="5"/>
        <v>0</v>
      </c>
      <c r="P5680" s="9"/>
    </row>
    <row r="5681">
      <c r="G5681" s="8"/>
      <c r="M5681" s="8">
        <f t="shared" si="5"/>
        <v>0</v>
      </c>
      <c r="P5681" s="9"/>
    </row>
    <row r="5682">
      <c r="G5682" s="8"/>
      <c r="M5682" s="8">
        <f t="shared" si="5"/>
        <v>0</v>
      </c>
      <c r="P5682" s="9"/>
    </row>
    <row r="5683">
      <c r="G5683" s="8"/>
      <c r="M5683" s="8">
        <f t="shared" si="5"/>
        <v>0</v>
      </c>
      <c r="P5683" s="9"/>
    </row>
    <row r="5684">
      <c r="G5684" s="8"/>
      <c r="M5684" s="8">
        <f t="shared" si="5"/>
        <v>0</v>
      </c>
      <c r="P5684" s="9"/>
    </row>
    <row r="5685">
      <c r="G5685" s="8"/>
      <c r="M5685" s="8">
        <f t="shared" si="5"/>
        <v>0</v>
      </c>
      <c r="P5685" s="9"/>
    </row>
    <row r="5686">
      <c r="G5686" s="8"/>
      <c r="M5686" s="8">
        <f t="shared" si="5"/>
        <v>0</v>
      </c>
      <c r="P5686" s="9"/>
    </row>
    <row r="5687">
      <c r="G5687" s="8"/>
      <c r="M5687" s="8">
        <f t="shared" si="5"/>
        <v>0</v>
      </c>
      <c r="P5687" s="9"/>
    </row>
    <row r="5688">
      <c r="G5688" s="8"/>
      <c r="M5688" s="8">
        <f t="shared" si="5"/>
        <v>0</v>
      </c>
      <c r="P5688" s="9"/>
    </row>
    <row r="5689">
      <c r="G5689" s="8"/>
      <c r="M5689" s="8">
        <f t="shared" si="5"/>
        <v>0</v>
      </c>
      <c r="P5689" s="9"/>
    </row>
    <row r="5690">
      <c r="G5690" s="8"/>
      <c r="M5690" s="8">
        <f t="shared" si="5"/>
        <v>0</v>
      </c>
      <c r="P5690" s="9"/>
    </row>
    <row r="5691">
      <c r="G5691" s="8"/>
      <c r="M5691" s="8">
        <f t="shared" si="5"/>
        <v>0</v>
      </c>
      <c r="P5691" s="9"/>
    </row>
    <row r="5692">
      <c r="G5692" s="8"/>
      <c r="M5692" s="8">
        <f t="shared" si="5"/>
        <v>0</v>
      </c>
      <c r="P5692" s="9"/>
    </row>
    <row r="5693">
      <c r="G5693" s="8"/>
      <c r="M5693" s="8">
        <f t="shared" si="5"/>
        <v>0</v>
      </c>
      <c r="P5693" s="9"/>
    </row>
    <row r="5694">
      <c r="G5694" s="8"/>
      <c r="M5694" s="8">
        <f t="shared" si="5"/>
        <v>0</v>
      </c>
      <c r="P5694" s="9"/>
    </row>
    <row r="5695">
      <c r="G5695" s="8"/>
      <c r="M5695" s="8">
        <f t="shared" si="5"/>
        <v>0</v>
      </c>
      <c r="P5695" s="9"/>
    </row>
    <row r="5696">
      <c r="G5696" s="8"/>
      <c r="M5696" s="8">
        <f t="shared" si="5"/>
        <v>0</v>
      </c>
      <c r="P5696" s="9"/>
    </row>
    <row r="5697">
      <c r="G5697" s="8"/>
      <c r="M5697" s="8">
        <f t="shared" si="5"/>
        <v>0</v>
      </c>
      <c r="P5697" s="9"/>
    </row>
    <row r="5698">
      <c r="G5698" s="8"/>
      <c r="M5698" s="8">
        <f t="shared" si="5"/>
        <v>0</v>
      </c>
      <c r="P5698" s="9"/>
    </row>
    <row r="5699">
      <c r="G5699" s="8"/>
      <c r="M5699" s="8">
        <f t="shared" si="5"/>
        <v>0</v>
      </c>
      <c r="P5699" s="9"/>
    </row>
    <row r="5700">
      <c r="G5700" s="8"/>
      <c r="M5700" s="8">
        <f t="shared" si="5"/>
        <v>0</v>
      </c>
      <c r="P5700" s="9"/>
    </row>
    <row r="5701">
      <c r="G5701" s="8"/>
      <c r="M5701" s="8">
        <f t="shared" si="5"/>
        <v>0</v>
      </c>
      <c r="P5701" s="9"/>
    </row>
    <row r="5702">
      <c r="G5702" s="8"/>
      <c r="M5702" s="8">
        <f t="shared" si="5"/>
        <v>0</v>
      </c>
      <c r="P5702" s="9"/>
    </row>
    <row r="5703">
      <c r="G5703" s="8"/>
      <c r="M5703" s="8">
        <f t="shared" si="5"/>
        <v>0</v>
      </c>
      <c r="P5703" s="9"/>
    </row>
    <row r="5704">
      <c r="G5704" s="8"/>
      <c r="M5704" s="8">
        <f t="shared" si="5"/>
        <v>0</v>
      </c>
      <c r="P5704" s="9"/>
    </row>
    <row r="5705">
      <c r="G5705" s="8"/>
      <c r="M5705" s="8">
        <f t="shared" si="5"/>
        <v>0</v>
      </c>
      <c r="P5705" s="9"/>
    </row>
    <row r="5706">
      <c r="G5706" s="8"/>
      <c r="M5706" s="8">
        <f t="shared" si="5"/>
        <v>0</v>
      </c>
      <c r="P5706" s="9"/>
    </row>
    <row r="5707">
      <c r="G5707" s="8"/>
      <c r="M5707" s="8">
        <f t="shared" si="5"/>
        <v>0</v>
      </c>
      <c r="P5707" s="9"/>
    </row>
    <row r="5708">
      <c r="G5708" s="8"/>
      <c r="M5708" s="8">
        <f t="shared" si="5"/>
        <v>0</v>
      </c>
      <c r="P5708" s="9"/>
    </row>
    <row r="5709">
      <c r="G5709" s="8"/>
      <c r="M5709" s="8">
        <f t="shared" si="5"/>
        <v>0</v>
      </c>
      <c r="P5709" s="9"/>
    </row>
    <row r="5710">
      <c r="G5710" s="8"/>
      <c r="M5710" s="8">
        <f t="shared" si="5"/>
        <v>0</v>
      </c>
      <c r="P5710" s="9"/>
    </row>
    <row r="5711">
      <c r="G5711" s="8"/>
      <c r="M5711" s="8">
        <f t="shared" si="5"/>
        <v>0</v>
      </c>
      <c r="P5711" s="9"/>
    </row>
    <row r="5712">
      <c r="G5712" s="8"/>
      <c r="M5712" s="8">
        <f t="shared" si="5"/>
        <v>0</v>
      </c>
      <c r="P5712" s="9"/>
    </row>
    <row r="5713">
      <c r="G5713" s="8"/>
      <c r="M5713" s="8">
        <f t="shared" si="5"/>
        <v>0</v>
      </c>
      <c r="P5713" s="9"/>
    </row>
    <row r="5714">
      <c r="G5714" s="8"/>
      <c r="M5714" s="8">
        <f t="shared" si="5"/>
        <v>0</v>
      </c>
      <c r="P5714" s="9"/>
    </row>
    <row r="5715">
      <c r="G5715" s="8"/>
      <c r="M5715" s="8">
        <f t="shared" si="5"/>
        <v>0</v>
      </c>
      <c r="P5715" s="9"/>
    </row>
    <row r="5716">
      <c r="G5716" s="8"/>
      <c r="M5716" s="8">
        <f t="shared" si="5"/>
        <v>0</v>
      </c>
      <c r="P5716" s="9"/>
    </row>
    <row r="5717">
      <c r="G5717" s="8"/>
      <c r="M5717" s="8">
        <f t="shared" si="5"/>
        <v>0</v>
      </c>
      <c r="P5717" s="9"/>
    </row>
    <row r="5718">
      <c r="G5718" s="8"/>
      <c r="M5718" s="8">
        <f t="shared" si="5"/>
        <v>0</v>
      </c>
      <c r="P5718" s="9"/>
    </row>
    <row r="5719">
      <c r="G5719" s="8"/>
      <c r="M5719" s="8">
        <f t="shared" si="5"/>
        <v>0</v>
      </c>
      <c r="P5719" s="9"/>
    </row>
    <row r="5720">
      <c r="G5720" s="8"/>
      <c r="M5720" s="8">
        <f t="shared" si="5"/>
        <v>0</v>
      </c>
      <c r="P5720" s="9"/>
    </row>
    <row r="5721">
      <c r="G5721" s="8"/>
      <c r="M5721" s="8">
        <f t="shared" si="5"/>
        <v>0</v>
      </c>
      <c r="P5721" s="9"/>
    </row>
    <row r="5722">
      <c r="G5722" s="8"/>
      <c r="M5722" s="8">
        <f t="shared" si="5"/>
        <v>0</v>
      </c>
      <c r="P5722" s="9"/>
    </row>
    <row r="5723">
      <c r="G5723" s="8"/>
      <c r="M5723" s="8">
        <f t="shared" si="5"/>
        <v>0</v>
      </c>
      <c r="P5723" s="9"/>
    </row>
    <row r="5724">
      <c r="G5724" s="8"/>
      <c r="M5724" s="8">
        <f t="shared" si="5"/>
        <v>0</v>
      </c>
      <c r="P5724" s="9"/>
    </row>
    <row r="5725">
      <c r="G5725" s="8"/>
      <c r="M5725" s="8">
        <f t="shared" si="5"/>
        <v>0</v>
      </c>
      <c r="P5725" s="9"/>
    </row>
    <row r="5726">
      <c r="G5726" s="8"/>
      <c r="M5726" s="8">
        <f t="shared" si="5"/>
        <v>0</v>
      </c>
      <c r="P5726" s="9"/>
    </row>
    <row r="5727">
      <c r="G5727" s="8"/>
      <c r="M5727" s="8">
        <f t="shared" si="5"/>
        <v>0</v>
      </c>
      <c r="P5727" s="9"/>
    </row>
    <row r="5728">
      <c r="G5728" s="8"/>
      <c r="M5728" s="8">
        <f t="shared" si="5"/>
        <v>0</v>
      </c>
      <c r="P5728" s="9"/>
    </row>
    <row r="5729">
      <c r="G5729" s="8"/>
      <c r="M5729" s="8">
        <f t="shared" si="5"/>
        <v>0</v>
      </c>
      <c r="P5729" s="9"/>
    </row>
    <row r="5730">
      <c r="G5730" s="8"/>
      <c r="M5730" s="8">
        <f t="shared" si="5"/>
        <v>0</v>
      </c>
      <c r="P5730" s="9"/>
    </row>
    <row r="5731">
      <c r="G5731" s="8"/>
      <c r="M5731" s="8">
        <f t="shared" si="5"/>
        <v>0</v>
      </c>
      <c r="P5731" s="9"/>
    </row>
    <row r="5732">
      <c r="G5732" s="8"/>
      <c r="M5732" s="8">
        <f t="shared" si="5"/>
        <v>0</v>
      </c>
      <c r="P5732" s="9"/>
    </row>
    <row r="5733">
      <c r="G5733" s="8"/>
      <c r="M5733" s="8">
        <f t="shared" si="5"/>
        <v>0</v>
      </c>
      <c r="P5733" s="9"/>
    </row>
    <row r="5734">
      <c r="G5734" s="8"/>
      <c r="M5734" s="8">
        <f t="shared" si="5"/>
        <v>0</v>
      </c>
      <c r="P5734" s="9"/>
    </row>
    <row r="5735">
      <c r="G5735" s="8"/>
      <c r="M5735" s="8">
        <f t="shared" si="5"/>
        <v>0</v>
      </c>
      <c r="P5735" s="9"/>
    </row>
    <row r="5736">
      <c r="G5736" s="8"/>
      <c r="M5736" s="8">
        <f t="shared" si="5"/>
        <v>0</v>
      </c>
      <c r="P5736" s="9"/>
    </row>
    <row r="5737">
      <c r="G5737" s="8"/>
      <c r="M5737" s="8">
        <f t="shared" si="5"/>
        <v>0</v>
      </c>
      <c r="P5737" s="9"/>
    </row>
    <row r="5738">
      <c r="G5738" s="8"/>
      <c r="M5738" s="8">
        <f t="shared" si="5"/>
        <v>0</v>
      </c>
      <c r="P5738" s="9"/>
    </row>
    <row r="5739">
      <c r="G5739" s="8"/>
      <c r="M5739" s="8">
        <f t="shared" si="5"/>
        <v>0</v>
      </c>
      <c r="P5739" s="9"/>
    </row>
    <row r="5740">
      <c r="G5740" s="8"/>
      <c r="M5740" s="8">
        <f t="shared" si="5"/>
        <v>0</v>
      </c>
      <c r="P5740" s="9"/>
    </row>
    <row r="5741">
      <c r="G5741" s="8"/>
      <c r="M5741" s="8">
        <f t="shared" si="5"/>
        <v>0</v>
      </c>
      <c r="P5741" s="9"/>
    </row>
    <row r="5742">
      <c r="G5742" s="8"/>
      <c r="M5742" s="8">
        <f t="shared" si="5"/>
        <v>0</v>
      </c>
      <c r="P5742" s="9"/>
    </row>
    <row r="5743">
      <c r="G5743" s="8"/>
      <c r="M5743" s="8">
        <f t="shared" si="5"/>
        <v>0</v>
      </c>
      <c r="P5743" s="9"/>
    </row>
    <row r="5744">
      <c r="G5744" s="8"/>
      <c r="M5744" s="8">
        <f t="shared" si="5"/>
        <v>0</v>
      </c>
      <c r="P5744" s="9"/>
    </row>
    <row r="5745">
      <c r="G5745" s="8"/>
      <c r="M5745" s="8">
        <f t="shared" si="5"/>
        <v>0</v>
      </c>
      <c r="P5745" s="9"/>
    </row>
    <row r="5746">
      <c r="G5746" s="8"/>
      <c r="M5746" s="8">
        <f t="shared" si="5"/>
        <v>0</v>
      </c>
      <c r="P5746" s="9"/>
    </row>
    <row r="5747">
      <c r="G5747" s="8"/>
      <c r="M5747" s="8">
        <f t="shared" si="5"/>
        <v>0</v>
      </c>
      <c r="P5747" s="9"/>
    </row>
    <row r="5748">
      <c r="G5748" s="8"/>
      <c r="M5748" s="8">
        <f t="shared" si="5"/>
        <v>0</v>
      </c>
      <c r="P5748" s="9"/>
    </row>
    <row r="5749">
      <c r="G5749" s="8"/>
      <c r="M5749" s="8">
        <f t="shared" si="5"/>
        <v>0</v>
      </c>
      <c r="P5749" s="9"/>
    </row>
    <row r="5750">
      <c r="G5750" s="8"/>
      <c r="M5750" s="8">
        <f t="shared" si="5"/>
        <v>0</v>
      </c>
      <c r="P5750" s="9"/>
    </row>
    <row r="5751">
      <c r="G5751" s="8"/>
      <c r="M5751" s="8">
        <f t="shared" si="5"/>
        <v>0</v>
      </c>
      <c r="P5751" s="9"/>
    </row>
    <row r="5752">
      <c r="G5752" s="8"/>
      <c r="M5752" s="8">
        <f t="shared" si="5"/>
        <v>0</v>
      </c>
      <c r="P5752" s="9"/>
    </row>
    <row r="5753">
      <c r="G5753" s="8"/>
      <c r="M5753" s="8">
        <f t="shared" si="5"/>
        <v>0</v>
      </c>
      <c r="P5753" s="9"/>
    </row>
    <row r="5754">
      <c r="G5754" s="8"/>
      <c r="M5754" s="8">
        <f t="shared" si="5"/>
        <v>0</v>
      </c>
      <c r="P5754" s="9"/>
    </row>
    <row r="5755">
      <c r="G5755" s="8"/>
      <c r="M5755" s="8">
        <f t="shared" si="5"/>
        <v>0</v>
      </c>
      <c r="P5755" s="9"/>
    </row>
    <row r="5756">
      <c r="G5756" s="8"/>
      <c r="M5756" s="8">
        <f t="shared" si="5"/>
        <v>0</v>
      </c>
      <c r="P5756" s="9"/>
    </row>
    <row r="5757">
      <c r="G5757" s="8"/>
      <c r="M5757" s="8">
        <f t="shared" si="5"/>
        <v>0</v>
      </c>
      <c r="P5757" s="9"/>
    </row>
    <row r="5758">
      <c r="G5758" s="8"/>
      <c r="M5758" s="8">
        <f t="shared" si="5"/>
        <v>0</v>
      </c>
      <c r="P5758" s="9"/>
    </row>
    <row r="5759">
      <c r="G5759" s="8"/>
      <c r="M5759" s="8">
        <f t="shared" si="5"/>
        <v>0</v>
      </c>
      <c r="P5759" s="9"/>
    </row>
    <row r="5760">
      <c r="G5760" s="8"/>
      <c r="M5760" s="8">
        <f t="shared" si="5"/>
        <v>0</v>
      </c>
      <c r="P5760" s="9"/>
    </row>
    <row r="5761">
      <c r="G5761" s="8"/>
      <c r="M5761" s="8">
        <f t="shared" si="5"/>
        <v>0</v>
      </c>
      <c r="P5761" s="9"/>
    </row>
    <row r="5762">
      <c r="G5762" s="8"/>
      <c r="M5762" s="8">
        <f t="shared" si="5"/>
        <v>0</v>
      </c>
      <c r="P5762" s="9"/>
    </row>
    <row r="5763">
      <c r="G5763" s="8"/>
      <c r="M5763" s="8">
        <f t="shared" si="5"/>
        <v>0</v>
      </c>
      <c r="P5763" s="9"/>
    </row>
    <row r="5764">
      <c r="G5764" s="8"/>
      <c r="M5764" s="8">
        <f t="shared" si="5"/>
        <v>0</v>
      </c>
      <c r="P5764" s="9"/>
    </row>
    <row r="5765">
      <c r="G5765" s="8"/>
      <c r="M5765" s="8">
        <f t="shared" si="5"/>
        <v>0</v>
      </c>
      <c r="P5765" s="9"/>
    </row>
    <row r="5766">
      <c r="G5766" s="8"/>
      <c r="M5766" s="8">
        <f t="shared" si="5"/>
        <v>0</v>
      </c>
      <c r="P5766" s="9"/>
    </row>
    <row r="5767">
      <c r="G5767" s="8"/>
      <c r="M5767" s="8">
        <f t="shared" si="5"/>
        <v>0</v>
      </c>
      <c r="P5767" s="9"/>
    </row>
    <row r="5768">
      <c r="G5768" s="8"/>
      <c r="M5768" s="8">
        <f t="shared" si="5"/>
        <v>0</v>
      </c>
      <c r="P5768" s="9"/>
    </row>
    <row r="5769">
      <c r="G5769" s="8"/>
      <c r="M5769" s="8">
        <f t="shared" si="5"/>
        <v>0</v>
      </c>
      <c r="P5769" s="9"/>
    </row>
    <row r="5770">
      <c r="G5770" s="8"/>
      <c r="M5770" s="8">
        <f t="shared" si="5"/>
        <v>0</v>
      </c>
      <c r="P5770" s="9"/>
    </row>
    <row r="5771">
      <c r="G5771" s="8"/>
      <c r="M5771" s="8">
        <f t="shared" si="5"/>
        <v>0</v>
      </c>
      <c r="P5771" s="9"/>
    </row>
    <row r="5772">
      <c r="G5772" s="8"/>
      <c r="M5772" s="8">
        <f t="shared" si="5"/>
        <v>0</v>
      </c>
      <c r="P5772" s="9"/>
    </row>
    <row r="5773">
      <c r="G5773" s="8"/>
      <c r="M5773" s="8">
        <f t="shared" si="5"/>
        <v>0</v>
      </c>
      <c r="P5773" s="9"/>
    </row>
    <row r="5774">
      <c r="G5774" s="8"/>
      <c r="M5774" s="8">
        <f t="shared" si="5"/>
        <v>0</v>
      </c>
      <c r="P5774" s="9"/>
    </row>
    <row r="5775">
      <c r="G5775" s="8"/>
      <c r="M5775" s="8">
        <f t="shared" si="5"/>
        <v>0</v>
      </c>
      <c r="P5775" s="9"/>
    </row>
    <row r="5776">
      <c r="G5776" s="8"/>
      <c r="M5776" s="8">
        <f t="shared" si="5"/>
        <v>0</v>
      </c>
      <c r="P5776" s="9"/>
    </row>
    <row r="5777">
      <c r="G5777" s="8"/>
      <c r="M5777" s="8">
        <f t="shared" si="5"/>
        <v>0</v>
      </c>
      <c r="P5777" s="9"/>
    </row>
    <row r="5778">
      <c r="G5778" s="8"/>
      <c r="M5778" s="8">
        <f t="shared" si="5"/>
        <v>0</v>
      </c>
      <c r="P5778" s="9"/>
    </row>
    <row r="5779">
      <c r="G5779" s="8"/>
      <c r="M5779" s="8">
        <f t="shared" si="5"/>
        <v>0</v>
      </c>
      <c r="P5779" s="9"/>
    </row>
    <row r="5780">
      <c r="G5780" s="8"/>
      <c r="M5780" s="8">
        <f t="shared" si="5"/>
        <v>0</v>
      </c>
      <c r="P5780" s="9"/>
    </row>
    <row r="5781">
      <c r="G5781" s="8"/>
      <c r="M5781" s="8">
        <f t="shared" si="5"/>
        <v>0</v>
      </c>
      <c r="P5781" s="9"/>
    </row>
    <row r="5782">
      <c r="G5782" s="8"/>
      <c r="M5782" s="8">
        <f t="shared" si="5"/>
        <v>0</v>
      </c>
      <c r="P5782" s="9"/>
    </row>
    <row r="5783">
      <c r="G5783" s="8"/>
      <c r="M5783" s="8">
        <f t="shared" si="5"/>
        <v>0</v>
      </c>
      <c r="P5783" s="9"/>
    </row>
    <row r="5784">
      <c r="G5784" s="8"/>
      <c r="M5784" s="8">
        <f t="shared" si="5"/>
        <v>0</v>
      </c>
      <c r="P5784" s="9"/>
    </row>
    <row r="5785">
      <c r="G5785" s="8"/>
      <c r="M5785" s="8">
        <f t="shared" si="5"/>
        <v>0</v>
      </c>
      <c r="P5785" s="9"/>
    </row>
    <row r="5786">
      <c r="G5786" s="8"/>
      <c r="M5786" s="8">
        <f t="shared" si="5"/>
        <v>0</v>
      </c>
      <c r="P5786" s="9"/>
    </row>
    <row r="5787">
      <c r="G5787" s="8"/>
      <c r="M5787" s="8">
        <f t="shared" si="5"/>
        <v>0</v>
      </c>
      <c r="P5787" s="9"/>
    </row>
    <row r="5788">
      <c r="G5788" s="8"/>
      <c r="M5788" s="8">
        <f t="shared" si="5"/>
        <v>0</v>
      </c>
      <c r="P5788" s="9"/>
    </row>
    <row r="5789">
      <c r="G5789" s="8"/>
      <c r="M5789" s="8">
        <f t="shared" si="5"/>
        <v>0</v>
      </c>
      <c r="P5789" s="9"/>
    </row>
    <row r="5790">
      <c r="G5790" s="8"/>
      <c r="M5790" s="8">
        <f t="shared" si="5"/>
        <v>0</v>
      </c>
      <c r="P5790" s="9"/>
    </row>
    <row r="5791">
      <c r="G5791" s="8"/>
      <c r="M5791" s="8">
        <f t="shared" si="5"/>
        <v>0</v>
      </c>
      <c r="P5791" s="9"/>
    </row>
    <row r="5792">
      <c r="G5792" s="8"/>
      <c r="M5792" s="8">
        <f t="shared" si="5"/>
        <v>0</v>
      </c>
      <c r="P5792" s="9"/>
    </row>
    <row r="5793">
      <c r="G5793" s="8"/>
      <c r="M5793" s="8">
        <f t="shared" si="5"/>
        <v>0</v>
      </c>
      <c r="P5793" s="9"/>
    </row>
    <row r="5794">
      <c r="G5794" s="8"/>
      <c r="M5794" s="8">
        <f t="shared" si="5"/>
        <v>0</v>
      </c>
      <c r="P5794" s="9"/>
    </row>
    <row r="5795">
      <c r="G5795" s="8"/>
      <c r="M5795" s="8">
        <f t="shared" si="5"/>
        <v>0</v>
      </c>
      <c r="P5795" s="9"/>
    </row>
    <row r="5796">
      <c r="G5796" s="8"/>
      <c r="M5796" s="8">
        <f t="shared" si="5"/>
        <v>0</v>
      </c>
      <c r="P5796" s="9"/>
    </row>
    <row r="5797">
      <c r="G5797" s="8"/>
      <c r="M5797" s="8">
        <f t="shared" si="5"/>
        <v>0</v>
      </c>
      <c r="P5797" s="9"/>
    </row>
    <row r="5798">
      <c r="G5798" s="8"/>
      <c r="M5798" s="8">
        <f t="shared" si="5"/>
        <v>0</v>
      </c>
      <c r="P5798" s="9"/>
    </row>
    <row r="5799">
      <c r="G5799" s="8"/>
      <c r="M5799" s="8">
        <f t="shared" si="5"/>
        <v>0</v>
      </c>
      <c r="P5799" s="9"/>
    </row>
    <row r="5800">
      <c r="G5800" s="8"/>
      <c r="M5800" s="8">
        <f t="shared" si="5"/>
        <v>0</v>
      </c>
      <c r="P5800" s="9"/>
    </row>
    <row r="5801">
      <c r="G5801" s="8"/>
      <c r="M5801" s="8">
        <f t="shared" si="5"/>
        <v>0</v>
      </c>
      <c r="P5801" s="9"/>
    </row>
    <row r="5802">
      <c r="G5802" s="8"/>
      <c r="M5802" s="8">
        <f t="shared" si="5"/>
        <v>0</v>
      </c>
      <c r="P5802" s="9"/>
    </row>
    <row r="5803">
      <c r="G5803" s="8"/>
      <c r="M5803" s="8">
        <f t="shared" si="5"/>
        <v>0</v>
      </c>
      <c r="P5803" s="9"/>
    </row>
    <row r="5804">
      <c r="G5804" s="8"/>
      <c r="M5804" s="8">
        <f t="shared" si="5"/>
        <v>0</v>
      </c>
      <c r="P5804" s="9"/>
    </row>
    <row r="5805">
      <c r="G5805" s="8"/>
      <c r="M5805" s="8">
        <f t="shared" si="5"/>
        <v>0</v>
      </c>
      <c r="P5805" s="9"/>
    </row>
    <row r="5806">
      <c r="G5806" s="8"/>
      <c r="M5806" s="8">
        <f t="shared" si="5"/>
        <v>0</v>
      </c>
      <c r="P5806" s="9"/>
    </row>
    <row r="5807">
      <c r="G5807" s="8"/>
      <c r="M5807" s="8">
        <f t="shared" si="5"/>
        <v>0</v>
      </c>
      <c r="P5807" s="9"/>
    </row>
    <row r="5808">
      <c r="G5808" s="8"/>
      <c r="M5808" s="8">
        <f t="shared" si="5"/>
        <v>0</v>
      </c>
      <c r="P5808" s="9"/>
    </row>
    <row r="5809">
      <c r="G5809" s="8"/>
      <c r="M5809" s="8">
        <f t="shared" si="5"/>
        <v>0</v>
      </c>
      <c r="P5809" s="9"/>
    </row>
    <row r="5810">
      <c r="G5810" s="8"/>
      <c r="M5810" s="8">
        <f t="shared" si="5"/>
        <v>0</v>
      </c>
      <c r="P5810" s="9"/>
    </row>
    <row r="5811">
      <c r="G5811" s="8"/>
      <c r="M5811" s="8">
        <f t="shared" si="5"/>
        <v>0</v>
      </c>
      <c r="P5811" s="9"/>
    </row>
    <row r="5812">
      <c r="G5812" s="8"/>
      <c r="M5812" s="8">
        <f t="shared" si="5"/>
        <v>0</v>
      </c>
      <c r="P5812" s="9"/>
    </row>
    <row r="5813">
      <c r="G5813" s="8"/>
      <c r="M5813" s="8">
        <f t="shared" si="5"/>
        <v>0</v>
      </c>
      <c r="P5813" s="9"/>
    </row>
    <row r="5814">
      <c r="G5814" s="8"/>
      <c r="M5814" s="8">
        <f t="shared" si="5"/>
        <v>0</v>
      </c>
      <c r="P5814" s="9"/>
    </row>
    <row r="5815">
      <c r="G5815" s="8"/>
      <c r="M5815" s="8">
        <f t="shared" si="5"/>
        <v>0</v>
      </c>
      <c r="P5815" s="9"/>
    </row>
    <row r="5816">
      <c r="G5816" s="8"/>
      <c r="M5816" s="8">
        <f t="shared" si="5"/>
        <v>0</v>
      </c>
      <c r="P5816" s="9"/>
    </row>
    <row r="5817">
      <c r="G5817" s="8"/>
      <c r="M5817" s="8">
        <f t="shared" si="5"/>
        <v>0</v>
      </c>
      <c r="P5817" s="9"/>
    </row>
    <row r="5818">
      <c r="G5818" s="8"/>
      <c r="M5818" s="8">
        <f t="shared" si="5"/>
        <v>0</v>
      </c>
      <c r="P5818" s="9"/>
    </row>
    <row r="5819">
      <c r="G5819" s="8"/>
      <c r="M5819" s="8">
        <f t="shared" si="5"/>
        <v>0</v>
      </c>
      <c r="P5819" s="9"/>
    </row>
    <row r="5820">
      <c r="G5820" s="8"/>
      <c r="M5820" s="8">
        <f t="shared" si="5"/>
        <v>0</v>
      </c>
      <c r="P5820" s="9"/>
    </row>
    <row r="5821">
      <c r="G5821" s="8"/>
      <c r="M5821" s="8">
        <f t="shared" si="5"/>
        <v>0</v>
      </c>
      <c r="P5821" s="9"/>
    </row>
    <row r="5822">
      <c r="G5822" s="8"/>
      <c r="M5822" s="8">
        <f t="shared" si="5"/>
        <v>0</v>
      </c>
      <c r="P5822" s="9"/>
    </row>
    <row r="5823">
      <c r="G5823" s="8"/>
      <c r="M5823" s="8">
        <f t="shared" si="5"/>
        <v>0</v>
      </c>
      <c r="P5823" s="9"/>
    </row>
    <row r="5824">
      <c r="G5824" s="8"/>
      <c r="M5824" s="8">
        <f t="shared" si="5"/>
        <v>0</v>
      </c>
      <c r="P5824" s="9"/>
    </row>
    <row r="5825">
      <c r="G5825" s="8"/>
      <c r="M5825" s="8">
        <f t="shared" si="5"/>
        <v>0</v>
      </c>
      <c r="P5825" s="9"/>
    </row>
    <row r="5826">
      <c r="G5826" s="8"/>
      <c r="M5826" s="8">
        <f t="shared" si="5"/>
        <v>0</v>
      </c>
      <c r="P5826" s="9"/>
    </row>
    <row r="5827">
      <c r="G5827" s="8"/>
      <c r="M5827" s="8">
        <f t="shared" si="5"/>
        <v>0</v>
      </c>
      <c r="P5827" s="9"/>
    </row>
    <row r="5828">
      <c r="G5828" s="8"/>
      <c r="M5828" s="8">
        <f t="shared" si="5"/>
        <v>0</v>
      </c>
      <c r="P5828" s="9"/>
    </row>
    <row r="5829">
      <c r="G5829" s="8"/>
      <c r="M5829" s="8">
        <f t="shared" si="5"/>
        <v>0</v>
      </c>
      <c r="P5829" s="9"/>
    </row>
    <row r="5830">
      <c r="G5830" s="8"/>
      <c r="M5830" s="8">
        <f t="shared" si="5"/>
        <v>0</v>
      </c>
      <c r="P5830" s="9"/>
    </row>
    <row r="5831">
      <c r="G5831" s="8"/>
      <c r="M5831" s="8">
        <f t="shared" si="5"/>
        <v>0</v>
      </c>
      <c r="P5831" s="9"/>
    </row>
    <row r="5832">
      <c r="G5832" s="8"/>
      <c r="M5832" s="8">
        <f t="shared" si="5"/>
        <v>0</v>
      </c>
      <c r="P5832" s="9"/>
    </row>
    <row r="5833">
      <c r="G5833" s="8"/>
      <c r="M5833" s="8">
        <f t="shared" si="5"/>
        <v>0</v>
      </c>
      <c r="P5833" s="9"/>
    </row>
    <row r="5834">
      <c r="G5834" s="8"/>
      <c r="M5834" s="8">
        <f t="shared" si="5"/>
        <v>0</v>
      </c>
      <c r="P5834" s="9"/>
    </row>
    <row r="5835">
      <c r="G5835" s="8"/>
      <c r="M5835" s="8">
        <f t="shared" si="5"/>
        <v>0</v>
      </c>
      <c r="P5835" s="9"/>
    </row>
    <row r="5836">
      <c r="G5836" s="8"/>
      <c r="M5836" s="8">
        <f t="shared" si="5"/>
        <v>0</v>
      </c>
      <c r="P5836" s="9"/>
    </row>
    <row r="5837">
      <c r="G5837" s="8"/>
      <c r="M5837" s="8">
        <f t="shared" si="5"/>
        <v>0</v>
      </c>
      <c r="P5837" s="9"/>
    </row>
    <row r="5838">
      <c r="G5838" s="8"/>
      <c r="M5838" s="8">
        <f t="shared" si="5"/>
        <v>0</v>
      </c>
      <c r="P5838" s="9"/>
    </row>
    <row r="5839">
      <c r="G5839" s="8"/>
      <c r="M5839" s="8">
        <f t="shared" si="5"/>
        <v>0</v>
      </c>
      <c r="P5839" s="9"/>
    </row>
    <row r="5840">
      <c r="G5840" s="8"/>
      <c r="M5840" s="8">
        <f t="shared" si="5"/>
        <v>0</v>
      </c>
      <c r="P5840" s="9"/>
    </row>
    <row r="5841">
      <c r="G5841" s="8"/>
      <c r="M5841" s="8">
        <f t="shared" si="5"/>
        <v>0</v>
      </c>
      <c r="P5841" s="9"/>
    </row>
    <row r="5842">
      <c r="G5842" s="8"/>
      <c r="M5842" s="8">
        <f t="shared" si="5"/>
        <v>0</v>
      </c>
      <c r="P5842" s="9"/>
    </row>
    <row r="5843">
      <c r="G5843" s="8"/>
      <c r="M5843" s="8">
        <f t="shared" si="5"/>
        <v>0</v>
      </c>
      <c r="P5843" s="9"/>
    </row>
    <row r="5844">
      <c r="G5844" s="8"/>
      <c r="M5844" s="8">
        <f t="shared" si="5"/>
        <v>0</v>
      </c>
      <c r="P5844" s="9"/>
    </row>
    <row r="5845">
      <c r="G5845" s="8"/>
      <c r="M5845" s="8">
        <f t="shared" si="5"/>
        <v>0</v>
      </c>
      <c r="P5845" s="9"/>
    </row>
    <row r="5846">
      <c r="G5846" s="8"/>
      <c r="M5846" s="8">
        <f t="shared" si="5"/>
        <v>0</v>
      </c>
      <c r="P5846" s="9"/>
    </row>
    <row r="5847">
      <c r="G5847" s="8"/>
      <c r="M5847" s="8">
        <f t="shared" si="5"/>
        <v>0</v>
      </c>
      <c r="P5847" s="9"/>
    </row>
    <row r="5848">
      <c r="G5848" s="8"/>
      <c r="M5848" s="8">
        <f t="shared" si="5"/>
        <v>0</v>
      </c>
      <c r="P5848" s="9"/>
    </row>
    <row r="5849">
      <c r="G5849" s="8"/>
      <c r="M5849" s="8">
        <f t="shared" si="5"/>
        <v>0</v>
      </c>
      <c r="P5849" s="9"/>
    </row>
    <row r="5850">
      <c r="G5850" s="8"/>
      <c r="M5850" s="8">
        <f t="shared" si="5"/>
        <v>0</v>
      </c>
      <c r="P5850" s="9"/>
    </row>
    <row r="5851">
      <c r="G5851" s="8"/>
      <c r="M5851" s="8">
        <f t="shared" si="5"/>
        <v>0</v>
      </c>
      <c r="P5851" s="9"/>
    </row>
    <row r="5852">
      <c r="G5852" s="8"/>
      <c r="M5852" s="8">
        <f t="shared" si="5"/>
        <v>0</v>
      </c>
      <c r="P5852" s="9"/>
    </row>
    <row r="5853">
      <c r="G5853" s="8"/>
      <c r="M5853" s="8">
        <f t="shared" si="5"/>
        <v>0</v>
      </c>
      <c r="P5853" s="9"/>
    </row>
    <row r="5854">
      <c r="G5854" s="8"/>
      <c r="M5854" s="8">
        <f t="shared" si="5"/>
        <v>0</v>
      </c>
      <c r="P5854" s="9"/>
    </row>
    <row r="5855">
      <c r="G5855" s="8"/>
      <c r="M5855" s="8">
        <f t="shared" si="5"/>
        <v>0</v>
      </c>
      <c r="P5855" s="9"/>
    </row>
    <row r="5856">
      <c r="G5856" s="8"/>
      <c r="M5856" s="8">
        <f t="shared" si="5"/>
        <v>0</v>
      </c>
      <c r="P5856" s="9"/>
    </row>
    <row r="5857">
      <c r="G5857" s="8"/>
      <c r="M5857" s="8">
        <f t="shared" si="5"/>
        <v>0</v>
      </c>
      <c r="P5857" s="9"/>
    </row>
    <row r="5858">
      <c r="G5858" s="8"/>
      <c r="M5858" s="8">
        <f t="shared" si="5"/>
        <v>0</v>
      </c>
      <c r="P5858" s="9"/>
    </row>
    <row r="5859">
      <c r="G5859" s="8"/>
      <c r="M5859" s="8">
        <f t="shared" si="5"/>
        <v>0</v>
      </c>
      <c r="P5859" s="9"/>
    </row>
    <row r="5860">
      <c r="G5860" s="8"/>
      <c r="M5860" s="8">
        <f t="shared" si="5"/>
        <v>0</v>
      </c>
      <c r="P5860" s="9"/>
    </row>
    <row r="5861">
      <c r="G5861" s="8"/>
      <c r="M5861" s="8">
        <f t="shared" si="5"/>
        <v>0</v>
      </c>
      <c r="P5861" s="9"/>
    </row>
    <row r="5862">
      <c r="G5862" s="8"/>
      <c r="M5862" s="8">
        <f t="shared" si="5"/>
        <v>0</v>
      </c>
      <c r="P5862" s="9"/>
    </row>
    <row r="5863">
      <c r="G5863" s="8"/>
      <c r="M5863" s="8">
        <f t="shared" si="5"/>
        <v>0</v>
      </c>
      <c r="P5863" s="9"/>
    </row>
    <row r="5864">
      <c r="G5864" s="8"/>
      <c r="M5864" s="8">
        <f t="shared" si="5"/>
        <v>0</v>
      </c>
      <c r="P5864" s="9"/>
    </row>
    <row r="5865">
      <c r="G5865" s="8"/>
      <c r="M5865" s="8">
        <f t="shared" si="5"/>
        <v>0</v>
      </c>
      <c r="P5865" s="9"/>
    </row>
    <row r="5866">
      <c r="G5866" s="8"/>
      <c r="M5866" s="8">
        <f t="shared" si="5"/>
        <v>0</v>
      </c>
      <c r="P5866" s="9"/>
    </row>
    <row r="5867">
      <c r="G5867" s="8"/>
      <c r="M5867" s="8">
        <f t="shared" si="5"/>
        <v>0</v>
      </c>
      <c r="P5867" s="9"/>
    </row>
    <row r="5868">
      <c r="G5868" s="8"/>
      <c r="M5868" s="8">
        <f t="shared" si="5"/>
        <v>0</v>
      </c>
      <c r="P5868" s="9"/>
    </row>
    <row r="5869">
      <c r="G5869" s="8"/>
      <c r="M5869" s="8">
        <f t="shared" si="5"/>
        <v>0</v>
      </c>
      <c r="P5869" s="9"/>
    </row>
    <row r="5870">
      <c r="G5870" s="8"/>
      <c r="M5870" s="8">
        <f t="shared" si="5"/>
        <v>0</v>
      </c>
      <c r="P5870" s="9"/>
    </row>
    <row r="5871">
      <c r="G5871" s="8"/>
      <c r="M5871" s="8">
        <f t="shared" si="5"/>
        <v>0</v>
      </c>
      <c r="P5871" s="9"/>
    </row>
    <row r="5872">
      <c r="G5872" s="8"/>
      <c r="M5872" s="8">
        <f t="shared" si="5"/>
        <v>0</v>
      </c>
      <c r="P5872" s="9"/>
    </row>
    <row r="5873">
      <c r="G5873" s="8"/>
      <c r="M5873" s="8">
        <f t="shared" si="5"/>
        <v>0</v>
      </c>
      <c r="P5873" s="9"/>
    </row>
    <row r="5874">
      <c r="G5874" s="8"/>
      <c r="M5874" s="8">
        <f t="shared" si="5"/>
        <v>0</v>
      </c>
      <c r="P5874" s="9"/>
    </row>
    <row r="5875">
      <c r="G5875" s="8"/>
      <c r="M5875" s="8">
        <f t="shared" si="5"/>
        <v>0</v>
      </c>
      <c r="P5875" s="9"/>
    </row>
    <row r="5876">
      <c r="G5876" s="8"/>
      <c r="M5876" s="8">
        <f t="shared" si="5"/>
        <v>0</v>
      </c>
      <c r="P5876" s="9"/>
    </row>
    <row r="5877">
      <c r="G5877" s="8"/>
      <c r="M5877" s="8">
        <f t="shared" si="5"/>
        <v>0</v>
      </c>
      <c r="P5877" s="9"/>
    </row>
    <row r="5878">
      <c r="G5878" s="8"/>
      <c r="M5878" s="8">
        <f t="shared" si="5"/>
        <v>0</v>
      </c>
      <c r="P5878" s="9"/>
    </row>
    <row r="5879">
      <c r="G5879" s="8"/>
      <c r="M5879" s="8">
        <f t="shared" si="5"/>
        <v>0</v>
      </c>
      <c r="P5879" s="9"/>
    </row>
    <row r="5880">
      <c r="G5880" s="8"/>
      <c r="M5880" s="8">
        <f t="shared" si="5"/>
        <v>0</v>
      </c>
      <c r="P5880" s="9"/>
    </row>
    <row r="5881">
      <c r="G5881" s="8"/>
      <c r="M5881" s="8">
        <f t="shared" si="5"/>
        <v>0</v>
      </c>
      <c r="P5881" s="9"/>
    </row>
    <row r="5882">
      <c r="G5882" s="8"/>
      <c r="M5882" s="8">
        <f t="shared" si="5"/>
        <v>0</v>
      </c>
      <c r="P5882" s="9"/>
    </row>
    <row r="5883">
      <c r="G5883" s="8"/>
      <c r="M5883" s="8">
        <f t="shared" si="5"/>
        <v>0</v>
      </c>
      <c r="P5883" s="9"/>
    </row>
    <row r="5884">
      <c r="G5884" s="8"/>
      <c r="M5884" s="8">
        <f t="shared" si="5"/>
        <v>0</v>
      </c>
      <c r="P5884" s="9"/>
    </row>
    <row r="5885">
      <c r="G5885" s="8"/>
      <c r="M5885" s="8">
        <f t="shared" si="5"/>
        <v>0</v>
      </c>
      <c r="P5885" s="9"/>
    </row>
    <row r="5886">
      <c r="G5886" s="8"/>
      <c r="M5886" s="8">
        <f t="shared" si="5"/>
        <v>0</v>
      </c>
      <c r="P5886" s="9"/>
    </row>
    <row r="5887">
      <c r="G5887" s="8"/>
      <c r="M5887" s="8">
        <f t="shared" si="5"/>
        <v>0</v>
      </c>
      <c r="P5887" s="9"/>
    </row>
    <row r="5888">
      <c r="G5888" s="8"/>
      <c r="M5888" s="8">
        <f t="shared" si="5"/>
        <v>0</v>
      </c>
      <c r="P5888" s="9"/>
    </row>
    <row r="5889">
      <c r="G5889" s="8"/>
      <c r="M5889" s="8">
        <f t="shared" si="5"/>
        <v>0</v>
      </c>
      <c r="P5889" s="9"/>
    </row>
    <row r="5890">
      <c r="G5890" s="8"/>
      <c r="M5890" s="8">
        <f t="shared" si="5"/>
        <v>0</v>
      </c>
      <c r="P5890" s="9"/>
    </row>
    <row r="5891">
      <c r="G5891" s="8"/>
      <c r="M5891" s="8">
        <f t="shared" si="5"/>
        <v>0</v>
      </c>
      <c r="P5891" s="9"/>
    </row>
    <row r="5892">
      <c r="G5892" s="8"/>
      <c r="M5892" s="8">
        <f t="shared" si="5"/>
        <v>0</v>
      </c>
      <c r="P5892" s="9"/>
    </row>
    <row r="5893">
      <c r="G5893" s="8"/>
      <c r="M5893" s="8">
        <f t="shared" si="5"/>
        <v>0</v>
      </c>
      <c r="P5893" s="9"/>
    </row>
    <row r="5894">
      <c r="G5894" s="8"/>
      <c r="M5894" s="8">
        <f t="shared" si="5"/>
        <v>0</v>
      </c>
      <c r="P5894" s="9"/>
    </row>
    <row r="5895">
      <c r="G5895" s="8"/>
      <c r="M5895" s="8">
        <f t="shared" si="5"/>
        <v>0</v>
      </c>
      <c r="P5895" s="9"/>
    </row>
    <row r="5896">
      <c r="G5896" s="8"/>
      <c r="M5896" s="8">
        <f t="shared" si="5"/>
        <v>0</v>
      </c>
      <c r="P5896" s="9"/>
    </row>
    <row r="5897">
      <c r="G5897" s="8"/>
      <c r="M5897" s="8">
        <f t="shared" si="5"/>
        <v>0</v>
      </c>
      <c r="P5897" s="9"/>
    </row>
    <row r="5898">
      <c r="G5898" s="8"/>
      <c r="M5898" s="8">
        <f t="shared" si="5"/>
        <v>0</v>
      </c>
      <c r="P5898" s="9"/>
    </row>
    <row r="5899">
      <c r="G5899" s="8"/>
      <c r="M5899" s="8">
        <f t="shared" si="5"/>
        <v>0</v>
      </c>
      <c r="P5899" s="9"/>
    </row>
    <row r="5900">
      <c r="G5900" s="8"/>
      <c r="M5900" s="8">
        <f t="shared" si="5"/>
        <v>0</v>
      </c>
      <c r="P5900" s="9"/>
    </row>
    <row r="5901">
      <c r="G5901" s="8"/>
      <c r="M5901" s="8">
        <f t="shared" si="5"/>
        <v>0</v>
      </c>
      <c r="P5901" s="9"/>
    </row>
    <row r="5902">
      <c r="G5902" s="8"/>
      <c r="M5902" s="8">
        <f t="shared" si="5"/>
        <v>0</v>
      </c>
      <c r="P5902" s="9"/>
    </row>
    <row r="5903">
      <c r="G5903" s="8"/>
      <c r="M5903" s="8">
        <f t="shared" si="5"/>
        <v>0</v>
      </c>
      <c r="P5903" s="9"/>
    </row>
    <row r="5904">
      <c r="G5904" s="8"/>
      <c r="M5904" s="8">
        <f t="shared" si="5"/>
        <v>0</v>
      </c>
      <c r="P5904" s="9"/>
    </row>
    <row r="5905">
      <c r="G5905" s="8"/>
      <c r="M5905" s="8">
        <f t="shared" si="5"/>
        <v>0</v>
      </c>
      <c r="P5905" s="9"/>
    </row>
    <row r="5906">
      <c r="G5906" s="8"/>
      <c r="M5906" s="8">
        <f t="shared" si="5"/>
        <v>0</v>
      </c>
      <c r="P5906" s="9"/>
    </row>
    <row r="5907">
      <c r="G5907" s="8"/>
      <c r="M5907" s="8">
        <f t="shared" si="5"/>
        <v>0</v>
      </c>
      <c r="P5907" s="9"/>
    </row>
    <row r="5908">
      <c r="G5908" s="8"/>
      <c r="M5908" s="8">
        <f t="shared" si="5"/>
        <v>0</v>
      </c>
      <c r="P5908" s="9"/>
    </row>
    <row r="5909">
      <c r="G5909" s="8"/>
      <c r="M5909" s="8">
        <f t="shared" si="5"/>
        <v>0</v>
      </c>
      <c r="P5909" s="9"/>
    </row>
    <row r="5910">
      <c r="G5910" s="8"/>
      <c r="M5910" s="8">
        <f t="shared" si="5"/>
        <v>0</v>
      </c>
      <c r="P5910" s="9"/>
    </row>
    <row r="5911">
      <c r="G5911" s="8"/>
      <c r="M5911" s="8">
        <f t="shared" si="5"/>
        <v>0</v>
      </c>
      <c r="P5911" s="9"/>
    </row>
    <row r="5912">
      <c r="G5912" s="8"/>
      <c r="M5912" s="8">
        <f t="shared" si="5"/>
        <v>0</v>
      </c>
      <c r="P5912" s="9"/>
    </row>
    <row r="5913">
      <c r="G5913" s="8"/>
      <c r="M5913" s="8">
        <f t="shared" si="5"/>
        <v>0</v>
      </c>
      <c r="P5913" s="9"/>
    </row>
    <row r="5914">
      <c r="G5914" s="8"/>
      <c r="M5914" s="8">
        <f t="shared" si="5"/>
        <v>0</v>
      </c>
      <c r="P5914" s="9"/>
    </row>
    <row r="5915">
      <c r="G5915" s="8"/>
      <c r="M5915" s="8">
        <f t="shared" si="5"/>
        <v>0</v>
      </c>
      <c r="P5915" s="9"/>
    </row>
    <row r="5916">
      <c r="G5916" s="8"/>
      <c r="M5916" s="8">
        <f t="shared" si="5"/>
        <v>0</v>
      </c>
      <c r="P5916" s="9"/>
    </row>
    <row r="5917">
      <c r="G5917" s="8"/>
      <c r="M5917" s="8">
        <f t="shared" si="5"/>
        <v>0</v>
      </c>
      <c r="P5917" s="9"/>
    </row>
    <row r="5918">
      <c r="G5918" s="8"/>
      <c r="M5918" s="8">
        <f t="shared" si="5"/>
        <v>0</v>
      </c>
      <c r="P5918" s="9"/>
    </row>
    <row r="5919">
      <c r="G5919" s="8"/>
      <c r="M5919" s="8">
        <f t="shared" si="5"/>
        <v>0</v>
      </c>
      <c r="P5919" s="9"/>
    </row>
    <row r="5920">
      <c r="G5920" s="8"/>
      <c r="M5920" s="8">
        <f t="shared" si="5"/>
        <v>0</v>
      </c>
      <c r="P5920" s="9"/>
    </row>
    <row r="5921">
      <c r="G5921" s="8"/>
      <c r="M5921" s="8">
        <f t="shared" si="5"/>
        <v>0</v>
      </c>
      <c r="P5921" s="9"/>
    </row>
    <row r="5922">
      <c r="G5922" s="8"/>
      <c r="M5922" s="8">
        <f t="shared" si="5"/>
        <v>0</v>
      </c>
      <c r="P5922" s="9"/>
    </row>
    <row r="5923">
      <c r="G5923" s="8"/>
      <c r="M5923" s="8">
        <f t="shared" si="5"/>
        <v>0</v>
      </c>
      <c r="P5923" s="9"/>
    </row>
    <row r="5924">
      <c r="G5924" s="8"/>
      <c r="M5924" s="8">
        <f t="shared" si="5"/>
        <v>0</v>
      </c>
      <c r="P5924" s="9"/>
    </row>
    <row r="5925">
      <c r="G5925" s="8"/>
      <c r="M5925" s="8">
        <f t="shared" si="5"/>
        <v>0</v>
      </c>
      <c r="P5925" s="9"/>
    </row>
    <row r="5926">
      <c r="G5926" s="8"/>
      <c r="M5926" s="8">
        <f t="shared" si="5"/>
        <v>0</v>
      </c>
      <c r="P5926" s="9"/>
    </row>
    <row r="5927">
      <c r="G5927" s="8"/>
      <c r="M5927" s="8">
        <f t="shared" si="5"/>
        <v>0</v>
      </c>
      <c r="P5927" s="9"/>
    </row>
    <row r="5928">
      <c r="G5928" s="8"/>
      <c r="M5928" s="8">
        <f t="shared" si="5"/>
        <v>0</v>
      </c>
      <c r="P5928" s="9"/>
    </row>
    <row r="5929">
      <c r="G5929" s="8"/>
      <c r="M5929" s="8">
        <f t="shared" si="5"/>
        <v>0</v>
      </c>
      <c r="P5929" s="9"/>
    </row>
    <row r="5930">
      <c r="G5930" s="8"/>
      <c r="M5930" s="8">
        <f t="shared" si="5"/>
        <v>0</v>
      </c>
      <c r="P5930" s="9"/>
    </row>
    <row r="5931">
      <c r="G5931" s="8"/>
      <c r="M5931" s="8">
        <f t="shared" si="5"/>
        <v>0</v>
      </c>
      <c r="P5931" s="9"/>
    </row>
    <row r="5932">
      <c r="G5932" s="8"/>
      <c r="M5932" s="8">
        <f t="shared" si="5"/>
        <v>0</v>
      </c>
      <c r="P5932" s="9"/>
    </row>
    <row r="5933">
      <c r="G5933" s="8"/>
      <c r="M5933" s="8">
        <f t="shared" si="5"/>
        <v>0</v>
      </c>
      <c r="P5933" s="9"/>
    </row>
    <row r="5934">
      <c r="G5934" s="8"/>
      <c r="M5934" s="8">
        <f t="shared" si="5"/>
        <v>0</v>
      </c>
      <c r="P5934" s="9"/>
    </row>
    <row r="5935">
      <c r="G5935" s="8"/>
      <c r="M5935" s="8">
        <f t="shared" si="5"/>
        <v>0</v>
      </c>
      <c r="P5935" s="9"/>
    </row>
    <row r="5936">
      <c r="G5936" s="8"/>
      <c r="M5936" s="8">
        <f t="shared" si="5"/>
        <v>0</v>
      </c>
      <c r="P5936" s="9"/>
    </row>
    <row r="5937">
      <c r="G5937" s="8"/>
      <c r="M5937" s="8">
        <f t="shared" si="5"/>
        <v>0</v>
      </c>
      <c r="P5937" s="9"/>
    </row>
    <row r="5938">
      <c r="G5938" s="8"/>
      <c r="M5938" s="8">
        <f t="shared" si="5"/>
        <v>0</v>
      </c>
      <c r="P5938" s="9"/>
    </row>
    <row r="5939">
      <c r="G5939" s="8"/>
      <c r="M5939" s="8">
        <f t="shared" si="5"/>
        <v>0</v>
      </c>
      <c r="P5939" s="9"/>
    </row>
    <row r="5940">
      <c r="G5940" s="8"/>
      <c r="M5940" s="8">
        <f t="shared" si="5"/>
        <v>0</v>
      </c>
      <c r="P5940" s="9"/>
    </row>
    <row r="5941">
      <c r="G5941" s="8"/>
      <c r="M5941" s="8">
        <f t="shared" si="5"/>
        <v>0</v>
      </c>
      <c r="P5941" s="9"/>
    </row>
    <row r="5942">
      <c r="G5942" s="8"/>
      <c r="M5942" s="8">
        <f t="shared" si="5"/>
        <v>0</v>
      </c>
      <c r="P5942" s="9"/>
    </row>
    <row r="5943">
      <c r="G5943" s="8"/>
      <c r="M5943" s="8">
        <f t="shared" si="5"/>
        <v>0</v>
      </c>
      <c r="P5943" s="9"/>
    </row>
    <row r="5944">
      <c r="G5944" s="8"/>
      <c r="M5944" s="8">
        <f t="shared" si="5"/>
        <v>0</v>
      </c>
      <c r="P5944" s="9"/>
    </row>
    <row r="5945">
      <c r="G5945" s="8"/>
      <c r="M5945" s="8">
        <f t="shared" si="5"/>
        <v>0</v>
      </c>
      <c r="P5945" s="9"/>
    </row>
    <row r="5946">
      <c r="G5946" s="8"/>
      <c r="M5946" s="8">
        <f t="shared" si="5"/>
        <v>0</v>
      </c>
      <c r="P5946" s="9"/>
    </row>
    <row r="5947">
      <c r="G5947" s="8"/>
      <c r="M5947" s="8">
        <f t="shared" si="5"/>
        <v>0</v>
      </c>
      <c r="P5947" s="9"/>
    </row>
    <row r="5948">
      <c r="G5948" s="8"/>
      <c r="M5948" s="8">
        <f t="shared" si="5"/>
        <v>0</v>
      </c>
      <c r="P5948" s="9"/>
    </row>
    <row r="5949">
      <c r="G5949" s="8"/>
      <c r="M5949" s="8">
        <f t="shared" si="5"/>
        <v>0</v>
      </c>
      <c r="P5949" s="9"/>
    </row>
    <row r="5950">
      <c r="G5950" s="8"/>
      <c r="M5950" s="8">
        <f t="shared" si="5"/>
        <v>0</v>
      </c>
      <c r="P5950" s="9"/>
    </row>
    <row r="5951">
      <c r="G5951" s="8"/>
      <c r="M5951" s="8">
        <f t="shared" si="5"/>
        <v>0</v>
      </c>
      <c r="P5951" s="9"/>
    </row>
    <row r="5952">
      <c r="G5952" s="8"/>
      <c r="M5952" s="8">
        <f t="shared" si="5"/>
        <v>0</v>
      </c>
      <c r="P5952" s="9"/>
    </row>
    <row r="5953">
      <c r="G5953" s="8"/>
      <c r="M5953" s="8">
        <f t="shared" si="5"/>
        <v>0</v>
      </c>
      <c r="P5953" s="9"/>
    </row>
    <row r="5954">
      <c r="G5954" s="8"/>
      <c r="M5954" s="8">
        <f t="shared" si="5"/>
        <v>0</v>
      </c>
      <c r="P5954" s="9"/>
    </row>
    <row r="5955">
      <c r="G5955" s="8"/>
      <c r="M5955" s="8">
        <f t="shared" si="5"/>
        <v>0</v>
      </c>
      <c r="P5955" s="9"/>
    </row>
    <row r="5956">
      <c r="G5956" s="8"/>
      <c r="M5956" s="8">
        <f t="shared" si="5"/>
        <v>0</v>
      </c>
      <c r="P5956" s="9"/>
    </row>
    <row r="5957">
      <c r="G5957" s="8"/>
      <c r="M5957" s="8">
        <f t="shared" si="5"/>
        <v>0</v>
      </c>
      <c r="P5957" s="9"/>
    </row>
    <row r="5958">
      <c r="G5958" s="8"/>
      <c r="M5958" s="8">
        <f t="shared" si="5"/>
        <v>0</v>
      </c>
      <c r="P5958" s="9"/>
    </row>
    <row r="5959">
      <c r="G5959" s="8"/>
      <c r="M5959" s="8">
        <f t="shared" si="5"/>
        <v>0</v>
      </c>
      <c r="P5959" s="9"/>
    </row>
    <row r="5960">
      <c r="G5960" s="8"/>
      <c r="M5960" s="8">
        <f t="shared" si="5"/>
        <v>0</v>
      </c>
      <c r="P5960" s="9"/>
    </row>
    <row r="5961">
      <c r="G5961" s="8"/>
      <c r="M5961" s="8">
        <f t="shared" si="5"/>
        <v>0</v>
      </c>
      <c r="P5961" s="9"/>
    </row>
    <row r="5962">
      <c r="G5962" s="8"/>
      <c r="M5962" s="8">
        <f t="shared" si="5"/>
        <v>0</v>
      </c>
      <c r="P5962" s="9"/>
    </row>
    <row r="5963">
      <c r="G5963" s="8"/>
      <c r="M5963" s="8">
        <f t="shared" si="5"/>
        <v>0</v>
      </c>
      <c r="P5963" s="9"/>
    </row>
    <row r="5964">
      <c r="G5964" s="8"/>
      <c r="M5964" s="8">
        <f t="shared" si="5"/>
        <v>0</v>
      </c>
      <c r="P5964" s="9"/>
    </row>
    <row r="5965">
      <c r="G5965" s="8"/>
      <c r="M5965" s="8">
        <f t="shared" si="5"/>
        <v>0</v>
      </c>
      <c r="P5965" s="9"/>
    </row>
    <row r="5966">
      <c r="G5966" s="8"/>
      <c r="M5966" s="8">
        <f t="shared" si="5"/>
        <v>0</v>
      </c>
      <c r="P5966" s="9"/>
    </row>
    <row r="5967">
      <c r="G5967" s="8"/>
      <c r="M5967" s="8">
        <f t="shared" si="5"/>
        <v>0</v>
      </c>
      <c r="P5967" s="9"/>
    </row>
    <row r="5968">
      <c r="G5968" s="8"/>
      <c r="M5968" s="8">
        <f t="shared" si="5"/>
        <v>0</v>
      </c>
      <c r="P5968" s="9"/>
    </row>
    <row r="5969">
      <c r="G5969" s="8"/>
      <c r="M5969" s="8">
        <f t="shared" si="5"/>
        <v>0</v>
      </c>
      <c r="P5969" s="9"/>
    </row>
    <row r="5970">
      <c r="G5970" s="8"/>
      <c r="M5970" s="8">
        <f t="shared" si="5"/>
        <v>0</v>
      </c>
      <c r="P5970" s="9"/>
    </row>
    <row r="5971">
      <c r="G5971" s="8"/>
      <c r="M5971" s="8">
        <f t="shared" si="5"/>
        <v>0</v>
      </c>
      <c r="P5971" s="9"/>
    </row>
    <row r="5972">
      <c r="G5972" s="8"/>
      <c r="M5972" s="8">
        <f t="shared" si="5"/>
        <v>0</v>
      </c>
      <c r="P5972" s="9"/>
    </row>
    <row r="5973">
      <c r="G5973" s="8"/>
      <c r="M5973" s="8">
        <f t="shared" si="5"/>
        <v>0</v>
      </c>
      <c r="P5973" s="9"/>
    </row>
    <row r="5974">
      <c r="G5974" s="8"/>
      <c r="M5974" s="8">
        <f t="shared" si="5"/>
        <v>0</v>
      </c>
      <c r="P5974" s="9"/>
    </row>
    <row r="5975">
      <c r="G5975" s="8"/>
      <c r="M5975" s="8">
        <f t="shared" si="5"/>
        <v>0</v>
      </c>
      <c r="P5975" s="9"/>
    </row>
    <row r="5976">
      <c r="G5976" s="8"/>
      <c r="M5976" s="8">
        <f t="shared" si="5"/>
        <v>0</v>
      </c>
      <c r="P5976" s="9"/>
    </row>
    <row r="5977">
      <c r="G5977" s="8"/>
      <c r="M5977" s="8">
        <f t="shared" si="5"/>
        <v>0</v>
      </c>
      <c r="P5977" s="9"/>
    </row>
    <row r="5978">
      <c r="G5978" s="8"/>
      <c r="M5978" s="8">
        <f t="shared" si="5"/>
        <v>0</v>
      </c>
      <c r="P5978" s="9"/>
    </row>
    <row r="5979">
      <c r="G5979" s="8"/>
      <c r="M5979" s="8">
        <f t="shared" si="5"/>
        <v>0</v>
      </c>
      <c r="P5979" s="9"/>
    </row>
    <row r="5980">
      <c r="G5980" s="8"/>
      <c r="M5980" s="8">
        <f t="shared" si="5"/>
        <v>0</v>
      </c>
      <c r="P5980" s="9"/>
    </row>
    <row r="5981">
      <c r="G5981" s="8"/>
      <c r="M5981" s="8">
        <f t="shared" si="5"/>
        <v>0</v>
      </c>
      <c r="P5981" s="9"/>
    </row>
    <row r="5982">
      <c r="G5982" s="8"/>
      <c r="M5982" s="8">
        <f t="shared" si="5"/>
        <v>0</v>
      </c>
      <c r="P5982" s="9"/>
    </row>
    <row r="5983">
      <c r="G5983" s="8"/>
      <c r="M5983" s="8">
        <f t="shared" si="5"/>
        <v>0</v>
      </c>
      <c r="P5983" s="9"/>
    </row>
    <row r="5984">
      <c r="G5984" s="8"/>
      <c r="M5984" s="8">
        <f t="shared" si="5"/>
        <v>0</v>
      </c>
      <c r="P5984" s="9"/>
    </row>
    <row r="5985">
      <c r="G5985" s="8"/>
      <c r="M5985" s="8">
        <f t="shared" si="5"/>
        <v>0</v>
      </c>
      <c r="P5985" s="9"/>
    </row>
    <row r="5986">
      <c r="G5986" s="8"/>
      <c r="M5986" s="8">
        <f t="shared" si="5"/>
        <v>0</v>
      </c>
      <c r="P5986" s="9"/>
    </row>
    <row r="5987">
      <c r="G5987" s="8"/>
      <c r="M5987" s="8">
        <f t="shared" si="5"/>
        <v>0</v>
      </c>
      <c r="P5987" s="9"/>
    </row>
    <row r="5988">
      <c r="G5988" s="8"/>
      <c r="M5988" s="8">
        <f t="shared" si="5"/>
        <v>0</v>
      </c>
      <c r="P5988" s="9"/>
    </row>
    <row r="5989">
      <c r="G5989" s="8"/>
      <c r="M5989" s="8">
        <f t="shared" si="5"/>
        <v>0</v>
      </c>
      <c r="P5989" s="9"/>
    </row>
    <row r="5990">
      <c r="G5990" s="8"/>
      <c r="M5990" s="8">
        <f t="shared" si="5"/>
        <v>0</v>
      </c>
      <c r="P5990" s="9"/>
    </row>
    <row r="5991">
      <c r="G5991" s="8"/>
      <c r="M5991" s="8">
        <f t="shared" si="5"/>
        <v>0</v>
      </c>
      <c r="P5991" s="9"/>
    </row>
    <row r="5992">
      <c r="G5992" s="8"/>
      <c r="M5992" s="8">
        <f t="shared" si="5"/>
        <v>0</v>
      </c>
      <c r="P5992" s="9"/>
    </row>
    <row r="5993">
      <c r="G5993" s="8"/>
      <c r="M5993" s="8">
        <f t="shared" si="5"/>
        <v>0</v>
      </c>
      <c r="P5993" s="9"/>
    </row>
    <row r="5994">
      <c r="G5994" s="8"/>
      <c r="M5994" s="8">
        <f t="shared" si="5"/>
        <v>0</v>
      </c>
      <c r="P5994" s="9"/>
    </row>
    <row r="5995">
      <c r="G5995" s="8"/>
      <c r="M5995" s="8">
        <f t="shared" si="5"/>
        <v>0</v>
      </c>
      <c r="P5995" s="9"/>
    </row>
    <row r="5996">
      <c r="G5996" s="8"/>
      <c r="M5996" s="8">
        <f t="shared" si="5"/>
        <v>0</v>
      </c>
      <c r="P5996" s="9"/>
    </row>
    <row r="5997">
      <c r="G5997" s="8"/>
      <c r="M5997" s="8">
        <f t="shared" si="5"/>
        <v>0</v>
      </c>
      <c r="P5997" s="9"/>
    </row>
    <row r="5998">
      <c r="G5998" s="8"/>
      <c r="M5998" s="8">
        <f t="shared" si="5"/>
        <v>0</v>
      </c>
      <c r="P5998" s="9"/>
    </row>
    <row r="5999">
      <c r="G5999" s="8"/>
      <c r="M5999" s="8">
        <f t="shared" si="5"/>
        <v>0</v>
      </c>
      <c r="P5999" s="9"/>
    </row>
    <row r="6000">
      <c r="G6000" s="8"/>
      <c r="M6000" s="8">
        <f t="shared" si="5"/>
        <v>0</v>
      </c>
      <c r="P6000" s="9"/>
    </row>
    <row r="6001">
      <c r="G6001" s="8"/>
      <c r="M6001" s="8">
        <f t="shared" si="5"/>
        <v>0</v>
      </c>
      <c r="P6001" s="9"/>
    </row>
    <row r="6002">
      <c r="G6002" s="8"/>
      <c r="M6002" s="8">
        <f t="shared" si="5"/>
        <v>0</v>
      </c>
      <c r="P6002" s="9"/>
    </row>
    <row r="6003">
      <c r="G6003" s="8"/>
      <c r="M6003" s="8">
        <f t="shared" si="5"/>
        <v>0</v>
      </c>
      <c r="P6003" s="9"/>
    </row>
    <row r="6004">
      <c r="G6004" s="8"/>
      <c r="M6004" s="8">
        <f t="shared" si="5"/>
        <v>0</v>
      </c>
      <c r="P6004" s="9"/>
    </row>
    <row r="6005">
      <c r="G6005" s="8"/>
      <c r="M6005" s="8">
        <f t="shared" si="5"/>
        <v>0</v>
      </c>
      <c r="P6005" s="9"/>
    </row>
    <row r="6006">
      <c r="G6006" s="8"/>
      <c r="M6006" s="8">
        <f t="shared" si="5"/>
        <v>0</v>
      </c>
      <c r="P6006" s="9"/>
    </row>
    <row r="6007">
      <c r="G6007" s="8"/>
      <c r="M6007" s="8">
        <f t="shared" si="5"/>
        <v>0</v>
      </c>
      <c r="P6007" s="9"/>
    </row>
    <row r="6008">
      <c r="G6008" s="8"/>
      <c r="M6008" s="8">
        <f t="shared" si="5"/>
        <v>0</v>
      </c>
      <c r="P6008" s="9"/>
    </row>
    <row r="6009">
      <c r="G6009" s="8"/>
      <c r="M6009" s="8">
        <f t="shared" si="5"/>
        <v>0</v>
      </c>
      <c r="P6009" s="9"/>
    </row>
    <row r="6010">
      <c r="G6010" s="8"/>
      <c r="M6010" s="8">
        <f t="shared" si="5"/>
        <v>0</v>
      </c>
      <c r="P6010" s="9"/>
    </row>
    <row r="6011">
      <c r="G6011" s="8"/>
      <c r="M6011" s="8">
        <f t="shared" si="5"/>
        <v>0</v>
      </c>
      <c r="P6011" s="9"/>
    </row>
    <row r="6012">
      <c r="G6012" s="8"/>
      <c r="M6012" s="8">
        <f t="shared" si="5"/>
        <v>0</v>
      </c>
      <c r="P6012" s="9"/>
    </row>
    <row r="6013">
      <c r="G6013" s="8"/>
      <c r="M6013" s="8">
        <f t="shared" si="5"/>
        <v>0</v>
      </c>
      <c r="P6013" s="9"/>
    </row>
    <row r="6014">
      <c r="G6014" s="8"/>
      <c r="M6014" s="8">
        <f t="shared" si="5"/>
        <v>0</v>
      </c>
      <c r="P6014" s="9"/>
    </row>
    <row r="6015">
      <c r="G6015" s="8"/>
      <c r="M6015" s="8">
        <f t="shared" si="5"/>
        <v>0</v>
      </c>
      <c r="P6015" s="9"/>
    </row>
    <row r="6016">
      <c r="G6016" s="8"/>
      <c r="M6016" s="8">
        <f t="shared" si="5"/>
        <v>0</v>
      </c>
      <c r="P6016" s="9"/>
    </row>
    <row r="6017">
      <c r="G6017" s="8"/>
      <c r="M6017" s="8">
        <f t="shared" si="5"/>
        <v>0</v>
      </c>
      <c r="P6017" s="9"/>
    </row>
    <row r="6018">
      <c r="G6018" s="8"/>
      <c r="M6018" s="8">
        <f t="shared" si="5"/>
        <v>0</v>
      </c>
      <c r="P6018" s="9"/>
    </row>
    <row r="6019">
      <c r="G6019" s="8"/>
      <c r="M6019" s="8">
        <f t="shared" si="5"/>
        <v>0</v>
      </c>
      <c r="P6019" s="9"/>
    </row>
    <row r="6020">
      <c r="G6020" s="8"/>
      <c r="M6020" s="8">
        <f t="shared" si="5"/>
        <v>0</v>
      </c>
      <c r="P6020" s="9"/>
    </row>
    <row r="6021">
      <c r="G6021" s="8"/>
      <c r="M6021" s="8">
        <f t="shared" si="5"/>
        <v>0</v>
      </c>
      <c r="P6021" s="9"/>
    </row>
    <row r="6022">
      <c r="G6022" s="8"/>
      <c r="M6022" s="8">
        <f t="shared" si="5"/>
        <v>0</v>
      </c>
      <c r="P6022" s="9"/>
    </row>
    <row r="6023">
      <c r="G6023" s="8"/>
      <c r="M6023" s="8">
        <f t="shared" si="5"/>
        <v>0</v>
      </c>
      <c r="P6023" s="9"/>
    </row>
    <row r="6024">
      <c r="G6024" s="8"/>
      <c r="M6024" s="8">
        <f t="shared" si="5"/>
        <v>0</v>
      </c>
      <c r="P6024" s="9"/>
    </row>
    <row r="6025">
      <c r="G6025" s="8"/>
      <c r="M6025" s="8">
        <f t="shared" si="5"/>
        <v>0</v>
      </c>
      <c r="P6025" s="9"/>
    </row>
    <row r="6026">
      <c r="G6026" s="8"/>
      <c r="M6026" s="8">
        <f t="shared" si="5"/>
        <v>0</v>
      </c>
      <c r="P6026" s="9"/>
    </row>
  </sheetData>
  <autoFilter ref="$A$1:$Y$5026"/>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25"/>
    <col customWidth="1" min="2" max="2" width="5.13"/>
    <col customWidth="1" min="3" max="3" width="6.13"/>
    <col customWidth="1" min="4" max="4" width="5.88"/>
    <col customWidth="1" min="5" max="6" width="5.13"/>
    <col customWidth="1" min="7" max="7" width="4.25"/>
    <col customWidth="1" min="8" max="8" width="5.13"/>
    <col customWidth="1" min="9" max="9" width="4.25"/>
    <col customWidth="1" min="10" max="10" width="8.75"/>
  </cols>
  <sheetData>
    <row r="1">
      <c r="A1" s="6" t="s">
        <v>10992</v>
      </c>
      <c r="B1" s="6">
        <v>95.06</v>
      </c>
      <c r="C1" s="6">
        <f>161.28+0.08+0.17</f>
        <v>161.53</v>
      </c>
      <c r="D1" s="6">
        <v>111.07</v>
      </c>
      <c r="E1" s="6">
        <v>22.35</v>
      </c>
      <c r="F1" s="6">
        <v>54.76</v>
      </c>
      <c r="G1" s="6">
        <v>4.23</v>
      </c>
      <c r="H1" s="6">
        <v>39.32</v>
      </c>
      <c r="I1" s="6">
        <v>6.44</v>
      </c>
      <c r="J1" s="3">
        <f t="shared" ref="J1:J10" si="1">sum(B1:I1)</f>
        <v>494.76</v>
      </c>
    </row>
    <row r="2">
      <c r="A2" s="6" t="s">
        <v>10993</v>
      </c>
      <c r="B2" s="11">
        <f>39.93-0.5</f>
        <v>39.43</v>
      </c>
      <c r="C2" s="6">
        <v>8.35</v>
      </c>
      <c r="D2" s="6">
        <f>111.46+0.05+0.05+0.04</f>
        <v>111.6</v>
      </c>
      <c r="E2" s="6">
        <f>69.26+0.15+0.12+0.05+0.1+0.04+0.09+0.14</f>
        <v>69.95</v>
      </c>
      <c r="F2" s="6">
        <v>58.0</v>
      </c>
      <c r="J2" s="3">
        <f t="shared" si="1"/>
        <v>287.33</v>
      </c>
      <c r="K2" s="6" t="s">
        <v>10994</v>
      </c>
    </row>
    <row r="3">
      <c r="A3" s="6" t="s">
        <v>10995</v>
      </c>
      <c r="B3" s="6">
        <v>0.5</v>
      </c>
      <c r="C3" s="6">
        <f>6.81-0.15</f>
        <v>6.66</v>
      </c>
      <c r="D3" s="6">
        <v>34.86</v>
      </c>
      <c r="E3" s="6">
        <v>13.11</v>
      </c>
      <c r="F3" s="6">
        <v>28.07</v>
      </c>
      <c r="G3" s="6">
        <v>9.52</v>
      </c>
      <c r="H3" s="6">
        <v>31.72</v>
      </c>
      <c r="J3" s="3">
        <f t="shared" si="1"/>
        <v>124.44</v>
      </c>
      <c r="K3" s="6" t="s">
        <v>10994</v>
      </c>
    </row>
    <row r="4">
      <c r="A4" s="6" t="s">
        <v>10996</v>
      </c>
      <c r="B4" s="6">
        <v>5.36</v>
      </c>
      <c r="J4" s="3">
        <f t="shared" si="1"/>
        <v>5.36</v>
      </c>
    </row>
    <row r="5">
      <c r="A5" s="6" t="s">
        <v>10997</v>
      </c>
      <c r="B5" s="6">
        <v>5.32</v>
      </c>
      <c r="J5" s="3">
        <f t="shared" si="1"/>
        <v>5.32</v>
      </c>
    </row>
    <row r="6">
      <c r="A6" s="6" t="s">
        <v>10998</v>
      </c>
      <c r="B6" s="6">
        <v>168.0</v>
      </c>
      <c r="C6" s="6">
        <v>51.0</v>
      </c>
      <c r="J6" s="3">
        <f t="shared" si="1"/>
        <v>219</v>
      </c>
      <c r="K6" s="6" t="s">
        <v>10994</v>
      </c>
    </row>
    <row r="7">
      <c r="A7" s="6" t="s">
        <v>10999</v>
      </c>
      <c r="B7" s="6">
        <v>30.74</v>
      </c>
      <c r="J7" s="3">
        <f t="shared" si="1"/>
        <v>30.74</v>
      </c>
      <c r="K7" s="6" t="s">
        <v>10994</v>
      </c>
    </row>
    <row r="8">
      <c r="A8" s="6" t="s">
        <v>11000</v>
      </c>
      <c r="B8" s="6">
        <v>32.15</v>
      </c>
      <c r="C8" s="6">
        <f>15.05+0.06+0.06+0.06+0.05</f>
        <v>15.28</v>
      </c>
      <c r="D8" s="6">
        <f>64.23+9.29+14.94</f>
        <v>88.46</v>
      </c>
      <c r="E8" s="6">
        <v>60.33</v>
      </c>
      <c r="J8" s="3">
        <f t="shared" si="1"/>
        <v>196.22</v>
      </c>
    </row>
    <row r="9">
      <c r="A9" s="6" t="s">
        <v>11001</v>
      </c>
      <c r="B9" s="6">
        <v>90.29</v>
      </c>
      <c r="C9" s="6">
        <f>76.33+0.25-0.05+3.8</f>
        <v>80.33</v>
      </c>
      <c r="D9" s="6">
        <v>561.48</v>
      </c>
      <c r="E9" s="6">
        <v>73.03</v>
      </c>
      <c r="J9" s="3">
        <f t="shared" si="1"/>
        <v>805.13</v>
      </c>
    </row>
    <row r="10">
      <c r="A10" s="6" t="s">
        <v>11002</v>
      </c>
      <c r="J10" s="3">
        <f t="shared" si="1"/>
        <v>0</v>
      </c>
    </row>
    <row r="11">
      <c r="J11" s="4"/>
    </row>
    <row r="12">
      <c r="J12" s="4"/>
    </row>
    <row r="13">
      <c r="J13" s="4"/>
    </row>
    <row r="14">
      <c r="J14" s="4"/>
    </row>
    <row r="15">
      <c r="J15" s="4"/>
    </row>
    <row r="16">
      <c r="J16" s="4"/>
    </row>
    <row r="17">
      <c r="J17" s="4"/>
    </row>
    <row r="18">
      <c r="J18" s="4"/>
    </row>
    <row r="19">
      <c r="J19" s="4"/>
    </row>
    <row r="20">
      <c r="J20" s="4"/>
    </row>
    <row r="21">
      <c r="J21" s="4"/>
    </row>
    <row r="22">
      <c r="J22" s="4"/>
    </row>
    <row r="23">
      <c r="J23" s="4"/>
    </row>
    <row r="24">
      <c r="J24" s="4"/>
    </row>
    <row r="25">
      <c r="J25" s="4"/>
    </row>
    <row r="26">
      <c r="J26" s="4"/>
    </row>
    <row r="27">
      <c r="J27" s="4"/>
    </row>
    <row r="28">
      <c r="J28" s="4"/>
    </row>
    <row r="29">
      <c r="J29" s="4"/>
    </row>
    <row r="30">
      <c r="J30" s="4"/>
    </row>
    <row r="31">
      <c r="J31" s="4"/>
    </row>
    <row r="32">
      <c r="J32" s="4"/>
    </row>
    <row r="33">
      <c r="J33" s="4"/>
    </row>
    <row r="34">
      <c r="J34" s="4"/>
    </row>
    <row r="35">
      <c r="J35" s="4"/>
    </row>
    <row r="36">
      <c r="J36" s="4"/>
    </row>
    <row r="37">
      <c r="J37" s="4"/>
    </row>
    <row r="38">
      <c r="J38" s="4"/>
    </row>
    <row r="39">
      <c r="J39" s="4"/>
    </row>
    <row r="40">
      <c r="J40" s="4"/>
    </row>
    <row r="41">
      <c r="J41" s="4"/>
    </row>
    <row r="42">
      <c r="J42" s="4"/>
    </row>
    <row r="43">
      <c r="J43" s="4"/>
    </row>
    <row r="44">
      <c r="J44" s="4"/>
    </row>
    <row r="45">
      <c r="J45" s="4"/>
    </row>
    <row r="46">
      <c r="J46" s="4"/>
    </row>
    <row r="47">
      <c r="J47" s="4"/>
    </row>
    <row r="48">
      <c r="J48" s="4"/>
    </row>
    <row r="49">
      <c r="J49" s="4"/>
    </row>
    <row r="50">
      <c r="J50" s="4"/>
    </row>
    <row r="51">
      <c r="J51" s="4"/>
    </row>
    <row r="52">
      <c r="J52" s="4"/>
    </row>
    <row r="53">
      <c r="J53" s="4"/>
    </row>
    <row r="54">
      <c r="J54" s="4"/>
    </row>
    <row r="55">
      <c r="J55" s="4"/>
    </row>
    <row r="56">
      <c r="J56" s="4"/>
    </row>
    <row r="57">
      <c r="J57" s="4"/>
    </row>
    <row r="58">
      <c r="J58" s="4"/>
    </row>
    <row r="59">
      <c r="J59" s="4"/>
    </row>
    <row r="60">
      <c r="J60" s="4"/>
    </row>
    <row r="61">
      <c r="J61" s="4"/>
    </row>
    <row r="62">
      <c r="J62" s="4"/>
    </row>
    <row r="63">
      <c r="J63" s="4"/>
    </row>
    <row r="64">
      <c r="J64" s="4"/>
    </row>
    <row r="65">
      <c r="J65" s="4"/>
    </row>
    <row r="66">
      <c r="J66" s="4"/>
    </row>
    <row r="67">
      <c r="J67" s="4"/>
    </row>
    <row r="68">
      <c r="J68" s="4"/>
    </row>
    <row r="69">
      <c r="J69" s="4"/>
    </row>
    <row r="70">
      <c r="J70" s="4"/>
    </row>
    <row r="71">
      <c r="J71" s="4"/>
    </row>
    <row r="72">
      <c r="J72" s="4"/>
    </row>
    <row r="73">
      <c r="J73" s="4"/>
    </row>
    <row r="74">
      <c r="J74" s="4"/>
    </row>
    <row r="75">
      <c r="J75" s="4"/>
    </row>
    <row r="76">
      <c r="J76" s="4"/>
    </row>
    <row r="77">
      <c r="J77" s="4"/>
    </row>
    <row r="78">
      <c r="J78" s="4"/>
    </row>
    <row r="79">
      <c r="J79" s="4"/>
    </row>
    <row r="80">
      <c r="J80" s="4"/>
    </row>
    <row r="81">
      <c r="J81" s="4"/>
    </row>
    <row r="82">
      <c r="J82" s="4"/>
    </row>
    <row r="83">
      <c r="J83" s="4"/>
    </row>
    <row r="84">
      <c r="J84" s="4"/>
    </row>
    <row r="85">
      <c r="J85" s="4"/>
    </row>
    <row r="86">
      <c r="J86" s="4"/>
    </row>
    <row r="87">
      <c r="J87" s="4"/>
    </row>
    <row r="88">
      <c r="J88" s="4"/>
    </row>
    <row r="89">
      <c r="J89" s="4"/>
    </row>
    <row r="90">
      <c r="J90" s="4"/>
    </row>
    <row r="91">
      <c r="J91" s="4"/>
    </row>
    <row r="92">
      <c r="J92" s="4"/>
    </row>
    <row r="93">
      <c r="J93" s="4"/>
    </row>
    <row r="94">
      <c r="J94" s="4"/>
    </row>
    <row r="95">
      <c r="J95" s="4"/>
    </row>
    <row r="96">
      <c r="J96" s="4"/>
    </row>
    <row r="97">
      <c r="J97" s="4"/>
    </row>
    <row r="98">
      <c r="J98" s="4"/>
    </row>
    <row r="99">
      <c r="J99" s="4"/>
    </row>
    <row r="100">
      <c r="J100" s="4"/>
    </row>
    <row r="101">
      <c r="J101" s="4"/>
    </row>
    <row r="102">
      <c r="J102" s="4"/>
    </row>
    <row r="103">
      <c r="J103" s="4"/>
    </row>
    <row r="104">
      <c r="J104" s="4"/>
    </row>
    <row r="105">
      <c r="J105" s="4"/>
    </row>
    <row r="106">
      <c r="J106" s="4"/>
    </row>
    <row r="107">
      <c r="J107" s="4"/>
    </row>
    <row r="108">
      <c r="J108" s="4"/>
    </row>
    <row r="109">
      <c r="J109" s="4"/>
    </row>
    <row r="110">
      <c r="J110" s="4"/>
    </row>
    <row r="111">
      <c r="J111" s="4"/>
    </row>
    <row r="112">
      <c r="J112" s="4"/>
    </row>
    <row r="113">
      <c r="J113" s="4"/>
    </row>
    <row r="114">
      <c r="J114" s="4"/>
    </row>
    <row r="115">
      <c r="J115" s="4"/>
    </row>
    <row r="116">
      <c r="J116" s="4"/>
    </row>
    <row r="117">
      <c r="J117" s="4"/>
    </row>
    <row r="118">
      <c r="J118" s="4"/>
    </row>
    <row r="119">
      <c r="J119" s="4"/>
    </row>
    <row r="120">
      <c r="J120" s="4"/>
    </row>
    <row r="121">
      <c r="J121" s="4"/>
    </row>
    <row r="122">
      <c r="J122" s="4"/>
    </row>
    <row r="123">
      <c r="J123" s="4"/>
    </row>
    <row r="124">
      <c r="J124" s="4"/>
    </row>
    <row r="125">
      <c r="J125" s="4"/>
    </row>
    <row r="126">
      <c r="J126" s="4"/>
    </row>
    <row r="127">
      <c r="J127" s="4"/>
    </row>
    <row r="128">
      <c r="J128" s="4"/>
    </row>
    <row r="129">
      <c r="J129" s="4"/>
    </row>
    <row r="130">
      <c r="J130" s="4"/>
    </row>
    <row r="131">
      <c r="J131" s="4"/>
    </row>
    <row r="132">
      <c r="J132" s="4"/>
    </row>
    <row r="133">
      <c r="J133" s="4"/>
    </row>
    <row r="134">
      <c r="J134" s="4"/>
    </row>
    <row r="135">
      <c r="J135" s="4"/>
    </row>
    <row r="136">
      <c r="J136" s="4"/>
    </row>
    <row r="137">
      <c r="J137" s="4"/>
    </row>
    <row r="138">
      <c r="J138" s="4"/>
    </row>
    <row r="139">
      <c r="J139" s="4"/>
    </row>
    <row r="140">
      <c r="J140" s="4"/>
    </row>
    <row r="141">
      <c r="J141" s="4"/>
    </row>
    <row r="142">
      <c r="J142" s="4"/>
    </row>
    <row r="143">
      <c r="J143" s="4"/>
    </row>
    <row r="144">
      <c r="J144" s="4"/>
    </row>
    <row r="145">
      <c r="J145" s="4"/>
    </row>
    <row r="146">
      <c r="J146" s="4"/>
    </row>
    <row r="147">
      <c r="J147" s="4"/>
    </row>
    <row r="148">
      <c r="J148" s="4"/>
    </row>
    <row r="149">
      <c r="J149" s="4"/>
    </row>
    <row r="150">
      <c r="J150" s="4"/>
    </row>
    <row r="151">
      <c r="J151" s="4"/>
    </row>
    <row r="152">
      <c r="J152" s="4"/>
    </row>
    <row r="153">
      <c r="J153" s="4"/>
    </row>
    <row r="154">
      <c r="J154" s="4"/>
    </row>
    <row r="155">
      <c r="J155" s="4"/>
    </row>
    <row r="156">
      <c r="J156" s="4"/>
    </row>
    <row r="157">
      <c r="J157" s="4"/>
    </row>
    <row r="158">
      <c r="J158" s="4"/>
    </row>
    <row r="159">
      <c r="J159" s="4"/>
    </row>
    <row r="160">
      <c r="J160" s="4"/>
    </row>
    <row r="161">
      <c r="J161" s="4"/>
    </row>
    <row r="162">
      <c r="J162" s="4"/>
    </row>
    <row r="163">
      <c r="J163" s="4"/>
    </row>
    <row r="164">
      <c r="J164" s="4"/>
    </row>
    <row r="165">
      <c r="J165" s="4"/>
    </row>
    <row r="166">
      <c r="J166" s="4"/>
    </row>
    <row r="167">
      <c r="J167" s="4"/>
    </row>
    <row r="168">
      <c r="J168" s="4"/>
    </row>
    <row r="169">
      <c r="J169" s="4"/>
    </row>
    <row r="170">
      <c r="J170" s="4"/>
    </row>
    <row r="171">
      <c r="J171" s="4"/>
    </row>
    <row r="172">
      <c r="J172" s="4"/>
    </row>
    <row r="173">
      <c r="J173" s="4"/>
    </row>
    <row r="174">
      <c r="J174" s="4"/>
    </row>
    <row r="175">
      <c r="J175" s="4"/>
    </row>
    <row r="176">
      <c r="J176" s="4"/>
    </row>
    <row r="177">
      <c r="J177" s="4"/>
    </row>
    <row r="178">
      <c r="J178" s="4"/>
    </row>
    <row r="179">
      <c r="J179" s="4"/>
    </row>
    <row r="180">
      <c r="J180" s="4"/>
    </row>
    <row r="181">
      <c r="J181" s="4"/>
    </row>
    <row r="182">
      <c r="J182" s="4"/>
    </row>
    <row r="183">
      <c r="J183" s="4"/>
    </row>
    <row r="184">
      <c r="J184" s="4"/>
    </row>
    <row r="185">
      <c r="J185" s="4"/>
    </row>
    <row r="186">
      <c r="J186" s="4"/>
    </row>
    <row r="187">
      <c r="J187" s="4"/>
    </row>
    <row r="188">
      <c r="J188" s="4"/>
    </row>
    <row r="189">
      <c r="J189" s="4"/>
    </row>
    <row r="190">
      <c r="J190" s="4"/>
    </row>
    <row r="191">
      <c r="J191" s="4"/>
    </row>
    <row r="192">
      <c r="J192" s="4"/>
    </row>
    <row r="193">
      <c r="J193" s="4"/>
    </row>
    <row r="194">
      <c r="J194" s="4"/>
    </row>
    <row r="195">
      <c r="J195" s="4"/>
    </row>
    <row r="196">
      <c r="J196" s="4"/>
    </row>
    <row r="197">
      <c r="J197" s="4"/>
    </row>
    <row r="198">
      <c r="J198" s="4"/>
    </row>
    <row r="199">
      <c r="J199" s="4"/>
    </row>
    <row r="200">
      <c r="J200" s="4"/>
    </row>
    <row r="201">
      <c r="J201" s="4"/>
    </row>
    <row r="202">
      <c r="J202" s="4"/>
    </row>
    <row r="203">
      <c r="J203" s="4"/>
    </row>
    <row r="204">
      <c r="J204" s="4"/>
    </row>
    <row r="205">
      <c r="J205" s="4"/>
    </row>
    <row r="206">
      <c r="J206" s="4"/>
    </row>
    <row r="207">
      <c r="J207" s="4"/>
    </row>
    <row r="208">
      <c r="J208" s="4"/>
    </row>
    <row r="209">
      <c r="J209" s="4"/>
    </row>
    <row r="210">
      <c r="J210" s="4"/>
    </row>
    <row r="211">
      <c r="J211" s="4"/>
    </row>
    <row r="212">
      <c r="J212" s="4"/>
    </row>
    <row r="213">
      <c r="J213" s="4"/>
    </row>
    <row r="214">
      <c r="J214" s="4"/>
    </row>
    <row r="215">
      <c r="J215" s="4"/>
    </row>
    <row r="216">
      <c r="J216" s="4"/>
    </row>
    <row r="217">
      <c r="J217" s="4"/>
    </row>
    <row r="218">
      <c r="J218" s="4"/>
    </row>
    <row r="219">
      <c r="J219" s="4"/>
    </row>
    <row r="220">
      <c r="J220" s="4"/>
    </row>
    <row r="221">
      <c r="J221" s="4"/>
    </row>
    <row r="222">
      <c r="J222" s="4"/>
    </row>
    <row r="223">
      <c r="J223" s="4"/>
    </row>
    <row r="224">
      <c r="J224" s="4"/>
    </row>
    <row r="225">
      <c r="J225" s="4"/>
    </row>
    <row r="226">
      <c r="J226" s="4"/>
    </row>
    <row r="227">
      <c r="J227" s="4"/>
    </row>
    <row r="228">
      <c r="J228" s="4"/>
    </row>
    <row r="229">
      <c r="J229" s="4"/>
    </row>
    <row r="230">
      <c r="J230" s="4"/>
    </row>
    <row r="231">
      <c r="J231" s="4"/>
    </row>
    <row r="232">
      <c r="J232" s="4"/>
    </row>
    <row r="233">
      <c r="J233" s="4"/>
    </row>
    <row r="234">
      <c r="J234" s="4"/>
    </row>
    <row r="235">
      <c r="J235" s="4"/>
    </row>
    <row r="236">
      <c r="J236" s="4"/>
    </row>
    <row r="237">
      <c r="J237" s="4"/>
    </row>
    <row r="238">
      <c r="J238" s="4"/>
    </row>
    <row r="239">
      <c r="J239" s="4"/>
    </row>
    <row r="240">
      <c r="J240" s="4"/>
    </row>
    <row r="241">
      <c r="J241" s="4"/>
    </row>
    <row r="242">
      <c r="J242" s="4"/>
    </row>
    <row r="243">
      <c r="J243" s="4"/>
    </row>
    <row r="244">
      <c r="J244" s="4"/>
    </row>
    <row r="245">
      <c r="J245" s="4"/>
    </row>
    <row r="246">
      <c r="J246" s="4"/>
    </row>
    <row r="247">
      <c r="J247" s="4"/>
    </row>
    <row r="248">
      <c r="J248" s="4"/>
    </row>
    <row r="249">
      <c r="J249" s="4"/>
    </row>
    <row r="250">
      <c r="J250" s="4"/>
    </row>
    <row r="251">
      <c r="J251" s="4"/>
    </row>
    <row r="252">
      <c r="J252" s="4"/>
    </row>
    <row r="253">
      <c r="J253" s="4"/>
    </row>
    <row r="254">
      <c r="J254" s="4"/>
    </row>
    <row r="255">
      <c r="J255" s="4"/>
    </row>
    <row r="256">
      <c r="J256" s="4"/>
    </row>
    <row r="257">
      <c r="J257" s="4"/>
    </row>
    <row r="258">
      <c r="J258" s="4"/>
    </row>
    <row r="259">
      <c r="J259" s="4"/>
    </row>
    <row r="260">
      <c r="J260" s="4"/>
    </row>
    <row r="261">
      <c r="J261" s="4"/>
    </row>
    <row r="262">
      <c r="J262" s="4"/>
    </row>
    <row r="263">
      <c r="J263" s="4"/>
    </row>
    <row r="264">
      <c r="J264" s="4"/>
    </row>
    <row r="265">
      <c r="J265" s="4"/>
    </row>
    <row r="266">
      <c r="J266" s="4"/>
    </row>
    <row r="267">
      <c r="J267" s="4"/>
    </row>
    <row r="268">
      <c r="J268" s="4"/>
    </row>
    <row r="269">
      <c r="J269" s="4"/>
    </row>
    <row r="270">
      <c r="J270" s="4"/>
    </row>
    <row r="271">
      <c r="J271" s="4"/>
    </row>
    <row r="272">
      <c r="J272" s="4"/>
    </row>
    <row r="273">
      <c r="J273" s="4"/>
    </row>
    <row r="274">
      <c r="J274" s="4"/>
    </row>
    <row r="275">
      <c r="J275" s="4"/>
    </row>
    <row r="276">
      <c r="J276" s="4"/>
    </row>
    <row r="277">
      <c r="J277" s="4"/>
    </row>
    <row r="278">
      <c r="J278" s="4"/>
    </row>
    <row r="279">
      <c r="J279" s="4"/>
    </row>
    <row r="280">
      <c r="J280" s="4"/>
    </row>
    <row r="281">
      <c r="J281" s="4"/>
    </row>
    <row r="282">
      <c r="J282" s="4"/>
    </row>
    <row r="283">
      <c r="J283" s="4"/>
    </row>
    <row r="284">
      <c r="J284" s="4"/>
    </row>
    <row r="285">
      <c r="J285" s="4"/>
    </row>
    <row r="286">
      <c r="J286" s="4"/>
    </row>
    <row r="287">
      <c r="J287" s="4"/>
    </row>
    <row r="288">
      <c r="J288" s="4"/>
    </row>
    <row r="289">
      <c r="J289" s="4"/>
    </row>
    <row r="290">
      <c r="J290" s="4"/>
    </row>
    <row r="291">
      <c r="J291" s="4"/>
    </row>
    <row r="292">
      <c r="J292" s="4"/>
    </row>
    <row r="293">
      <c r="J293" s="4"/>
    </row>
    <row r="294">
      <c r="J294" s="4"/>
    </row>
    <row r="295">
      <c r="J295" s="4"/>
    </row>
    <row r="296">
      <c r="J296" s="4"/>
    </row>
    <row r="297">
      <c r="J297" s="4"/>
    </row>
    <row r="298">
      <c r="J298" s="4"/>
    </row>
    <row r="299">
      <c r="J299" s="4"/>
    </row>
    <row r="300">
      <c r="J300" s="4"/>
    </row>
    <row r="301">
      <c r="J301" s="4"/>
    </row>
    <row r="302">
      <c r="J302" s="4"/>
    </row>
    <row r="303">
      <c r="J303" s="4"/>
    </row>
    <row r="304">
      <c r="J304" s="4"/>
    </row>
    <row r="305">
      <c r="J305" s="4"/>
    </row>
    <row r="306">
      <c r="J306" s="4"/>
    </row>
    <row r="307">
      <c r="J307" s="4"/>
    </row>
    <row r="308">
      <c r="J308" s="4"/>
    </row>
    <row r="309">
      <c r="J309" s="4"/>
    </row>
    <row r="310">
      <c r="J310" s="4"/>
    </row>
    <row r="311">
      <c r="J311" s="4"/>
    </row>
    <row r="312">
      <c r="J312" s="4"/>
    </row>
    <row r="313">
      <c r="J313" s="4"/>
    </row>
    <row r="314">
      <c r="J314" s="4"/>
    </row>
    <row r="315">
      <c r="J315" s="4"/>
    </row>
    <row r="316">
      <c r="J316" s="4"/>
    </row>
    <row r="317">
      <c r="J317" s="4"/>
    </row>
    <row r="318">
      <c r="J318" s="4"/>
    </row>
    <row r="319">
      <c r="J319" s="4"/>
    </row>
    <row r="320">
      <c r="J320" s="4"/>
    </row>
    <row r="321">
      <c r="J321" s="4"/>
    </row>
    <row r="322">
      <c r="J322" s="4"/>
    </row>
    <row r="323">
      <c r="J323" s="4"/>
    </row>
    <row r="324">
      <c r="J324" s="4"/>
    </row>
    <row r="325">
      <c r="J325" s="4"/>
    </row>
    <row r="326">
      <c r="J326" s="4"/>
    </row>
    <row r="327">
      <c r="J327" s="4"/>
    </row>
    <row r="328">
      <c r="J328" s="4"/>
    </row>
    <row r="329">
      <c r="J329" s="4"/>
    </row>
    <row r="330">
      <c r="J330" s="4"/>
    </row>
    <row r="331">
      <c r="J331" s="4"/>
    </row>
    <row r="332">
      <c r="J332" s="4"/>
    </row>
    <row r="333">
      <c r="J333" s="4"/>
    </row>
    <row r="334">
      <c r="J334" s="4"/>
    </row>
    <row r="335">
      <c r="J335" s="4"/>
    </row>
    <row r="336">
      <c r="J336" s="4"/>
    </row>
    <row r="337">
      <c r="J337" s="4"/>
    </row>
    <row r="338">
      <c r="J338" s="4"/>
    </row>
    <row r="339">
      <c r="J339" s="4"/>
    </row>
    <row r="340">
      <c r="J340" s="4"/>
    </row>
    <row r="341">
      <c r="J341" s="4"/>
    </row>
    <row r="342">
      <c r="J342" s="4"/>
    </row>
    <row r="343">
      <c r="J343" s="4"/>
    </row>
    <row r="344">
      <c r="J344" s="4"/>
    </row>
    <row r="345">
      <c r="J345" s="4"/>
    </row>
    <row r="346">
      <c r="J346" s="4"/>
    </row>
    <row r="347">
      <c r="J347" s="4"/>
    </row>
    <row r="348">
      <c r="J348" s="4"/>
    </row>
    <row r="349">
      <c r="J349" s="4"/>
    </row>
    <row r="350">
      <c r="J350" s="4"/>
    </row>
    <row r="351">
      <c r="J351" s="4"/>
    </row>
    <row r="352">
      <c r="J352" s="4"/>
    </row>
    <row r="353">
      <c r="J353" s="4"/>
    </row>
    <row r="354">
      <c r="J354" s="4"/>
    </row>
    <row r="355">
      <c r="J355" s="4"/>
    </row>
    <row r="356">
      <c r="J356" s="4"/>
    </row>
    <row r="357">
      <c r="J357" s="4"/>
    </row>
    <row r="358">
      <c r="J358" s="4"/>
    </row>
    <row r="359">
      <c r="J359" s="4"/>
    </row>
    <row r="360">
      <c r="J360" s="4"/>
    </row>
    <row r="361">
      <c r="J361" s="4"/>
    </row>
    <row r="362">
      <c r="J362" s="4"/>
    </row>
    <row r="363">
      <c r="J363" s="4"/>
    </row>
    <row r="364">
      <c r="J364" s="4"/>
    </row>
    <row r="365">
      <c r="J365" s="4"/>
    </row>
    <row r="366">
      <c r="J366" s="4"/>
    </row>
    <row r="367">
      <c r="J367" s="4"/>
    </row>
    <row r="368">
      <c r="J368" s="4"/>
    </row>
    <row r="369">
      <c r="J369" s="4"/>
    </row>
    <row r="370">
      <c r="J370" s="4"/>
    </row>
    <row r="371">
      <c r="J371" s="4"/>
    </row>
    <row r="372">
      <c r="J372" s="4"/>
    </row>
    <row r="373">
      <c r="J373" s="4"/>
    </row>
    <row r="374">
      <c r="J374" s="4"/>
    </row>
    <row r="375">
      <c r="J375" s="4"/>
    </row>
    <row r="376">
      <c r="J376" s="4"/>
    </row>
    <row r="377">
      <c r="J377" s="4"/>
    </row>
    <row r="378">
      <c r="J378" s="4"/>
    </row>
    <row r="379">
      <c r="J379" s="4"/>
    </row>
    <row r="380">
      <c r="J380" s="4"/>
    </row>
    <row r="381">
      <c r="J381" s="4"/>
    </row>
    <row r="382">
      <c r="J382" s="4"/>
    </row>
    <row r="383">
      <c r="J383" s="4"/>
    </row>
    <row r="384">
      <c r="J384" s="4"/>
    </row>
    <row r="385">
      <c r="J385" s="4"/>
    </row>
    <row r="386">
      <c r="J386" s="4"/>
    </row>
    <row r="387">
      <c r="J387" s="4"/>
    </row>
    <row r="388">
      <c r="J388" s="4"/>
    </row>
    <row r="389">
      <c r="J389" s="4"/>
    </row>
    <row r="390">
      <c r="J390" s="4"/>
    </row>
    <row r="391">
      <c r="J391" s="4"/>
    </row>
    <row r="392">
      <c r="J392" s="4"/>
    </row>
    <row r="393">
      <c r="J393" s="4"/>
    </row>
    <row r="394">
      <c r="J394" s="4"/>
    </row>
    <row r="395">
      <c r="J395" s="4"/>
    </row>
    <row r="396">
      <c r="J396" s="4"/>
    </row>
    <row r="397">
      <c r="J397" s="4"/>
    </row>
    <row r="398">
      <c r="J398" s="4"/>
    </row>
    <row r="399">
      <c r="J399" s="4"/>
    </row>
    <row r="400">
      <c r="J400" s="4"/>
    </row>
    <row r="401">
      <c r="J401" s="4"/>
    </row>
    <row r="402">
      <c r="J402" s="4"/>
    </row>
    <row r="403">
      <c r="J403" s="4"/>
    </row>
    <row r="404">
      <c r="J404" s="4"/>
    </row>
    <row r="405">
      <c r="J405" s="4"/>
    </row>
    <row r="406">
      <c r="J406" s="4"/>
    </row>
    <row r="407">
      <c r="J407" s="4"/>
    </row>
    <row r="408">
      <c r="J408" s="4"/>
    </row>
    <row r="409">
      <c r="J409" s="4"/>
    </row>
    <row r="410">
      <c r="J410" s="4"/>
    </row>
    <row r="411">
      <c r="J411" s="4"/>
    </row>
    <row r="412">
      <c r="J412" s="4"/>
    </row>
    <row r="413">
      <c r="J413" s="4"/>
    </row>
    <row r="414">
      <c r="J414" s="4"/>
    </row>
    <row r="415">
      <c r="J415" s="4"/>
    </row>
    <row r="416">
      <c r="J416" s="4"/>
    </row>
    <row r="417">
      <c r="J417" s="4"/>
    </row>
    <row r="418">
      <c r="J418" s="4"/>
    </row>
    <row r="419">
      <c r="J419" s="4"/>
    </row>
    <row r="420">
      <c r="J420" s="4"/>
    </row>
    <row r="421">
      <c r="J421" s="4"/>
    </row>
    <row r="422">
      <c r="J422" s="4"/>
    </row>
    <row r="423">
      <c r="J423" s="4"/>
    </row>
    <row r="424">
      <c r="J424" s="4"/>
    </row>
    <row r="425">
      <c r="J425" s="4"/>
    </row>
    <row r="426">
      <c r="J426" s="4"/>
    </row>
    <row r="427">
      <c r="J427" s="4"/>
    </row>
    <row r="428">
      <c r="J428" s="4"/>
    </row>
    <row r="429">
      <c r="J429" s="4"/>
    </row>
    <row r="430">
      <c r="J430" s="4"/>
    </row>
    <row r="431">
      <c r="J431" s="4"/>
    </row>
    <row r="432">
      <c r="J432" s="4"/>
    </row>
    <row r="433">
      <c r="J433" s="4"/>
    </row>
    <row r="434">
      <c r="J434" s="4"/>
    </row>
    <row r="435">
      <c r="J435" s="4"/>
    </row>
    <row r="436">
      <c r="J436" s="4"/>
    </row>
    <row r="437">
      <c r="J437" s="4"/>
    </row>
    <row r="438">
      <c r="J438" s="4"/>
    </row>
    <row r="439">
      <c r="J439" s="4"/>
    </row>
    <row r="440">
      <c r="J440" s="4"/>
    </row>
    <row r="441">
      <c r="J441" s="4"/>
    </row>
    <row r="442">
      <c r="J442" s="4"/>
    </row>
    <row r="443">
      <c r="J443" s="4"/>
    </row>
    <row r="444">
      <c r="J444" s="4"/>
    </row>
    <row r="445">
      <c r="J445" s="4"/>
    </row>
    <row r="446">
      <c r="J446" s="4"/>
    </row>
    <row r="447">
      <c r="J447" s="4"/>
    </row>
    <row r="448">
      <c r="J448" s="4"/>
    </row>
    <row r="449">
      <c r="J449" s="4"/>
    </row>
    <row r="450">
      <c r="J450" s="4"/>
    </row>
    <row r="451">
      <c r="J451" s="4"/>
    </row>
    <row r="452">
      <c r="J452" s="4"/>
    </row>
    <row r="453">
      <c r="J453" s="4"/>
    </row>
    <row r="454">
      <c r="J454" s="4"/>
    </row>
    <row r="455">
      <c r="J455" s="4"/>
    </row>
    <row r="456">
      <c r="J456" s="4"/>
    </row>
    <row r="457">
      <c r="J457" s="4"/>
    </row>
    <row r="458">
      <c r="J458" s="4"/>
    </row>
    <row r="459">
      <c r="J459" s="4"/>
    </row>
    <row r="460">
      <c r="J460" s="4"/>
    </row>
    <row r="461">
      <c r="J461" s="4"/>
    </row>
    <row r="462">
      <c r="J462" s="4"/>
    </row>
    <row r="463">
      <c r="J463" s="4"/>
    </row>
    <row r="464">
      <c r="J464" s="4"/>
    </row>
    <row r="465">
      <c r="J465" s="4"/>
    </row>
    <row r="466">
      <c r="J466" s="4"/>
    </row>
    <row r="467">
      <c r="J467" s="4"/>
    </row>
    <row r="468">
      <c r="J468" s="4"/>
    </row>
    <row r="469">
      <c r="J469" s="4"/>
    </row>
    <row r="470">
      <c r="J470" s="4"/>
    </row>
    <row r="471">
      <c r="J471" s="4"/>
    </row>
    <row r="472">
      <c r="J472" s="4"/>
    </row>
    <row r="473">
      <c r="J473" s="4"/>
    </row>
    <row r="474">
      <c r="J474" s="4"/>
    </row>
    <row r="475">
      <c r="J475" s="4"/>
    </row>
    <row r="476">
      <c r="J476" s="4"/>
    </row>
    <row r="477">
      <c r="J477" s="4"/>
    </row>
    <row r="478">
      <c r="J478" s="4"/>
    </row>
    <row r="479">
      <c r="J479" s="4"/>
    </row>
    <row r="480">
      <c r="J480" s="4"/>
    </row>
    <row r="481">
      <c r="J481" s="4"/>
    </row>
    <row r="482">
      <c r="J482" s="4"/>
    </row>
    <row r="483">
      <c r="J483" s="4"/>
    </row>
    <row r="484">
      <c r="J484" s="4"/>
    </row>
    <row r="485">
      <c r="J485" s="4"/>
    </row>
    <row r="486">
      <c r="J486" s="4"/>
    </row>
    <row r="487">
      <c r="J487" s="4"/>
    </row>
    <row r="488">
      <c r="J488" s="4"/>
    </row>
    <row r="489">
      <c r="J489" s="4"/>
    </row>
    <row r="490">
      <c r="J490" s="4"/>
    </row>
    <row r="491">
      <c r="J491" s="4"/>
    </row>
    <row r="492">
      <c r="J492" s="4"/>
    </row>
    <row r="493">
      <c r="J493" s="4"/>
    </row>
    <row r="494">
      <c r="J494" s="4"/>
    </row>
    <row r="495">
      <c r="J495" s="4"/>
    </row>
    <row r="496">
      <c r="J496" s="4"/>
    </row>
    <row r="497">
      <c r="J497" s="4"/>
    </row>
    <row r="498">
      <c r="J498" s="4"/>
    </row>
    <row r="499">
      <c r="J499" s="4"/>
    </row>
    <row r="500">
      <c r="J500" s="4"/>
    </row>
    <row r="501">
      <c r="J501" s="4"/>
    </row>
    <row r="502">
      <c r="J502" s="4"/>
    </row>
    <row r="503">
      <c r="J503" s="4"/>
    </row>
    <row r="504">
      <c r="J504" s="4"/>
    </row>
    <row r="505">
      <c r="J505" s="4"/>
    </row>
    <row r="506">
      <c r="J506" s="4"/>
    </row>
    <row r="507">
      <c r="J507" s="4"/>
    </row>
    <row r="508">
      <c r="J508" s="4"/>
    </row>
    <row r="509">
      <c r="J509" s="4"/>
    </row>
    <row r="510">
      <c r="J510" s="4"/>
    </row>
    <row r="511">
      <c r="J511" s="4"/>
    </row>
    <row r="512">
      <c r="J512" s="4"/>
    </row>
    <row r="513">
      <c r="J513" s="4"/>
    </row>
    <row r="514">
      <c r="J514" s="4"/>
    </row>
    <row r="515">
      <c r="J515" s="4"/>
    </row>
    <row r="516">
      <c r="J516" s="4"/>
    </row>
    <row r="517">
      <c r="J517" s="4"/>
    </row>
    <row r="518">
      <c r="J518" s="4"/>
    </row>
    <row r="519">
      <c r="J519" s="4"/>
    </row>
    <row r="520">
      <c r="J520" s="4"/>
    </row>
    <row r="521">
      <c r="J521" s="4"/>
    </row>
    <row r="522">
      <c r="J522" s="4"/>
    </row>
    <row r="523">
      <c r="J523" s="4"/>
    </row>
    <row r="524">
      <c r="J524" s="4"/>
    </row>
    <row r="525">
      <c r="J525" s="4"/>
    </row>
    <row r="526">
      <c r="J526" s="4"/>
    </row>
    <row r="527">
      <c r="J527" s="4"/>
    </row>
    <row r="528">
      <c r="J528" s="4"/>
    </row>
    <row r="529">
      <c r="J529" s="4"/>
    </row>
    <row r="530">
      <c r="J530" s="4"/>
    </row>
    <row r="531">
      <c r="J531" s="4"/>
    </row>
    <row r="532">
      <c r="J532" s="4"/>
    </row>
    <row r="533">
      <c r="J533" s="4"/>
    </row>
    <row r="534">
      <c r="J534" s="4"/>
    </row>
    <row r="535">
      <c r="J535" s="4"/>
    </row>
    <row r="536">
      <c r="J536" s="4"/>
    </row>
    <row r="537">
      <c r="J537" s="4"/>
    </row>
    <row r="538">
      <c r="J538" s="4"/>
    </row>
    <row r="539">
      <c r="J539" s="4"/>
    </row>
    <row r="540">
      <c r="J540" s="4"/>
    </row>
    <row r="541">
      <c r="J541" s="4"/>
    </row>
    <row r="542">
      <c r="J542" s="4"/>
    </row>
    <row r="543">
      <c r="J543" s="4"/>
    </row>
    <row r="544">
      <c r="J544" s="4"/>
    </row>
    <row r="545">
      <c r="J545" s="4"/>
    </row>
    <row r="546">
      <c r="J546" s="4"/>
    </row>
    <row r="547">
      <c r="J547" s="4"/>
    </row>
    <row r="548">
      <c r="J548" s="4"/>
    </row>
    <row r="549">
      <c r="J549" s="4"/>
    </row>
    <row r="550">
      <c r="J550" s="4"/>
    </row>
    <row r="551">
      <c r="J551" s="4"/>
    </row>
    <row r="552">
      <c r="J552" s="4"/>
    </row>
    <row r="553">
      <c r="J553" s="4"/>
    </row>
    <row r="554">
      <c r="J554" s="4"/>
    </row>
    <row r="555">
      <c r="J555" s="4"/>
    </row>
    <row r="556">
      <c r="J556" s="4"/>
    </row>
    <row r="557">
      <c r="J557" s="4"/>
    </row>
    <row r="558">
      <c r="J558" s="4"/>
    </row>
    <row r="559">
      <c r="J559" s="4"/>
    </row>
    <row r="560">
      <c r="J560" s="4"/>
    </row>
    <row r="561">
      <c r="J561" s="4"/>
    </row>
    <row r="562">
      <c r="J562" s="4"/>
    </row>
    <row r="563">
      <c r="J563" s="4"/>
    </row>
    <row r="564">
      <c r="J564" s="4"/>
    </row>
    <row r="565">
      <c r="J565" s="4"/>
    </row>
    <row r="566">
      <c r="J566" s="4"/>
    </row>
    <row r="567">
      <c r="J567" s="4"/>
    </row>
    <row r="568">
      <c r="J568" s="4"/>
    </row>
    <row r="569">
      <c r="J569" s="4"/>
    </row>
    <row r="570">
      <c r="J570" s="4"/>
    </row>
    <row r="571">
      <c r="J571" s="4"/>
    </row>
    <row r="572">
      <c r="J572" s="4"/>
    </row>
    <row r="573">
      <c r="J573" s="4"/>
    </row>
    <row r="574">
      <c r="J574" s="4"/>
    </row>
    <row r="575">
      <c r="J575" s="4"/>
    </row>
    <row r="576">
      <c r="J576" s="4"/>
    </row>
    <row r="577">
      <c r="J577" s="4"/>
    </row>
    <row r="578">
      <c r="J578" s="4"/>
    </row>
    <row r="579">
      <c r="J579" s="4"/>
    </row>
    <row r="580">
      <c r="J580" s="4"/>
    </row>
    <row r="581">
      <c r="J581" s="4"/>
    </row>
    <row r="582">
      <c r="J582" s="4"/>
    </row>
    <row r="583">
      <c r="J583" s="4"/>
    </row>
    <row r="584">
      <c r="J584" s="4"/>
    </row>
    <row r="585">
      <c r="J585" s="4"/>
    </row>
    <row r="586">
      <c r="J586" s="4"/>
    </row>
    <row r="587">
      <c r="J587" s="4"/>
    </row>
    <row r="588">
      <c r="J588" s="4"/>
    </row>
    <row r="589">
      <c r="J589" s="4"/>
    </row>
    <row r="590">
      <c r="J590" s="4"/>
    </row>
    <row r="591">
      <c r="J591" s="4"/>
    </row>
    <row r="592">
      <c r="J592" s="4"/>
    </row>
    <row r="593">
      <c r="J593" s="4"/>
    </row>
    <row r="594">
      <c r="J594" s="4"/>
    </row>
    <row r="595">
      <c r="J595" s="4"/>
    </row>
    <row r="596">
      <c r="J596" s="4"/>
    </row>
    <row r="597">
      <c r="J597" s="4"/>
    </row>
    <row r="598">
      <c r="J598" s="4"/>
    </row>
    <row r="599">
      <c r="J599" s="4"/>
    </row>
    <row r="600">
      <c r="J600" s="4"/>
    </row>
    <row r="601">
      <c r="J601" s="4"/>
    </row>
    <row r="602">
      <c r="J602" s="4"/>
    </row>
    <row r="603">
      <c r="J603" s="4"/>
    </row>
    <row r="604">
      <c r="J604" s="4"/>
    </row>
    <row r="605">
      <c r="J605" s="4"/>
    </row>
    <row r="606">
      <c r="J606" s="4"/>
    </row>
    <row r="607">
      <c r="J607" s="4"/>
    </row>
    <row r="608">
      <c r="J608" s="4"/>
    </row>
    <row r="609">
      <c r="J609" s="4"/>
    </row>
    <row r="610">
      <c r="J610" s="4"/>
    </row>
    <row r="611">
      <c r="J611" s="4"/>
    </row>
    <row r="612">
      <c r="J612" s="4"/>
    </row>
    <row r="613">
      <c r="J613" s="4"/>
    </row>
    <row r="614">
      <c r="J614" s="4"/>
    </row>
    <row r="615">
      <c r="J615" s="4"/>
    </row>
    <row r="616">
      <c r="J616" s="4"/>
    </row>
    <row r="617">
      <c r="J617" s="4"/>
    </row>
    <row r="618">
      <c r="J618" s="4"/>
    </row>
    <row r="619">
      <c r="J619" s="4"/>
    </row>
    <row r="620">
      <c r="J620" s="4"/>
    </row>
    <row r="621">
      <c r="J621" s="4"/>
    </row>
    <row r="622">
      <c r="J622" s="4"/>
    </row>
    <row r="623">
      <c r="J623" s="4"/>
    </row>
    <row r="624">
      <c r="J624" s="4"/>
    </row>
    <row r="625">
      <c r="J625" s="4"/>
    </row>
    <row r="626">
      <c r="J626" s="4"/>
    </row>
    <row r="627">
      <c r="J627" s="4"/>
    </row>
    <row r="628">
      <c r="J628" s="4"/>
    </row>
    <row r="629">
      <c r="J629" s="4"/>
    </row>
    <row r="630">
      <c r="J630" s="4"/>
    </row>
    <row r="631">
      <c r="J631" s="4"/>
    </row>
    <row r="632">
      <c r="J632" s="4"/>
    </row>
    <row r="633">
      <c r="J633" s="4"/>
    </row>
    <row r="634">
      <c r="J634" s="4"/>
    </row>
    <row r="635">
      <c r="J635" s="4"/>
    </row>
    <row r="636">
      <c r="J636" s="4"/>
    </row>
    <row r="637">
      <c r="J637" s="4"/>
    </row>
    <row r="638">
      <c r="J638" s="4"/>
    </row>
    <row r="639">
      <c r="J639" s="4"/>
    </row>
    <row r="640">
      <c r="J640" s="4"/>
    </row>
    <row r="641">
      <c r="J641" s="4"/>
    </row>
    <row r="642">
      <c r="J642" s="4"/>
    </row>
    <row r="643">
      <c r="J643" s="4"/>
    </row>
    <row r="644">
      <c r="J644" s="4"/>
    </row>
    <row r="645">
      <c r="J645" s="4"/>
    </row>
    <row r="646">
      <c r="J646" s="4"/>
    </row>
    <row r="647">
      <c r="J647" s="4"/>
    </row>
    <row r="648">
      <c r="J648" s="4"/>
    </row>
    <row r="649">
      <c r="J649" s="4"/>
    </row>
    <row r="650">
      <c r="J650" s="4"/>
    </row>
    <row r="651">
      <c r="J651" s="4"/>
    </row>
    <row r="652">
      <c r="J652" s="4"/>
    </row>
    <row r="653">
      <c r="J653" s="4"/>
    </row>
    <row r="654">
      <c r="J654" s="4"/>
    </row>
    <row r="655">
      <c r="J655" s="4"/>
    </row>
    <row r="656">
      <c r="J656" s="4"/>
    </row>
    <row r="657">
      <c r="J657" s="4"/>
    </row>
    <row r="658">
      <c r="J658" s="4"/>
    </row>
    <row r="659">
      <c r="J659" s="4"/>
    </row>
    <row r="660">
      <c r="J660" s="4"/>
    </row>
    <row r="661">
      <c r="J661" s="4"/>
    </row>
    <row r="662">
      <c r="J662" s="4"/>
    </row>
    <row r="663">
      <c r="J663" s="4"/>
    </row>
    <row r="664">
      <c r="J664" s="4"/>
    </row>
    <row r="665">
      <c r="J665" s="4"/>
    </row>
    <row r="666">
      <c r="J666" s="4"/>
    </row>
    <row r="667">
      <c r="J667" s="4"/>
    </row>
    <row r="668">
      <c r="J668" s="4"/>
    </row>
    <row r="669">
      <c r="J669" s="4"/>
    </row>
    <row r="670">
      <c r="J670" s="4"/>
    </row>
    <row r="671">
      <c r="J671" s="4"/>
    </row>
    <row r="672">
      <c r="J672" s="4"/>
    </row>
    <row r="673">
      <c r="J673" s="4"/>
    </row>
    <row r="674">
      <c r="J674" s="4"/>
    </row>
    <row r="675">
      <c r="J675" s="4"/>
    </row>
    <row r="676">
      <c r="J676" s="4"/>
    </row>
    <row r="677">
      <c r="J677" s="4"/>
    </row>
    <row r="678">
      <c r="J678" s="4"/>
    </row>
    <row r="679">
      <c r="J679" s="4"/>
    </row>
    <row r="680">
      <c r="J680" s="4"/>
    </row>
    <row r="681">
      <c r="J681" s="4"/>
    </row>
    <row r="682">
      <c r="J682" s="4"/>
    </row>
    <row r="683">
      <c r="J683" s="4"/>
    </row>
    <row r="684">
      <c r="J684" s="4"/>
    </row>
    <row r="685">
      <c r="J685" s="4"/>
    </row>
    <row r="686">
      <c r="J686" s="4"/>
    </row>
    <row r="687">
      <c r="J687" s="4"/>
    </row>
    <row r="688">
      <c r="J688" s="4"/>
    </row>
    <row r="689">
      <c r="J689" s="4"/>
    </row>
    <row r="690">
      <c r="J690" s="4"/>
    </row>
    <row r="691">
      <c r="J691" s="4"/>
    </row>
    <row r="692">
      <c r="J692" s="4"/>
    </row>
    <row r="693">
      <c r="J693" s="4"/>
    </row>
    <row r="694">
      <c r="J694" s="4"/>
    </row>
    <row r="695">
      <c r="J695" s="4"/>
    </row>
    <row r="696">
      <c r="J696" s="4"/>
    </row>
    <row r="697">
      <c r="J697" s="4"/>
    </row>
    <row r="698">
      <c r="J698" s="4"/>
    </row>
    <row r="699">
      <c r="J699" s="4"/>
    </row>
    <row r="700">
      <c r="J700" s="4"/>
    </row>
    <row r="701">
      <c r="J701" s="4"/>
    </row>
    <row r="702">
      <c r="J702" s="4"/>
    </row>
    <row r="703">
      <c r="J703" s="4"/>
    </row>
    <row r="704">
      <c r="J704" s="4"/>
    </row>
    <row r="705">
      <c r="J705" s="4"/>
    </row>
    <row r="706">
      <c r="J706" s="4"/>
    </row>
    <row r="707">
      <c r="J707" s="4"/>
    </row>
    <row r="708">
      <c r="J708" s="4"/>
    </row>
    <row r="709">
      <c r="J709" s="4"/>
    </row>
    <row r="710">
      <c r="J710" s="4"/>
    </row>
    <row r="711">
      <c r="J711" s="4"/>
    </row>
    <row r="712">
      <c r="J712" s="4"/>
    </row>
    <row r="713">
      <c r="J713" s="4"/>
    </row>
    <row r="714">
      <c r="J714" s="4"/>
    </row>
    <row r="715">
      <c r="J715" s="4"/>
    </row>
    <row r="716">
      <c r="J716" s="4"/>
    </row>
    <row r="717">
      <c r="J717" s="4"/>
    </row>
    <row r="718">
      <c r="J718" s="4"/>
    </row>
    <row r="719">
      <c r="J719" s="4"/>
    </row>
    <row r="720">
      <c r="J720" s="4"/>
    </row>
    <row r="721">
      <c r="J721" s="4"/>
    </row>
    <row r="722">
      <c r="J722" s="4"/>
    </row>
    <row r="723">
      <c r="J723" s="4"/>
    </row>
    <row r="724">
      <c r="J724" s="4"/>
    </row>
    <row r="725">
      <c r="J725" s="4"/>
    </row>
    <row r="726">
      <c r="J726" s="4"/>
    </row>
    <row r="727">
      <c r="J727" s="4"/>
    </row>
    <row r="728">
      <c r="J728" s="4"/>
    </row>
    <row r="729">
      <c r="J729" s="4"/>
    </row>
    <row r="730">
      <c r="J730" s="4"/>
    </row>
    <row r="731">
      <c r="J731" s="4"/>
    </row>
    <row r="732">
      <c r="J732" s="4"/>
    </row>
    <row r="733">
      <c r="J733" s="4"/>
    </row>
    <row r="734">
      <c r="J734" s="4"/>
    </row>
    <row r="735">
      <c r="J735" s="4"/>
    </row>
    <row r="736">
      <c r="J736" s="4"/>
    </row>
    <row r="737">
      <c r="J737" s="4"/>
    </row>
    <row r="738">
      <c r="J738" s="4"/>
    </row>
    <row r="739">
      <c r="J739" s="4"/>
    </row>
    <row r="740">
      <c r="J740" s="4"/>
    </row>
    <row r="741">
      <c r="J741" s="4"/>
    </row>
    <row r="742">
      <c r="J742" s="4"/>
    </row>
    <row r="743">
      <c r="J743" s="4"/>
    </row>
    <row r="744">
      <c r="J744" s="4"/>
    </row>
    <row r="745">
      <c r="J745" s="4"/>
    </row>
    <row r="746">
      <c r="J746" s="4"/>
    </row>
    <row r="747">
      <c r="J747" s="4"/>
    </row>
    <row r="748">
      <c r="J748" s="4"/>
    </row>
    <row r="749">
      <c r="J749" s="4"/>
    </row>
    <row r="750">
      <c r="J750" s="4"/>
    </row>
    <row r="751">
      <c r="J751" s="4"/>
    </row>
    <row r="752">
      <c r="J752" s="4"/>
    </row>
    <row r="753">
      <c r="J753" s="4"/>
    </row>
    <row r="754">
      <c r="J754" s="4"/>
    </row>
    <row r="755">
      <c r="J755" s="4"/>
    </row>
    <row r="756">
      <c r="J756" s="4"/>
    </row>
    <row r="757">
      <c r="J757" s="4"/>
    </row>
    <row r="758">
      <c r="J758" s="4"/>
    </row>
    <row r="759">
      <c r="J759" s="4"/>
    </row>
    <row r="760">
      <c r="J760" s="4"/>
    </row>
    <row r="761">
      <c r="J761" s="4"/>
    </row>
    <row r="762">
      <c r="J762" s="4"/>
    </row>
    <row r="763">
      <c r="J763" s="4"/>
    </row>
    <row r="764">
      <c r="J764" s="4"/>
    </row>
    <row r="765">
      <c r="J765" s="4"/>
    </row>
    <row r="766">
      <c r="J766" s="4"/>
    </row>
    <row r="767">
      <c r="J767" s="4"/>
    </row>
    <row r="768">
      <c r="J768" s="4"/>
    </row>
    <row r="769">
      <c r="J769" s="4"/>
    </row>
    <row r="770">
      <c r="J770" s="4"/>
    </row>
    <row r="771">
      <c r="J771" s="4"/>
    </row>
    <row r="772">
      <c r="J772" s="4"/>
    </row>
    <row r="773">
      <c r="J773" s="4"/>
    </row>
    <row r="774">
      <c r="J774" s="4"/>
    </row>
    <row r="775">
      <c r="J775" s="4"/>
    </row>
    <row r="776">
      <c r="J776" s="4"/>
    </row>
    <row r="777">
      <c r="J777" s="4"/>
    </row>
    <row r="778">
      <c r="J778" s="4"/>
    </row>
    <row r="779">
      <c r="J779" s="4"/>
    </row>
    <row r="780">
      <c r="J780" s="4"/>
    </row>
    <row r="781">
      <c r="J781" s="4"/>
    </row>
    <row r="782">
      <c r="J782" s="4"/>
    </row>
    <row r="783">
      <c r="J783" s="4"/>
    </row>
    <row r="784">
      <c r="J784" s="4"/>
    </row>
    <row r="785">
      <c r="J785" s="4"/>
    </row>
    <row r="786">
      <c r="J786" s="4"/>
    </row>
    <row r="787">
      <c r="J787" s="4"/>
    </row>
    <row r="788">
      <c r="J788" s="4"/>
    </row>
    <row r="789">
      <c r="J789" s="4"/>
    </row>
    <row r="790">
      <c r="J790" s="4"/>
    </row>
    <row r="791">
      <c r="J791" s="4"/>
    </row>
    <row r="792">
      <c r="J792" s="4"/>
    </row>
    <row r="793">
      <c r="J793" s="4"/>
    </row>
    <row r="794">
      <c r="J794" s="4"/>
    </row>
    <row r="795">
      <c r="J795" s="4"/>
    </row>
    <row r="796">
      <c r="J796" s="4"/>
    </row>
    <row r="797">
      <c r="J797" s="4"/>
    </row>
    <row r="798">
      <c r="J798" s="4"/>
    </row>
    <row r="799">
      <c r="J799" s="4"/>
    </row>
    <row r="800">
      <c r="J800" s="4"/>
    </row>
    <row r="801">
      <c r="J801" s="4"/>
    </row>
    <row r="802">
      <c r="J802" s="4"/>
    </row>
    <row r="803">
      <c r="J803" s="4"/>
    </row>
    <row r="804">
      <c r="J804" s="4"/>
    </row>
    <row r="805">
      <c r="J805" s="4"/>
    </row>
    <row r="806">
      <c r="J806" s="4"/>
    </row>
    <row r="807">
      <c r="J807" s="4"/>
    </row>
    <row r="808">
      <c r="J808" s="4"/>
    </row>
    <row r="809">
      <c r="J809" s="4"/>
    </row>
    <row r="810">
      <c r="J810" s="4"/>
    </row>
    <row r="811">
      <c r="J811" s="4"/>
    </row>
    <row r="812">
      <c r="J812" s="4"/>
    </row>
    <row r="813">
      <c r="J813" s="4"/>
    </row>
    <row r="814">
      <c r="J814" s="4"/>
    </row>
    <row r="815">
      <c r="J815" s="4"/>
    </row>
    <row r="816">
      <c r="J816" s="4"/>
    </row>
    <row r="817">
      <c r="J817" s="4"/>
    </row>
    <row r="818">
      <c r="J818" s="4"/>
    </row>
    <row r="819">
      <c r="J819" s="4"/>
    </row>
    <row r="820">
      <c r="J820" s="4"/>
    </row>
    <row r="821">
      <c r="J821" s="4"/>
    </row>
    <row r="822">
      <c r="J822" s="4"/>
    </row>
    <row r="823">
      <c r="J823" s="4"/>
    </row>
    <row r="824">
      <c r="J824" s="4"/>
    </row>
    <row r="825">
      <c r="J825" s="4"/>
    </row>
    <row r="826">
      <c r="J826" s="4"/>
    </row>
    <row r="827">
      <c r="J827" s="4"/>
    </row>
    <row r="828">
      <c r="J828" s="4"/>
    </row>
    <row r="829">
      <c r="J829" s="4"/>
    </row>
    <row r="830">
      <c r="J830" s="4"/>
    </row>
    <row r="831">
      <c r="J831" s="4"/>
    </row>
    <row r="832">
      <c r="J832" s="4"/>
    </row>
    <row r="833">
      <c r="J833" s="4"/>
    </row>
    <row r="834">
      <c r="J834" s="4"/>
    </row>
    <row r="835">
      <c r="J835" s="4"/>
    </row>
    <row r="836">
      <c r="J836" s="4"/>
    </row>
    <row r="837">
      <c r="J837" s="4"/>
    </row>
    <row r="838">
      <c r="J838" s="4"/>
    </row>
    <row r="839">
      <c r="J839" s="4"/>
    </row>
    <row r="840">
      <c r="J840" s="4"/>
    </row>
    <row r="841">
      <c r="J841" s="4"/>
    </row>
    <row r="842">
      <c r="J842" s="4"/>
    </row>
    <row r="843">
      <c r="J843" s="4"/>
    </row>
    <row r="844">
      <c r="J844" s="4"/>
    </row>
    <row r="845">
      <c r="J845" s="4"/>
    </row>
    <row r="846">
      <c r="J846" s="4"/>
    </row>
    <row r="847">
      <c r="J847" s="4"/>
    </row>
    <row r="848">
      <c r="J848" s="4"/>
    </row>
    <row r="849">
      <c r="J849" s="4"/>
    </row>
    <row r="850">
      <c r="J850" s="4"/>
    </row>
    <row r="851">
      <c r="J851" s="4"/>
    </row>
    <row r="852">
      <c r="J852" s="4"/>
    </row>
    <row r="853">
      <c r="J853" s="4"/>
    </row>
    <row r="854">
      <c r="J854" s="4"/>
    </row>
    <row r="855">
      <c r="J855" s="4"/>
    </row>
    <row r="856">
      <c r="J856" s="4"/>
    </row>
    <row r="857">
      <c r="J857" s="4"/>
    </row>
    <row r="858">
      <c r="J858" s="4"/>
    </row>
    <row r="859">
      <c r="J859" s="4"/>
    </row>
    <row r="860">
      <c r="J860" s="4"/>
    </row>
    <row r="861">
      <c r="J861" s="4"/>
    </row>
    <row r="862">
      <c r="J862" s="4"/>
    </row>
    <row r="863">
      <c r="J863" s="4"/>
    </row>
    <row r="864">
      <c r="J864" s="4"/>
    </row>
    <row r="865">
      <c r="J865" s="4"/>
    </row>
    <row r="866">
      <c r="J866" s="4"/>
    </row>
    <row r="867">
      <c r="J867" s="4"/>
    </row>
    <row r="868">
      <c r="J868" s="4"/>
    </row>
    <row r="869">
      <c r="J869" s="4"/>
    </row>
    <row r="870">
      <c r="J870" s="4"/>
    </row>
    <row r="871">
      <c r="J871" s="4"/>
    </row>
    <row r="872">
      <c r="J872" s="4"/>
    </row>
    <row r="873">
      <c r="J873" s="4"/>
    </row>
    <row r="874">
      <c r="J874" s="4"/>
    </row>
    <row r="875">
      <c r="J875" s="4"/>
    </row>
    <row r="876">
      <c r="J876" s="4"/>
    </row>
    <row r="877">
      <c r="J877" s="4"/>
    </row>
    <row r="878">
      <c r="J878" s="4"/>
    </row>
    <row r="879">
      <c r="J879" s="4"/>
    </row>
    <row r="880">
      <c r="J880" s="4"/>
    </row>
    <row r="881">
      <c r="J881" s="4"/>
    </row>
    <row r="882">
      <c r="J882" s="4"/>
    </row>
    <row r="883">
      <c r="J883" s="4"/>
    </row>
    <row r="884">
      <c r="J884" s="4"/>
    </row>
    <row r="885">
      <c r="J885" s="4"/>
    </row>
    <row r="886">
      <c r="J886" s="4"/>
    </row>
    <row r="887">
      <c r="J887" s="4"/>
    </row>
    <row r="888">
      <c r="J888" s="4"/>
    </row>
    <row r="889">
      <c r="J889" s="4"/>
    </row>
    <row r="890">
      <c r="J890" s="4"/>
    </row>
    <row r="891">
      <c r="J891" s="4"/>
    </row>
    <row r="892">
      <c r="J892" s="4"/>
    </row>
    <row r="893">
      <c r="J893" s="4"/>
    </row>
    <row r="894">
      <c r="J894" s="4"/>
    </row>
    <row r="895">
      <c r="J895" s="4"/>
    </row>
    <row r="896">
      <c r="J896" s="4"/>
    </row>
    <row r="897">
      <c r="J897" s="4"/>
    </row>
    <row r="898">
      <c r="J898" s="4"/>
    </row>
    <row r="899">
      <c r="J899" s="4"/>
    </row>
    <row r="900">
      <c r="J900" s="4"/>
    </row>
    <row r="901">
      <c r="J901" s="4"/>
    </row>
    <row r="902">
      <c r="J902" s="4"/>
    </row>
    <row r="903">
      <c r="J903" s="4"/>
    </row>
    <row r="904">
      <c r="J904" s="4"/>
    </row>
    <row r="905">
      <c r="J905" s="4"/>
    </row>
    <row r="906">
      <c r="J906" s="4"/>
    </row>
    <row r="907">
      <c r="J907" s="4"/>
    </row>
    <row r="908">
      <c r="J908" s="4"/>
    </row>
    <row r="909">
      <c r="J909" s="4"/>
    </row>
    <row r="910">
      <c r="J910" s="4"/>
    </row>
    <row r="911">
      <c r="J911" s="4"/>
    </row>
    <row r="912">
      <c r="J912" s="4"/>
    </row>
    <row r="913">
      <c r="J913" s="4"/>
    </row>
    <row r="914">
      <c r="J914" s="4"/>
    </row>
    <row r="915">
      <c r="J915" s="4"/>
    </row>
    <row r="916">
      <c r="J916" s="4"/>
    </row>
    <row r="917">
      <c r="J917" s="4"/>
    </row>
    <row r="918">
      <c r="J918" s="4"/>
    </row>
    <row r="919">
      <c r="J919" s="4"/>
    </row>
    <row r="920">
      <c r="J920" s="4"/>
    </row>
    <row r="921">
      <c r="J921" s="4"/>
    </row>
    <row r="922">
      <c r="J922" s="4"/>
    </row>
    <row r="923">
      <c r="J923" s="4"/>
    </row>
    <row r="924">
      <c r="J924" s="4"/>
    </row>
    <row r="925">
      <c r="J925" s="4"/>
    </row>
    <row r="926">
      <c r="J926" s="4"/>
    </row>
    <row r="927">
      <c r="J927" s="4"/>
    </row>
    <row r="928">
      <c r="J928" s="4"/>
    </row>
    <row r="929">
      <c r="J929" s="4"/>
    </row>
    <row r="930">
      <c r="J930" s="4"/>
    </row>
    <row r="931">
      <c r="J931" s="4"/>
    </row>
    <row r="932">
      <c r="J932" s="4"/>
    </row>
    <row r="933">
      <c r="J933" s="4"/>
    </row>
    <row r="934">
      <c r="J934" s="4"/>
    </row>
    <row r="935">
      <c r="J935" s="4"/>
    </row>
    <row r="936">
      <c r="J936" s="4"/>
    </row>
    <row r="937">
      <c r="J937" s="4"/>
    </row>
    <row r="938">
      <c r="J938" s="4"/>
    </row>
    <row r="939">
      <c r="J939" s="4"/>
    </row>
    <row r="940">
      <c r="J940" s="4"/>
    </row>
    <row r="941">
      <c r="J941" s="4"/>
    </row>
    <row r="942">
      <c r="J942" s="4"/>
    </row>
    <row r="943">
      <c r="J943" s="4"/>
    </row>
    <row r="944">
      <c r="J944" s="4"/>
    </row>
    <row r="945">
      <c r="J945" s="4"/>
    </row>
    <row r="946">
      <c r="J946" s="4"/>
    </row>
    <row r="947">
      <c r="J947" s="4"/>
    </row>
    <row r="948">
      <c r="J948" s="4"/>
    </row>
    <row r="949">
      <c r="J949" s="4"/>
    </row>
    <row r="950">
      <c r="J950" s="4"/>
    </row>
    <row r="951">
      <c r="J951" s="4"/>
    </row>
    <row r="952">
      <c r="J952" s="4"/>
    </row>
    <row r="953">
      <c r="J953" s="4"/>
    </row>
    <row r="954">
      <c r="J954" s="4"/>
    </row>
    <row r="955">
      <c r="J955" s="4"/>
    </row>
    <row r="956">
      <c r="J956" s="4"/>
    </row>
    <row r="957">
      <c r="J957" s="4"/>
    </row>
    <row r="958">
      <c r="J958" s="4"/>
    </row>
    <row r="959">
      <c r="J959" s="4"/>
    </row>
    <row r="960">
      <c r="J960" s="4"/>
    </row>
    <row r="961">
      <c r="J961" s="4"/>
    </row>
    <row r="962">
      <c r="J962" s="4"/>
    </row>
    <row r="963">
      <c r="J963" s="4"/>
    </row>
    <row r="964">
      <c r="J964" s="4"/>
    </row>
    <row r="965">
      <c r="J965" s="4"/>
    </row>
    <row r="966">
      <c r="J966" s="4"/>
    </row>
    <row r="967">
      <c r="J967" s="4"/>
    </row>
    <row r="968">
      <c r="J968" s="4"/>
    </row>
    <row r="969">
      <c r="J969" s="4"/>
    </row>
    <row r="970">
      <c r="J970" s="4"/>
    </row>
    <row r="971">
      <c r="J971" s="4"/>
    </row>
    <row r="972">
      <c r="J972" s="4"/>
    </row>
    <row r="973">
      <c r="J973" s="4"/>
    </row>
    <row r="974">
      <c r="J974" s="4"/>
    </row>
    <row r="975">
      <c r="J975" s="4"/>
    </row>
    <row r="976">
      <c r="J976" s="4"/>
    </row>
    <row r="977">
      <c r="J977" s="4"/>
    </row>
    <row r="978">
      <c r="J978" s="4"/>
    </row>
    <row r="979">
      <c r="J979" s="4"/>
    </row>
    <row r="980">
      <c r="J980" s="4"/>
    </row>
    <row r="981">
      <c r="J981" s="4"/>
    </row>
    <row r="982">
      <c r="J982" s="4"/>
    </row>
    <row r="983">
      <c r="J983" s="4"/>
    </row>
    <row r="984">
      <c r="J984" s="4"/>
    </row>
    <row r="985">
      <c r="J985" s="4"/>
    </row>
    <row r="986">
      <c r="J986" s="4"/>
    </row>
    <row r="987">
      <c r="J987" s="4"/>
    </row>
    <row r="988">
      <c r="J988" s="4"/>
    </row>
    <row r="989">
      <c r="J989" s="4"/>
    </row>
    <row r="990">
      <c r="J990" s="4"/>
    </row>
    <row r="991">
      <c r="J991" s="4"/>
    </row>
    <row r="992">
      <c r="J992" s="4"/>
    </row>
    <row r="993">
      <c r="J993" s="4"/>
    </row>
    <row r="994">
      <c r="J994" s="4"/>
    </row>
    <row r="995">
      <c r="J995" s="4"/>
    </row>
    <row r="996">
      <c r="J996" s="4"/>
    </row>
    <row r="997">
      <c r="J997" s="4"/>
    </row>
    <row r="998">
      <c r="J998" s="4"/>
    </row>
    <row r="999">
      <c r="J999" s="4"/>
    </row>
    <row r="1000">
      <c r="J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1</v>
      </c>
      <c r="C1" s="1" t="s">
        <v>2</v>
      </c>
      <c r="D1" s="1" t="s">
        <v>3</v>
      </c>
      <c r="E1" s="1" t="s">
        <v>4</v>
      </c>
      <c r="F1" s="1" t="s">
        <v>11003</v>
      </c>
      <c r="G1" s="2" t="s">
        <v>6</v>
      </c>
      <c r="H1" s="1" t="s">
        <v>7</v>
      </c>
      <c r="I1" s="1" t="s">
        <v>8</v>
      </c>
      <c r="J1" s="1" t="s">
        <v>9</v>
      </c>
      <c r="K1" s="1" t="s">
        <v>10</v>
      </c>
      <c r="L1" s="1" t="s">
        <v>11</v>
      </c>
      <c r="M1" s="3">
        <f>Sum(G:G)</f>
        <v>4.75</v>
      </c>
      <c r="N1" s="4">
        <f>sum(L:L)</f>
        <v>53</v>
      </c>
      <c r="O1" s="3">
        <f>M1/N1</f>
        <v>0.08962264151</v>
      </c>
      <c r="P1" s="3"/>
      <c r="Q1" s="4"/>
      <c r="R1" s="4"/>
      <c r="S1" s="4"/>
      <c r="T1" s="4"/>
      <c r="U1" s="4"/>
      <c r="V1" s="4"/>
      <c r="W1" s="4"/>
      <c r="X1" s="4"/>
      <c r="Y1" s="4"/>
    </row>
    <row r="2">
      <c r="A2" s="6" t="s">
        <v>7209</v>
      </c>
      <c r="B2" s="6" t="s">
        <v>7210</v>
      </c>
      <c r="C2" s="6" t="s">
        <v>23</v>
      </c>
      <c r="D2" s="6" t="s">
        <v>7211</v>
      </c>
      <c r="F2" s="6" t="s">
        <v>51</v>
      </c>
      <c r="G2" s="7">
        <v>0.45</v>
      </c>
      <c r="H2" s="6" t="s">
        <v>7213</v>
      </c>
      <c r="I2" s="6" t="s">
        <v>55</v>
      </c>
      <c r="J2" s="6">
        <v>2020.0</v>
      </c>
      <c r="L2" s="6">
        <v>1.0</v>
      </c>
      <c r="M2" s="8">
        <f t="shared" ref="M2:M54" si="1">L2*G2</f>
        <v>0.45</v>
      </c>
      <c r="N2" s="6" t="s">
        <v>518</v>
      </c>
    </row>
    <row r="3">
      <c r="A3" s="6" t="s">
        <v>2764</v>
      </c>
      <c r="B3" s="6" t="s">
        <v>62</v>
      </c>
      <c r="C3" s="6" t="s">
        <v>23</v>
      </c>
      <c r="D3" s="6" t="s">
        <v>2765</v>
      </c>
      <c r="E3" s="6" t="s">
        <v>149</v>
      </c>
      <c r="F3" s="6" t="s">
        <v>18</v>
      </c>
      <c r="G3" s="7">
        <v>0.43</v>
      </c>
      <c r="H3" s="6" t="s">
        <v>224</v>
      </c>
      <c r="I3" s="6" t="s">
        <v>55</v>
      </c>
      <c r="J3" s="6">
        <v>2020.0</v>
      </c>
      <c r="L3" s="6">
        <v>1.0</v>
      </c>
      <c r="M3" s="8">
        <f t="shared" si="1"/>
        <v>0.43</v>
      </c>
      <c r="N3" s="6" t="s">
        <v>518</v>
      </c>
    </row>
    <row r="4">
      <c r="A4" s="6" t="s">
        <v>9507</v>
      </c>
      <c r="B4" s="6" t="s">
        <v>202</v>
      </c>
      <c r="C4" s="6" t="s">
        <v>41</v>
      </c>
      <c r="D4" s="6" t="s">
        <v>9508</v>
      </c>
      <c r="E4" s="6" t="s">
        <v>5713</v>
      </c>
      <c r="F4" s="6" t="s">
        <v>426</v>
      </c>
      <c r="G4" s="7">
        <v>0.25</v>
      </c>
      <c r="H4" s="6" t="s">
        <v>9509</v>
      </c>
      <c r="I4" s="6" t="s">
        <v>20</v>
      </c>
      <c r="J4" s="6">
        <v>2021.0</v>
      </c>
      <c r="L4" s="6">
        <v>1.0</v>
      </c>
      <c r="M4" s="8">
        <f t="shared" si="1"/>
        <v>0.25</v>
      </c>
      <c r="N4" s="6" t="s">
        <v>518</v>
      </c>
    </row>
    <row r="5">
      <c r="A5" s="6" t="s">
        <v>9381</v>
      </c>
      <c r="B5" s="6" t="s">
        <v>62</v>
      </c>
      <c r="C5" s="6" t="s">
        <v>48</v>
      </c>
      <c r="D5" s="6" t="s">
        <v>9382</v>
      </c>
      <c r="E5" s="6" t="s">
        <v>9383</v>
      </c>
      <c r="F5" s="6" t="s">
        <v>5259</v>
      </c>
      <c r="G5" s="7">
        <v>0.09</v>
      </c>
      <c r="H5" s="6" t="s">
        <v>129</v>
      </c>
      <c r="I5" s="6" t="s">
        <v>20</v>
      </c>
      <c r="J5" s="6">
        <v>2014.0</v>
      </c>
      <c r="L5" s="6">
        <v>1.0</v>
      </c>
      <c r="M5" s="8">
        <f t="shared" si="1"/>
        <v>0.09</v>
      </c>
      <c r="N5" s="6" t="s">
        <v>518</v>
      </c>
    </row>
    <row r="6">
      <c r="A6" s="6" t="s">
        <v>5222</v>
      </c>
      <c r="B6" s="6" t="s">
        <v>677</v>
      </c>
      <c r="C6" s="6" t="s">
        <v>23</v>
      </c>
      <c r="D6" s="6" t="s">
        <v>5223</v>
      </c>
      <c r="E6" s="6" t="s">
        <v>573</v>
      </c>
      <c r="F6" s="6" t="s">
        <v>51</v>
      </c>
      <c r="G6" s="7">
        <v>0.03</v>
      </c>
      <c r="H6" s="6" t="s">
        <v>1084</v>
      </c>
      <c r="I6" s="6" t="s">
        <v>20</v>
      </c>
      <c r="J6" s="6">
        <v>2018.0</v>
      </c>
      <c r="K6" s="10">
        <v>46084.0</v>
      </c>
      <c r="L6" s="6">
        <v>1.0</v>
      </c>
      <c r="M6" s="8">
        <f t="shared" si="1"/>
        <v>0.03</v>
      </c>
      <c r="N6" s="6" t="s">
        <v>518</v>
      </c>
    </row>
    <row r="7">
      <c r="A7" s="6" t="s">
        <v>10049</v>
      </c>
      <c r="B7" s="6" t="s">
        <v>372</v>
      </c>
      <c r="C7" s="6" t="s">
        <v>23</v>
      </c>
      <c r="D7" s="6" t="s">
        <v>10050</v>
      </c>
      <c r="E7" s="6" t="s">
        <v>223</v>
      </c>
      <c r="F7" s="6" t="s">
        <v>159</v>
      </c>
      <c r="G7" s="7">
        <v>0.03</v>
      </c>
      <c r="H7" s="6" t="s">
        <v>1084</v>
      </c>
      <c r="I7" s="6" t="s">
        <v>20</v>
      </c>
      <c r="J7" s="6">
        <v>2018.0</v>
      </c>
      <c r="L7" s="6">
        <v>1.0</v>
      </c>
      <c r="M7" s="8">
        <f t="shared" si="1"/>
        <v>0.03</v>
      </c>
      <c r="N7" s="6" t="s">
        <v>518</v>
      </c>
    </row>
    <row r="8">
      <c r="A8" s="6" t="s">
        <v>1789</v>
      </c>
      <c r="B8" s="6" t="s">
        <v>1790</v>
      </c>
      <c r="C8" s="6" t="s">
        <v>48</v>
      </c>
      <c r="D8" s="6" t="s">
        <v>1791</v>
      </c>
      <c r="E8" s="6" t="s">
        <v>1792</v>
      </c>
      <c r="F8" s="6" t="s">
        <v>426</v>
      </c>
      <c r="G8" s="7">
        <v>0.09</v>
      </c>
      <c r="H8" s="6" t="s">
        <v>185</v>
      </c>
      <c r="I8" s="6" t="s">
        <v>20</v>
      </c>
      <c r="J8" s="6">
        <v>2019.0</v>
      </c>
      <c r="L8" s="6">
        <v>1.0</v>
      </c>
      <c r="M8" s="8">
        <f t="shared" si="1"/>
        <v>0.09</v>
      </c>
      <c r="N8" s="6" t="s">
        <v>518</v>
      </c>
    </row>
    <row r="9">
      <c r="A9" s="6" t="s">
        <v>3406</v>
      </c>
      <c r="B9" s="6" t="s">
        <v>3407</v>
      </c>
      <c r="C9" s="6" t="s">
        <v>23</v>
      </c>
      <c r="D9" s="6" t="s">
        <v>3408</v>
      </c>
      <c r="E9" s="6" t="s">
        <v>118</v>
      </c>
      <c r="F9" s="6" t="s">
        <v>51</v>
      </c>
      <c r="G9" s="7">
        <v>0.06</v>
      </c>
      <c r="H9" s="6" t="s">
        <v>565</v>
      </c>
      <c r="I9" s="6" t="s">
        <v>20</v>
      </c>
      <c r="J9" s="6">
        <v>2021.0</v>
      </c>
      <c r="K9" s="10">
        <v>46023.0</v>
      </c>
      <c r="L9" s="6">
        <v>1.0</v>
      </c>
      <c r="M9" s="8">
        <f t="shared" si="1"/>
        <v>0.06</v>
      </c>
      <c r="N9" s="6" t="s">
        <v>518</v>
      </c>
    </row>
    <row r="10">
      <c r="A10" s="6" t="s">
        <v>1204</v>
      </c>
      <c r="B10" s="6" t="s">
        <v>139</v>
      </c>
      <c r="C10" s="6" t="s">
        <v>23</v>
      </c>
      <c r="D10" s="6" t="s">
        <v>1205</v>
      </c>
      <c r="E10" s="6" t="s">
        <v>118</v>
      </c>
      <c r="F10" s="6" t="s">
        <v>51</v>
      </c>
      <c r="G10" s="7">
        <v>0.09</v>
      </c>
      <c r="H10" s="6" t="s">
        <v>565</v>
      </c>
      <c r="I10" s="6" t="s">
        <v>20</v>
      </c>
      <c r="J10" s="6">
        <v>2021.0</v>
      </c>
      <c r="K10" s="10">
        <v>46055.0</v>
      </c>
      <c r="L10" s="6">
        <v>1.0</v>
      </c>
      <c r="M10" s="8">
        <f t="shared" si="1"/>
        <v>0.09</v>
      </c>
      <c r="N10" s="6" t="s">
        <v>518</v>
      </c>
    </row>
    <row r="11">
      <c r="A11" s="6" t="s">
        <v>2891</v>
      </c>
      <c r="B11" s="6" t="s">
        <v>182</v>
      </c>
      <c r="C11" s="6" t="s">
        <v>48</v>
      </c>
      <c r="D11" s="6" t="s">
        <v>2892</v>
      </c>
      <c r="E11" s="6" t="s">
        <v>235</v>
      </c>
      <c r="F11" s="6" t="s">
        <v>103</v>
      </c>
      <c r="G11" s="7">
        <v>0.08</v>
      </c>
      <c r="H11" s="6" t="s">
        <v>705</v>
      </c>
      <c r="I11" s="6" t="s">
        <v>20</v>
      </c>
      <c r="J11" s="6">
        <v>2015.0</v>
      </c>
      <c r="L11" s="6">
        <v>1.0</v>
      </c>
      <c r="M11" s="8">
        <f t="shared" si="1"/>
        <v>0.08</v>
      </c>
      <c r="N11" s="6" t="s">
        <v>518</v>
      </c>
    </row>
    <row r="12">
      <c r="A12" s="6" t="s">
        <v>8713</v>
      </c>
      <c r="B12" s="6" t="s">
        <v>372</v>
      </c>
      <c r="C12" s="6" t="s">
        <v>23</v>
      </c>
      <c r="D12" s="6" t="s">
        <v>8714</v>
      </c>
      <c r="E12" s="6" t="s">
        <v>248</v>
      </c>
      <c r="F12" s="6" t="s">
        <v>18</v>
      </c>
      <c r="G12" s="7">
        <v>0.03</v>
      </c>
      <c r="H12" s="6" t="s">
        <v>141</v>
      </c>
      <c r="I12" s="6" t="s">
        <v>20</v>
      </c>
      <c r="J12" s="6">
        <v>2019.0</v>
      </c>
      <c r="L12" s="6">
        <v>1.0</v>
      </c>
      <c r="M12" s="8">
        <f t="shared" si="1"/>
        <v>0.03</v>
      </c>
      <c r="N12" s="6" t="s">
        <v>518</v>
      </c>
    </row>
    <row r="13">
      <c r="A13" s="6" t="s">
        <v>5313</v>
      </c>
      <c r="B13" s="6" t="s">
        <v>62</v>
      </c>
      <c r="C13" s="6" t="s">
        <v>48</v>
      </c>
      <c r="D13" s="6" t="s">
        <v>5314</v>
      </c>
      <c r="E13" s="6" t="s">
        <v>149</v>
      </c>
      <c r="F13" s="6" t="s">
        <v>18</v>
      </c>
      <c r="G13" s="7">
        <v>0.06</v>
      </c>
      <c r="H13" s="6" t="s">
        <v>265</v>
      </c>
      <c r="I13" s="6" t="s">
        <v>20</v>
      </c>
      <c r="J13" s="6">
        <v>2017.0</v>
      </c>
      <c r="L13" s="6">
        <v>1.0</v>
      </c>
      <c r="M13" s="8">
        <f t="shared" si="1"/>
        <v>0.06</v>
      </c>
      <c r="N13" s="6" t="s">
        <v>518</v>
      </c>
    </row>
    <row r="14">
      <c r="A14" s="6" t="s">
        <v>10573</v>
      </c>
      <c r="B14" s="6" t="s">
        <v>1926</v>
      </c>
      <c r="C14" s="6" t="s">
        <v>23</v>
      </c>
      <c r="E14" s="6" t="s">
        <v>243</v>
      </c>
      <c r="F14" s="6" t="s">
        <v>37</v>
      </c>
      <c r="G14" s="7">
        <v>0.05</v>
      </c>
      <c r="H14" s="6" t="s">
        <v>93</v>
      </c>
      <c r="I14" s="6" t="s">
        <v>20</v>
      </c>
      <c r="J14" s="6">
        <v>2016.0</v>
      </c>
      <c r="K14" s="10">
        <v>46025.0</v>
      </c>
      <c r="L14" s="6">
        <v>1.0</v>
      </c>
      <c r="M14" s="8">
        <f t="shared" si="1"/>
        <v>0.05</v>
      </c>
      <c r="N14" s="6" t="s">
        <v>518</v>
      </c>
    </row>
    <row r="15">
      <c r="A15" s="6" t="s">
        <v>10007</v>
      </c>
      <c r="B15" s="6" t="s">
        <v>307</v>
      </c>
      <c r="C15" s="6" t="s">
        <v>23</v>
      </c>
      <c r="D15" s="6" t="s">
        <v>10008</v>
      </c>
      <c r="E15" s="6" t="s">
        <v>303</v>
      </c>
      <c r="F15" s="6" t="s">
        <v>37</v>
      </c>
      <c r="G15" s="7">
        <v>0.03</v>
      </c>
      <c r="H15" s="6" t="s">
        <v>299</v>
      </c>
      <c r="I15" s="6" t="s">
        <v>20</v>
      </c>
      <c r="J15" s="6">
        <v>2017.0</v>
      </c>
      <c r="L15" s="6">
        <v>1.0</v>
      </c>
      <c r="M15" s="8">
        <f t="shared" si="1"/>
        <v>0.03</v>
      </c>
      <c r="N15" s="6" t="s">
        <v>518</v>
      </c>
    </row>
    <row r="16">
      <c r="A16" s="6" t="s">
        <v>2059</v>
      </c>
      <c r="B16" s="6" t="s">
        <v>424</v>
      </c>
      <c r="C16" s="6" t="s">
        <v>48</v>
      </c>
      <c r="D16" s="6" t="s">
        <v>2060</v>
      </c>
      <c r="F16" s="6" t="s">
        <v>426</v>
      </c>
      <c r="G16" s="7">
        <v>0.19</v>
      </c>
      <c r="H16" s="6" t="s">
        <v>336</v>
      </c>
      <c r="I16" s="6" t="s">
        <v>20</v>
      </c>
      <c r="J16" s="6">
        <v>2016.0</v>
      </c>
      <c r="L16" s="6">
        <v>1.0</v>
      </c>
      <c r="M16" s="8">
        <f t="shared" si="1"/>
        <v>0.19</v>
      </c>
      <c r="N16" s="6" t="s">
        <v>518</v>
      </c>
    </row>
    <row r="17">
      <c r="A17" s="6" t="s">
        <v>2353</v>
      </c>
      <c r="B17" s="6" t="s">
        <v>2354</v>
      </c>
      <c r="C17" s="6" t="s">
        <v>23</v>
      </c>
      <c r="D17" s="6" t="s">
        <v>2355</v>
      </c>
      <c r="E17" s="6" t="s">
        <v>149</v>
      </c>
      <c r="F17" s="6" t="s">
        <v>18</v>
      </c>
      <c r="G17" s="7">
        <v>0.12</v>
      </c>
      <c r="H17" s="6" t="s">
        <v>565</v>
      </c>
      <c r="I17" s="6" t="s">
        <v>20</v>
      </c>
      <c r="J17" s="6">
        <v>2021.0</v>
      </c>
      <c r="K17" s="10">
        <v>46024.0</v>
      </c>
      <c r="L17" s="6">
        <v>1.0</v>
      </c>
      <c r="M17" s="8">
        <f t="shared" si="1"/>
        <v>0.12</v>
      </c>
      <c r="N17" s="6" t="s">
        <v>518</v>
      </c>
    </row>
    <row r="18">
      <c r="A18" s="6" t="s">
        <v>5519</v>
      </c>
      <c r="B18" s="6" t="s">
        <v>1509</v>
      </c>
      <c r="C18" s="6" t="s">
        <v>23</v>
      </c>
      <c r="D18" s="6" t="s">
        <v>5520</v>
      </c>
      <c r="E18" s="6" t="s">
        <v>502</v>
      </c>
      <c r="F18" s="6" t="s">
        <v>65</v>
      </c>
      <c r="G18" s="7">
        <v>0.08</v>
      </c>
      <c r="H18" s="6" t="s">
        <v>565</v>
      </c>
      <c r="I18" s="6" t="s">
        <v>20</v>
      </c>
      <c r="J18" s="6">
        <v>2021.0</v>
      </c>
      <c r="K18" s="10">
        <v>46026.0</v>
      </c>
      <c r="L18" s="6">
        <v>1.0</v>
      </c>
      <c r="M18" s="8">
        <f t="shared" si="1"/>
        <v>0.08</v>
      </c>
      <c r="N18" s="6" t="s">
        <v>518</v>
      </c>
    </row>
    <row r="19">
      <c r="A19" s="6" t="s">
        <v>10063</v>
      </c>
      <c r="B19" s="6" t="s">
        <v>372</v>
      </c>
      <c r="C19" s="6" t="s">
        <v>23</v>
      </c>
      <c r="D19" s="6" t="s">
        <v>10064</v>
      </c>
      <c r="E19" s="6" t="s">
        <v>223</v>
      </c>
      <c r="F19" s="6" t="s">
        <v>159</v>
      </c>
      <c r="G19" s="7">
        <v>0.13</v>
      </c>
      <c r="H19" s="6" t="s">
        <v>565</v>
      </c>
      <c r="I19" s="6" t="s">
        <v>20</v>
      </c>
      <c r="J19" s="6">
        <v>2021.0</v>
      </c>
      <c r="L19" s="6">
        <v>1.0</v>
      </c>
      <c r="M19" s="8">
        <f t="shared" si="1"/>
        <v>0.13</v>
      </c>
      <c r="N19" s="6" t="s">
        <v>518</v>
      </c>
    </row>
    <row r="20">
      <c r="A20" s="6" t="s">
        <v>7668</v>
      </c>
      <c r="B20" s="6" t="s">
        <v>62</v>
      </c>
      <c r="C20" s="6" t="s">
        <v>48</v>
      </c>
      <c r="D20" s="6" t="s">
        <v>7669</v>
      </c>
      <c r="E20" s="6" t="s">
        <v>158</v>
      </c>
      <c r="F20" s="6" t="s">
        <v>159</v>
      </c>
      <c r="G20" s="7">
        <v>0.05</v>
      </c>
      <c r="H20" s="6" t="s">
        <v>185</v>
      </c>
      <c r="I20" s="6" t="s">
        <v>20</v>
      </c>
      <c r="J20" s="6">
        <v>2019.0</v>
      </c>
      <c r="L20" s="6">
        <v>1.0</v>
      </c>
      <c r="M20" s="8">
        <f t="shared" si="1"/>
        <v>0.05</v>
      </c>
      <c r="N20" s="6" t="s">
        <v>518</v>
      </c>
    </row>
    <row r="21">
      <c r="A21" s="6" t="s">
        <v>6341</v>
      </c>
      <c r="B21" s="6" t="s">
        <v>1234</v>
      </c>
      <c r="C21" s="6" t="s">
        <v>48</v>
      </c>
      <c r="D21" s="6" t="s">
        <v>6342</v>
      </c>
      <c r="E21" s="6" t="s">
        <v>1034</v>
      </c>
      <c r="F21" s="6" t="s">
        <v>717</v>
      </c>
      <c r="G21" s="7">
        <v>0.08</v>
      </c>
      <c r="H21" s="6" t="s">
        <v>336</v>
      </c>
      <c r="I21" s="6" t="s">
        <v>20</v>
      </c>
      <c r="J21" s="6">
        <v>2016.0</v>
      </c>
      <c r="K21" s="10">
        <v>46055.0</v>
      </c>
      <c r="L21" s="6">
        <v>1.0</v>
      </c>
      <c r="M21" s="8">
        <f t="shared" si="1"/>
        <v>0.08</v>
      </c>
      <c r="N21" s="6" t="s">
        <v>518</v>
      </c>
    </row>
    <row r="22">
      <c r="A22" s="6" t="s">
        <v>2315</v>
      </c>
      <c r="B22" s="6" t="s">
        <v>307</v>
      </c>
      <c r="C22" s="6" t="s">
        <v>23</v>
      </c>
      <c r="D22" s="6" t="s">
        <v>2316</v>
      </c>
      <c r="E22" s="6" t="s">
        <v>243</v>
      </c>
      <c r="F22" s="6" t="s">
        <v>37</v>
      </c>
      <c r="G22" s="7">
        <v>0.03</v>
      </c>
      <c r="H22" s="6" t="s">
        <v>299</v>
      </c>
      <c r="I22" s="6" t="s">
        <v>20</v>
      </c>
      <c r="J22" s="6">
        <v>2017.0</v>
      </c>
      <c r="L22" s="6">
        <v>1.0</v>
      </c>
      <c r="M22" s="8">
        <f t="shared" si="1"/>
        <v>0.03</v>
      </c>
      <c r="N22" s="6" t="s">
        <v>518</v>
      </c>
    </row>
    <row r="23">
      <c r="A23" s="6" t="s">
        <v>2259</v>
      </c>
      <c r="B23" s="6" t="s">
        <v>307</v>
      </c>
      <c r="C23" s="6" t="s">
        <v>23</v>
      </c>
      <c r="D23" s="6" t="s">
        <v>2260</v>
      </c>
      <c r="E23" s="6" t="s">
        <v>243</v>
      </c>
      <c r="F23" s="6" t="s">
        <v>37</v>
      </c>
      <c r="G23" s="7">
        <v>0.5</v>
      </c>
      <c r="H23" s="6" t="s">
        <v>2261</v>
      </c>
      <c r="I23" s="6" t="s">
        <v>20</v>
      </c>
      <c r="J23" s="6">
        <v>2019.0</v>
      </c>
      <c r="L23" s="6">
        <v>1.0</v>
      </c>
      <c r="M23" s="8">
        <f t="shared" si="1"/>
        <v>0.5</v>
      </c>
      <c r="N23" s="6" t="s">
        <v>518</v>
      </c>
    </row>
    <row r="24">
      <c r="A24" s="6" t="s">
        <v>8877</v>
      </c>
      <c r="B24" s="6" t="s">
        <v>307</v>
      </c>
      <c r="C24" s="6" t="s">
        <v>23</v>
      </c>
      <c r="D24" s="6" t="s">
        <v>8878</v>
      </c>
      <c r="E24" s="6" t="s">
        <v>303</v>
      </c>
      <c r="F24" s="6" t="s">
        <v>37</v>
      </c>
      <c r="G24" s="7">
        <v>0.06</v>
      </c>
      <c r="H24" s="6" t="s">
        <v>1675</v>
      </c>
      <c r="I24" s="6" t="s">
        <v>20</v>
      </c>
      <c r="J24" s="6">
        <v>2021.0</v>
      </c>
      <c r="L24" s="6">
        <v>1.0</v>
      </c>
      <c r="M24" s="8">
        <f t="shared" si="1"/>
        <v>0.06</v>
      </c>
      <c r="N24" s="6" t="s">
        <v>518</v>
      </c>
    </row>
    <row r="25">
      <c r="A25" s="6" t="s">
        <v>8624</v>
      </c>
      <c r="B25" s="6" t="s">
        <v>372</v>
      </c>
      <c r="C25" s="6" t="s">
        <v>48</v>
      </c>
      <c r="D25" s="6" t="s">
        <v>8625</v>
      </c>
      <c r="E25" s="6" t="s">
        <v>175</v>
      </c>
      <c r="F25" s="6" t="s">
        <v>51</v>
      </c>
      <c r="G25" s="7">
        <v>0.03</v>
      </c>
      <c r="H25" s="6" t="s">
        <v>185</v>
      </c>
      <c r="I25" s="6" t="s">
        <v>20</v>
      </c>
      <c r="J25" s="6">
        <v>2019.0</v>
      </c>
      <c r="L25" s="6">
        <v>1.0</v>
      </c>
      <c r="M25" s="8">
        <f t="shared" si="1"/>
        <v>0.03</v>
      </c>
      <c r="N25" s="6" t="s">
        <v>518</v>
      </c>
    </row>
    <row r="26">
      <c r="A26" s="6" t="s">
        <v>2734</v>
      </c>
      <c r="B26" s="6" t="s">
        <v>2735</v>
      </c>
      <c r="C26" s="6" t="s">
        <v>23</v>
      </c>
      <c r="D26" s="6" t="s">
        <v>2736</v>
      </c>
      <c r="E26" s="6" t="s">
        <v>235</v>
      </c>
      <c r="F26" s="6" t="s">
        <v>103</v>
      </c>
      <c r="G26" s="7">
        <v>0.06</v>
      </c>
      <c r="H26" s="6" t="s">
        <v>565</v>
      </c>
      <c r="I26" s="6" t="s">
        <v>20</v>
      </c>
      <c r="J26" s="6">
        <v>2021.0</v>
      </c>
      <c r="K26" s="10">
        <v>46055.0</v>
      </c>
      <c r="L26" s="6">
        <v>1.0</v>
      </c>
      <c r="M26" s="8">
        <f t="shared" si="1"/>
        <v>0.06</v>
      </c>
      <c r="N26" s="6" t="s">
        <v>518</v>
      </c>
    </row>
    <row r="27">
      <c r="A27" s="6" t="s">
        <v>1195</v>
      </c>
      <c r="B27" s="6" t="s">
        <v>1196</v>
      </c>
      <c r="C27" s="6" t="s">
        <v>48</v>
      </c>
      <c r="D27" s="6" t="s">
        <v>1197</v>
      </c>
      <c r="E27" s="6" t="s">
        <v>153</v>
      </c>
      <c r="F27" s="6" t="s">
        <v>103</v>
      </c>
      <c r="G27" s="7">
        <v>0.05</v>
      </c>
      <c r="H27" s="6" t="s">
        <v>129</v>
      </c>
      <c r="I27" s="6" t="s">
        <v>20</v>
      </c>
      <c r="J27" s="6">
        <v>2014.0</v>
      </c>
      <c r="K27" s="10">
        <v>46146.0</v>
      </c>
      <c r="L27" s="6">
        <v>1.0</v>
      </c>
      <c r="M27" s="8">
        <f t="shared" si="1"/>
        <v>0.05</v>
      </c>
      <c r="N27" s="6" t="s">
        <v>518</v>
      </c>
    </row>
    <row r="28">
      <c r="A28" s="6" t="s">
        <v>3349</v>
      </c>
      <c r="B28" s="6" t="s">
        <v>202</v>
      </c>
      <c r="C28" s="6" t="s">
        <v>48</v>
      </c>
      <c r="D28" s="6" t="s">
        <v>3350</v>
      </c>
      <c r="E28" s="6" t="s">
        <v>149</v>
      </c>
      <c r="F28" s="6" t="s">
        <v>18</v>
      </c>
      <c r="G28" s="7">
        <v>0.06</v>
      </c>
      <c r="H28" s="6" t="s">
        <v>1084</v>
      </c>
      <c r="I28" s="6" t="s">
        <v>20</v>
      </c>
      <c r="J28" s="6">
        <v>2018.0</v>
      </c>
      <c r="L28" s="6">
        <v>1.0</v>
      </c>
      <c r="M28" s="8">
        <f t="shared" si="1"/>
        <v>0.06</v>
      </c>
      <c r="N28" s="6" t="s">
        <v>518</v>
      </c>
    </row>
    <row r="29">
      <c r="A29" s="6" t="s">
        <v>8926</v>
      </c>
      <c r="B29" s="6" t="s">
        <v>372</v>
      </c>
      <c r="C29" s="6" t="s">
        <v>23</v>
      </c>
      <c r="D29" s="6" t="s">
        <v>8927</v>
      </c>
      <c r="E29" s="6" t="s">
        <v>248</v>
      </c>
      <c r="F29" s="6" t="s">
        <v>18</v>
      </c>
      <c r="G29" s="7">
        <v>0.04</v>
      </c>
      <c r="H29" s="6" t="s">
        <v>552</v>
      </c>
      <c r="I29" s="6" t="s">
        <v>20</v>
      </c>
      <c r="J29" s="6">
        <v>2020.0</v>
      </c>
      <c r="L29" s="6">
        <v>1.0</v>
      </c>
      <c r="M29" s="8">
        <f t="shared" si="1"/>
        <v>0.04</v>
      </c>
      <c r="N29" s="6" t="s">
        <v>518</v>
      </c>
    </row>
    <row r="30">
      <c r="A30" s="6" t="s">
        <v>7457</v>
      </c>
      <c r="B30" s="6" t="s">
        <v>62</v>
      </c>
      <c r="C30" s="6" t="s">
        <v>23</v>
      </c>
      <c r="D30" s="6" t="s">
        <v>7458</v>
      </c>
      <c r="E30" s="6" t="s">
        <v>149</v>
      </c>
      <c r="F30" s="6" t="s">
        <v>18</v>
      </c>
      <c r="G30" s="7">
        <v>0.04</v>
      </c>
      <c r="H30" s="6" t="s">
        <v>185</v>
      </c>
      <c r="I30" s="6" t="s">
        <v>20</v>
      </c>
      <c r="J30" s="6">
        <v>2019.0</v>
      </c>
      <c r="L30" s="6">
        <v>1.0</v>
      </c>
      <c r="M30" s="8">
        <f t="shared" si="1"/>
        <v>0.04</v>
      </c>
      <c r="N30" s="6" t="s">
        <v>518</v>
      </c>
    </row>
    <row r="31">
      <c r="A31" s="6" t="s">
        <v>2593</v>
      </c>
      <c r="B31" s="6" t="s">
        <v>2594</v>
      </c>
      <c r="C31" s="6" t="s">
        <v>48</v>
      </c>
      <c r="D31" s="6" t="s">
        <v>2595</v>
      </c>
      <c r="E31" s="6" t="s">
        <v>533</v>
      </c>
      <c r="F31" s="6" t="s">
        <v>65</v>
      </c>
      <c r="G31" s="7">
        <v>0.03</v>
      </c>
      <c r="H31" s="6" t="s">
        <v>185</v>
      </c>
      <c r="I31" s="6" t="s">
        <v>20</v>
      </c>
      <c r="J31" s="6">
        <v>2019.0</v>
      </c>
      <c r="K31" s="10">
        <v>46083.0</v>
      </c>
      <c r="L31" s="6">
        <v>1.0</v>
      </c>
      <c r="M31" s="8">
        <f t="shared" si="1"/>
        <v>0.03</v>
      </c>
      <c r="N31" s="6" t="s">
        <v>518</v>
      </c>
    </row>
    <row r="32">
      <c r="A32" s="6" t="s">
        <v>9095</v>
      </c>
      <c r="B32" s="6" t="s">
        <v>62</v>
      </c>
      <c r="C32" s="6" t="s">
        <v>23</v>
      </c>
      <c r="D32" s="6" t="s">
        <v>9096</v>
      </c>
      <c r="E32" s="6" t="s">
        <v>223</v>
      </c>
      <c r="F32" s="6" t="s">
        <v>159</v>
      </c>
      <c r="G32" s="7">
        <v>0.08</v>
      </c>
      <c r="H32" s="6" t="s">
        <v>565</v>
      </c>
      <c r="I32" s="6" t="s">
        <v>20</v>
      </c>
      <c r="J32" s="6">
        <v>2021.0</v>
      </c>
      <c r="L32" s="6">
        <v>1.0</v>
      </c>
      <c r="M32" s="8">
        <f t="shared" si="1"/>
        <v>0.08</v>
      </c>
      <c r="N32" s="6" t="s">
        <v>518</v>
      </c>
    </row>
    <row r="33">
      <c r="A33" s="6" t="s">
        <v>7890</v>
      </c>
      <c r="B33" s="6" t="s">
        <v>62</v>
      </c>
      <c r="C33" s="6" t="s">
        <v>23</v>
      </c>
      <c r="D33" s="6" t="s">
        <v>7891</v>
      </c>
      <c r="E33" s="6" t="s">
        <v>223</v>
      </c>
      <c r="F33" s="6" t="s">
        <v>159</v>
      </c>
      <c r="G33" s="7">
        <v>0.06</v>
      </c>
      <c r="H33" s="6" t="s">
        <v>185</v>
      </c>
      <c r="I33" s="6" t="s">
        <v>20</v>
      </c>
      <c r="J33" s="6">
        <v>2019.0</v>
      </c>
      <c r="L33" s="6">
        <v>1.0</v>
      </c>
      <c r="M33" s="8">
        <f t="shared" si="1"/>
        <v>0.06</v>
      </c>
      <c r="N33" s="6" t="s">
        <v>518</v>
      </c>
    </row>
    <row r="34">
      <c r="A34" s="6" t="s">
        <v>6978</v>
      </c>
      <c r="B34" s="6" t="s">
        <v>960</v>
      </c>
      <c r="C34" s="6" t="s">
        <v>23</v>
      </c>
      <c r="D34" s="6" t="s">
        <v>6979</v>
      </c>
      <c r="F34" s="6" t="s">
        <v>98</v>
      </c>
      <c r="G34" s="7">
        <v>0.09</v>
      </c>
      <c r="H34" s="6" t="s">
        <v>1784</v>
      </c>
      <c r="I34" s="6" t="s">
        <v>20</v>
      </c>
      <c r="J34" s="6">
        <v>2013.0</v>
      </c>
      <c r="L34" s="6">
        <v>1.0</v>
      </c>
      <c r="M34" s="8">
        <f t="shared" si="1"/>
        <v>0.09</v>
      </c>
      <c r="N34" s="6" t="s">
        <v>518</v>
      </c>
    </row>
    <row r="35">
      <c r="A35" s="6" t="s">
        <v>8387</v>
      </c>
      <c r="B35" s="6" t="s">
        <v>143</v>
      </c>
      <c r="C35" s="6" t="s">
        <v>23</v>
      </c>
      <c r="D35" s="6" t="s">
        <v>8388</v>
      </c>
      <c r="E35" s="6" t="s">
        <v>303</v>
      </c>
      <c r="F35" s="6" t="s">
        <v>37</v>
      </c>
      <c r="G35" s="7">
        <v>0.05</v>
      </c>
      <c r="H35" s="6" t="s">
        <v>93</v>
      </c>
      <c r="I35" s="6" t="s">
        <v>20</v>
      </c>
      <c r="J35" s="6">
        <v>2016.0</v>
      </c>
      <c r="L35" s="6">
        <v>1.0</v>
      </c>
      <c r="M35" s="8">
        <f t="shared" si="1"/>
        <v>0.05</v>
      </c>
      <c r="N35" s="6" t="s">
        <v>518</v>
      </c>
    </row>
    <row r="36">
      <c r="A36" s="6" t="s">
        <v>8526</v>
      </c>
      <c r="B36" s="6" t="s">
        <v>307</v>
      </c>
      <c r="C36" s="6" t="s">
        <v>48</v>
      </c>
      <c r="D36" s="6" t="s">
        <v>8527</v>
      </c>
      <c r="E36" s="6" t="s">
        <v>303</v>
      </c>
      <c r="F36" s="6" t="s">
        <v>37</v>
      </c>
      <c r="G36" s="7">
        <v>0.03</v>
      </c>
      <c r="H36" s="6" t="s">
        <v>1084</v>
      </c>
      <c r="I36" s="6" t="s">
        <v>20</v>
      </c>
      <c r="J36" s="6">
        <v>2018.0</v>
      </c>
      <c r="L36" s="6">
        <v>1.0</v>
      </c>
      <c r="M36" s="8">
        <f t="shared" si="1"/>
        <v>0.03</v>
      </c>
      <c r="N36" s="6" t="s">
        <v>518</v>
      </c>
    </row>
    <row r="37">
      <c r="A37" s="6" t="s">
        <v>589</v>
      </c>
      <c r="B37" s="6" t="s">
        <v>182</v>
      </c>
      <c r="C37" s="6" t="s">
        <v>23</v>
      </c>
      <c r="D37" s="6" t="s">
        <v>590</v>
      </c>
      <c r="E37" s="6" t="s">
        <v>79</v>
      </c>
      <c r="F37" s="6" t="s">
        <v>51</v>
      </c>
      <c r="G37" s="7">
        <v>0.05</v>
      </c>
      <c r="H37" s="6" t="s">
        <v>93</v>
      </c>
      <c r="I37" s="6" t="s">
        <v>20</v>
      </c>
      <c r="J37" s="6">
        <v>2016.0</v>
      </c>
      <c r="L37" s="6">
        <v>1.0</v>
      </c>
      <c r="M37" s="8">
        <f t="shared" si="1"/>
        <v>0.05</v>
      </c>
      <c r="N37" s="6" t="s">
        <v>518</v>
      </c>
    </row>
    <row r="38">
      <c r="A38" s="6" t="s">
        <v>516</v>
      </c>
      <c r="B38" s="6" t="s">
        <v>131</v>
      </c>
      <c r="C38" s="6" t="s">
        <v>23</v>
      </c>
      <c r="D38" s="6" t="s">
        <v>517</v>
      </c>
      <c r="E38" s="6" t="s">
        <v>395</v>
      </c>
      <c r="F38" s="6" t="s">
        <v>51</v>
      </c>
      <c r="G38" s="7">
        <v>0.06</v>
      </c>
      <c r="H38" s="6" t="s">
        <v>184</v>
      </c>
      <c r="I38" s="6" t="s">
        <v>20</v>
      </c>
      <c r="J38" s="6">
        <v>2015.0</v>
      </c>
      <c r="K38" s="10">
        <v>46084.0</v>
      </c>
      <c r="L38" s="6">
        <v>1.0</v>
      </c>
      <c r="M38" s="8">
        <f t="shared" si="1"/>
        <v>0.06</v>
      </c>
      <c r="N38" s="6" t="s">
        <v>518</v>
      </c>
    </row>
    <row r="39">
      <c r="A39" s="6" t="s">
        <v>8235</v>
      </c>
      <c r="B39" s="6" t="s">
        <v>182</v>
      </c>
      <c r="C39" s="6" t="s">
        <v>48</v>
      </c>
      <c r="D39" s="6" t="s">
        <v>8236</v>
      </c>
      <c r="E39" s="6" t="s">
        <v>64</v>
      </c>
      <c r="F39" s="6" t="s">
        <v>65</v>
      </c>
      <c r="G39" s="7">
        <v>0.06</v>
      </c>
      <c r="H39" s="6" t="s">
        <v>559</v>
      </c>
      <c r="I39" s="6" t="s">
        <v>20</v>
      </c>
      <c r="J39" s="6">
        <v>2015.0</v>
      </c>
      <c r="L39" s="6">
        <v>1.0</v>
      </c>
      <c r="M39" s="8">
        <f t="shared" si="1"/>
        <v>0.06</v>
      </c>
      <c r="N39" s="6" t="s">
        <v>518</v>
      </c>
    </row>
    <row r="40">
      <c r="A40" s="6" t="s">
        <v>8323</v>
      </c>
      <c r="B40" s="6" t="s">
        <v>131</v>
      </c>
      <c r="C40" s="6" t="s">
        <v>23</v>
      </c>
      <c r="D40" s="6" t="s">
        <v>8325</v>
      </c>
      <c r="E40" s="6" t="s">
        <v>238</v>
      </c>
      <c r="F40" s="6" t="s">
        <v>159</v>
      </c>
      <c r="G40" s="7">
        <v>0.08</v>
      </c>
      <c r="H40" s="6" t="s">
        <v>559</v>
      </c>
      <c r="I40" s="6" t="s">
        <v>20</v>
      </c>
      <c r="J40" s="6">
        <v>2015.0</v>
      </c>
      <c r="K40" s="6" t="s">
        <v>697</v>
      </c>
      <c r="L40" s="6">
        <v>1.0</v>
      </c>
      <c r="M40" s="8">
        <f t="shared" si="1"/>
        <v>0.08</v>
      </c>
      <c r="N40" s="6" t="s">
        <v>518</v>
      </c>
    </row>
    <row r="41">
      <c r="A41" s="6" t="s">
        <v>9107</v>
      </c>
      <c r="B41" s="6" t="s">
        <v>3294</v>
      </c>
      <c r="C41" s="6" t="s">
        <v>48</v>
      </c>
      <c r="D41" s="6" t="s">
        <v>9108</v>
      </c>
      <c r="E41" s="6" t="s">
        <v>573</v>
      </c>
      <c r="F41" s="6" t="s">
        <v>51</v>
      </c>
      <c r="G41" s="7">
        <v>0.06</v>
      </c>
      <c r="H41" s="6" t="s">
        <v>559</v>
      </c>
      <c r="I41" s="6" t="s">
        <v>20</v>
      </c>
      <c r="J41" s="6">
        <v>2015.0</v>
      </c>
      <c r="K41" s="10">
        <v>46084.0</v>
      </c>
      <c r="L41" s="6">
        <v>1.0</v>
      </c>
      <c r="M41" s="8">
        <f t="shared" si="1"/>
        <v>0.06</v>
      </c>
      <c r="N41" s="6" t="s">
        <v>518</v>
      </c>
    </row>
    <row r="42">
      <c r="A42" s="6" t="s">
        <v>8227</v>
      </c>
      <c r="B42" s="6" t="s">
        <v>182</v>
      </c>
      <c r="C42" s="6" t="s">
        <v>48</v>
      </c>
      <c r="D42" s="6" t="s">
        <v>8228</v>
      </c>
      <c r="E42" s="6" t="s">
        <v>298</v>
      </c>
      <c r="F42" s="6" t="s">
        <v>159</v>
      </c>
      <c r="G42" s="7">
        <v>0.05</v>
      </c>
      <c r="H42" s="6" t="s">
        <v>129</v>
      </c>
      <c r="I42" s="6" t="s">
        <v>20</v>
      </c>
      <c r="J42" s="6">
        <v>2014.0</v>
      </c>
      <c r="L42" s="6">
        <v>1.0</v>
      </c>
      <c r="M42" s="8">
        <f t="shared" si="1"/>
        <v>0.05</v>
      </c>
      <c r="N42" s="6" t="s">
        <v>518</v>
      </c>
    </row>
    <row r="43">
      <c r="A43" s="6" t="s">
        <v>6345</v>
      </c>
      <c r="B43" s="6" t="s">
        <v>182</v>
      </c>
      <c r="C43" s="6" t="s">
        <v>23</v>
      </c>
      <c r="D43" s="6" t="s">
        <v>6346</v>
      </c>
      <c r="E43" s="6" t="s">
        <v>2312</v>
      </c>
      <c r="F43" s="6" t="s">
        <v>103</v>
      </c>
      <c r="G43" s="7">
        <v>0.09</v>
      </c>
      <c r="H43" s="6" t="s">
        <v>565</v>
      </c>
      <c r="I43" s="6" t="s">
        <v>20</v>
      </c>
      <c r="J43" s="6">
        <v>2021.0</v>
      </c>
      <c r="L43" s="6">
        <v>1.0</v>
      </c>
      <c r="M43" s="8">
        <f t="shared" si="1"/>
        <v>0.09</v>
      </c>
      <c r="N43" s="6" t="s">
        <v>518</v>
      </c>
    </row>
    <row r="44">
      <c r="A44" s="6" t="s">
        <v>8890</v>
      </c>
      <c r="B44" s="6" t="s">
        <v>1808</v>
      </c>
      <c r="C44" s="6" t="s">
        <v>48</v>
      </c>
      <c r="D44" s="6" t="s">
        <v>8891</v>
      </c>
      <c r="E44" s="6" t="s">
        <v>235</v>
      </c>
      <c r="F44" s="6" t="s">
        <v>103</v>
      </c>
      <c r="G44" s="7">
        <v>0.03</v>
      </c>
      <c r="H44" s="6" t="s">
        <v>185</v>
      </c>
      <c r="I44" s="6" t="s">
        <v>20</v>
      </c>
      <c r="J44" s="6">
        <v>2019.0</v>
      </c>
      <c r="K44" s="10">
        <v>46024.0</v>
      </c>
      <c r="L44" s="6">
        <v>1.0</v>
      </c>
      <c r="M44" s="8">
        <f t="shared" si="1"/>
        <v>0.03</v>
      </c>
      <c r="N44" s="6" t="s">
        <v>518</v>
      </c>
    </row>
    <row r="45">
      <c r="A45" s="6" t="s">
        <v>6090</v>
      </c>
      <c r="B45" s="6" t="s">
        <v>143</v>
      </c>
      <c r="C45" s="6" t="s">
        <v>23</v>
      </c>
      <c r="D45" s="6" t="s">
        <v>6091</v>
      </c>
      <c r="E45" s="6" t="s">
        <v>36</v>
      </c>
      <c r="F45" s="6" t="s">
        <v>37</v>
      </c>
      <c r="G45" s="7">
        <v>0.03</v>
      </c>
      <c r="H45" s="6" t="s">
        <v>104</v>
      </c>
      <c r="I45" s="6" t="s">
        <v>20</v>
      </c>
      <c r="J45" s="6">
        <v>2018.0</v>
      </c>
      <c r="L45" s="6">
        <v>1.0</v>
      </c>
      <c r="M45" s="8">
        <f t="shared" si="1"/>
        <v>0.03</v>
      </c>
      <c r="N45" s="6" t="s">
        <v>518</v>
      </c>
    </row>
    <row r="46">
      <c r="A46" s="6" t="s">
        <v>7175</v>
      </c>
      <c r="B46" s="6" t="s">
        <v>1359</v>
      </c>
      <c r="C46" s="6" t="s">
        <v>48</v>
      </c>
      <c r="D46" s="6" t="s">
        <v>7176</v>
      </c>
      <c r="E46" s="6" t="s">
        <v>167</v>
      </c>
      <c r="F46" s="6" t="s">
        <v>103</v>
      </c>
      <c r="G46" s="7">
        <v>0.06</v>
      </c>
      <c r="H46" s="6" t="s">
        <v>1084</v>
      </c>
      <c r="I46" s="6" t="s">
        <v>20</v>
      </c>
      <c r="J46" s="6">
        <v>2018.0</v>
      </c>
      <c r="K46" s="10">
        <v>46023.0</v>
      </c>
      <c r="L46" s="6">
        <v>1.0</v>
      </c>
      <c r="M46" s="8">
        <f t="shared" si="1"/>
        <v>0.06</v>
      </c>
      <c r="N46" s="6" t="s">
        <v>518</v>
      </c>
    </row>
    <row r="47">
      <c r="A47" s="6" t="s">
        <v>9670</v>
      </c>
      <c r="B47" s="6" t="s">
        <v>9671</v>
      </c>
      <c r="C47" s="6" t="s">
        <v>23</v>
      </c>
      <c r="D47" s="6" t="s">
        <v>9672</v>
      </c>
      <c r="E47" s="6" t="s">
        <v>30</v>
      </c>
      <c r="F47" s="6" t="s">
        <v>18</v>
      </c>
      <c r="G47" s="7">
        <v>0.1</v>
      </c>
      <c r="H47" s="6" t="s">
        <v>565</v>
      </c>
      <c r="I47" s="6" t="s">
        <v>20</v>
      </c>
      <c r="J47" s="6">
        <v>2021.0</v>
      </c>
      <c r="K47" s="10">
        <v>46082.0</v>
      </c>
      <c r="L47" s="6">
        <v>1.0</v>
      </c>
      <c r="M47" s="8">
        <f t="shared" si="1"/>
        <v>0.1</v>
      </c>
      <c r="N47" s="6" t="s">
        <v>518</v>
      </c>
    </row>
    <row r="48">
      <c r="A48" s="6" t="s">
        <v>7517</v>
      </c>
      <c r="B48" s="6" t="s">
        <v>62</v>
      </c>
      <c r="C48" s="6" t="s">
        <v>23</v>
      </c>
      <c r="D48" s="6" t="s">
        <v>7518</v>
      </c>
      <c r="E48" s="6" t="s">
        <v>2129</v>
      </c>
      <c r="F48" s="6" t="s">
        <v>65</v>
      </c>
      <c r="G48" s="7">
        <v>0.04</v>
      </c>
      <c r="H48" s="6" t="s">
        <v>4377</v>
      </c>
      <c r="I48" s="6" t="s">
        <v>20</v>
      </c>
      <c r="J48" s="6">
        <v>2004.0</v>
      </c>
      <c r="L48" s="6">
        <v>1.0</v>
      </c>
      <c r="M48" s="8">
        <f t="shared" si="1"/>
        <v>0.04</v>
      </c>
      <c r="N48" s="6" t="s">
        <v>518</v>
      </c>
    </row>
    <row r="49">
      <c r="A49" s="6" t="s">
        <v>6102</v>
      </c>
      <c r="B49" s="6" t="s">
        <v>307</v>
      </c>
      <c r="C49" s="6" t="s">
        <v>23</v>
      </c>
      <c r="D49" s="6" t="s">
        <v>6103</v>
      </c>
      <c r="E49" s="6" t="s">
        <v>243</v>
      </c>
      <c r="F49" s="6" t="s">
        <v>6104</v>
      </c>
      <c r="G49" s="7">
        <v>0.08</v>
      </c>
      <c r="H49" s="6" t="s">
        <v>129</v>
      </c>
      <c r="I49" s="6" t="s">
        <v>20</v>
      </c>
      <c r="J49" s="6">
        <v>2014.0</v>
      </c>
      <c r="L49" s="6">
        <v>1.0</v>
      </c>
      <c r="M49" s="8">
        <f t="shared" si="1"/>
        <v>0.08</v>
      </c>
      <c r="N49" s="6" t="s">
        <v>518</v>
      </c>
    </row>
    <row r="50">
      <c r="A50" s="6" t="s">
        <v>7530</v>
      </c>
      <c r="B50" s="6" t="s">
        <v>7531</v>
      </c>
      <c r="C50" s="6" t="s">
        <v>48</v>
      </c>
      <c r="D50" s="6" t="s">
        <v>7532</v>
      </c>
      <c r="E50" s="6" t="s">
        <v>611</v>
      </c>
      <c r="F50" s="6" t="s">
        <v>103</v>
      </c>
      <c r="G50" s="7">
        <v>0.08</v>
      </c>
      <c r="H50" s="6" t="s">
        <v>559</v>
      </c>
      <c r="I50" s="6" t="s">
        <v>20</v>
      </c>
      <c r="J50" s="6">
        <v>2015.0</v>
      </c>
      <c r="K50" s="10">
        <v>46176.0</v>
      </c>
      <c r="L50" s="6">
        <v>1.0</v>
      </c>
      <c r="M50" s="8">
        <f t="shared" si="1"/>
        <v>0.08</v>
      </c>
      <c r="N50" s="6" t="s">
        <v>518</v>
      </c>
    </row>
    <row r="51">
      <c r="A51" s="6" t="s">
        <v>2302</v>
      </c>
      <c r="B51" s="6" t="s">
        <v>1790</v>
      </c>
      <c r="C51" s="6" t="s">
        <v>48</v>
      </c>
      <c r="D51" s="6" t="s">
        <v>2303</v>
      </c>
      <c r="E51" s="6" t="s">
        <v>2304</v>
      </c>
      <c r="F51" s="6" t="s">
        <v>98</v>
      </c>
      <c r="G51" s="7">
        <v>0.1</v>
      </c>
      <c r="H51" s="6" t="s">
        <v>185</v>
      </c>
      <c r="I51" s="6" t="s">
        <v>20</v>
      </c>
      <c r="J51" s="6">
        <v>2019.0</v>
      </c>
      <c r="L51" s="6">
        <v>1.0</v>
      </c>
      <c r="M51" s="8">
        <f t="shared" si="1"/>
        <v>0.1</v>
      </c>
      <c r="N51" s="6" t="s">
        <v>518</v>
      </c>
    </row>
    <row r="52">
      <c r="A52" s="6" t="s">
        <v>6024</v>
      </c>
      <c r="B52" s="6" t="s">
        <v>62</v>
      </c>
      <c r="C52" s="6" t="s">
        <v>23</v>
      </c>
      <c r="D52" s="6" t="s">
        <v>6025</v>
      </c>
      <c r="E52" s="6" t="s">
        <v>196</v>
      </c>
      <c r="F52" s="6" t="s">
        <v>65</v>
      </c>
      <c r="G52" s="7">
        <v>0.06</v>
      </c>
      <c r="H52" s="6" t="s">
        <v>562</v>
      </c>
      <c r="I52" s="6" t="s">
        <v>20</v>
      </c>
      <c r="J52" s="6">
        <v>2017.0</v>
      </c>
      <c r="L52" s="6">
        <v>1.0</v>
      </c>
      <c r="M52" s="8">
        <f t="shared" si="1"/>
        <v>0.06</v>
      </c>
      <c r="N52" s="6" t="s">
        <v>518</v>
      </c>
    </row>
    <row r="53">
      <c r="A53" s="6" t="s">
        <v>4591</v>
      </c>
      <c r="B53" s="6" t="s">
        <v>372</v>
      </c>
      <c r="C53" s="6" t="s">
        <v>48</v>
      </c>
      <c r="D53" s="6" t="s">
        <v>4592</v>
      </c>
      <c r="E53" s="6" t="s">
        <v>533</v>
      </c>
      <c r="F53" s="6" t="s">
        <v>65</v>
      </c>
      <c r="G53" s="7">
        <v>0.03</v>
      </c>
      <c r="H53" s="6" t="s">
        <v>299</v>
      </c>
      <c r="I53" s="6" t="s">
        <v>20</v>
      </c>
      <c r="J53" s="6">
        <v>2017.0</v>
      </c>
      <c r="L53" s="6">
        <v>1.0</v>
      </c>
      <c r="M53" s="8">
        <f t="shared" si="1"/>
        <v>0.03</v>
      </c>
      <c r="N53" s="6" t="s">
        <v>518</v>
      </c>
    </row>
    <row r="54">
      <c r="A54" s="6" t="s">
        <v>6408</v>
      </c>
      <c r="B54" s="6" t="s">
        <v>1113</v>
      </c>
      <c r="C54" s="6" t="s">
        <v>23</v>
      </c>
      <c r="D54" s="6" t="s">
        <v>6409</v>
      </c>
      <c r="E54" s="6" t="s">
        <v>112</v>
      </c>
      <c r="F54" s="6" t="s">
        <v>65</v>
      </c>
      <c r="G54" s="7">
        <v>0.06</v>
      </c>
      <c r="H54" s="6" t="s">
        <v>2401</v>
      </c>
      <c r="I54" s="6" t="s">
        <v>20</v>
      </c>
      <c r="J54" s="6">
        <v>2018.0</v>
      </c>
      <c r="K54" s="10">
        <v>46084.0</v>
      </c>
      <c r="L54" s="6">
        <v>1.0</v>
      </c>
      <c r="M54" s="8">
        <f t="shared" si="1"/>
        <v>0.06</v>
      </c>
      <c r="N54" s="6" t="s">
        <v>518</v>
      </c>
    </row>
    <row r="56">
      <c r="A56" s="14" t="s">
        <v>11004</v>
      </c>
      <c r="B56" s="14" t="s">
        <v>11005</v>
      </c>
      <c r="D56" s="14" t="s">
        <v>2</v>
      </c>
      <c r="E56" s="14" t="s">
        <v>11005</v>
      </c>
      <c r="G56" s="14" t="s">
        <v>11006</v>
      </c>
      <c r="H56" s="14" t="s">
        <v>11005</v>
      </c>
    </row>
    <row r="57">
      <c r="A57" s="6" t="s">
        <v>11007</v>
      </c>
      <c r="B57" s="15">
        <v>53.0</v>
      </c>
      <c r="D57" s="6" t="s">
        <v>34</v>
      </c>
      <c r="E57" s="15">
        <v>32.0</v>
      </c>
      <c r="G57" s="6" t="s">
        <v>103</v>
      </c>
      <c r="H57" s="15">
        <v>14.0</v>
      </c>
    </row>
    <row r="58">
      <c r="A58" s="6" t="s">
        <v>11008</v>
      </c>
      <c r="B58" s="15">
        <v>53.0</v>
      </c>
      <c r="D58" s="6" t="s">
        <v>15</v>
      </c>
      <c r="E58" s="15">
        <v>20.0</v>
      </c>
      <c r="G58" s="6" t="s">
        <v>65</v>
      </c>
      <c r="H58" s="15">
        <v>12.0</v>
      </c>
    </row>
    <row r="59">
      <c r="A59" s="6" t="s">
        <v>11009</v>
      </c>
      <c r="B59" s="15">
        <v>2.0</v>
      </c>
      <c r="D59" s="6" t="s">
        <v>212</v>
      </c>
      <c r="E59" s="15">
        <v>1.0</v>
      </c>
      <c r="G59" s="6" t="s">
        <v>51</v>
      </c>
      <c r="H59" s="15">
        <v>11.0</v>
      </c>
    </row>
    <row r="60">
      <c r="A60" s="6" t="s">
        <v>11010</v>
      </c>
      <c r="B60" s="15">
        <v>51.0</v>
      </c>
      <c r="G60" s="6" t="s">
        <v>18</v>
      </c>
      <c r="H60" s="15">
        <v>10.0</v>
      </c>
    </row>
    <row r="61">
      <c r="A61" s="6" t="s">
        <v>11011</v>
      </c>
      <c r="B61" s="15" t="s">
        <v>11012</v>
      </c>
      <c r="G61" s="6" t="s">
        <v>159</v>
      </c>
      <c r="H61" s="15">
        <v>8.0</v>
      </c>
    </row>
    <row r="62">
      <c r="A62" s="6" t="s">
        <v>11013</v>
      </c>
      <c r="B62" s="15" t="s">
        <v>11014</v>
      </c>
      <c r="G62" s="6" t="s">
        <v>37</v>
      </c>
      <c r="H62" s="15">
        <v>8.0</v>
      </c>
    </row>
    <row r="63">
      <c r="A63" s="6" t="s">
        <v>11015</v>
      </c>
      <c r="B63" s="15">
        <v>1.0</v>
      </c>
    </row>
    <row r="64">
      <c r="A64" s="6" t="s">
        <v>11016</v>
      </c>
      <c r="B64" s="15">
        <v>0.0</v>
      </c>
    </row>
    <row r="66">
      <c r="A66" s="14" t="s">
        <v>1</v>
      </c>
      <c r="B66" s="14" t="s">
        <v>11005</v>
      </c>
      <c r="D66" s="14" t="s">
        <v>11017</v>
      </c>
      <c r="E66" s="16" t="s">
        <v>11005</v>
      </c>
    </row>
    <row r="67">
      <c r="A67" s="6" t="s">
        <v>11018</v>
      </c>
      <c r="B67" s="15">
        <v>18.0</v>
      </c>
      <c r="D67" s="6" t="s">
        <v>18</v>
      </c>
      <c r="E67" s="15">
        <v>8.0</v>
      </c>
    </row>
    <row r="68">
      <c r="A68" s="6" t="s">
        <v>11019</v>
      </c>
      <c r="B68" s="15">
        <v>11.0</v>
      </c>
      <c r="D68" s="6" t="s">
        <v>51</v>
      </c>
      <c r="E68" s="15">
        <v>8.0</v>
      </c>
    </row>
    <row r="69">
      <c r="A69" s="6" t="s">
        <v>301</v>
      </c>
      <c r="B69" s="15">
        <v>9.0</v>
      </c>
      <c r="D69" s="6" t="s">
        <v>37</v>
      </c>
      <c r="E69" s="15">
        <v>8.0</v>
      </c>
    </row>
    <row r="70">
      <c r="A70" s="6" t="s">
        <v>1041</v>
      </c>
      <c r="B70" s="15">
        <v>8.0</v>
      </c>
      <c r="D70" s="6" t="s">
        <v>103</v>
      </c>
      <c r="E70" s="15">
        <v>7.0</v>
      </c>
    </row>
    <row r="71">
      <c r="A71" s="6" t="s">
        <v>165</v>
      </c>
      <c r="B71" s="15">
        <v>7.0</v>
      </c>
      <c r="D71" s="6" t="s">
        <v>159</v>
      </c>
      <c r="E71" s="15">
        <v>7.0</v>
      </c>
    </row>
    <row r="72">
      <c r="A72" s="6" t="s">
        <v>2257</v>
      </c>
      <c r="B72" s="15">
        <v>3.0</v>
      </c>
      <c r="D72" s="6" t="s">
        <v>65</v>
      </c>
      <c r="E72" s="15">
        <v>7.0</v>
      </c>
    </row>
    <row r="73">
      <c r="D73" s="6" t="s">
        <v>426</v>
      </c>
      <c r="E73" s="15">
        <v>3.0</v>
      </c>
    </row>
    <row r="74">
      <c r="D74" s="6" t="s">
        <v>98</v>
      </c>
      <c r="E74" s="15">
        <v>2.0</v>
      </c>
    </row>
    <row r="75">
      <c r="D75" s="6" t="s">
        <v>717</v>
      </c>
      <c r="E75" s="15">
        <v>1.0</v>
      </c>
    </row>
    <row r="76">
      <c r="D76" s="6" t="s">
        <v>6104</v>
      </c>
      <c r="E76" s="15">
        <v>1.0</v>
      </c>
    </row>
    <row r="77">
      <c r="D77" s="6" t="s">
        <v>5259</v>
      </c>
      <c r="E77" s="15">
        <v>1.0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6.75"/>
    <col customWidth="1" min="2" max="2" width="30.63"/>
    <col customWidth="1" min="3" max="3" width="17.75"/>
    <col customWidth="1" min="5" max="5" width="10.5"/>
    <col customWidth="1" min="6" max="6" width="18.38"/>
    <col customWidth="1" min="7" max="7" width="12.0"/>
    <col customWidth="1" min="8" max="8" width="31.63"/>
    <col customWidth="1" min="9" max="9" width="6.13"/>
    <col customWidth="1" min="10" max="10" width="4.75"/>
    <col customWidth="1" min="11" max="11" width="5.75"/>
    <col customWidth="1" min="12" max="12" width="3.88"/>
    <col customWidth="1" min="13" max="13" width="8.5"/>
    <col customWidth="1" min="14" max="14" width="3.75"/>
    <col customWidth="1" min="15" max="16" width="6.88"/>
  </cols>
  <sheetData>
    <row r="1">
      <c r="A1" s="1" t="s">
        <v>0</v>
      </c>
      <c r="B1" s="1" t="s">
        <v>1</v>
      </c>
      <c r="C1" s="1" t="s">
        <v>2</v>
      </c>
      <c r="D1" s="1" t="s">
        <v>3</v>
      </c>
      <c r="E1" s="1" t="s">
        <v>4</v>
      </c>
      <c r="F1" s="1" t="s">
        <v>11003</v>
      </c>
      <c r="G1" s="2" t="s">
        <v>6</v>
      </c>
      <c r="H1" s="1" t="s">
        <v>7</v>
      </c>
      <c r="I1" s="1" t="s">
        <v>8</v>
      </c>
      <c r="J1" s="1" t="s">
        <v>9</v>
      </c>
      <c r="K1" s="1" t="s">
        <v>10</v>
      </c>
      <c r="L1" s="1" t="s">
        <v>11</v>
      </c>
      <c r="M1" s="3">
        <f>Sum(G:G)</f>
        <v>668.68</v>
      </c>
      <c r="N1" s="4">
        <f>sum(L:L)</f>
        <v>100</v>
      </c>
      <c r="O1" s="3">
        <f>M1/N1</f>
        <v>6.6868</v>
      </c>
      <c r="P1" s="3"/>
      <c r="Q1" s="4"/>
      <c r="R1" s="4"/>
      <c r="S1" s="4"/>
      <c r="T1" s="4"/>
      <c r="U1" s="4"/>
      <c r="V1" s="4"/>
      <c r="W1" s="4"/>
      <c r="X1" s="4"/>
      <c r="Y1" s="4"/>
    </row>
    <row r="2">
      <c r="A2" s="6" t="s">
        <v>11020</v>
      </c>
      <c r="B2" s="6" t="s">
        <v>613</v>
      </c>
      <c r="C2" s="6" t="s">
        <v>41</v>
      </c>
      <c r="D2" s="6" t="s">
        <v>11021</v>
      </c>
      <c r="E2" s="6" t="s">
        <v>149</v>
      </c>
      <c r="F2" s="6" t="s">
        <v>18</v>
      </c>
      <c r="G2" s="6">
        <v>6.56</v>
      </c>
      <c r="H2" s="6" t="s">
        <v>26</v>
      </c>
      <c r="I2" s="6" t="s">
        <v>20</v>
      </c>
      <c r="J2" s="6">
        <v>2026.0</v>
      </c>
      <c r="K2" s="10">
        <v>46024.0</v>
      </c>
      <c r="L2" s="6">
        <v>1.0</v>
      </c>
    </row>
    <row r="3">
      <c r="A3" s="6" t="s">
        <v>11022</v>
      </c>
      <c r="B3" s="6" t="s">
        <v>182</v>
      </c>
      <c r="C3" s="6" t="s">
        <v>41</v>
      </c>
      <c r="D3" s="6" t="s">
        <v>11023</v>
      </c>
      <c r="E3" s="6" t="s">
        <v>2288</v>
      </c>
      <c r="F3" s="6" t="s">
        <v>51</v>
      </c>
      <c r="G3" s="6">
        <v>2.76</v>
      </c>
      <c r="H3" s="6" t="s">
        <v>26</v>
      </c>
      <c r="I3" s="6" t="s">
        <v>20</v>
      </c>
      <c r="J3" s="6">
        <v>2026.0</v>
      </c>
      <c r="L3" s="6">
        <v>1.0</v>
      </c>
    </row>
    <row r="4">
      <c r="A4" s="17" t="s">
        <v>11024</v>
      </c>
      <c r="B4" s="17" t="s">
        <v>1769</v>
      </c>
      <c r="C4" s="17" t="s">
        <v>1956</v>
      </c>
      <c r="D4" s="17" t="s">
        <v>11025</v>
      </c>
      <c r="E4" s="17" t="s">
        <v>11026</v>
      </c>
      <c r="F4" s="17" t="s">
        <v>11027</v>
      </c>
      <c r="G4" s="17">
        <v>19.99</v>
      </c>
      <c r="H4" s="17" t="s">
        <v>26</v>
      </c>
      <c r="I4" s="17" t="s">
        <v>55</v>
      </c>
      <c r="J4" s="17">
        <v>2026.0</v>
      </c>
      <c r="K4" s="18">
        <v>46084.0</v>
      </c>
      <c r="L4" s="17">
        <v>1.0</v>
      </c>
      <c r="M4" s="19"/>
      <c r="N4" s="19"/>
      <c r="O4" s="19"/>
      <c r="P4" s="19"/>
      <c r="Q4" s="19"/>
      <c r="R4" s="19"/>
      <c r="S4" s="19"/>
      <c r="T4" s="19"/>
      <c r="U4" s="19"/>
      <c r="V4" s="19"/>
      <c r="W4" s="19"/>
      <c r="X4" s="19"/>
      <c r="Y4" s="19"/>
      <c r="Z4" s="19"/>
    </row>
    <row r="5">
      <c r="A5" s="6" t="s">
        <v>11028</v>
      </c>
      <c r="B5" s="6" t="s">
        <v>11029</v>
      </c>
      <c r="C5" s="6" t="s">
        <v>41</v>
      </c>
      <c r="D5" s="6" t="s">
        <v>11030</v>
      </c>
      <c r="E5" s="6" t="s">
        <v>625</v>
      </c>
      <c r="F5" s="6" t="s">
        <v>37</v>
      </c>
      <c r="G5" s="6">
        <v>11.4</v>
      </c>
      <c r="H5" s="6" t="s">
        <v>26</v>
      </c>
      <c r="I5" s="6" t="s">
        <v>20</v>
      </c>
      <c r="J5" s="6">
        <v>2026.0</v>
      </c>
      <c r="K5" s="10">
        <v>46084.0</v>
      </c>
      <c r="L5" s="6">
        <v>1.0</v>
      </c>
    </row>
    <row r="6">
      <c r="A6" s="6" t="s">
        <v>11031</v>
      </c>
      <c r="B6" s="6" t="s">
        <v>424</v>
      </c>
      <c r="C6" s="6" t="s">
        <v>41</v>
      </c>
      <c r="D6" s="6" t="s">
        <v>11032</v>
      </c>
      <c r="F6" s="6" t="s">
        <v>37</v>
      </c>
      <c r="G6" s="6">
        <v>1.38</v>
      </c>
      <c r="H6" s="6" t="s">
        <v>26</v>
      </c>
      <c r="I6" s="6" t="s">
        <v>20</v>
      </c>
      <c r="J6" s="6">
        <v>2026.0</v>
      </c>
      <c r="L6" s="6">
        <v>1.0</v>
      </c>
    </row>
    <row r="7">
      <c r="A7" s="6" t="s">
        <v>11033</v>
      </c>
      <c r="B7" s="6" t="s">
        <v>182</v>
      </c>
      <c r="C7" s="6" t="s">
        <v>48</v>
      </c>
      <c r="D7" s="6" t="s">
        <v>11034</v>
      </c>
      <c r="E7" s="6" t="s">
        <v>985</v>
      </c>
      <c r="F7" s="6" t="s">
        <v>986</v>
      </c>
      <c r="G7" s="6">
        <v>0.49</v>
      </c>
      <c r="H7" s="6" t="s">
        <v>26</v>
      </c>
      <c r="I7" s="6" t="s">
        <v>20</v>
      </c>
      <c r="J7" s="6">
        <v>2026.0</v>
      </c>
      <c r="L7" s="6">
        <v>1.0</v>
      </c>
    </row>
    <row r="8">
      <c r="A8" s="6" t="s">
        <v>11035</v>
      </c>
      <c r="B8" s="6" t="s">
        <v>131</v>
      </c>
      <c r="C8" s="6" t="s">
        <v>41</v>
      </c>
      <c r="D8" s="6" t="s">
        <v>11036</v>
      </c>
      <c r="E8" s="6" t="s">
        <v>79</v>
      </c>
      <c r="F8" s="6" t="s">
        <v>51</v>
      </c>
      <c r="G8" s="6">
        <v>2.76</v>
      </c>
      <c r="H8" s="6" t="s">
        <v>26</v>
      </c>
      <c r="I8" s="6" t="s">
        <v>20</v>
      </c>
      <c r="J8" s="6">
        <v>2026.0</v>
      </c>
      <c r="K8" s="10">
        <v>46084.0</v>
      </c>
      <c r="L8" s="6">
        <v>1.0</v>
      </c>
    </row>
    <row r="9">
      <c r="A9" s="6" t="s">
        <v>11037</v>
      </c>
      <c r="B9" s="6" t="s">
        <v>11038</v>
      </c>
      <c r="C9" s="6" t="s">
        <v>23</v>
      </c>
      <c r="F9" s="6" t="s">
        <v>11039</v>
      </c>
      <c r="G9" s="6">
        <v>0.25</v>
      </c>
      <c r="H9" s="6" t="s">
        <v>26</v>
      </c>
      <c r="I9" s="6" t="s">
        <v>20</v>
      </c>
      <c r="J9" s="6">
        <v>2026.0</v>
      </c>
      <c r="L9" s="6">
        <v>3.0</v>
      </c>
    </row>
    <row r="10">
      <c r="A10" s="6" t="s">
        <v>11040</v>
      </c>
      <c r="B10" s="6" t="s">
        <v>2159</v>
      </c>
      <c r="C10" s="6" t="s">
        <v>1956</v>
      </c>
      <c r="D10" s="6" t="s">
        <v>11041</v>
      </c>
      <c r="E10" s="6" t="s">
        <v>118</v>
      </c>
      <c r="F10" s="6" t="s">
        <v>51</v>
      </c>
      <c r="G10" s="6">
        <v>20.81</v>
      </c>
      <c r="H10" s="6" t="s">
        <v>26</v>
      </c>
      <c r="I10" s="6" t="s">
        <v>20</v>
      </c>
      <c r="J10" s="6">
        <v>2026.0</v>
      </c>
      <c r="L10" s="6">
        <v>1.0</v>
      </c>
    </row>
    <row r="11">
      <c r="A11" s="6" t="s">
        <v>11042</v>
      </c>
      <c r="B11" s="6" t="s">
        <v>2819</v>
      </c>
      <c r="C11" s="6" t="s">
        <v>41</v>
      </c>
      <c r="D11" s="6" t="s">
        <v>11043</v>
      </c>
      <c r="F11" s="6" t="s">
        <v>37</v>
      </c>
      <c r="G11" s="6">
        <v>2.88</v>
      </c>
      <c r="H11" s="6" t="s">
        <v>26</v>
      </c>
      <c r="I11" s="6" t="s">
        <v>20</v>
      </c>
      <c r="J11" s="6">
        <v>2026.0</v>
      </c>
      <c r="L11" s="6">
        <v>1.0</v>
      </c>
    </row>
    <row r="12">
      <c r="A12" s="6" t="s">
        <v>11044</v>
      </c>
      <c r="B12" s="6" t="s">
        <v>11045</v>
      </c>
      <c r="C12" s="6" t="s">
        <v>41</v>
      </c>
      <c r="D12" s="6" t="s">
        <v>11046</v>
      </c>
      <c r="F12" s="6" t="s">
        <v>60</v>
      </c>
      <c r="G12" s="6">
        <v>3.3</v>
      </c>
      <c r="H12" s="6" t="s">
        <v>26</v>
      </c>
      <c r="I12" s="6" t="s">
        <v>20</v>
      </c>
      <c r="J12" s="6">
        <v>2026.0</v>
      </c>
      <c r="L12" s="6">
        <v>1.0</v>
      </c>
    </row>
    <row r="13">
      <c r="A13" s="6" t="s">
        <v>11047</v>
      </c>
      <c r="B13" s="6" t="s">
        <v>11048</v>
      </c>
      <c r="C13" s="6" t="s">
        <v>41</v>
      </c>
      <c r="D13" s="6" t="s">
        <v>11049</v>
      </c>
      <c r="E13" s="6" t="s">
        <v>6097</v>
      </c>
      <c r="F13" s="6" t="s">
        <v>60</v>
      </c>
      <c r="G13" s="6">
        <v>5.64</v>
      </c>
      <c r="H13" s="6" t="s">
        <v>26</v>
      </c>
      <c r="I13" s="6" t="s">
        <v>20</v>
      </c>
      <c r="J13" s="6">
        <v>2026.0</v>
      </c>
      <c r="K13" s="10">
        <v>46084.0</v>
      </c>
      <c r="L13" s="6">
        <v>1.0</v>
      </c>
    </row>
    <row r="14">
      <c r="A14" s="6" t="s">
        <v>11050</v>
      </c>
      <c r="B14" s="6" t="s">
        <v>424</v>
      </c>
      <c r="C14" s="6" t="s">
        <v>48</v>
      </c>
      <c r="D14" s="6" t="s">
        <v>11051</v>
      </c>
      <c r="F14" s="6" t="s">
        <v>37</v>
      </c>
      <c r="G14" s="6">
        <v>1.78</v>
      </c>
      <c r="H14" s="6" t="s">
        <v>26</v>
      </c>
      <c r="I14" s="6" t="s">
        <v>20</v>
      </c>
      <c r="J14" s="6">
        <v>2026.0</v>
      </c>
      <c r="L14" s="6">
        <v>1.0</v>
      </c>
    </row>
    <row r="15">
      <c r="A15" s="6" t="s">
        <v>11052</v>
      </c>
      <c r="B15" s="6" t="s">
        <v>11053</v>
      </c>
      <c r="C15" s="6" t="s">
        <v>48</v>
      </c>
      <c r="D15" s="6" t="s">
        <v>11054</v>
      </c>
      <c r="E15" s="6" t="s">
        <v>573</v>
      </c>
      <c r="F15" s="6" t="s">
        <v>51</v>
      </c>
      <c r="G15" s="6">
        <v>0.25</v>
      </c>
      <c r="H15" s="6" t="s">
        <v>31</v>
      </c>
      <c r="I15" s="6" t="s">
        <v>20</v>
      </c>
      <c r="J15" s="6">
        <v>2026.0</v>
      </c>
      <c r="K15" s="10">
        <v>46116.0</v>
      </c>
      <c r="L15" s="6">
        <v>1.0</v>
      </c>
    </row>
    <row r="16">
      <c r="A16" s="6" t="s">
        <v>6598</v>
      </c>
      <c r="B16" s="6" t="s">
        <v>424</v>
      </c>
      <c r="C16" s="6" t="s">
        <v>48</v>
      </c>
      <c r="D16" s="6" t="s">
        <v>11055</v>
      </c>
      <c r="F16" s="6" t="s">
        <v>11027</v>
      </c>
      <c r="G16" s="6">
        <v>0.4</v>
      </c>
      <c r="H16" s="6" t="s">
        <v>26</v>
      </c>
      <c r="I16" s="6" t="s">
        <v>20</v>
      </c>
      <c r="J16" s="6">
        <v>2026.0</v>
      </c>
      <c r="L16" s="6">
        <v>1.0</v>
      </c>
    </row>
    <row r="17">
      <c r="A17" s="6" t="s">
        <v>11056</v>
      </c>
      <c r="B17" s="6" t="s">
        <v>11057</v>
      </c>
      <c r="C17" s="6" t="s">
        <v>41</v>
      </c>
      <c r="D17" s="6" t="s">
        <v>11058</v>
      </c>
      <c r="E17" s="6" t="s">
        <v>1005</v>
      </c>
      <c r="F17" s="6" t="s">
        <v>65</v>
      </c>
      <c r="G17" s="6">
        <v>18.75</v>
      </c>
      <c r="H17" s="6" t="s">
        <v>26</v>
      </c>
      <c r="I17" s="6" t="s">
        <v>20</v>
      </c>
      <c r="J17" s="6">
        <v>2026.0</v>
      </c>
      <c r="K17" s="10">
        <v>46116.0</v>
      </c>
      <c r="L17" s="6">
        <v>1.0</v>
      </c>
    </row>
    <row r="18">
      <c r="A18" s="6" t="s">
        <v>11059</v>
      </c>
      <c r="B18" s="6" t="s">
        <v>2193</v>
      </c>
      <c r="C18" s="6" t="s">
        <v>41</v>
      </c>
      <c r="D18" s="6" t="s">
        <v>11060</v>
      </c>
      <c r="E18" s="6" t="s">
        <v>890</v>
      </c>
      <c r="F18" s="6" t="s">
        <v>37</v>
      </c>
      <c r="G18" s="6">
        <v>2.72</v>
      </c>
      <c r="H18" s="6" t="s">
        <v>26</v>
      </c>
      <c r="I18" s="6" t="s">
        <v>20</v>
      </c>
      <c r="J18" s="6">
        <v>2026.0</v>
      </c>
      <c r="K18" s="10">
        <v>46116.0</v>
      </c>
      <c r="L18" s="6">
        <v>1.0</v>
      </c>
    </row>
    <row r="19">
      <c r="A19" s="6" t="s">
        <v>11061</v>
      </c>
      <c r="B19" s="6" t="s">
        <v>11062</v>
      </c>
      <c r="C19" s="6" t="s">
        <v>41</v>
      </c>
      <c r="D19" s="6" t="s">
        <v>11063</v>
      </c>
      <c r="E19" s="6" t="s">
        <v>625</v>
      </c>
      <c r="F19" s="6" t="s">
        <v>37</v>
      </c>
      <c r="G19" s="6">
        <v>9.4</v>
      </c>
      <c r="H19" s="6" t="s">
        <v>26</v>
      </c>
      <c r="I19" s="6" t="s">
        <v>20</v>
      </c>
      <c r="J19" s="6">
        <v>2026.0</v>
      </c>
      <c r="L19" s="6">
        <v>1.0</v>
      </c>
    </row>
    <row r="20">
      <c r="A20" s="6" t="s">
        <v>6508</v>
      </c>
      <c r="B20" s="6" t="s">
        <v>6509</v>
      </c>
      <c r="C20" s="6" t="s">
        <v>23</v>
      </c>
      <c r="D20" s="6" t="s">
        <v>6510</v>
      </c>
      <c r="F20" s="6" t="s">
        <v>65</v>
      </c>
      <c r="G20" s="6">
        <v>0.25</v>
      </c>
      <c r="H20" s="6" t="s">
        <v>31</v>
      </c>
      <c r="I20" s="6" t="s">
        <v>20</v>
      </c>
      <c r="J20" s="6">
        <v>2026.0</v>
      </c>
      <c r="L20" s="6">
        <v>5.0</v>
      </c>
    </row>
    <row r="21">
      <c r="A21" s="6" t="s">
        <v>11064</v>
      </c>
      <c r="B21" s="6" t="s">
        <v>424</v>
      </c>
      <c r="C21" s="6" t="s">
        <v>41</v>
      </c>
      <c r="D21" s="6" t="s">
        <v>11065</v>
      </c>
      <c r="F21" s="6" t="s">
        <v>261</v>
      </c>
      <c r="G21" s="6">
        <v>1.68</v>
      </c>
      <c r="H21" s="6" t="s">
        <v>26</v>
      </c>
      <c r="I21" s="6" t="s">
        <v>20</v>
      </c>
      <c r="J21" s="6">
        <v>2026.0</v>
      </c>
      <c r="L21" s="6">
        <v>1.0</v>
      </c>
    </row>
    <row r="22">
      <c r="A22" s="6" t="s">
        <v>11066</v>
      </c>
      <c r="B22" s="6" t="s">
        <v>307</v>
      </c>
      <c r="C22" s="6" t="s">
        <v>48</v>
      </c>
      <c r="D22" s="6" t="s">
        <v>11067</v>
      </c>
      <c r="E22" s="6" t="s">
        <v>36</v>
      </c>
      <c r="F22" s="6" t="s">
        <v>37</v>
      </c>
      <c r="G22" s="6">
        <v>8.09</v>
      </c>
      <c r="H22" s="6" t="s">
        <v>26</v>
      </c>
      <c r="I22" s="6" t="s">
        <v>20</v>
      </c>
      <c r="J22" s="6">
        <v>2026.0</v>
      </c>
      <c r="L22" s="6">
        <v>1.0</v>
      </c>
    </row>
    <row r="23">
      <c r="A23" s="6" t="s">
        <v>11068</v>
      </c>
      <c r="B23" s="6" t="s">
        <v>11029</v>
      </c>
      <c r="C23" s="6" t="s">
        <v>41</v>
      </c>
      <c r="D23" s="6" t="s">
        <v>11069</v>
      </c>
      <c r="E23" s="6" t="s">
        <v>243</v>
      </c>
      <c r="F23" s="6" t="s">
        <v>37</v>
      </c>
      <c r="G23" s="6">
        <v>9.36</v>
      </c>
      <c r="H23" s="6" t="s">
        <v>26</v>
      </c>
      <c r="I23" s="6" t="s">
        <v>20</v>
      </c>
      <c r="J23" s="6">
        <v>2026.0</v>
      </c>
      <c r="K23" s="10">
        <v>46055.0</v>
      </c>
      <c r="L23" s="6">
        <v>1.0</v>
      </c>
    </row>
    <row r="24">
      <c r="A24" s="6" t="s">
        <v>11070</v>
      </c>
      <c r="B24" s="6" t="s">
        <v>182</v>
      </c>
      <c r="C24" s="6" t="s">
        <v>41</v>
      </c>
      <c r="D24" s="6" t="s">
        <v>11071</v>
      </c>
      <c r="E24" s="6" t="s">
        <v>558</v>
      </c>
      <c r="F24" s="6" t="s">
        <v>18</v>
      </c>
      <c r="G24" s="6">
        <v>51.75</v>
      </c>
      <c r="H24" s="6" t="s">
        <v>26</v>
      </c>
      <c r="I24" s="6" t="s">
        <v>20</v>
      </c>
      <c r="J24" s="6">
        <v>2026.0</v>
      </c>
      <c r="L24" s="6">
        <v>1.0</v>
      </c>
    </row>
    <row r="25">
      <c r="A25" s="6" t="s">
        <v>7209</v>
      </c>
      <c r="B25" s="6" t="s">
        <v>7210</v>
      </c>
      <c r="C25" s="6" t="s">
        <v>23</v>
      </c>
      <c r="D25" s="6" t="s">
        <v>7211</v>
      </c>
      <c r="F25" s="6" t="s">
        <v>51</v>
      </c>
      <c r="G25" s="6">
        <v>0.25</v>
      </c>
      <c r="H25" s="6" t="s">
        <v>31</v>
      </c>
      <c r="I25" s="6" t="s">
        <v>20</v>
      </c>
      <c r="J25" s="6">
        <v>2026.0</v>
      </c>
      <c r="L25" s="6">
        <v>1.0</v>
      </c>
    </row>
    <row r="26">
      <c r="A26" s="6" t="s">
        <v>11072</v>
      </c>
      <c r="B26" s="6" t="s">
        <v>6848</v>
      </c>
      <c r="C26" s="6" t="s">
        <v>41</v>
      </c>
      <c r="D26" s="6" t="s">
        <v>11073</v>
      </c>
      <c r="E26" s="6" t="s">
        <v>2039</v>
      </c>
      <c r="F26" s="6" t="s">
        <v>261</v>
      </c>
      <c r="G26" s="6">
        <v>5.4</v>
      </c>
      <c r="H26" s="6" t="s">
        <v>26</v>
      </c>
      <c r="I26" s="6" t="s">
        <v>20</v>
      </c>
      <c r="J26" s="6">
        <v>2026.0</v>
      </c>
      <c r="K26" s="10">
        <v>46055.0</v>
      </c>
      <c r="L26" s="6">
        <v>1.0</v>
      </c>
    </row>
    <row r="27">
      <c r="A27" s="6" t="s">
        <v>11074</v>
      </c>
      <c r="B27" s="6" t="s">
        <v>307</v>
      </c>
      <c r="C27" s="6" t="s">
        <v>41</v>
      </c>
      <c r="D27" s="6" t="s">
        <v>11075</v>
      </c>
      <c r="E27" s="6" t="s">
        <v>625</v>
      </c>
      <c r="F27" s="6" t="s">
        <v>37</v>
      </c>
      <c r="G27" s="6">
        <v>13.61</v>
      </c>
      <c r="H27" s="6" t="s">
        <v>26</v>
      </c>
      <c r="I27" s="6" t="s">
        <v>20</v>
      </c>
      <c r="J27" s="6">
        <v>2026.0</v>
      </c>
      <c r="L27" s="6">
        <v>1.0</v>
      </c>
    </row>
    <row r="28">
      <c r="A28" s="6" t="s">
        <v>11076</v>
      </c>
      <c r="B28" s="6" t="s">
        <v>424</v>
      </c>
      <c r="C28" s="6" t="s">
        <v>41</v>
      </c>
      <c r="D28" s="6" t="s">
        <v>11077</v>
      </c>
      <c r="F28" s="6" t="s">
        <v>261</v>
      </c>
      <c r="G28" s="6">
        <v>2.92</v>
      </c>
      <c r="H28" s="6" t="s">
        <v>26</v>
      </c>
      <c r="I28" s="6" t="s">
        <v>20</v>
      </c>
      <c r="J28" s="6">
        <v>2026.0</v>
      </c>
      <c r="L28" s="6">
        <v>1.0</v>
      </c>
    </row>
    <row r="29">
      <c r="A29" s="6" t="s">
        <v>11078</v>
      </c>
      <c r="B29" s="6" t="s">
        <v>11079</v>
      </c>
      <c r="C29" s="6" t="s">
        <v>41</v>
      </c>
      <c r="D29" s="6" t="s">
        <v>11080</v>
      </c>
      <c r="E29" s="6" t="s">
        <v>36</v>
      </c>
      <c r="F29" s="6" t="s">
        <v>37</v>
      </c>
      <c r="G29" s="6">
        <v>1.77</v>
      </c>
      <c r="H29" s="6" t="s">
        <v>26</v>
      </c>
      <c r="I29" s="6" t="s">
        <v>20</v>
      </c>
      <c r="J29" s="6">
        <v>2026.0</v>
      </c>
      <c r="L29" s="6">
        <v>1.0</v>
      </c>
    </row>
    <row r="30">
      <c r="A30" s="6" t="s">
        <v>11081</v>
      </c>
      <c r="B30" s="6" t="s">
        <v>182</v>
      </c>
      <c r="C30" s="6" t="s">
        <v>41</v>
      </c>
      <c r="D30" s="6" t="s">
        <v>11082</v>
      </c>
      <c r="E30" s="6" t="s">
        <v>79</v>
      </c>
      <c r="F30" s="6" t="s">
        <v>51</v>
      </c>
      <c r="G30" s="6">
        <v>1.42</v>
      </c>
      <c r="H30" s="6" t="s">
        <v>26</v>
      </c>
      <c r="I30" s="6" t="s">
        <v>20</v>
      </c>
      <c r="J30" s="6">
        <v>2026.0</v>
      </c>
      <c r="L30" s="6">
        <v>1.0</v>
      </c>
    </row>
    <row r="31">
      <c r="A31" s="6" t="s">
        <v>11083</v>
      </c>
      <c r="B31" s="6" t="s">
        <v>10204</v>
      </c>
      <c r="C31" s="6" t="s">
        <v>48</v>
      </c>
      <c r="D31" s="6" t="s">
        <v>11084</v>
      </c>
      <c r="E31" s="6" t="s">
        <v>149</v>
      </c>
      <c r="F31" s="6" t="s">
        <v>18</v>
      </c>
      <c r="G31" s="6">
        <v>0.85</v>
      </c>
      <c r="H31" s="6" t="s">
        <v>26</v>
      </c>
      <c r="I31" s="6" t="s">
        <v>20</v>
      </c>
      <c r="J31" s="6">
        <v>2026.0</v>
      </c>
      <c r="K31" s="10">
        <v>46024.0</v>
      </c>
      <c r="L31" s="6">
        <v>1.0</v>
      </c>
    </row>
    <row r="32">
      <c r="A32" s="6" t="s">
        <v>11085</v>
      </c>
      <c r="B32" s="6" t="s">
        <v>424</v>
      </c>
      <c r="C32" s="6" t="s">
        <v>23</v>
      </c>
      <c r="D32" s="6" t="s">
        <v>11086</v>
      </c>
      <c r="F32" s="6" t="s">
        <v>37</v>
      </c>
      <c r="G32" s="6">
        <v>1.96</v>
      </c>
      <c r="H32" s="6" t="s">
        <v>26</v>
      </c>
      <c r="I32" s="6" t="s">
        <v>20</v>
      </c>
      <c r="J32" s="6">
        <v>2026.0</v>
      </c>
      <c r="L32" s="6">
        <v>1.0</v>
      </c>
    </row>
    <row r="33">
      <c r="A33" s="6" t="s">
        <v>11087</v>
      </c>
      <c r="B33" s="6" t="s">
        <v>8847</v>
      </c>
      <c r="C33" s="6" t="s">
        <v>41</v>
      </c>
      <c r="D33" s="6" t="s">
        <v>11088</v>
      </c>
      <c r="E33" s="6" t="s">
        <v>1139</v>
      </c>
      <c r="F33" s="6" t="s">
        <v>60</v>
      </c>
      <c r="G33" s="6">
        <v>9.34</v>
      </c>
      <c r="H33" s="6" t="s">
        <v>26</v>
      </c>
      <c r="I33" s="6" t="s">
        <v>20</v>
      </c>
      <c r="J33" s="6">
        <v>2026.0</v>
      </c>
      <c r="K33" s="10">
        <v>46115.0</v>
      </c>
      <c r="L33" s="6">
        <v>1.0</v>
      </c>
    </row>
    <row r="34">
      <c r="A34" s="6" t="s">
        <v>6041</v>
      </c>
      <c r="B34" s="6" t="s">
        <v>62</v>
      </c>
      <c r="C34" s="6" t="s">
        <v>23</v>
      </c>
      <c r="D34" s="6" t="s">
        <v>6042</v>
      </c>
      <c r="E34" s="6" t="s">
        <v>79</v>
      </c>
      <c r="F34" s="6" t="s">
        <v>51</v>
      </c>
      <c r="G34" s="6">
        <v>0.14</v>
      </c>
      <c r="H34" s="6" t="s">
        <v>26</v>
      </c>
      <c r="I34" s="6" t="s">
        <v>20</v>
      </c>
      <c r="J34" s="6">
        <v>2026.0</v>
      </c>
      <c r="L34" s="6">
        <v>1.0</v>
      </c>
    </row>
    <row r="35">
      <c r="A35" s="6" t="s">
        <v>5284</v>
      </c>
      <c r="B35" s="6" t="s">
        <v>5285</v>
      </c>
      <c r="C35" s="6" t="s">
        <v>23</v>
      </c>
      <c r="D35" s="6" t="s">
        <v>5286</v>
      </c>
      <c r="F35" s="6" t="s">
        <v>18</v>
      </c>
      <c r="G35" s="6">
        <v>0.25</v>
      </c>
      <c r="H35" s="6" t="s">
        <v>31</v>
      </c>
      <c r="I35" s="6" t="s">
        <v>20</v>
      </c>
      <c r="J35" s="6">
        <v>2026.0</v>
      </c>
      <c r="L35" s="6">
        <v>5.0</v>
      </c>
    </row>
    <row r="36">
      <c r="A36" s="6" t="s">
        <v>7209</v>
      </c>
      <c r="B36" s="6" t="s">
        <v>7210</v>
      </c>
      <c r="C36" s="6" t="s">
        <v>23</v>
      </c>
      <c r="D36" s="6" t="s">
        <v>7211</v>
      </c>
      <c r="F36" s="6" t="s">
        <v>51</v>
      </c>
      <c r="G36" s="6">
        <v>0.25</v>
      </c>
      <c r="H36" s="6" t="s">
        <v>31</v>
      </c>
      <c r="I36" s="6" t="s">
        <v>20</v>
      </c>
      <c r="J36" s="6">
        <v>2026.0</v>
      </c>
      <c r="L36" s="6">
        <v>2.0</v>
      </c>
    </row>
    <row r="37">
      <c r="A37" s="6" t="s">
        <v>11089</v>
      </c>
      <c r="B37" s="6" t="s">
        <v>424</v>
      </c>
      <c r="C37" s="6" t="s">
        <v>48</v>
      </c>
      <c r="D37" s="6" t="s">
        <v>11090</v>
      </c>
      <c r="F37" s="6" t="s">
        <v>37</v>
      </c>
      <c r="G37" s="6">
        <v>7.9</v>
      </c>
      <c r="H37" s="6" t="s">
        <v>26</v>
      </c>
      <c r="I37" s="6" t="s">
        <v>20</v>
      </c>
      <c r="J37" s="6">
        <v>2026.0</v>
      </c>
      <c r="L37" s="6">
        <v>1.0</v>
      </c>
    </row>
    <row r="38">
      <c r="A38" s="6" t="s">
        <v>11091</v>
      </c>
      <c r="B38" s="6" t="s">
        <v>592</v>
      </c>
      <c r="C38" s="6" t="s">
        <v>41</v>
      </c>
      <c r="D38" s="6" t="s">
        <v>11092</v>
      </c>
      <c r="E38" s="6" t="s">
        <v>1250</v>
      </c>
      <c r="F38" s="6" t="s">
        <v>60</v>
      </c>
      <c r="G38" s="6">
        <v>7.95</v>
      </c>
      <c r="H38" s="6" t="s">
        <v>26</v>
      </c>
      <c r="I38" s="6" t="s">
        <v>20</v>
      </c>
      <c r="J38" s="6">
        <v>2026.0</v>
      </c>
      <c r="L38" s="6">
        <v>1.0</v>
      </c>
    </row>
    <row r="39">
      <c r="A39" s="6" t="s">
        <v>11093</v>
      </c>
      <c r="B39" s="6" t="s">
        <v>372</v>
      </c>
      <c r="C39" s="6" t="s">
        <v>41</v>
      </c>
      <c r="D39" s="6" t="s">
        <v>11094</v>
      </c>
      <c r="E39" s="6" t="s">
        <v>79</v>
      </c>
      <c r="F39" s="6" t="s">
        <v>51</v>
      </c>
      <c r="G39" s="6">
        <v>3.75</v>
      </c>
      <c r="H39" s="6" t="s">
        <v>26</v>
      </c>
      <c r="I39" s="6" t="s">
        <v>20</v>
      </c>
      <c r="J39" s="6">
        <v>2026.0</v>
      </c>
      <c r="L39" s="6">
        <v>1.0</v>
      </c>
    </row>
    <row r="40">
      <c r="A40" s="6" t="s">
        <v>11095</v>
      </c>
      <c r="B40" s="6" t="s">
        <v>424</v>
      </c>
      <c r="C40" s="6" t="s">
        <v>23</v>
      </c>
      <c r="D40" s="6" t="s">
        <v>11096</v>
      </c>
      <c r="F40" s="6" t="s">
        <v>37</v>
      </c>
      <c r="G40" s="6">
        <v>0.59</v>
      </c>
      <c r="H40" s="6" t="s">
        <v>26</v>
      </c>
      <c r="I40" s="6" t="s">
        <v>20</v>
      </c>
      <c r="J40" s="6">
        <v>2026.0</v>
      </c>
      <c r="L40" s="6">
        <v>1.0</v>
      </c>
    </row>
    <row r="41">
      <c r="A41" s="6" t="s">
        <v>11097</v>
      </c>
      <c r="B41" s="6" t="s">
        <v>424</v>
      </c>
      <c r="C41" s="6" t="s">
        <v>41</v>
      </c>
      <c r="D41" s="6" t="s">
        <v>11098</v>
      </c>
      <c r="F41" s="6" t="s">
        <v>60</v>
      </c>
      <c r="G41" s="6">
        <v>1.78</v>
      </c>
      <c r="H41" s="6" t="s">
        <v>26</v>
      </c>
      <c r="I41" s="6" t="s">
        <v>20</v>
      </c>
      <c r="J41" s="6">
        <v>2026.0</v>
      </c>
      <c r="L41" s="6">
        <v>1.0</v>
      </c>
    </row>
    <row r="42">
      <c r="A42" s="6" t="s">
        <v>11099</v>
      </c>
      <c r="B42" s="6" t="s">
        <v>613</v>
      </c>
      <c r="C42" s="6" t="s">
        <v>41</v>
      </c>
      <c r="D42" s="6" t="s">
        <v>11100</v>
      </c>
      <c r="E42" s="6" t="s">
        <v>533</v>
      </c>
      <c r="F42" s="6" t="s">
        <v>65</v>
      </c>
      <c r="G42" s="6">
        <v>2.82</v>
      </c>
      <c r="H42" s="6" t="s">
        <v>26</v>
      </c>
      <c r="I42" s="6" t="s">
        <v>20</v>
      </c>
      <c r="J42" s="6">
        <v>2026.0</v>
      </c>
      <c r="K42" s="10">
        <v>46114.0</v>
      </c>
      <c r="L42" s="6">
        <v>1.0</v>
      </c>
    </row>
    <row r="43">
      <c r="A43" s="6" t="s">
        <v>11101</v>
      </c>
      <c r="B43" s="6" t="s">
        <v>4768</v>
      </c>
      <c r="C43" s="6" t="s">
        <v>41</v>
      </c>
      <c r="D43" s="6" t="s">
        <v>11102</v>
      </c>
      <c r="E43" s="6" t="s">
        <v>6097</v>
      </c>
      <c r="F43" s="6" t="s">
        <v>60</v>
      </c>
      <c r="G43" s="6">
        <v>2.67</v>
      </c>
      <c r="H43" s="6" t="s">
        <v>26</v>
      </c>
      <c r="I43" s="6" t="s">
        <v>20</v>
      </c>
      <c r="J43" s="6">
        <v>2026.0</v>
      </c>
      <c r="K43" s="10">
        <v>46115.0</v>
      </c>
      <c r="L43" s="6">
        <v>1.0</v>
      </c>
    </row>
    <row r="44">
      <c r="A44" s="6" t="s">
        <v>11103</v>
      </c>
      <c r="B44" s="6" t="s">
        <v>62</v>
      </c>
      <c r="C44" s="6" t="s">
        <v>48</v>
      </c>
      <c r="D44" s="6" t="s">
        <v>11104</v>
      </c>
      <c r="E44" s="6" t="s">
        <v>175</v>
      </c>
      <c r="F44" s="6" t="s">
        <v>51</v>
      </c>
      <c r="G44" s="6">
        <v>12.46</v>
      </c>
      <c r="H44" s="6" t="s">
        <v>26</v>
      </c>
      <c r="I44" s="6" t="s">
        <v>20</v>
      </c>
      <c r="J44" s="6">
        <v>2026.0</v>
      </c>
      <c r="L44" s="6">
        <v>1.0</v>
      </c>
    </row>
    <row r="45">
      <c r="A45" s="6" t="s">
        <v>11105</v>
      </c>
      <c r="B45" s="6" t="s">
        <v>11106</v>
      </c>
      <c r="C45" s="6" t="s">
        <v>41</v>
      </c>
      <c r="D45" s="6" t="s">
        <v>11107</v>
      </c>
      <c r="F45" s="6" t="s">
        <v>986</v>
      </c>
      <c r="G45" s="6">
        <v>2.91</v>
      </c>
      <c r="H45" s="6" t="s">
        <v>26</v>
      </c>
      <c r="I45" s="6" t="s">
        <v>20</v>
      </c>
      <c r="J45" s="6">
        <v>2026.0</v>
      </c>
      <c r="L45" s="6">
        <v>1.0</v>
      </c>
    </row>
    <row r="46">
      <c r="A46" s="6" t="s">
        <v>11108</v>
      </c>
      <c r="B46" s="6" t="s">
        <v>307</v>
      </c>
      <c r="C46" s="6" t="s">
        <v>48</v>
      </c>
      <c r="D46" s="6" t="s">
        <v>11109</v>
      </c>
      <c r="E46" s="6" t="s">
        <v>36</v>
      </c>
      <c r="F46" s="6" t="s">
        <v>261</v>
      </c>
      <c r="G46" s="6">
        <v>5.63</v>
      </c>
      <c r="H46" s="6" t="s">
        <v>26</v>
      </c>
      <c r="I46" s="6" t="s">
        <v>20</v>
      </c>
      <c r="J46" s="6">
        <v>2026.0</v>
      </c>
      <c r="L46" s="6">
        <v>1.0</v>
      </c>
    </row>
    <row r="47">
      <c r="A47" s="6" t="s">
        <v>11110</v>
      </c>
      <c r="B47" s="6" t="s">
        <v>7080</v>
      </c>
      <c r="C47" s="6" t="s">
        <v>1956</v>
      </c>
      <c r="D47" s="6" t="s">
        <v>11111</v>
      </c>
      <c r="E47" s="6" t="s">
        <v>11112</v>
      </c>
      <c r="F47" s="6" t="s">
        <v>11027</v>
      </c>
      <c r="G47" s="6">
        <v>7.51</v>
      </c>
      <c r="H47" s="6" t="s">
        <v>26</v>
      </c>
      <c r="I47" s="6" t="s">
        <v>20</v>
      </c>
      <c r="J47" s="6">
        <v>2026.0</v>
      </c>
      <c r="K47" s="10">
        <v>46114.0</v>
      </c>
      <c r="L47" s="6">
        <v>1.0</v>
      </c>
    </row>
    <row r="48">
      <c r="A48" s="6" t="s">
        <v>11113</v>
      </c>
      <c r="B48" s="6" t="s">
        <v>11045</v>
      </c>
      <c r="C48" s="6" t="s">
        <v>41</v>
      </c>
      <c r="D48" s="6" t="s">
        <v>11114</v>
      </c>
      <c r="F48" s="6" t="s">
        <v>60</v>
      </c>
      <c r="G48" s="6">
        <v>8.0</v>
      </c>
      <c r="H48" s="6" t="s">
        <v>26</v>
      </c>
      <c r="I48" s="6" t="s">
        <v>20</v>
      </c>
      <c r="J48" s="6">
        <v>2026.0</v>
      </c>
      <c r="L48" s="6">
        <v>1.0</v>
      </c>
    </row>
    <row r="49">
      <c r="A49" s="6" t="s">
        <v>11089</v>
      </c>
      <c r="B49" s="6" t="s">
        <v>424</v>
      </c>
      <c r="C49" s="6" t="s">
        <v>48</v>
      </c>
      <c r="D49" s="6" t="s">
        <v>11090</v>
      </c>
      <c r="F49" s="6" t="s">
        <v>37</v>
      </c>
      <c r="G49" s="6">
        <v>1.8</v>
      </c>
      <c r="H49" s="6" t="s">
        <v>26</v>
      </c>
      <c r="I49" s="6" t="s">
        <v>20</v>
      </c>
      <c r="J49" s="6">
        <v>2026.0</v>
      </c>
      <c r="L49" s="6">
        <v>1.0</v>
      </c>
    </row>
    <row r="50">
      <c r="A50" s="6" t="s">
        <v>2830</v>
      </c>
      <c r="B50" s="6" t="s">
        <v>62</v>
      </c>
      <c r="C50" s="6" t="s">
        <v>23</v>
      </c>
      <c r="D50" s="6" t="s">
        <v>2831</v>
      </c>
      <c r="E50" s="6" t="s">
        <v>118</v>
      </c>
      <c r="F50" s="6" t="s">
        <v>51</v>
      </c>
      <c r="G50" s="6">
        <v>1.22</v>
      </c>
      <c r="H50" s="6" t="s">
        <v>26</v>
      </c>
      <c r="I50" s="6" t="s">
        <v>20</v>
      </c>
      <c r="J50" s="6">
        <v>2026.0</v>
      </c>
      <c r="L50" s="6">
        <v>1.0</v>
      </c>
    </row>
    <row r="51">
      <c r="A51" s="6" t="s">
        <v>11115</v>
      </c>
      <c r="B51" s="6" t="s">
        <v>424</v>
      </c>
      <c r="C51" s="6" t="s">
        <v>41</v>
      </c>
      <c r="D51" s="6" t="s">
        <v>11116</v>
      </c>
      <c r="F51" s="6" t="s">
        <v>986</v>
      </c>
      <c r="G51" s="6">
        <v>1.44</v>
      </c>
      <c r="H51" s="6" t="s">
        <v>26</v>
      </c>
      <c r="I51" s="6" t="s">
        <v>20</v>
      </c>
      <c r="J51" s="6">
        <v>2026.0</v>
      </c>
      <c r="L51" s="6">
        <v>1.0</v>
      </c>
    </row>
    <row r="52">
      <c r="A52" s="6" t="s">
        <v>11117</v>
      </c>
      <c r="B52" s="6" t="s">
        <v>11118</v>
      </c>
      <c r="C52" s="6" t="s">
        <v>41</v>
      </c>
      <c r="D52" s="6" t="s">
        <v>11119</v>
      </c>
      <c r="E52" s="6" t="s">
        <v>11120</v>
      </c>
      <c r="F52" s="6" t="s">
        <v>986</v>
      </c>
      <c r="G52" s="6">
        <v>4.5</v>
      </c>
      <c r="H52" s="6" t="s">
        <v>26</v>
      </c>
      <c r="I52" s="6" t="s">
        <v>20</v>
      </c>
      <c r="J52" s="6">
        <v>2026.0</v>
      </c>
      <c r="K52" s="10">
        <v>46116.0</v>
      </c>
      <c r="L52" s="6">
        <v>1.0</v>
      </c>
    </row>
    <row r="53">
      <c r="A53" s="6" t="s">
        <v>11121</v>
      </c>
      <c r="B53" s="6" t="s">
        <v>7080</v>
      </c>
      <c r="C53" s="6" t="s">
        <v>41</v>
      </c>
      <c r="D53" s="6" t="s">
        <v>11122</v>
      </c>
      <c r="E53" s="6" t="s">
        <v>1296</v>
      </c>
      <c r="F53" s="6" t="s">
        <v>986</v>
      </c>
      <c r="G53" s="6">
        <v>76.9</v>
      </c>
      <c r="H53" s="6" t="s">
        <v>26</v>
      </c>
      <c r="I53" s="6" t="s">
        <v>20</v>
      </c>
      <c r="J53" s="6">
        <v>2026.0</v>
      </c>
      <c r="K53" s="10">
        <v>46055.0</v>
      </c>
      <c r="L53" s="6">
        <v>1.0</v>
      </c>
    </row>
    <row r="54">
      <c r="A54" s="6" t="s">
        <v>11123</v>
      </c>
      <c r="B54" s="6" t="s">
        <v>11124</v>
      </c>
      <c r="C54" s="6" t="s">
        <v>41</v>
      </c>
      <c r="D54" s="6" t="s">
        <v>11125</v>
      </c>
      <c r="E54" s="6" t="s">
        <v>1250</v>
      </c>
      <c r="F54" s="6" t="s">
        <v>60</v>
      </c>
      <c r="G54" s="6">
        <v>3.5</v>
      </c>
      <c r="H54" s="6" t="s">
        <v>26</v>
      </c>
      <c r="I54" s="6" t="s">
        <v>20</v>
      </c>
      <c r="J54" s="6">
        <v>2026.0</v>
      </c>
      <c r="K54" s="10">
        <v>46054.0</v>
      </c>
      <c r="L54" s="6">
        <v>1.0</v>
      </c>
    </row>
    <row r="55">
      <c r="A55" s="6" t="s">
        <v>11126</v>
      </c>
      <c r="B55" s="6" t="s">
        <v>11127</v>
      </c>
      <c r="C55" s="6" t="s">
        <v>41</v>
      </c>
      <c r="D55" s="6" t="s">
        <v>11128</v>
      </c>
      <c r="F55" s="6" t="s">
        <v>261</v>
      </c>
      <c r="G55" s="6">
        <v>1.44</v>
      </c>
      <c r="H55" s="6" t="s">
        <v>26</v>
      </c>
      <c r="I55" s="6" t="s">
        <v>20</v>
      </c>
      <c r="J55" s="6">
        <v>2026.0</v>
      </c>
      <c r="L55" s="6">
        <v>1.0</v>
      </c>
    </row>
    <row r="56">
      <c r="A56" s="6" t="s">
        <v>11129</v>
      </c>
      <c r="B56" s="6" t="s">
        <v>62</v>
      </c>
      <c r="C56" s="6" t="s">
        <v>23</v>
      </c>
      <c r="D56" s="6" t="s">
        <v>11130</v>
      </c>
      <c r="E56" s="6" t="s">
        <v>149</v>
      </c>
      <c r="F56" s="6" t="s">
        <v>18</v>
      </c>
      <c r="G56" s="6">
        <v>11.25</v>
      </c>
      <c r="H56" s="6" t="s">
        <v>26</v>
      </c>
      <c r="I56" s="6" t="s">
        <v>20</v>
      </c>
      <c r="J56" s="6">
        <v>2026.0</v>
      </c>
      <c r="L56" s="6">
        <v>1.0</v>
      </c>
    </row>
    <row r="57">
      <c r="A57" s="6" t="s">
        <v>11131</v>
      </c>
      <c r="B57" s="6" t="s">
        <v>68</v>
      </c>
      <c r="C57" s="6" t="s">
        <v>48</v>
      </c>
      <c r="D57" s="6" t="s">
        <v>11132</v>
      </c>
      <c r="F57" s="6" t="s">
        <v>37</v>
      </c>
      <c r="G57" s="6">
        <v>0.25</v>
      </c>
      <c r="H57" s="6" t="s">
        <v>31</v>
      </c>
      <c r="I57" s="6" t="s">
        <v>20</v>
      </c>
      <c r="J57" s="6">
        <v>2026.0</v>
      </c>
      <c r="L57" s="6">
        <v>1.0</v>
      </c>
    </row>
    <row r="58">
      <c r="A58" s="6" t="s">
        <v>11133</v>
      </c>
      <c r="B58" s="6" t="s">
        <v>10204</v>
      </c>
      <c r="C58" s="6" t="s">
        <v>41</v>
      </c>
      <c r="D58" s="6" t="s">
        <v>11134</v>
      </c>
      <c r="E58" s="6" t="s">
        <v>502</v>
      </c>
      <c r="F58" s="6" t="s">
        <v>65</v>
      </c>
      <c r="G58" s="6">
        <v>2.6</v>
      </c>
      <c r="H58" s="6" t="s">
        <v>26</v>
      </c>
      <c r="I58" s="6" t="s">
        <v>20</v>
      </c>
      <c r="J58" s="6">
        <v>2026.0</v>
      </c>
      <c r="K58" s="10">
        <v>46145.0</v>
      </c>
      <c r="L58" s="6">
        <v>1.0</v>
      </c>
    </row>
    <row r="59">
      <c r="A59" s="6" t="s">
        <v>11135</v>
      </c>
      <c r="B59" s="6" t="s">
        <v>202</v>
      </c>
      <c r="C59" s="6" t="s">
        <v>41</v>
      </c>
      <c r="D59" s="6" t="s">
        <v>11136</v>
      </c>
      <c r="E59" s="6" t="s">
        <v>220</v>
      </c>
      <c r="F59" s="6" t="s">
        <v>18</v>
      </c>
      <c r="G59" s="6">
        <v>44.9</v>
      </c>
      <c r="H59" s="6" t="s">
        <v>26</v>
      </c>
      <c r="I59" s="6" t="s">
        <v>20</v>
      </c>
      <c r="J59" s="6">
        <v>2026.0</v>
      </c>
      <c r="L59" s="6">
        <v>1.0</v>
      </c>
    </row>
    <row r="60">
      <c r="A60" s="6" t="s">
        <v>11137</v>
      </c>
      <c r="B60" s="6" t="s">
        <v>11138</v>
      </c>
      <c r="C60" s="6" t="s">
        <v>41</v>
      </c>
      <c r="D60" s="6" t="s">
        <v>11139</v>
      </c>
      <c r="E60" s="6" t="s">
        <v>1950</v>
      </c>
      <c r="F60" s="6" t="s">
        <v>65</v>
      </c>
      <c r="G60" s="6">
        <v>2.5</v>
      </c>
      <c r="H60" s="6" t="s">
        <v>26</v>
      </c>
      <c r="I60" s="6" t="s">
        <v>20</v>
      </c>
      <c r="J60" s="6">
        <v>2026.0</v>
      </c>
      <c r="K60" s="10">
        <v>46147.0</v>
      </c>
      <c r="L60" s="6">
        <v>1.0</v>
      </c>
    </row>
    <row r="61">
      <c r="A61" s="6" t="s">
        <v>11140</v>
      </c>
      <c r="B61" s="6" t="s">
        <v>307</v>
      </c>
      <c r="C61" s="6" t="s">
        <v>48</v>
      </c>
      <c r="D61" s="6" t="s">
        <v>11086</v>
      </c>
      <c r="E61" s="6" t="s">
        <v>36</v>
      </c>
      <c r="F61" s="6" t="s">
        <v>37</v>
      </c>
      <c r="G61" s="6">
        <v>4.95</v>
      </c>
      <c r="H61" s="6" t="s">
        <v>26</v>
      </c>
      <c r="I61" s="6" t="s">
        <v>20</v>
      </c>
      <c r="J61" s="6">
        <v>2026.0</v>
      </c>
      <c r="L61" s="6">
        <v>1.0</v>
      </c>
    </row>
    <row r="62">
      <c r="A62" s="6" t="s">
        <v>11141</v>
      </c>
      <c r="B62" s="6" t="s">
        <v>424</v>
      </c>
      <c r="C62" s="6" t="s">
        <v>41</v>
      </c>
      <c r="D62" s="6" t="s">
        <v>11142</v>
      </c>
      <c r="F62" s="6" t="s">
        <v>986</v>
      </c>
      <c r="G62" s="6">
        <v>3.0</v>
      </c>
      <c r="H62" s="6" t="s">
        <v>26</v>
      </c>
      <c r="I62" s="6" t="s">
        <v>20</v>
      </c>
      <c r="J62" s="6">
        <v>2026.0</v>
      </c>
      <c r="L62" s="6">
        <v>1.0</v>
      </c>
    </row>
    <row r="63">
      <c r="A63" s="6" t="s">
        <v>11143</v>
      </c>
      <c r="B63" s="6" t="s">
        <v>11144</v>
      </c>
      <c r="C63" s="6" t="s">
        <v>41</v>
      </c>
      <c r="D63" s="6" t="s">
        <v>11145</v>
      </c>
      <c r="E63" s="6" t="s">
        <v>64</v>
      </c>
      <c r="F63" s="6" t="s">
        <v>65</v>
      </c>
      <c r="G63" s="6">
        <v>1.7</v>
      </c>
      <c r="H63" s="6" t="s">
        <v>26</v>
      </c>
      <c r="I63" s="6" t="s">
        <v>20</v>
      </c>
      <c r="J63" s="6">
        <v>2026.0</v>
      </c>
      <c r="K63" s="10">
        <v>46082.0</v>
      </c>
      <c r="L63" s="6">
        <v>1.0</v>
      </c>
    </row>
    <row r="64">
      <c r="A64" s="6" t="s">
        <v>11146</v>
      </c>
      <c r="B64" s="6" t="s">
        <v>307</v>
      </c>
      <c r="C64" s="6" t="s">
        <v>48</v>
      </c>
      <c r="D64" s="6" t="s">
        <v>11147</v>
      </c>
      <c r="E64" s="6" t="s">
        <v>243</v>
      </c>
      <c r="F64" s="6" t="s">
        <v>37</v>
      </c>
      <c r="G64" s="6">
        <v>8.45</v>
      </c>
      <c r="H64" s="6" t="s">
        <v>26</v>
      </c>
      <c r="I64" s="6" t="s">
        <v>20</v>
      </c>
      <c r="J64" s="6">
        <v>2026.0</v>
      </c>
      <c r="L64" s="6">
        <v>1.0</v>
      </c>
    </row>
    <row r="65">
      <c r="A65" s="6" t="s">
        <v>11148</v>
      </c>
      <c r="B65" s="6" t="s">
        <v>543</v>
      </c>
      <c r="C65" s="6" t="s">
        <v>41</v>
      </c>
      <c r="D65" s="6" t="s">
        <v>11149</v>
      </c>
      <c r="E65" s="6" t="s">
        <v>2942</v>
      </c>
      <c r="F65" s="6" t="s">
        <v>18</v>
      </c>
      <c r="G65" s="6">
        <v>5.49</v>
      </c>
      <c r="H65" s="6" t="s">
        <v>26</v>
      </c>
      <c r="I65" s="6" t="s">
        <v>20</v>
      </c>
      <c r="J65" s="6">
        <v>2026.0</v>
      </c>
      <c r="L65" s="6">
        <v>1.0</v>
      </c>
    </row>
    <row r="66">
      <c r="A66" s="6" t="s">
        <v>11150</v>
      </c>
      <c r="B66" s="6" t="s">
        <v>7319</v>
      </c>
      <c r="C66" s="6" t="s">
        <v>41</v>
      </c>
      <c r="D66" s="6" t="s">
        <v>11151</v>
      </c>
      <c r="E66" s="6" t="s">
        <v>36</v>
      </c>
      <c r="F66" s="6" t="s">
        <v>37</v>
      </c>
      <c r="G66" s="6">
        <v>5.64</v>
      </c>
      <c r="H66" s="6" t="s">
        <v>26</v>
      </c>
      <c r="I66" s="6" t="s">
        <v>20</v>
      </c>
      <c r="J66" s="6">
        <v>2026.0</v>
      </c>
      <c r="K66" s="10">
        <v>46024.0</v>
      </c>
      <c r="L66" s="6">
        <v>1.0</v>
      </c>
    </row>
    <row r="67">
      <c r="A67" s="6" t="s">
        <v>11152</v>
      </c>
      <c r="B67" s="6" t="s">
        <v>424</v>
      </c>
      <c r="C67" s="6" t="s">
        <v>41</v>
      </c>
      <c r="D67" s="6" t="s">
        <v>11153</v>
      </c>
      <c r="F67" s="6" t="s">
        <v>986</v>
      </c>
      <c r="G67" s="6">
        <v>44.95</v>
      </c>
      <c r="H67" s="6" t="s">
        <v>26</v>
      </c>
      <c r="I67" s="6" t="s">
        <v>20</v>
      </c>
      <c r="J67" s="6">
        <v>2026.0</v>
      </c>
      <c r="L67" s="6">
        <v>1.0</v>
      </c>
    </row>
    <row r="68">
      <c r="A68" s="6" t="s">
        <v>11154</v>
      </c>
      <c r="B68" s="6" t="s">
        <v>1590</v>
      </c>
      <c r="C68" s="6" t="s">
        <v>41</v>
      </c>
      <c r="D68" s="6" t="s">
        <v>11155</v>
      </c>
      <c r="E68" s="6" t="s">
        <v>345</v>
      </c>
      <c r="F68" s="6" t="s">
        <v>18</v>
      </c>
      <c r="G68" s="6">
        <v>6.3</v>
      </c>
      <c r="H68" s="6" t="s">
        <v>26</v>
      </c>
      <c r="I68" s="6" t="s">
        <v>20</v>
      </c>
      <c r="J68" s="6">
        <v>2026.0</v>
      </c>
      <c r="K68" s="10">
        <v>46179.0</v>
      </c>
      <c r="L68" s="6">
        <v>1.0</v>
      </c>
    </row>
    <row r="69">
      <c r="A69" s="6" t="s">
        <v>11156</v>
      </c>
      <c r="B69" s="6" t="s">
        <v>424</v>
      </c>
      <c r="C69" s="6" t="s">
        <v>41</v>
      </c>
      <c r="D69" s="6" t="s">
        <v>11157</v>
      </c>
      <c r="F69" s="6" t="s">
        <v>60</v>
      </c>
      <c r="G69" s="6">
        <v>4.25</v>
      </c>
      <c r="H69" s="6" t="s">
        <v>26</v>
      </c>
      <c r="I69" s="6" t="s">
        <v>20</v>
      </c>
      <c r="J69" s="6">
        <v>2026.0</v>
      </c>
      <c r="L69" s="6">
        <v>1.0</v>
      </c>
    </row>
    <row r="70">
      <c r="A70" s="6" t="s">
        <v>11158</v>
      </c>
      <c r="B70" s="6" t="s">
        <v>202</v>
      </c>
      <c r="C70" s="6" t="s">
        <v>48</v>
      </c>
      <c r="D70" s="6" t="s">
        <v>11159</v>
      </c>
      <c r="E70" s="6" t="s">
        <v>700</v>
      </c>
      <c r="F70" s="6" t="s">
        <v>18</v>
      </c>
      <c r="G70" s="6">
        <v>3.5</v>
      </c>
      <c r="H70" s="6" t="s">
        <v>26</v>
      </c>
      <c r="I70" s="6" t="s">
        <v>20</v>
      </c>
      <c r="J70" s="6">
        <v>2026.0</v>
      </c>
      <c r="L70" s="6">
        <v>1.0</v>
      </c>
    </row>
    <row r="71">
      <c r="A71" s="6" t="s">
        <v>11160</v>
      </c>
      <c r="B71" s="6" t="s">
        <v>5904</v>
      </c>
      <c r="C71" s="6" t="s">
        <v>41</v>
      </c>
      <c r="D71" s="6" t="s">
        <v>11161</v>
      </c>
      <c r="E71" s="6" t="s">
        <v>25</v>
      </c>
      <c r="F71" s="6" t="s">
        <v>18</v>
      </c>
      <c r="G71" s="6">
        <v>5.25</v>
      </c>
      <c r="H71" s="6" t="s">
        <v>26</v>
      </c>
      <c r="I71" s="6" t="s">
        <v>20</v>
      </c>
      <c r="J71" s="6">
        <v>2026.0</v>
      </c>
      <c r="K71" s="10">
        <v>46113.0</v>
      </c>
      <c r="L71" s="6">
        <v>1.0</v>
      </c>
    </row>
    <row r="72">
      <c r="A72" s="6" t="s">
        <v>8846</v>
      </c>
      <c r="B72" s="6" t="s">
        <v>8847</v>
      </c>
      <c r="C72" s="6" t="s">
        <v>48</v>
      </c>
      <c r="D72" s="6" t="s">
        <v>8848</v>
      </c>
      <c r="E72" s="6" t="s">
        <v>112</v>
      </c>
      <c r="F72" s="6" t="s">
        <v>65</v>
      </c>
      <c r="G72" s="6">
        <v>0.22</v>
      </c>
      <c r="H72" s="6" t="s">
        <v>31</v>
      </c>
      <c r="I72" s="6" t="s">
        <v>55</v>
      </c>
      <c r="J72" s="6">
        <v>2026.0</v>
      </c>
      <c r="K72" s="10">
        <v>46055.0</v>
      </c>
      <c r="L72" s="6">
        <v>1.0</v>
      </c>
    </row>
    <row r="73">
      <c r="A73" s="6" t="s">
        <v>11162</v>
      </c>
      <c r="B73" s="6" t="s">
        <v>10204</v>
      </c>
      <c r="C73" s="6" t="s">
        <v>41</v>
      </c>
      <c r="D73" s="6" t="s">
        <v>11163</v>
      </c>
      <c r="E73" s="6" t="s">
        <v>30</v>
      </c>
      <c r="F73" s="6" t="s">
        <v>18</v>
      </c>
      <c r="G73" s="6">
        <v>13.0</v>
      </c>
      <c r="H73" s="6" t="s">
        <v>26</v>
      </c>
      <c r="I73" s="6" t="s">
        <v>20</v>
      </c>
      <c r="J73" s="6">
        <v>2026.0</v>
      </c>
      <c r="K73" s="10">
        <v>46055.0</v>
      </c>
      <c r="L73" s="6">
        <v>1.0</v>
      </c>
    </row>
    <row r="74">
      <c r="A74" s="6" t="s">
        <v>11164</v>
      </c>
      <c r="B74" s="6" t="s">
        <v>11106</v>
      </c>
      <c r="C74" s="6" t="s">
        <v>41</v>
      </c>
      <c r="D74" s="6" t="s">
        <v>11165</v>
      </c>
      <c r="F74" s="6" t="s">
        <v>986</v>
      </c>
      <c r="G74" s="6">
        <v>5.0</v>
      </c>
      <c r="H74" s="6" t="s">
        <v>26</v>
      </c>
      <c r="I74" s="6" t="s">
        <v>20</v>
      </c>
      <c r="J74" s="6">
        <v>2026.0</v>
      </c>
      <c r="L74" s="6">
        <v>1.0</v>
      </c>
    </row>
    <row r="75">
      <c r="A75" s="6" t="s">
        <v>11166</v>
      </c>
      <c r="B75" s="6" t="s">
        <v>613</v>
      </c>
      <c r="C75" s="6" t="s">
        <v>48</v>
      </c>
      <c r="D75" s="6" t="s">
        <v>11167</v>
      </c>
      <c r="E75" s="6" t="s">
        <v>118</v>
      </c>
      <c r="F75" s="6" t="s">
        <v>51</v>
      </c>
      <c r="G75" s="6">
        <v>0.17</v>
      </c>
      <c r="H75" s="6" t="s">
        <v>31</v>
      </c>
      <c r="I75" s="6" t="s">
        <v>20</v>
      </c>
      <c r="J75" s="6">
        <v>2026.0</v>
      </c>
      <c r="K75" s="10">
        <v>46055.0</v>
      </c>
      <c r="L75" s="6">
        <v>1.0</v>
      </c>
    </row>
    <row r="76">
      <c r="A76" s="6" t="s">
        <v>11168</v>
      </c>
      <c r="B76" s="6" t="s">
        <v>307</v>
      </c>
      <c r="C76" s="6" t="s">
        <v>48</v>
      </c>
      <c r="D76" s="6" t="s">
        <v>11169</v>
      </c>
      <c r="E76" s="6" t="s">
        <v>36</v>
      </c>
      <c r="F76" s="6" t="s">
        <v>986</v>
      </c>
      <c r="G76" s="6">
        <v>3.56</v>
      </c>
      <c r="H76" s="6" t="s">
        <v>26</v>
      </c>
      <c r="I76" s="6" t="s">
        <v>20</v>
      </c>
      <c r="J76" s="6">
        <v>2026.0</v>
      </c>
      <c r="L76" s="6">
        <v>1.0</v>
      </c>
    </row>
    <row r="77">
      <c r="A77" s="6" t="s">
        <v>11170</v>
      </c>
      <c r="B77" s="6" t="s">
        <v>11127</v>
      </c>
      <c r="C77" s="6" t="s">
        <v>41</v>
      </c>
      <c r="D77" s="6" t="s">
        <v>11171</v>
      </c>
      <c r="F77" s="6" t="s">
        <v>261</v>
      </c>
      <c r="G77" s="6">
        <v>1.3</v>
      </c>
      <c r="H77" s="6" t="s">
        <v>26</v>
      </c>
      <c r="I77" s="6" t="s">
        <v>20</v>
      </c>
      <c r="J77" s="6">
        <v>2026.0</v>
      </c>
      <c r="L77" s="6">
        <v>1.0</v>
      </c>
    </row>
    <row r="78">
      <c r="A78" s="6" t="s">
        <v>11172</v>
      </c>
      <c r="B78" s="6" t="s">
        <v>424</v>
      </c>
      <c r="C78" s="6" t="s">
        <v>41</v>
      </c>
      <c r="D78" s="6" t="s">
        <v>11173</v>
      </c>
      <c r="F78" s="6" t="s">
        <v>37</v>
      </c>
      <c r="G78" s="6">
        <v>19.25</v>
      </c>
      <c r="H78" s="6" t="s">
        <v>26</v>
      </c>
      <c r="I78" s="6" t="s">
        <v>20</v>
      </c>
      <c r="J78" s="6">
        <v>2026.0</v>
      </c>
      <c r="L78" s="6">
        <v>1.0</v>
      </c>
    </row>
    <row r="79">
      <c r="A79" s="6" t="s">
        <v>11174</v>
      </c>
      <c r="B79" s="6" t="s">
        <v>143</v>
      </c>
      <c r="C79" s="6" t="s">
        <v>48</v>
      </c>
      <c r="D79" s="6" t="s">
        <v>11175</v>
      </c>
      <c r="E79" s="6" t="s">
        <v>36</v>
      </c>
      <c r="F79" s="6" t="s">
        <v>37</v>
      </c>
      <c r="G79" s="6">
        <v>0.35</v>
      </c>
      <c r="H79" s="6" t="s">
        <v>26</v>
      </c>
      <c r="I79" s="6" t="s">
        <v>20</v>
      </c>
      <c r="J79" s="6">
        <v>2026.0</v>
      </c>
      <c r="L79" s="6">
        <v>1.0</v>
      </c>
    </row>
    <row r="80">
      <c r="A80" s="6" t="s">
        <v>11176</v>
      </c>
      <c r="B80" s="6" t="s">
        <v>1769</v>
      </c>
      <c r="C80" s="6" t="s">
        <v>41</v>
      </c>
      <c r="D80" s="6" t="s">
        <v>11177</v>
      </c>
      <c r="E80" s="6" t="s">
        <v>573</v>
      </c>
      <c r="F80" s="6" t="s">
        <v>51</v>
      </c>
      <c r="G80" s="6">
        <v>3.4</v>
      </c>
      <c r="H80" s="6" t="s">
        <v>26</v>
      </c>
      <c r="I80" s="6" t="s">
        <v>20</v>
      </c>
      <c r="J80" s="6">
        <v>2026.0</v>
      </c>
      <c r="K80" s="10">
        <v>46145.0</v>
      </c>
      <c r="L80" s="6">
        <v>1.0</v>
      </c>
    </row>
    <row r="81">
      <c r="A81" s="6" t="s">
        <v>11178</v>
      </c>
      <c r="B81" s="6" t="s">
        <v>194</v>
      </c>
      <c r="C81" s="6" t="s">
        <v>41</v>
      </c>
      <c r="D81" s="6" t="s">
        <v>11179</v>
      </c>
      <c r="E81" s="6" t="s">
        <v>50</v>
      </c>
      <c r="F81" s="6" t="s">
        <v>51</v>
      </c>
      <c r="G81" s="6">
        <v>11.0</v>
      </c>
      <c r="H81" s="6" t="s">
        <v>26</v>
      </c>
      <c r="I81" s="6" t="s">
        <v>20</v>
      </c>
      <c r="J81" s="6">
        <v>2026.0</v>
      </c>
      <c r="L81" s="6">
        <v>1.0</v>
      </c>
    </row>
    <row r="82">
      <c r="A82" s="6" t="s">
        <v>11180</v>
      </c>
      <c r="B82" s="6" t="s">
        <v>307</v>
      </c>
      <c r="C82" s="6" t="s">
        <v>48</v>
      </c>
      <c r="D82" s="6" t="s">
        <v>11181</v>
      </c>
      <c r="E82" s="6" t="s">
        <v>36</v>
      </c>
      <c r="F82" s="6" t="s">
        <v>60</v>
      </c>
      <c r="G82" s="6">
        <v>8.91</v>
      </c>
      <c r="H82" s="6" t="s">
        <v>26</v>
      </c>
      <c r="I82" s="6" t="s">
        <v>20</v>
      </c>
      <c r="J82" s="6">
        <v>2026.0</v>
      </c>
      <c r="L82" s="6">
        <v>1.0</v>
      </c>
    </row>
    <row r="83">
      <c r="A83" s="6" t="s">
        <v>11182</v>
      </c>
      <c r="B83" s="6" t="s">
        <v>194</v>
      </c>
      <c r="C83" s="6" t="s">
        <v>41</v>
      </c>
      <c r="D83" s="6" t="s">
        <v>11183</v>
      </c>
      <c r="E83" s="6" t="s">
        <v>118</v>
      </c>
      <c r="F83" s="6" t="s">
        <v>51</v>
      </c>
      <c r="G83" s="6">
        <v>22.0</v>
      </c>
      <c r="H83" s="6" t="s">
        <v>26</v>
      </c>
      <c r="I83" s="6" t="s">
        <v>20</v>
      </c>
      <c r="J83" s="6">
        <v>2026.0</v>
      </c>
      <c r="L83" s="6">
        <v>1.0</v>
      </c>
    </row>
    <row r="84">
      <c r="A84" s="6" t="s">
        <v>11184</v>
      </c>
      <c r="B84" s="6" t="s">
        <v>194</v>
      </c>
      <c r="C84" s="6" t="s">
        <v>41</v>
      </c>
      <c r="D84" s="6" t="s">
        <v>11185</v>
      </c>
      <c r="E84" s="6" t="s">
        <v>721</v>
      </c>
      <c r="F84" s="6" t="s">
        <v>51</v>
      </c>
      <c r="G84" s="6">
        <v>7.9</v>
      </c>
      <c r="H84" s="6" t="s">
        <v>26</v>
      </c>
      <c r="I84" s="6" t="s">
        <v>20</v>
      </c>
      <c r="J84" s="6">
        <v>2026.0</v>
      </c>
      <c r="L84" s="6">
        <v>1.0</v>
      </c>
    </row>
    <row r="85">
      <c r="A85" s="6" t="s">
        <v>8729</v>
      </c>
      <c r="B85" s="6" t="s">
        <v>307</v>
      </c>
      <c r="C85" s="6" t="s">
        <v>48</v>
      </c>
      <c r="D85" s="6" t="s">
        <v>8730</v>
      </c>
      <c r="E85" s="6" t="s">
        <v>303</v>
      </c>
      <c r="F85" s="6" t="s">
        <v>37</v>
      </c>
      <c r="G85" s="6">
        <v>8.82</v>
      </c>
      <c r="H85" s="6" t="s">
        <v>26</v>
      </c>
      <c r="I85" s="6" t="s">
        <v>20</v>
      </c>
      <c r="J85" s="6">
        <v>2026.0</v>
      </c>
      <c r="L85" s="6">
        <v>1.0</v>
      </c>
    </row>
    <row r="86">
      <c r="A86" s="6" t="s">
        <v>11186</v>
      </c>
      <c r="B86" s="6" t="s">
        <v>11187</v>
      </c>
      <c r="C86" s="6" t="s">
        <v>41</v>
      </c>
      <c r="D86" s="6" t="s">
        <v>11188</v>
      </c>
      <c r="E86" s="6" t="s">
        <v>1771</v>
      </c>
      <c r="F86" s="6" t="s">
        <v>51</v>
      </c>
      <c r="G86" s="6">
        <v>3.3</v>
      </c>
      <c r="H86" s="6" t="s">
        <v>26</v>
      </c>
      <c r="I86" s="6" t="s">
        <v>20</v>
      </c>
      <c r="J86" s="6">
        <v>2026.0</v>
      </c>
      <c r="K86" s="10">
        <v>46084.0</v>
      </c>
      <c r="L86" s="6">
        <v>1.0</v>
      </c>
    </row>
    <row r="87">
      <c r="A87" s="6" t="s">
        <v>11189</v>
      </c>
      <c r="B87" s="6" t="s">
        <v>11190</v>
      </c>
      <c r="C87" s="6" t="s">
        <v>41</v>
      </c>
      <c r="D87" s="6" t="s">
        <v>11191</v>
      </c>
      <c r="E87" s="6" t="s">
        <v>79</v>
      </c>
      <c r="F87" s="6" t="s">
        <v>51</v>
      </c>
      <c r="G87" s="6">
        <v>6.25</v>
      </c>
      <c r="H87" s="6" t="s">
        <v>26</v>
      </c>
      <c r="I87" s="6" t="s">
        <v>20</v>
      </c>
      <c r="J87" s="6">
        <v>2026.0</v>
      </c>
      <c r="K87" s="10">
        <v>46054.0</v>
      </c>
      <c r="L87" s="6">
        <v>1.0</v>
      </c>
    </row>
    <row r="88">
      <c r="A88" s="6" t="s">
        <v>11192</v>
      </c>
      <c r="B88" s="6" t="s">
        <v>1769</v>
      </c>
      <c r="C88" s="6" t="s">
        <v>48</v>
      </c>
      <c r="D88" s="6" t="s">
        <v>11193</v>
      </c>
      <c r="E88" s="6" t="s">
        <v>2039</v>
      </c>
      <c r="F88" s="6" t="s">
        <v>261</v>
      </c>
      <c r="G88" s="6">
        <v>1.25</v>
      </c>
      <c r="H88" s="6" t="s">
        <v>31</v>
      </c>
      <c r="I88" s="6" t="s">
        <v>20</v>
      </c>
      <c r="J88" s="6">
        <v>2026.0</v>
      </c>
      <c r="K88" s="10">
        <v>46115.0</v>
      </c>
      <c r="L88" s="6">
        <v>1.0</v>
      </c>
    </row>
    <row r="89">
      <c r="A89" s="6" t="s">
        <v>11194</v>
      </c>
      <c r="B89" s="6" t="s">
        <v>543</v>
      </c>
      <c r="C89" s="6" t="s">
        <v>41</v>
      </c>
      <c r="D89" s="6" t="s">
        <v>11195</v>
      </c>
      <c r="E89" s="6" t="s">
        <v>2288</v>
      </c>
      <c r="F89" s="6" t="s">
        <v>51</v>
      </c>
      <c r="G89" s="6">
        <v>2.5</v>
      </c>
      <c r="H89" s="6" t="s">
        <v>26</v>
      </c>
      <c r="I89" s="6" t="s">
        <v>20</v>
      </c>
      <c r="J89" s="6">
        <v>2026.0</v>
      </c>
      <c r="L89" s="6">
        <v>1.0</v>
      </c>
    </row>
    <row r="90">
      <c r="A90" s="6" t="s">
        <v>11196</v>
      </c>
      <c r="B90" s="6" t="s">
        <v>307</v>
      </c>
      <c r="C90" s="6" t="s">
        <v>48</v>
      </c>
      <c r="D90" s="6" t="s">
        <v>11197</v>
      </c>
      <c r="E90" s="6" t="s">
        <v>243</v>
      </c>
      <c r="F90" s="6" t="s">
        <v>37</v>
      </c>
      <c r="G90" s="6">
        <v>19.94</v>
      </c>
      <c r="H90" s="6" t="s">
        <v>26</v>
      </c>
      <c r="I90" s="6" t="s">
        <v>20</v>
      </c>
      <c r="J90" s="6">
        <v>2026.0</v>
      </c>
      <c r="L90" s="6">
        <v>1.0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1</v>
      </c>
      <c r="C1" s="1" t="s">
        <v>2</v>
      </c>
      <c r="D1" s="1" t="s">
        <v>3</v>
      </c>
      <c r="E1" s="1" t="s">
        <v>4</v>
      </c>
      <c r="F1" s="1" t="s">
        <v>11003</v>
      </c>
      <c r="G1" s="2" t="s">
        <v>6</v>
      </c>
      <c r="H1" s="1" t="s">
        <v>7</v>
      </c>
      <c r="I1" s="1" t="s">
        <v>8</v>
      </c>
      <c r="J1" s="1" t="s">
        <v>9</v>
      </c>
      <c r="K1" s="1" t="s">
        <v>10</v>
      </c>
      <c r="L1" s="1" t="s">
        <v>11</v>
      </c>
      <c r="M1" s="3">
        <f>Sum(G:G)</f>
        <v>14.32</v>
      </c>
      <c r="N1" s="4">
        <f>sum(L:L)</f>
        <v>9</v>
      </c>
      <c r="O1" s="3">
        <f>M1/N1</f>
        <v>1.591111111</v>
      </c>
      <c r="P1" s="3"/>
      <c r="Q1" s="4"/>
      <c r="R1" s="4"/>
      <c r="S1" s="4"/>
      <c r="T1" s="4"/>
      <c r="U1" s="4"/>
      <c r="V1" s="4"/>
      <c r="W1" s="4"/>
      <c r="X1" s="4"/>
      <c r="Y1" s="4"/>
    </row>
    <row r="2">
      <c r="A2" s="6" t="s">
        <v>11198</v>
      </c>
      <c r="B2" s="6" t="s">
        <v>11199</v>
      </c>
      <c r="C2" s="6" t="s">
        <v>41</v>
      </c>
      <c r="D2" s="6" t="s">
        <v>11200</v>
      </c>
      <c r="E2" s="6" t="s">
        <v>112</v>
      </c>
      <c r="F2" s="6" t="s">
        <v>65</v>
      </c>
      <c r="G2" s="6">
        <v>12.34</v>
      </c>
      <c r="H2" s="6" t="s">
        <v>881</v>
      </c>
      <c r="I2" s="6" t="s">
        <v>20</v>
      </c>
      <c r="J2" s="6">
        <v>2021.0</v>
      </c>
      <c r="K2" s="10">
        <v>46024.0</v>
      </c>
      <c r="L2" s="6">
        <v>1.0</v>
      </c>
    </row>
    <row r="3">
      <c r="A3" s="6" t="s">
        <v>11201</v>
      </c>
      <c r="B3" s="6" t="s">
        <v>3459</v>
      </c>
      <c r="C3" s="6" t="s">
        <v>23</v>
      </c>
      <c r="D3" s="6" t="s">
        <v>11202</v>
      </c>
      <c r="E3" s="6" t="s">
        <v>36</v>
      </c>
      <c r="F3" s="6" t="s">
        <v>37</v>
      </c>
      <c r="G3" s="6">
        <v>1.15</v>
      </c>
      <c r="H3" s="6" t="s">
        <v>141</v>
      </c>
      <c r="I3" s="6" t="s">
        <v>20</v>
      </c>
      <c r="J3" s="6">
        <v>2019.0</v>
      </c>
      <c r="K3" s="6" t="s">
        <v>597</v>
      </c>
      <c r="L3" s="6">
        <v>1.0</v>
      </c>
    </row>
    <row r="4">
      <c r="A4" s="6" t="s">
        <v>11203</v>
      </c>
      <c r="B4" s="6" t="s">
        <v>11204</v>
      </c>
      <c r="C4" s="6" t="s">
        <v>287</v>
      </c>
      <c r="D4" s="6" t="s">
        <v>11205</v>
      </c>
      <c r="E4" s="6" t="s">
        <v>112</v>
      </c>
      <c r="F4" s="6" t="s">
        <v>11206</v>
      </c>
      <c r="G4" s="6">
        <v>0.06</v>
      </c>
      <c r="H4" s="6" t="s">
        <v>779</v>
      </c>
      <c r="I4" s="6" t="s">
        <v>20</v>
      </c>
      <c r="J4" s="6">
        <v>2026.0</v>
      </c>
      <c r="K4" s="10">
        <v>46055.0</v>
      </c>
      <c r="L4" s="6">
        <v>1.0</v>
      </c>
    </row>
    <row r="5">
      <c r="A5" s="6" t="s">
        <v>10135</v>
      </c>
      <c r="B5" s="6" t="s">
        <v>877</v>
      </c>
      <c r="C5" s="6" t="s">
        <v>23</v>
      </c>
      <c r="D5" s="6" t="s">
        <v>10136</v>
      </c>
      <c r="E5" s="6" t="s">
        <v>112</v>
      </c>
      <c r="F5" s="6" t="s">
        <v>65</v>
      </c>
      <c r="G5" s="6">
        <v>0.06</v>
      </c>
      <c r="H5" s="6" t="s">
        <v>881</v>
      </c>
      <c r="I5" s="6" t="s">
        <v>20</v>
      </c>
      <c r="J5" s="6">
        <v>2021.0</v>
      </c>
      <c r="K5" s="10">
        <v>46082.0</v>
      </c>
      <c r="L5" s="6">
        <v>1.0</v>
      </c>
    </row>
    <row r="6">
      <c r="A6" s="6" t="s">
        <v>3171</v>
      </c>
      <c r="B6" s="6" t="s">
        <v>3161</v>
      </c>
      <c r="C6" s="6" t="s">
        <v>23</v>
      </c>
      <c r="D6" s="6" t="s">
        <v>3172</v>
      </c>
      <c r="E6" s="6" t="s">
        <v>112</v>
      </c>
      <c r="F6" s="6" t="s">
        <v>65</v>
      </c>
      <c r="G6" s="6">
        <v>0.2</v>
      </c>
      <c r="H6" s="6" t="s">
        <v>252</v>
      </c>
      <c r="I6" s="6" t="s">
        <v>20</v>
      </c>
      <c r="J6" s="6">
        <v>1994.0</v>
      </c>
      <c r="K6" s="10">
        <v>46024.0</v>
      </c>
      <c r="L6" s="6">
        <v>1.0</v>
      </c>
    </row>
    <row r="7">
      <c r="A7" s="6" t="s">
        <v>4465</v>
      </c>
      <c r="B7" s="6" t="s">
        <v>143</v>
      </c>
      <c r="C7" s="6" t="s">
        <v>23</v>
      </c>
      <c r="D7" s="6" t="s">
        <v>4466</v>
      </c>
      <c r="E7" s="6" t="s">
        <v>36</v>
      </c>
      <c r="F7" s="6" t="s">
        <v>37</v>
      </c>
      <c r="G7" s="6">
        <v>0.17</v>
      </c>
      <c r="H7" s="6" t="s">
        <v>881</v>
      </c>
      <c r="I7" s="6" t="s">
        <v>20</v>
      </c>
      <c r="J7" s="6">
        <v>2021.0</v>
      </c>
      <c r="L7" s="6">
        <v>1.0</v>
      </c>
    </row>
    <row r="8">
      <c r="A8" s="6" t="s">
        <v>11207</v>
      </c>
      <c r="B8" s="6" t="s">
        <v>11208</v>
      </c>
      <c r="C8" s="6" t="s">
        <v>23</v>
      </c>
      <c r="D8" s="6" t="s">
        <v>11209</v>
      </c>
      <c r="E8" s="6" t="s">
        <v>112</v>
      </c>
      <c r="F8" s="6" t="s">
        <v>65</v>
      </c>
      <c r="G8" s="6">
        <v>0.2</v>
      </c>
      <c r="H8" s="6" t="s">
        <v>1301</v>
      </c>
      <c r="I8" s="6" t="s">
        <v>20</v>
      </c>
      <c r="J8" s="6">
        <v>2022.0</v>
      </c>
      <c r="K8" s="10">
        <v>46082.0</v>
      </c>
      <c r="L8" s="6">
        <v>1.0</v>
      </c>
    </row>
    <row r="9">
      <c r="A9" s="6" t="s">
        <v>11210</v>
      </c>
      <c r="B9" s="6" t="s">
        <v>11211</v>
      </c>
      <c r="C9" s="6" t="s">
        <v>23</v>
      </c>
      <c r="D9" s="6" t="s">
        <v>11212</v>
      </c>
      <c r="E9" s="6" t="s">
        <v>11213</v>
      </c>
      <c r="F9" s="6" t="s">
        <v>65</v>
      </c>
      <c r="G9" s="6">
        <v>0.04</v>
      </c>
      <c r="H9" s="6" t="s">
        <v>141</v>
      </c>
      <c r="I9" s="6" t="s">
        <v>20</v>
      </c>
      <c r="J9" s="6">
        <v>2019.0</v>
      </c>
      <c r="K9" s="10">
        <v>46025.0</v>
      </c>
      <c r="L9" s="6">
        <v>1.0</v>
      </c>
    </row>
    <row r="10">
      <c r="A10" s="6" t="s">
        <v>11214</v>
      </c>
      <c r="B10" s="6" t="s">
        <v>62</v>
      </c>
      <c r="C10" s="6" t="s">
        <v>23</v>
      </c>
      <c r="D10" s="6" t="s">
        <v>11215</v>
      </c>
      <c r="E10" s="6" t="s">
        <v>112</v>
      </c>
      <c r="F10" s="6" t="s">
        <v>65</v>
      </c>
      <c r="G10" s="6">
        <v>0.1</v>
      </c>
      <c r="H10" s="6" t="s">
        <v>1675</v>
      </c>
      <c r="I10" s="6" t="s">
        <v>20</v>
      </c>
      <c r="J10" s="6">
        <v>2021.0</v>
      </c>
      <c r="L10" s="6">
        <v>1.0</v>
      </c>
    </row>
  </sheetData>
  <drawing r:id="rId1"/>
</worksheet>
</file>